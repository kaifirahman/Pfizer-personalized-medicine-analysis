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ifi\Downloads\"/>
    </mc:Choice>
  </mc:AlternateContent>
  <xr:revisionPtr revIDLastSave="0" documentId="8_{82A89AD5-F28E-4D62-8469-A84FC2348450}" xr6:coauthVersionLast="47" xr6:coauthVersionMax="47" xr10:uidLastSave="{00000000-0000-0000-0000-000000000000}"/>
  <bookViews>
    <workbookView xWindow="-98" yWindow="-98" windowWidth="21795" windowHeight="12975" firstSheet="1" activeTab="3" xr2:uid="{7F2F4AD9-D549-4E4C-A005-FBBFFAE2F5EB}"/>
  </bookViews>
  <sheets>
    <sheet name="DACS19 - Pfizer’s Personali (2)" sheetId="3" r:id="rId1"/>
    <sheet name="Pivot_Analysis" sheetId="5" r:id="rId2"/>
    <sheet name="Clean_Data" sheetId="2" r:id="rId3"/>
    <sheet name="Charts" sheetId="6" r:id="rId4"/>
    <sheet name="Data_Quality" sheetId="1" r:id="rId5"/>
  </sheets>
  <definedNames>
    <definedName name="_xlchart.v1.0" hidden="1">Clean_Data!$AF:$AF</definedName>
    <definedName name="_xlchart.v1.1" hidden="1">Clean_Data!$AG:$AG</definedName>
    <definedName name="_xlchart.v1.2" hidden="1">Clean_Data!$AH:$AH</definedName>
    <definedName name="_xlchart.v1.3" hidden="1">Clean_Data!$AI:$AI</definedName>
    <definedName name="_xlchart.v1.4" hidden="1">Clean_Data!$B$1</definedName>
    <definedName name="_xlchart.v1.5" hidden="1">Clean_Data!$B$2:$B$1001</definedName>
    <definedName name="ExternalData_1" localSheetId="2" hidden="1">Clean_Data!$A$1:$Z$1001</definedName>
    <definedName name="ExternalData_1" localSheetId="0" hidden="1">'DACS19 - Pfizer’s Personali (2)'!$A$1:$Z$1001</definedName>
  </definedNames>
  <calcPr calcId="191029"/>
  <pivotCaches>
    <pivotCache cacheId="6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2" i="2" l="1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I478" i="2"/>
  <c r="AI479" i="2"/>
  <c r="AI480" i="2"/>
  <c r="AI481" i="2"/>
  <c r="AI482" i="2"/>
  <c r="AI483" i="2"/>
  <c r="AI484" i="2"/>
  <c r="AI485" i="2"/>
  <c r="AI486" i="2"/>
  <c r="AI487" i="2"/>
  <c r="AI488" i="2"/>
  <c r="AI489" i="2"/>
  <c r="AI490" i="2"/>
  <c r="AI491" i="2"/>
  <c r="AI492" i="2"/>
  <c r="AI493" i="2"/>
  <c r="AI494" i="2"/>
  <c r="AI495" i="2"/>
  <c r="AI496" i="2"/>
  <c r="AI497" i="2"/>
  <c r="AI498" i="2"/>
  <c r="AI499" i="2"/>
  <c r="AI500" i="2"/>
  <c r="AI501" i="2"/>
  <c r="AI502" i="2"/>
  <c r="AI503" i="2"/>
  <c r="AI504" i="2"/>
  <c r="AI505" i="2"/>
  <c r="AI506" i="2"/>
  <c r="AI507" i="2"/>
  <c r="AI508" i="2"/>
  <c r="AI509" i="2"/>
  <c r="AI510" i="2"/>
  <c r="AI511" i="2"/>
  <c r="AI512" i="2"/>
  <c r="AI513" i="2"/>
  <c r="AI514" i="2"/>
  <c r="AI515" i="2"/>
  <c r="AI516" i="2"/>
  <c r="AI517" i="2"/>
  <c r="AI518" i="2"/>
  <c r="AI519" i="2"/>
  <c r="AI520" i="2"/>
  <c r="AI521" i="2"/>
  <c r="AI522" i="2"/>
  <c r="AI523" i="2"/>
  <c r="AI524" i="2"/>
  <c r="AI525" i="2"/>
  <c r="AI526" i="2"/>
  <c r="AI527" i="2"/>
  <c r="AI528" i="2"/>
  <c r="AI529" i="2"/>
  <c r="AI530" i="2"/>
  <c r="AI531" i="2"/>
  <c r="AI532" i="2"/>
  <c r="AI533" i="2"/>
  <c r="AI534" i="2"/>
  <c r="AI535" i="2"/>
  <c r="AI536" i="2"/>
  <c r="AI537" i="2"/>
  <c r="AI538" i="2"/>
  <c r="AI539" i="2"/>
  <c r="AI540" i="2"/>
  <c r="AI541" i="2"/>
  <c r="AI542" i="2"/>
  <c r="AI543" i="2"/>
  <c r="AI544" i="2"/>
  <c r="AI545" i="2"/>
  <c r="AI546" i="2"/>
  <c r="AI547" i="2"/>
  <c r="AI548" i="2"/>
  <c r="AI549" i="2"/>
  <c r="AI550" i="2"/>
  <c r="AI551" i="2"/>
  <c r="AI552" i="2"/>
  <c r="AI553" i="2"/>
  <c r="AI554" i="2"/>
  <c r="AI555" i="2"/>
  <c r="AI556" i="2"/>
  <c r="AI557" i="2"/>
  <c r="AI558" i="2"/>
  <c r="AI559" i="2"/>
  <c r="AI560" i="2"/>
  <c r="AI561" i="2"/>
  <c r="AI562" i="2"/>
  <c r="AI563" i="2"/>
  <c r="AI564" i="2"/>
  <c r="AI565" i="2"/>
  <c r="AI566" i="2"/>
  <c r="AI567" i="2"/>
  <c r="AI568" i="2"/>
  <c r="AI569" i="2"/>
  <c r="AI570" i="2"/>
  <c r="AI571" i="2"/>
  <c r="AI572" i="2"/>
  <c r="AI573" i="2"/>
  <c r="AI574" i="2"/>
  <c r="AI575" i="2"/>
  <c r="AI576" i="2"/>
  <c r="AI577" i="2"/>
  <c r="AI578" i="2"/>
  <c r="AI579" i="2"/>
  <c r="AI580" i="2"/>
  <c r="AI581" i="2"/>
  <c r="AI582" i="2"/>
  <c r="AI583" i="2"/>
  <c r="AI584" i="2"/>
  <c r="AI585" i="2"/>
  <c r="AI586" i="2"/>
  <c r="AI587" i="2"/>
  <c r="AI588" i="2"/>
  <c r="AI589" i="2"/>
  <c r="AI590" i="2"/>
  <c r="AI591" i="2"/>
  <c r="AI592" i="2"/>
  <c r="AI593" i="2"/>
  <c r="AI594" i="2"/>
  <c r="AI595" i="2"/>
  <c r="AI596" i="2"/>
  <c r="AI597" i="2"/>
  <c r="AI598" i="2"/>
  <c r="AI599" i="2"/>
  <c r="AI600" i="2"/>
  <c r="AI601" i="2"/>
  <c r="AI602" i="2"/>
  <c r="AI603" i="2"/>
  <c r="AI604" i="2"/>
  <c r="AI605" i="2"/>
  <c r="AI606" i="2"/>
  <c r="AI607" i="2"/>
  <c r="AI608" i="2"/>
  <c r="AI609" i="2"/>
  <c r="AI610" i="2"/>
  <c r="AI611" i="2"/>
  <c r="AI612" i="2"/>
  <c r="AI613" i="2"/>
  <c r="AI614" i="2"/>
  <c r="AI615" i="2"/>
  <c r="AI616" i="2"/>
  <c r="AI617" i="2"/>
  <c r="AI618" i="2"/>
  <c r="AI619" i="2"/>
  <c r="AI620" i="2"/>
  <c r="AI621" i="2"/>
  <c r="AI622" i="2"/>
  <c r="AI623" i="2"/>
  <c r="AI624" i="2"/>
  <c r="AI625" i="2"/>
  <c r="AI626" i="2"/>
  <c r="AI627" i="2"/>
  <c r="AI628" i="2"/>
  <c r="AI629" i="2"/>
  <c r="AI630" i="2"/>
  <c r="AI631" i="2"/>
  <c r="AI632" i="2"/>
  <c r="AI633" i="2"/>
  <c r="AI634" i="2"/>
  <c r="AI635" i="2"/>
  <c r="AI636" i="2"/>
  <c r="AI637" i="2"/>
  <c r="AI638" i="2"/>
  <c r="AI639" i="2"/>
  <c r="AI640" i="2"/>
  <c r="AI641" i="2"/>
  <c r="AI642" i="2"/>
  <c r="AI643" i="2"/>
  <c r="AI644" i="2"/>
  <c r="AI645" i="2"/>
  <c r="AI646" i="2"/>
  <c r="AI647" i="2"/>
  <c r="AI648" i="2"/>
  <c r="AI649" i="2"/>
  <c r="AI650" i="2"/>
  <c r="AI651" i="2"/>
  <c r="AI652" i="2"/>
  <c r="AI653" i="2"/>
  <c r="AI654" i="2"/>
  <c r="AI655" i="2"/>
  <c r="AI656" i="2"/>
  <c r="AI657" i="2"/>
  <c r="AI658" i="2"/>
  <c r="AI659" i="2"/>
  <c r="AI660" i="2"/>
  <c r="AI661" i="2"/>
  <c r="AI662" i="2"/>
  <c r="AI663" i="2"/>
  <c r="AI664" i="2"/>
  <c r="AI665" i="2"/>
  <c r="AI666" i="2"/>
  <c r="AI667" i="2"/>
  <c r="AI668" i="2"/>
  <c r="AI669" i="2"/>
  <c r="AI670" i="2"/>
  <c r="AI671" i="2"/>
  <c r="AI672" i="2"/>
  <c r="AI673" i="2"/>
  <c r="AI674" i="2"/>
  <c r="AI675" i="2"/>
  <c r="AI676" i="2"/>
  <c r="AI677" i="2"/>
  <c r="AI678" i="2"/>
  <c r="AI679" i="2"/>
  <c r="AI680" i="2"/>
  <c r="AI681" i="2"/>
  <c r="AI682" i="2"/>
  <c r="AI683" i="2"/>
  <c r="AI684" i="2"/>
  <c r="AI685" i="2"/>
  <c r="AI686" i="2"/>
  <c r="AI687" i="2"/>
  <c r="AI688" i="2"/>
  <c r="AI689" i="2"/>
  <c r="AI690" i="2"/>
  <c r="AI691" i="2"/>
  <c r="AI692" i="2"/>
  <c r="AI693" i="2"/>
  <c r="AI694" i="2"/>
  <c r="AI695" i="2"/>
  <c r="AI696" i="2"/>
  <c r="AI697" i="2"/>
  <c r="AI698" i="2"/>
  <c r="AI699" i="2"/>
  <c r="AI700" i="2"/>
  <c r="AI701" i="2"/>
  <c r="AI702" i="2"/>
  <c r="AI703" i="2"/>
  <c r="AI704" i="2"/>
  <c r="AI705" i="2"/>
  <c r="AI706" i="2"/>
  <c r="AI707" i="2"/>
  <c r="AI708" i="2"/>
  <c r="AI709" i="2"/>
  <c r="AI710" i="2"/>
  <c r="AI711" i="2"/>
  <c r="AI712" i="2"/>
  <c r="AI713" i="2"/>
  <c r="AI714" i="2"/>
  <c r="AI715" i="2"/>
  <c r="AI716" i="2"/>
  <c r="AI717" i="2"/>
  <c r="AI718" i="2"/>
  <c r="AI719" i="2"/>
  <c r="AI720" i="2"/>
  <c r="AI721" i="2"/>
  <c r="AI722" i="2"/>
  <c r="AI723" i="2"/>
  <c r="AI724" i="2"/>
  <c r="AI725" i="2"/>
  <c r="AI726" i="2"/>
  <c r="AI727" i="2"/>
  <c r="AI728" i="2"/>
  <c r="AI729" i="2"/>
  <c r="AI730" i="2"/>
  <c r="AI731" i="2"/>
  <c r="AI732" i="2"/>
  <c r="AI733" i="2"/>
  <c r="AI734" i="2"/>
  <c r="AI735" i="2"/>
  <c r="AI736" i="2"/>
  <c r="AI737" i="2"/>
  <c r="AI738" i="2"/>
  <c r="AI739" i="2"/>
  <c r="AI740" i="2"/>
  <c r="AI741" i="2"/>
  <c r="AI742" i="2"/>
  <c r="AI743" i="2"/>
  <c r="AI744" i="2"/>
  <c r="AI745" i="2"/>
  <c r="AI746" i="2"/>
  <c r="AI747" i="2"/>
  <c r="AI748" i="2"/>
  <c r="AI749" i="2"/>
  <c r="AI750" i="2"/>
  <c r="AI751" i="2"/>
  <c r="AI752" i="2"/>
  <c r="AI753" i="2"/>
  <c r="AI754" i="2"/>
  <c r="AI755" i="2"/>
  <c r="AI756" i="2"/>
  <c r="AI757" i="2"/>
  <c r="AI758" i="2"/>
  <c r="AI759" i="2"/>
  <c r="AI760" i="2"/>
  <c r="AI761" i="2"/>
  <c r="AI762" i="2"/>
  <c r="AI763" i="2"/>
  <c r="AI764" i="2"/>
  <c r="AI765" i="2"/>
  <c r="AI766" i="2"/>
  <c r="AI767" i="2"/>
  <c r="AI768" i="2"/>
  <c r="AI769" i="2"/>
  <c r="AI770" i="2"/>
  <c r="AI771" i="2"/>
  <c r="AI772" i="2"/>
  <c r="AI773" i="2"/>
  <c r="AI774" i="2"/>
  <c r="AI775" i="2"/>
  <c r="AI776" i="2"/>
  <c r="AI777" i="2"/>
  <c r="AI778" i="2"/>
  <c r="AI779" i="2"/>
  <c r="AI780" i="2"/>
  <c r="AI781" i="2"/>
  <c r="AI782" i="2"/>
  <c r="AI783" i="2"/>
  <c r="AI784" i="2"/>
  <c r="AI785" i="2"/>
  <c r="AI786" i="2"/>
  <c r="AI787" i="2"/>
  <c r="AI788" i="2"/>
  <c r="AI789" i="2"/>
  <c r="AI790" i="2"/>
  <c r="AI791" i="2"/>
  <c r="AI792" i="2"/>
  <c r="AI793" i="2"/>
  <c r="AI794" i="2"/>
  <c r="AI795" i="2"/>
  <c r="AI796" i="2"/>
  <c r="AI797" i="2"/>
  <c r="AI798" i="2"/>
  <c r="AI799" i="2"/>
  <c r="AI800" i="2"/>
  <c r="AI801" i="2"/>
  <c r="AI802" i="2"/>
  <c r="AI803" i="2"/>
  <c r="AI804" i="2"/>
  <c r="AI805" i="2"/>
  <c r="AI806" i="2"/>
  <c r="AI807" i="2"/>
  <c r="AI808" i="2"/>
  <c r="AI809" i="2"/>
  <c r="AI810" i="2"/>
  <c r="AI811" i="2"/>
  <c r="AI812" i="2"/>
  <c r="AI813" i="2"/>
  <c r="AI814" i="2"/>
  <c r="AI815" i="2"/>
  <c r="AI816" i="2"/>
  <c r="AI817" i="2"/>
  <c r="AI818" i="2"/>
  <c r="AI819" i="2"/>
  <c r="AI820" i="2"/>
  <c r="AI821" i="2"/>
  <c r="AI822" i="2"/>
  <c r="AI823" i="2"/>
  <c r="AI824" i="2"/>
  <c r="AI825" i="2"/>
  <c r="AI826" i="2"/>
  <c r="AI827" i="2"/>
  <c r="AI828" i="2"/>
  <c r="AI829" i="2"/>
  <c r="AI830" i="2"/>
  <c r="AI831" i="2"/>
  <c r="AI832" i="2"/>
  <c r="AI833" i="2"/>
  <c r="AI834" i="2"/>
  <c r="AI835" i="2"/>
  <c r="AI836" i="2"/>
  <c r="AI837" i="2"/>
  <c r="AI838" i="2"/>
  <c r="AI839" i="2"/>
  <c r="AI840" i="2"/>
  <c r="AI841" i="2"/>
  <c r="AI842" i="2"/>
  <c r="AI843" i="2"/>
  <c r="AI844" i="2"/>
  <c r="AI845" i="2"/>
  <c r="AI846" i="2"/>
  <c r="AI847" i="2"/>
  <c r="AI848" i="2"/>
  <c r="AI849" i="2"/>
  <c r="AI850" i="2"/>
  <c r="AI851" i="2"/>
  <c r="AI852" i="2"/>
  <c r="AI853" i="2"/>
  <c r="AI854" i="2"/>
  <c r="AI855" i="2"/>
  <c r="AI856" i="2"/>
  <c r="AI857" i="2"/>
  <c r="AI858" i="2"/>
  <c r="AI859" i="2"/>
  <c r="AI860" i="2"/>
  <c r="AI861" i="2"/>
  <c r="AI862" i="2"/>
  <c r="AI863" i="2"/>
  <c r="AI864" i="2"/>
  <c r="AI865" i="2"/>
  <c r="AI866" i="2"/>
  <c r="AI867" i="2"/>
  <c r="AI868" i="2"/>
  <c r="AI869" i="2"/>
  <c r="AI870" i="2"/>
  <c r="AI871" i="2"/>
  <c r="AI872" i="2"/>
  <c r="AI873" i="2"/>
  <c r="AI874" i="2"/>
  <c r="AI875" i="2"/>
  <c r="AI876" i="2"/>
  <c r="AI877" i="2"/>
  <c r="AI878" i="2"/>
  <c r="AI879" i="2"/>
  <c r="AI880" i="2"/>
  <c r="AI881" i="2"/>
  <c r="AI882" i="2"/>
  <c r="AI883" i="2"/>
  <c r="AI884" i="2"/>
  <c r="AI885" i="2"/>
  <c r="AI886" i="2"/>
  <c r="AI887" i="2"/>
  <c r="AI888" i="2"/>
  <c r="AI889" i="2"/>
  <c r="AI890" i="2"/>
  <c r="AI891" i="2"/>
  <c r="AI892" i="2"/>
  <c r="AI893" i="2"/>
  <c r="AI894" i="2"/>
  <c r="AI895" i="2"/>
  <c r="AI896" i="2"/>
  <c r="AI897" i="2"/>
  <c r="AI898" i="2"/>
  <c r="AI899" i="2"/>
  <c r="AI900" i="2"/>
  <c r="AI901" i="2"/>
  <c r="AI902" i="2"/>
  <c r="AI903" i="2"/>
  <c r="AI904" i="2"/>
  <c r="AI905" i="2"/>
  <c r="AI906" i="2"/>
  <c r="AI907" i="2"/>
  <c r="AI908" i="2"/>
  <c r="AI909" i="2"/>
  <c r="AI910" i="2"/>
  <c r="AI911" i="2"/>
  <c r="AI912" i="2"/>
  <c r="AI913" i="2"/>
  <c r="AI914" i="2"/>
  <c r="AI915" i="2"/>
  <c r="AI916" i="2"/>
  <c r="AI917" i="2"/>
  <c r="AI918" i="2"/>
  <c r="AI919" i="2"/>
  <c r="AI920" i="2"/>
  <c r="AI921" i="2"/>
  <c r="AI922" i="2"/>
  <c r="AI923" i="2"/>
  <c r="AI924" i="2"/>
  <c r="AI925" i="2"/>
  <c r="AI926" i="2"/>
  <c r="AI927" i="2"/>
  <c r="AI928" i="2"/>
  <c r="AI929" i="2"/>
  <c r="AI930" i="2"/>
  <c r="AI931" i="2"/>
  <c r="AI932" i="2"/>
  <c r="AI933" i="2"/>
  <c r="AI934" i="2"/>
  <c r="AI935" i="2"/>
  <c r="AI936" i="2"/>
  <c r="AI937" i="2"/>
  <c r="AI938" i="2"/>
  <c r="AI939" i="2"/>
  <c r="AI940" i="2"/>
  <c r="AI941" i="2"/>
  <c r="AI942" i="2"/>
  <c r="AI943" i="2"/>
  <c r="AI944" i="2"/>
  <c r="AI945" i="2"/>
  <c r="AI946" i="2"/>
  <c r="AI947" i="2"/>
  <c r="AI948" i="2"/>
  <c r="AI949" i="2"/>
  <c r="AI950" i="2"/>
  <c r="AI951" i="2"/>
  <c r="AI952" i="2"/>
  <c r="AI953" i="2"/>
  <c r="AI954" i="2"/>
  <c r="AI955" i="2"/>
  <c r="AI956" i="2"/>
  <c r="AI957" i="2"/>
  <c r="AI958" i="2"/>
  <c r="AI959" i="2"/>
  <c r="AI960" i="2"/>
  <c r="AI961" i="2"/>
  <c r="AI962" i="2"/>
  <c r="AI963" i="2"/>
  <c r="AI964" i="2"/>
  <c r="AI965" i="2"/>
  <c r="AI966" i="2"/>
  <c r="AI967" i="2"/>
  <c r="AI968" i="2"/>
  <c r="AI969" i="2"/>
  <c r="AI970" i="2"/>
  <c r="AI971" i="2"/>
  <c r="AI972" i="2"/>
  <c r="AI973" i="2"/>
  <c r="AI974" i="2"/>
  <c r="AI975" i="2"/>
  <c r="AI976" i="2"/>
  <c r="AI977" i="2"/>
  <c r="AI978" i="2"/>
  <c r="AI979" i="2"/>
  <c r="AI980" i="2"/>
  <c r="AI981" i="2"/>
  <c r="AI982" i="2"/>
  <c r="AI983" i="2"/>
  <c r="AI984" i="2"/>
  <c r="AI985" i="2"/>
  <c r="AI986" i="2"/>
  <c r="AI987" i="2"/>
  <c r="AI988" i="2"/>
  <c r="AI989" i="2"/>
  <c r="AI990" i="2"/>
  <c r="AI991" i="2"/>
  <c r="AI992" i="2"/>
  <c r="AI993" i="2"/>
  <c r="AI994" i="2"/>
  <c r="AI995" i="2"/>
  <c r="AI996" i="2"/>
  <c r="AI997" i="2"/>
  <c r="AI998" i="2"/>
  <c r="AI999" i="2"/>
  <c r="AI1000" i="2"/>
  <c r="AI1001" i="2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53" i="2"/>
  <c r="AH554" i="2"/>
  <c r="AH555" i="2"/>
  <c r="AH556" i="2"/>
  <c r="AH557" i="2"/>
  <c r="AH558" i="2"/>
  <c r="AH559" i="2"/>
  <c r="AH560" i="2"/>
  <c r="AH561" i="2"/>
  <c r="AH562" i="2"/>
  <c r="AH563" i="2"/>
  <c r="AH564" i="2"/>
  <c r="AH565" i="2"/>
  <c r="AH566" i="2"/>
  <c r="AH567" i="2"/>
  <c r="AH568" i="2"/>
  <c r="AH569" i="2"/>
  <c r="AH570" i="2"/>
  <c r="AH571" i="2"/>
  <c r="AH572" i="2"/>
  <c r="AH573" i="2"/>
  <c r="AH574" i="2"/>
  <c r="AH575" i="2"/>
  <c r="AH576" i="2"/>
  <c r="AH577" i="2"/>
  <c r="AH578" i="2"/>
  <c r="AH579" i="2"/>
  <c r="AH580" i="2"/>
  <c r="AH581" i="2"/>
  <c r="AH582" i="2"/>
  <c r="AH583" i="2"/>
  <c r="AH584" i="2"/>
  <c r="AH585" i="2"/>
  <c r="AH586" i="2"/>
  <c r="AH587" i="2"/>
  <c r="AH588" i="2"/>
  <c r="AH589" i="2"/>
  <c r="AH590" i="2"/>
  <c r="AH591" i="2"/>
  <c r="AH592" i="2"/>
  <c r="AH593" i="2"/>
  <c r="AH594" i="2"/>
  <c r="AH595" i="2"/>
  <c r="AH596" i="2"/>
  <c r="AH597" i="2"/>
  <c r="AH598" i="2"/>
  <c r="AH599" i="2"/>
  <c r="AH600" i="2"/>
  <c r="AH601" i="2"/>
  <c r="AH602" i="2"/>
  <c r="AH603" i="2"/>
  <c r="AH604" i="2"/>
  <c r="AH605" i="2"/>
  <c r="AH606" i="2"/>
  <c r="AH607" i="2"/>
  <c r="AH608" i="2"/>
  <c r="AH609" i="2"/>
  <c r="AH610" i="2"/>
  <c r="AH611" i="2"/>
  <c r="AH612" i="2"/>
  <c r="AH613" i="2"/>
  <c r="AH614" i="2"/>
  <c r="AH615" i="2"/>
  <c r="AH616" i="2"/>
  <c r="AH617" i="2"/>
  <c r="AH618" i="2"/>
  <c r="AH619" i="2"/>
  <c r="AH620" i="2"/>
  <c r="AH621" i="2"/>
  <c r="AH622" i="2"/>
  <c r="AH623" i="2"/>
  <c r="AH624" i="2"/>
  <c r="AH625" i="2"/>
  <c r="AH626" i="2"/>
  <c r="AH627" i="2"/>
  <c r="AH628" i="2"/>
  <c r="AH629" i="2"/>
  <c r="AH630" i="2"/>
  <c r="AH631" i="2"/>
  <c r="AH632" i="2"/>
  <c r="AH633" i="2"/>
  <c r="AH634" i="2"/>
  <c r="AH635" i="2"/>
  <c r="AH636" i="2"/>
  <c r="AH637" i="2"/>
  <c r="AH638" i="2"/>
  <c r="AH639" i="2"/>
  <c r="AH640" i="2"/>
  <c r="AH641" i="2"/>
  <c r="AH642" i="2"/>
  <c r="AH643" i="2"/>
  <c r="AH644" i="2"/>
  <c r="AH645" i="2"/>
  <c r="AH646" i="2"/>
  <c r="AH647" i="2"/>
  <c r="AH648" i="2"/>
  <c r="AH649" i="2"/>
  <c r="AH650" i="2"/>
  <c r="AH651" i="2"/>
  <c r="AH652" i="2"/>
  <c r="AH653" i="2"/>
  <c r="AH654" i="2"/>
  <c r="AH655" i="2"/>
  <c r="AH656" i="2"/>
  <c r="AH657" i="2"/>
  <c r="AH658" i="2"/>
  <c r="AH659" i="2"/>
  <c r="AH660" i="2"/>
  <c r="AH661" i="2"/>
  <c r="AH662" i="2"/>
  <c r="AH663" i="2"/>
  <c r="AH664" i="2"/>
  <c r="AH665" i="2"/>
  <c r="AH666" i="2"/>
  <c r="AH667" i="2"/>
  <c r="AH668" i="2"/>
  <c r="AH669" i="2"/>
  <c r="AH670" i="2"/>
  <c r="AH671" i="2"/>
  <c r="AH672" i="2"/>
  <c r="AH673" i="2"/>
  <c r="AH674" i="2"/>
  <c r="AH675" i="2"/>
  <c r="AH676" i="2"/>
  <c r="AH677" i="2"/>
  <c r="AH678" i="2"/>
  <c r="AH679" i="2"/>
  <c r="AH680" i="2"/>
  <c r="AH681" i="2"/>
  <c r="AH682" i="2"/>
  <c r="AH683" i="2"/>
  <c r="AH684" i="2"/>
  <c r="AH685" i="2"/>
  <c r="AH686" i="2"/>
  <c r="AH687" i="2"/>
  <c r="AH688" i="2"/>
  <c r="AH689" i="2"/>
  <c r="AH690" i="2"/>
  <c r="AH691" i="2"/>
  <c r="AH692" i="2"/>
  <c r="AH693" i="2"/>
  <c r="AH694" i="2"/>
  <c r="AH695" i="2"/>
  <c r="AH696" i="2"/>
  <c r="AH697" i="2"/>
  <c r="AH698" i="2"/>
  <c r="AH699" i="2"/>
  <c r="AH700" i="2"/>
  <c r="AH701" i="2"/>
  <c r="AH702" i="2"/>
  <c r="AH703" i="2"/>
  <c r="AH704" i="2"/>
  <c r="AH705" i="2"/>
  <c r="AH706" i="2"/>
  <c r="AH707" i="2"/>
  <c r="AH708" i="2"/>
  <c r="AH709" i="2"/>
  <c r="AH710" i="2"/>
  <c r="AH711" i="2"/>
  <c r="AH712" i="2"/>
  <c r="AH713" i="2"/>
  <c r="AH714" i="2"/>
  <c r="AH715" i="2"/>
  <c r="AH716" i="2"/>
  <c r="AH717" i="2"/>
  <c r="AH718" i="2"/>
  <c r="AH719" i="2"/>
  <c r="AH720" i="2"/>
  <c r="AH721" i="2"/>
  <c r="AH722" i="2"/>
  <c r="AH723" i="2"/>
  <c r="AH724" i="2"/>
  <c r="AH725" i="2"/>
  <c r="AH726" i="2"/>
  <c r="AH727" i="2"/>
  <c r="AH728" i="2"/>
  <c r="AH729" i="2"/>
  <c r="AH730" i="2"/>
  <c r="AH731" i="2"/>
  <c r="AH732" i="2"/>
  <c r="AH733" i="2"/>
  <c r="AH734" i="2"/>
  <c r="AH735" i="2"/>
  <c r="AH736" i="2"/>
  <c r="AH737" i="2"/>
  <c r="AH738" i="2"/>
  <c r="AH739" i="2"/>
  <c r="AH740" i="2"/>
  <c r="AH741" i="2"/>
  <c r="AH742" i="2"/>
  <c r="AH743" i="2"/>
  <c r="AH744" i="2"/>
  <c r="AH745" i="2"/>
  <c r="AH746" i="2"/>
  <c r="AH747" i="2"/>
  <c r="AH748" i="2"/>
  <c r="AH749" i="2"/>
  <c r="AH750" i="2"/>
  <c r="AH751" i="2"/>
  <c r="AH752" i="2"/>
  <c r="AH753" i="2"/>
  <c r="AH754" i="2"/>
  <c r="AH755" i="2"/>
  <c r="AH756" i="2"/>
  <c r="AH757" i="2"/>
  <c r="AH758" i="2"/>
  <c r="AH759" i="2"/>
  <c r="AH760" i="2"/>
  <c r="AH761" i="2"/>
  <c r="AH762" i="2"/>
  <c r="AH763" i="2"/>
  <c r="AH764" i="2"/>
  <c r="AH765" i="2"/>
  <c r="AH766" i="2"/>
  <c r="AH767" i="2"/>
  <c r="AH768" i="2"/>
  <c r="AH769" i="2"/>
  <c r="AH770" i="2"/>
  <c r="AH771" i="2"/>
  <c r="AH772" i="2"/>
  <c r="AH773" i="2"/>
  <c r="AH774" i="2"/>
  <c r="AH775" i="2"/>
  <c r="AH776" i="2"/>
  <c r="AH777" i="2"/>
  <c r="AH778" i="2"/>
  <c r="AH779" i="2"/>
  <c r="AH780" i="2"/>
  <c r="AH781" i="2"/>
  <c r="AH782" i="2"/>
  <c r="AH783" i="2"/>
  <c r="AH784" i="2"/>
  <c r="AH785" i="2"/>
  <c r="AH786" i="2"/>
  <c r="AH787" i="2"/>
  <c r="AH788" i="2"/>
  <c r="AH789" i="2"/>
  <c r="AH790" i="2"/>
  <c r="AH791" i="2"/>
  <c r="AH792" i="2"/>
  <c r="AH793" i="2"/>
  <c r="AH794" i="2"/>
  <c r="AH795" i="2"/>
  <c r="AH796" i="2"/>
  <c r="AH797" i="2"/>
  <c r="AH798" i="2"/>
  <c r="AH799" i="2"/>
  <c r="AH800" i="2"/>
  <c r="AH801" i="2"/>
  <c r="AH802" i="2"/>
  <c r="AH803" i="2"/>
  <c r="AH804" i="2"/>
  <c r="AH805" i="2"/>
  <c r="AH806" i="2"/>
  <c r="AH807" i="2"/>
  <c r="AH808" i="2"/>
  <c r="AH809" i="2"/>
  <c r="AH810" i="2"/>
  <c r="AH811" i="2"/>
  <c r="AH812" i="2"/>
  <c r="AH813" i="2"/>
  <c r="AH814" i="2"/>
  <c r="AH815" i="2"/>
  <c r="AH816" i="2"/>
  <c r="AH817" i="2"/>
  <c r="AH818" i="2"/>
  <c r="AH819" i="2"/>
  <c r="AH820" i="2"/>
  <c r="AH821" i="2"/>
  <c r="AH822" i="2"/>
  <c r="AH823" i="2"/>
  <c r="AH824" i="2"/>
  <c r="AH825" i="2"/>
  <c r="AH826" i="2"/>
  <c r="AH827" i="2"/>
  <c r="AH828" i="2"/>
  <c r="AH829" i="2"/>
  <c r="AH830" i="2"/>
  <c r="AH831" i="2"/>
  <c r="AH832" i="2"/>
  <c r="AH833" i="2"/>
  <c r="AH834" i="2"/>
  <c r="AH835" i="2"/>
  <c r="AH836" i="2"/>
  <c r="AH837" i="2"/>
  <c r="AH838" i="2"/>
  <c r="AH839" i="2"/>
  <c r="AH840" i="2"/>
  <c r="AH841" i="2"/>
  <c r="AH842" i="2"/>
  <c r="AH843" i="2"/>
  <c r="AH844" i="2"/>
  <c r="AH845" i="2"/>
  <c r="AH846" i="2"/>
  <c r="AH847" i="2"/>
  <c r="AH848" i="2"/>
  <c r="AH849" i="2"/>
  <c r="AH850" i="2"/>
  <c r="AH851" i="2"/>
  <c r="AH852" i="2"/>
  <c r="AH853" i="2"/>
  <c r="AH854" i="2"/>
  <c r="AH855" i="2"/>
  <c r="AH856" i="2"/>
  <c r="AH857" i="2"/>
  <c r="AH858" i="2"/>
  <c r="AH859" i="2"/>
  <c r="AH860" i="2"/>
  <c r="AH861" i="2"/>
  <c r="AH862" i="2"/>
  <c r="AH863" i="2"/>
  <c r="AH864" i="2"/>
  <c r="AH865" i="2"/>
  <c r="AH866" i="2"/>
  <c r="AH867" i="2"/>
  <c r="AH868" i="2"/>
  <c r="AH869" i="2"/>
  <c r="AH870" i="2"/>
  <c r="AH871" i="2"/>
  <c r="AH872" i="2"/>
  <c r="AH873" i="2"/>
  <c r="AH874" i="2"/>
  <c r="AH875" i="2"/>
  <c r="AH876" i="2"/>
  <c r="AH877" i="2"/>
  <c r="AH878" i="2"/>
  <c r="AH879" i="2"/>
  <c r="AH880" i="2"/>
  <c r="AH881" i="2"/>
  <c r="AH882" i="2"/>
  <c r="AH883" i="2"/>
  <c r="AH884" i="2"/>
  <c r="AH885" i="2"/>
  <c r="AH886" i="2"/>
  <c r="AH887" i="2"/>
  <c r="AH888" i="2"/>
  <c r="AH889" i="2"/>
  <c r="AH890" i="2"/>
  <c r="AH891" i="2"/>
  <c r="AH892" i="2"/>
  <c r="AH893" i="2"/>
  <c r="AH894" i="2"/>
  <c r="AH895" i="2"/>
  <c r="AH896" i="2"/>
  <c r="AH897" i="2"/>
  <c r="AH898" i="2"/>
  <c r="AH899" i="2"/>
  <c r="AH900" i="2"/>
  <c r="AH901" i="2"/>
  <c r="AH902" i="2"/>
  <c r="AH903" i="2"/>
  <c r="AH904" i="2"/>
  <c r="AH905" i="2"/>
  <c r="AH906" i="2"/>
  <c r="AH907" i="2"/>
  <c r="AH908" i="2"/>
  <c r="AH909" i="2"/>
  <c r="AH910" i="2"/>
  <c r="AH911" i="2"/>
  <c r="AH912" i="2"/>
  <c r="AH913" i="2"/>
  <c r="AH914" i="2"/>
  <c r="AH915" i="2"/>
  <c r="AH916" i="2"/>
  <c r="AH917" i="2"/>
  <c r="AH918" i="2"/>
  <c r="AH919" i="2"/>
  <c r="AH920" i="2"/>
  <c r="AH921" i="2"/>
  <c r="AH922" i="2"/>
  <c r="AH923" i="2"/>
  <c r="AH924" i="2"/>
  <c r="AH925" i="2"/>
  <c r="AH926" i="2"/>
  <c r="AH927" i="2"/>
  <c r="AH928" i="2"/>
  <c r="AH929" i="2"/>
  <c r="AH930" i="2"/>
  <c r="AH931" i="2"/>
  <c r="AH932" i="2"/>
  <c r="AH933" i="2"/>
  <c r="AH934" i="2"/>
  <c r="AH935" i="2"/>
  <c r="AH936" i="2"/>
  <c r="AH937" i="2"/>
  <c r="AH938" i="2"/>
  <c r="AH939" i="2"/>
  <c r="AH940" i="2"/>
  <c r="AH941" i="2"/>
  <c r="AH942" i="2"/>
  <c r="AH943" i="2"/>
  <c r="AH944" i="2"/>
  <c r="AH945" i="2"/>
  <c r="AH946" i="2"/>
  <c r="AH947" i="2"/>
  <c r="AH948" i="2"/>
  <c r="AH949" i="2"/>
  <c r="AH950" i="2"/>
  <c r="AH951" i="2"/>
  <c r="AH952" i="2"/>
  <c r="AH953" i="2"/>
  <c r="AH954" i="2"/>
  <c r="AH955" i="2"/>
  <c r="AH956" i="2"/>
  <c r="AH957" i="2"/>
  <c r="AH958" i="2"/>
  <c r="AH959" i="2"/>
  <c r="AH960" i="2"/>
  <c r="AH961" i="2"/>
  <c r="AH962" i="2"/>
  <c r="AH963" i="2"/>
  <c r="AH964" i="2"/>
  <c r="AH965" i="2"/>
  <c r="AH966" i="2"/>
  <c r="AH967" i="2"/>
  <c r="AH968" i="2"/>
  <c r="AH969" i="2"/>
  <c r="AH970" i="2"/>
  <c r="AH971" i="2"/>
  <c r="AH972" i="2"/>
  <c r="AH973" i="2"/>
  <c r="AH974" i="2"/>
  <c r="AH975" i="2"/>
  <c r="AH976" i="2"/>
  <c r="AH977" i="2"/>
  <c r="AH978" i="2"/>
  <c r="AH979" i="2"/>
  <c r="AH980" i="2"/>
  <c r="AH981" i="2"/>
  <c r="AH982" i="2"/>
  <c r="AH983" i="2"/>
  <c r="AH984" i="2"/>
  <c r="AH985" i="2"/>
  <c r="AH986" i="2"/>
  <c r="AH987" i="2"/>
  <c r="AH988" i="2"/>
  <c r="AH989" i="2"/>
  <c r="AH990" i="2"/>
  <c r="AH991" i="2"/>
  <c r="AH992" i="2"/>
  <c r="AH993" i="2"/>
  <c r="AH994" i="2"/>
  <c r="AH995" i="2"/>
  <c r="AH996" i="2"/>
  <c r="AH997" i="2"/>
  <c r="AH998" i="2"/>
  <c r="AH999" i="2"/>
  <c r="AH1000" i="2"/>
  <c r="AH1001" i="2"/>
  <c r="AG2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273" i="2"/>
  <c r="AG274" i="2"/>
  <c r="AG275" i="2"/>
  <c r="AG276" i="2"/>
  <c r="AG277" i="2"/>
  <c r="AG278" i="2"/>
  <c r="AG279" i="2"/>
  <c r="AG280" i="2"/>
  <c r="AG281" i="2"/>
  <c r="AG282" i="2"/>
  <c r="AG283" i="2"/>
  <c r="AG284" i="2"/>
  <c r="AG285" i="2"/>
  <c r="AG286" i="2"/>
  <c r="AG287" i="2"/>
  <c r="AG288" i="2"/>
  <c r="AG289" i="2"/>
  <c r="AG290" i="2"/>
  <c r="AG291" i="2"/>
  <c r="AG292" i="2"/>
  <c r="AG293" i="2"/>
  <c r="AG294" i="2"/>
  <c r="AG295" i="2"/>
  <c r="AG296" i="2"/>
  <c r="AG297" i="2"/>
  <c r="AG298" i="2"/>
  <c r="AG299" i="2"/>
  <c r="AG300" i="2"/>
  <c r="AG301" i="2"/>
  <c r="AG302" i="2"/>
  <c r="AG303" i="2"/>
  <c r="AG304" i="2"/>
  <c r="AG305" i="2"/>
  <c r="AG306" i="2"/>
  <c r="AG307" i="2"/>
  <c r="AG308" i="2"/>
  <c r="AG309" i="2"/>
  <c r="AG310" i="2"/>
  <c r="AG311" i="2"/>
  <c r="AG312" i="2"/>
  <c r="AG313" i="2"/>
  <c r="AG314" i="2"/>
  <c r="AG315" i="2"/>
  <c r="AG316" i="2"/>
  <c r="AG317" i="2"/>
  <c r="AG318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37" i="2"/>
  <c r="AG338" i="2"/>
  <c r="AG339" i="2"/>
  <c r="AG340" i="2"/>
  <c r="AG341" i="2"/>
  <c r="AG342" i="2"/>
  <c r="AG343" i="2"/>
  <c r="AG344" i="2"/>
  <c r="AG345" i="2"/>
  <c r="AG346" i="2"/>
  <c r="AG347" i="2"/>
  <c r="AG348" i="2"/>
  <c r="AG349" i="2"/>
  <c r="AG350" i="2"/>
  <c r="AG351" i="2"/>
  <c r="AG352" i="2"/>
  <c r="AG353" i="2"/>
  <c r="AG354" i="2"/>
  <c r="AG355" i="2"/>
  <c r="AG356" i="2"/>
  <c r="AG357" i="2"/>
  <c r="AG358" i="2"/>
  <c r="AG359" i="2"/>
  <c r="AG360" i="2"/>
  <c r="AG361" i="2"/>
  <c r="AG362" i="2"/>
  <c r="AG363" i="2"/>
  <c r="AG364" i="2"/>
  <c r="AG365" i="2"/>
  <c r="AG366" i="2"/>
  <c r="AG367" i="2"/>
  <c r="AG368" i="2"/>
  <c r="AG369" i="2"/>
  <c r="AG370" i="2"/>
  <c r="AG371" i="2"/>
  <c r="AG372" i="2"/>
  <c r="AG373" i="2"/>
  <c r="AG374" i="2"/>
  <c r="AG375" i="2"/>
  <c r="AG376" i="2"/>
  <c r="AG377" i="2"/>
  <c r="AG378" i="2"/>
  <c r="AG379" i="2"/>
  <c r="AG380" i="2"/>
  <c r="AG381" i="2"/>
  <c r="AG382" i="2"/>
  <c r="AG383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396" i="2"/>
  <c r="AG397" i="2"/>
  <c r="AG398" i="2"/>
  <c r="AG399" i="2"/>
  <c r="AG400" i="2"/>
  <c r="AG401" i="2"/>
  <c r="AG402" i="2"/>
  <c r="AG403" i="2"/>
  <c r="AG404" i="2"/>
  <c r="AG405" i="2"/>
  <c r="AG406" i="2"/>
  <c r="AG407" i="2"/>
  <c r="AG408" i="2"/>
  <c r="AG409" i="2"/>
  <c r="AG410" i="2"/>
  <c r="AG411" i="2"/>
  <c r="AG412" i="2"/>
  <c r="AG413" i="2"/>
  <c r="AG414" i="2"/>
  <c r="AG415" i="2"/>
  <c r="AG416" i="2"/>
  <c r="AG417" i="2"/>
  <c r="AG418" i="2"/>
  <c r="AG419" i="2"/>
  <c r="AG420" i="2"/>
  <c r="AG421" i="2"/>
  <c r="AG422" i="2"/>
  <c r="AG423" i="2"/>
  <c r="AG424" i="2"/>
  <c r="AG425" i="2"/>
  <c r="AG426" i="2"/>
  <c r="AG427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56" i="2"/>
  <c r="AG457" i="2"/>
  <c r="AG458" i="2"/>
  <c r="AG459" i="2"/>
  <c r="AG460" i="2"/>
  <c r="AG461" i="2"/>
  <c r="AG462" i="2"/>
  <c r="AG463" i="2"/>
  <c r="AG464" i="2"/>
  <c r="AG465" i="2"/>
  <c r="AG466" i="2"/>
  <c r="AG467" i="2"/>
  <c r="AG468" i="2"/>
  <c r="AG469" i="2"/>
  <c r="AG470" i="2"/>
  <c r="AG471" i="2"/>
  <c r="AG472" i="2"/>
  <c r="AG473" i="2"/>
  <c r="AG474" i="2"/>
  <c r="AG475" i="2"/>
  <c r="AG476" i="2"/>
  <c r="AG477" i="2"/>
  <c r="AG478" i="2"/>
  <c r="AG479" i="2"/>
  <c r="AG480" i="2"/>
  <c r="AG481" i="2"/>
  <c r="AG482" i="2"/>
  <c r="AG483" i="2"/>
  <c r="AG484" i="2"/>
  <c r="AG485" i="2"/>
  <c r="AG486" i="2"/>
  <c r="AG487" i="2"/>
  <c r="AG488" i="2"/>
  <c r="AG489" i="2"/>
  <c r="AG490" i="2"/>
  <c r="AG491" i="2"/>
  <c r="AG492" i="2"/>
  <c r="AG493" i="2"/>
  <c r="AG494" i="2"/>
  <c r="AG495" i="2"/>
  <c r="AG496" i="2"/>
  <c r="AG497" i="2"/>
  <c r="AG498" i="2"/>
  <c r="AG499" i="2"/>
  <c r="AG500" i="2"/>
  <c r="AG501" i="2"/>
  <c r="AG502" i="2"/>
  <c r="AG503" i="2"/>
  <c r="AG504" i="2"/>
  <c r="AG505" i="2"/>
  <c r="AG506" i="2"/>
  <c r="AG507" i="2"/>
  <c r="AG508" i="2"/>
  <c r="AG509" i="2"/>
  <c r="AG510" i="2"/>
  <c r="AG511" i="2"/>
  <c r="AG512" i="2"/>
  <c r="AG513" i="2"/>
  <c r="AG514" i="2"/>
  <c r="AG515" i="2"/>
  <c r="AG516" i="2"/>
  <c r="AG517" i="2"/>
  <c r="AG518" i="2"/>
  <c r="AG519" i="2"/>
  <c r="AG520" i="2"/>
  <c r="AG521" i="2"/>
  <c r="AG522" i="2"/>
  <c r="AG523" i="2"/>
  <c r="AG524" i="2"/>
  <c r="AG525" i="2"/>
  <c r="AG526" i="2"/>
  <c r="AG527" i="2"/>
  <c r="AG528" i="2"/>
  <c r="AG529" i="2"/>
  <c r="AG530" i="2"/>
  <c r="AG531" i="2"/>
  <c r="AG532" i="2"/>
  <c r="AG533" i="2"/>
  <c r="AG534" i="2"/>
  <c r="AG535" i="2"/>
  <c r="AG536" i="2"/>
  <c r="AG537" i="2"/>
  <c r="AG538" i="2"/>
  <c r="AG539" i="2"/>
  <c r="AG540" i="2"/>
  <c r="AG541" i="2"/>
  <c r="AG542" i="2"/>
  <c r="AG543" i="2"/>
  <c r="AG544" i="2"/>
  <c r="AG545" i="2"/>
  <c r="AG546" i="2"/>
  <c r="AG547" i="2"/>
  <c r="AG548" i="2"/>
  <c r="AG549" i="2"/>
  <c r="AG550" i="2"/>
  <c r="AG551" i="2"/>
  <c r="AG552" i="2"/>
  <c r="AG553" i="2"/>
  <c r="AG554" i="2"/>
  <c r="AG555" i="2"/>
  <c r="AG556" i="2"/>
  <c r="AG557" i="2"/>
  <c r="AG558" i="2"/>
  <c r="AG559" i="2"/>
  <c r="AG560" i="2"/>
  <c r="AG561" i="2"/>
  <c r="AG562" i="2"/>
  <c r="AG563" i="2"/>
  <c r="AG564" i="2"/>
  <c r="AG565" i="2"/>
  <c r="AG566" i="2"/>
  <c r="AG567" i="2"/>
  <c r="AG568" i="2"/>
  <c r="AG569" i="2"/>
  <c r="AG570" i="2"/>
  <c r="AG571" i="2"/>
  <c r="AG572" i="2"/>
  <c r="AG573" i="2"/>
  <c r="AG574" i="2"/>
  <c r="AG575" i="2"/>
  <c r="AG576" i="2"/>
  <c r="AG577" i="2"/>
  <c r="AG578" i="2"/>
  <c r="AG579" i="2"/>
  <c r="AG580" i="2"/>
  <c r="AG581" i="2"/>
  <c r="AG582" i="2"/>
  <c r="AG583" i="2"/>
  <c r="AG584" i="2"/>
  <c r="AG585" i="2"/>
  <c r="AG586" i="2"/>
  <c r="AG587" i="2"/>
  <c r="AG588" i="2"/>
  <c r="AG589" i="2"/>
  <c r="AG590" i="2"/>
  <c r="AG591" i="2"/>
  <c r="AG592" i="2"/>
  <c r="AG593" i="2"/>
  <c r="AG594" i="2"/>
  <c r="AG595" i="2"/>
  <c r="AG596" i="2"/>
  <c r="AG597" i="2"/>
  <c r="AG598" i="2"/>
  <c r="AG599" i="2"/>
  <c r="AG600" i="2"/>
  <c r="AG601" i="2"/>
  <c r="AG602" i="2"/>
  <c r="AG603" i="2"/>
  <c r="AG604" i="2"/>
  <c r="AG605" i="2"/>
  <c r="AG606" i="2"/>
  <c r="AG607" i="2"/>
  <c r="AG608" i="2"/>
  <c r="AG609" i="2"/>
  <c r="AG610" i="2"/>
  <c r="AG611" i="2"/>
  <c r="AG612" i="2"/>
  <c r="AG613" i="2"/>
  <c r="AG614" i="2"/>
  <c r="AG615" i="2"/>
  <c r="AG616" i="2"/>
  <c r="AG617" i="2"/>
  <c r="AG618" i="2"/>
  <c r="AG619" i="2"/>
  <c r="AG620" i="2"/>
  <c r="AG621" i="2"/>
  <c r="AG622" i="2"/>
  <c r="AG623" i="2"/>
  <c r="AG624" i="2"/>
  <c r="AG625" i="2"/>
  <c r="AG626" i="2"/>
  <c r="AG627" i="2"/>
  <c r="AG628" i="2"/>
  <c r="AG629" i="2"/>
  <c r="AG630" i="2"/>
  <c r="AG631" i="2"/>
  <c r="AG632" i="2"/>
  <c r="AG633" i="2"/>
  <c r="AG634" i="2"/>
  <c r="AG635" i="2"/>
  <c r="AG636" i="2"/>
  <c r="AG637" i="2"/>
  <c r="AG638" i="2"/>
  <c r="AG639" i="2"/>
  <c r="AG640" i="2"/>
  <c r="AG641" i="2"/>
  <c r="AG642" i="2"/>
  <c r="AG643" i="2"/>
  <c r="AG644" i="2"/>
  <c r="AG645" i="2"/>
  <c r="AG646" i="2"/>
  <c r="AG647" i="2"/>
  <c r="AG648" i="2"/>
  <c r="AG649" i="2"/>
  <c r="AG650" i="2"/>
  <c r="AG651" i="2"/>
  <c r="AG652" i="2"/>
  <c r="AG653" i="2"/>
  <c r="AG654" i="2"/>
  <c r="AG655" i="2"/>
  <c r="AG656" i="2"/>
  <c r="AG657" i="2"/>
  <c r="AG658" i="2"/>
  <c r="AG659" i="2"/>
  <c r="AG660" i="2"/>
  <c r="AG661" i="2"/>
  <c r="AG662" i="2"/>
  <c r="AG663" i="2"/>
  <c r="AG664" i="2"/>
  <c r="AG665" i="2"/>
  <c r="AG666" i="2"/>
  <c r="AG667" i="2"/>
  <c r="AG668" i="2"/>
  <c r="AG669" i="2"/>
  <c r="AG670" i="2"/>
  <c r="AG671" i="2"/>
  <c r="AG672" i="2"/>
  <c r="AG673" i="2"/>
  <c r="AG674" i="2"/>
  <c r="AG675" i="2"/>
  <c r="AG676" i="2"/>
  <c r="AG677" i="2"/>
  <c r="AG678" i="2"/>
  <c r="AG679" i="2"/>
  <c r="AG680" i="2"/>
  <c r="AG681" i="2"/>
  <c r="AG682" i="2"/>
  <c r="AG683" i="2"/>
  <c r="AG684" i="2"/>
  <c r="AG685" i="2"/>
  <c r="AG686" i="2"/>
  <c r="AG687" i="2"/>
  <c r="AG688" i="2"/>
  <c r="AG689" i="2"/>
  <c r="AG690" i="2"/>
  <c r="AG691" i="2"/>
  <c r="AG692" i="2"/>
  <c r="AG693" i="2"/>
  <c r="AG694" i="2"/>
  <c r="AG695" i="2"/>
  <c r="AG696" i="2"/>
  <c r="AG697" i="2"/>
  <c r="AG698" i="2"/>
  <c r="AG699" i="2"/>
  <c r="AG700" i="2"/>
  <c r="AG701" i="2"/>
  <c r="AG702" i="2"/>
  <c r="AG703" i="2"/>
  <c r="AG704" i="2"/>
  <c r="AG705" i="2"/>
  <c r="AG706" i="2"/>
  <c r="AG707" i="2"/>
  <c r="AG708" i="2"/>
  <c r="AG709" i="2"/>
  <c r="AG710" i="2"/>
  <c r="AG711" i="2"/>
  <c r="AG712" i="2"/>
  <c r="AG713" i="2"/>
  <c r="AG714" i="2"/>
  <c r="AG715" i="2"/>
  <c r="AG716" i="2"/>
  <c r="AG717" i="2"/>
  <c r="AG718" i="2"/>
  <c r="AG719" i="2"/>
  <c r="AG720" i="2"/>
  <c r="AG721" i="2"/>
  <c r="AG722" i="2"/>
  <c r="AG723" i="2"/>
  <c r="AG724" i="2"/>
  <c r="AG725" i="2"/>
  <c r="AG726" i="2"/>
  <c r="AG727" i="2"/>
  <c r="AG728" i="2"/>
  <c r="AG729" i="2"/>
  <c r="AG730" i="2"/>
  <c r="AG731" i="2"/>
  <c r="AG732" i="2"/>
  <c r="AG733" i="2"/>
  <c r="AG734" i="2"/>
  <c r="AG735" i="2"/>
  <c r="AG736" i="2"/>
  <c r="AG737" i="2"/>
  <c r="AG738" i="2"/>
  <c r="AG739" i="2"/>
  <c r="AG740" i="2"/>
  <c r="AG741" i="2"/>
  <c r="AG742" i="2"/>
  <c r="AG743" i="2"/>
  <c r="AG744" i="2"/>
  <c r="AG745" i="2"/>
  <c r="AG746" i="2"/>
  <c r="AG747" i="2"/>
  <c r="AG748" i="2"/>
  <c r="AG749" i="2"/>
  <c r="AG750" i="2"/>
  <c r="AG751" i="2"/>
  <c r="AG752" i="2"/>
  <c r="AG753" i="2"/>
  <c r="AG754" i="2"/>
  <c r="AG755" i="2"/>
  <c r="AG756" i="2"/>
  <c r="AG757" i="2"/>
  <c r="AG758" i="2"/>
  <c r="AG759" i="2"/>
  <c r="AG760" i="2"/>
  <c r="AG761" i="2"/>
  <c r="AG762" i="2"/>
  <c r="AG763" i="2"/>
  <c r="AG764" i="2"/>
  <c r="AG765" i="2"/>
  <c r="AG766" i="2"/>
  <c r="AG767" i="2"/>
  <c r="AG768" i="2"/>
  <c r="AG769" i="2"/>
  <c r="AG770" i="2"/>
  <c r="AG771" i="2"/>
  <c r="AG772" i="2"/>
  <c r="AG773" i="2"/>
  <c r="AG774" i="2"/>
  <c r="AG775" i="2"/>
  <c r="AG776" i="2"/>
  <c r="AG777" i="2"/>
  <c r="AG778" i="2"/>
  <c r="AG779" i="2"/>
  <c r="AG780" i="2"/>
  <c r="AG781" i="2"/>
  <c r="AG782" i="2"/>
  <c r="AG783" i="2"/>
  <c r="AG784" i="2"/>
  <c r="AG785" i="2"/>
  <c r="AG786" i="2"/>
  <c r="AG787" i="2"/>
  <c r="AG788" i="2"/>
  <c r="AG789" i="2"/>
  <c r="AG790" i="2"/>
  <c r="AG791" i="2"/>
  <c r="AG792" i="2"/>
  <c r="AG793" i="2"/>
  <c r="AG794" i="2"/>
  <c r="AG795" i="2"/>
  <c r="AG796" i="2"/>
  <c r="AG797" i="2"/>
  <c r="AG798" i="2"/>
  <c r="AG799" i="2"/>
  <c r="AG800" i="2"/>
  <c r="AG801" i="2"/>
  <c r="AG802" i="2"/>
  <c r="AG803" i="2"/>
  <c r="AG804" i="2"/>
  <c r="AG805" i="2"/>
  <c r="AG806" i="2"/>
  <c r="AG807" i="2"/>
  <c r="AG808" i="2"/>
  <c r="AG809" i="2"/>
  <c r="AG810" i="2"/>
  <c r="AG811" i="2"/>
  <c r="AG812" i="2"/>
  <c r="AG813" i="2"/>
  <c r="AG814" i="2"/>
  <c r="AG815" i="2"/>
  <c r="AG816" i="2"/>
  <c r="AG817" i="2"/>
  <c r="AG818" i="2"/>
  <c r="AG819" i="2"/>
  <c r="AG820" i="2"/>
  <c r="AG821" i="2"/>
  <c r="AG822" i="2"/>
  <c r="AG823" i="2"/>
  <c r="AG824" i="2"/>
  <c r="AG825" i="2"/>
  <c r="AG826" i="2"/>
  <c r="AG827" i="2"/>
  <c r="AG828" i="2"/>
  <c r="AG829" i="2"/>
  <c r="AG830" i="2"/>
  <c r="AG831" i="2"/>
  <c r="AG832" i="2"/>
  <c r="AG833" i="2"/>
  <c r="AG834" i="2"/>
  <c r="AG835" i="2"/>
  <c r="AG836" i="2"/>
  <c r="AG837" i="2"/>
  <c r="AG838" i="2"/>
  <c r="AG839" i="2"/>
  <c r="AG840" i="2"/>
  <c r="AG841" i="2"/>
  <c r="AG842" i="2"/>
  <c r="AG843" i="2"/>
  <c r="AG844" i="2"/>
  <c r="AG845" i="2"/>
  <c r="AG846" i="2"/>
  <c r="AG847" i="2"/>
  <c r="AG848" i="2"/>
  <c r="AG849" i="2"/>
  <c r="AG850" i="2"/>
  <c r="AG851" i="2"/>
  <c r="AG852" i="2"/>
  <c r="AG853" i="2"/>
  <c r="AG854" i="2"/>
  <c r="AG855" i="2"/>
  <c r="AG856" i="2"/>
  <c r="AG857" i="2"/>
  <c r="AG858" i="2"/>
  <c r="AG859" i="2"/>
  <c r="AG860" i="2"/>
  <c r="AG861" i="2"/>
  <c r="AG862" i="2"/>
  <c r="AG863" i="2"/>
  <c r="AG864" i="2"/>
  <c r="AG865" i="2"/>
  <c r="AG866" i="2"/>
  <c r="AG867" i="2"/>
  <c r="AG868" i="2"/>
  <c r="AG869" i="2"/>
  <c r="AG870" i="2"/>
  <c r="AG871" i="2"/>
  <c r="AG872" i="2"/>
  <c r="AG873" i="2"/>
  <c r="AG874" i="2"/>
  <c r="AG875" i="2"/>
  <c r="AG876" i="2"/>
  <c r="AG877" i="2"/>
  <c r="AG878" i="2"/>
  <c r="AG879" i="2"/>
  <c r="AG880" i="2"/>
  <c r="AG881" i="2"/>
  <c r="AG882" i="2"/>
  <c r="AG883" i="2"/>
  <c r="AG884" i="2"/>
  <c r="AG885" i="2"/>
  <c r="AG886" i="2"/>
  <c r="AG887" i="2"/>
  <c r="AG888" i="2"/>
  <c r="AG889" i="2"/>
  <c r="AG890" i="2"/>
  <c r="AG891" i="2"/>
  <c r="AG892" i="2"/>
  <c r="AG893" i="2"/>
  <c r="AG894" i="2"/>
  <c r="AG895" i="2"/>
  <c r="AG896" i="2"/>
  <c r="AG897" i="2"/>
  <c r="AG898" i="2"/>
  <c r="AG899" i="2"/>
  <c r="AG900" i="2"/>
  <c r="AG901" i="2"/>
  <c r="AG902" i="2"/>
  <c r="AG903" i="2"/>
  <c r="AG904" i="2"/>
  <c r="AG905" i="2"/>
  <c r="AG906" i="2"/>
  <c r="AG907" i="2"/>
  <c r="AG908" i="2"/>
  <c r="AG909" i="2"/>
  <c r="AG910" i="2"/>
  <c r="AG911" i="2"/>
  <c r="AG912" i="2"/>
  <c r="AG913" i="2"/>
  <c r="AG914" i="2"/>
  <c r="AG915" i="2"/>
  <c r="AG916" i="2"/>
  <c r="AG917" i="2"/>
  <c r="AG918" i="2"/>
  <c r="AG919" i="2"/>
  <c r="AG920" i="2"/>
  <c r="AG921" i="2"/>
  <c r="AG922" i="2"/>
  <c r="AG923" i="2"/>
  <c r="AG924" i="2"/>
  <c r="AG925" i="2"/>
  <c r="AG926" i="2"/>
  <c r="AG927" i="2"/>
  <c r="AG928" i="2"/>
  <c r="AG929" i="2"/>
  <c r="AG930" i="2"/>
  <c r="AG931" i="2"/>
  <c r="AG932" i="2"/>
  <c r="AG933" i="2"/>
  <c r="AG934" i="2"/>
  <c r="AG935" i="2"/>
  <c r="AG936" i="2"/>
  <c r="AG937" i="2"/>
  <c r="AG938" i="2"/>
  <c r="AG939" i="2"/>
  <c r="AG940" i="2"/>
  <c r="AG941" i="2"/>
  <c r="AG942" i="2"/>
  <c r="AG943" i="2"/>
  <c r="AG944" i="2"/>
  <c r="AG945" i="2"/>
  <c r="AG946" i="2"/>
  <c r="AG947" i="2"/>
  <c r="AG948" i="2"/>
  <c r="AG949" i="2"/>
  <c r="AG950" i="2"/>
  <c r="AG951" i="2"/>
  <c r="AG952" i="2"/>
  <c r="AG953" i="2"/>
  <c r="AG954" i="2"/>
  <c r="AG955" i="2"/>
  <c r="AG956" i="2"/>
  <c r="AG957" i="2"/>
  <c r="AG958" i="2"/>
  <c r="AG959" i="2"/>
  <c r="AG960" i="2"/>
  <c r="AG961" i="2"/>
  <c r="AG962" i="2"/>
  <c r="AG963" i="2"/>
  <c r="AG964" i="2"/>
  <c r="AG965" i="2"/>
  <c r="AG966" i="2"/>
  <c r="AG967" i="2"/>
  <c r="AG968" i="2"/>
  <c r="AG969" i="2"/>
  <c r="AG970" i="2"/>
  <c r="AG971" i="2"/>
  <c r="AG972" i="2"/>
  <c r="AG973" i="2"/>
  <c r="AG974" i="2"/>
  <c r="AG975" i="2"/>
  <c r="AG976" i="2"/>
  <c r="AG977" i="2"/>
  <c r="AG978" i="2"/>
  <c r="AG979" i="2"/>
  <c r="AG980" i="2"/>
  <c r="AG981" i="2"/>
  <c r="AG982" i="2"/>
  <c r="AG983" i="2"/>
  <c r="AG984" i="2"/>
  <c r="AG985" i="2"/>
  <c r="AG986" i="2"/>
  <c r="AG987" i="2"/>
  <c r="AG988" i="2"/>
  <c r="AG989" i="2"/>
  <c r="AG990" i="2"/>
  <c r="AG991" i="2"/>
  <c r="AG992" i="2"/>
  <c r="AG993" i="2"/>
  <c r="AG994" i="2"/>
  <c r="AG995" i="2"/>
  <c r="AG996" i="2"/>
  <c r="AG997" i="2"/>
  <c r="AG998" i="2"/>
  <c r="AG999" i="2"/>
  <c r="AG1000" i="2"/>
  <c r="AG1001" i="2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F520" i="2"/>
  <c r="AF521" i="2"/>
  <c r="AF522" i="2"/>
  <c r="AF523" i="2"/>
  <c r="AF524" i="2"/>
  <c r="AF525" i="2"/>
  <c r="AF526" i="2"/>
  <c r="AF527" i="2"/>
  <c r="AF528" i="2"/>
  <c r="AF529" i="2"/>
  <c r="AF530" i="2"/>
  <c r="AF531" i="2"/>
  <c r="AF532" i="2"/>
  <c r="AF533" i="2"/>
  <c r="AF534" i="2"/>
  <c r="AF535" i="2"/>
  <c r="AF536" i="2"/>
  <c r="AF537" i="2"/>
  <c r="AF538" i="2"/>
  <c r="AF539" i="2"/>
  <c r="AF540" i="2"/>
  <c r="AF541" i="2"/>
  <c r="AF542" i="2"/>
  <c r="AF543" i="2"/>
  <c r="AF544" i="2"/>
  <c r="AF545" i="2"/>
  <c r="AF546" i="2"/>
  <c r="AF547" i="2"/>
  <c r="AF548" i="2"/>
  <c r="AF549" i="2"/>
  <c r="AF550" i="2"/>
  <c r="AF551" i="2"/>
  <c r="AF552" i="2"/>
  <c r="AF553" i="2"/>
  <c r="AF554" i="2"/>
  <c r="AF555" i="2"/>
  <c r="AF556" i="2"/>
  <c r="AF557" i="2"/>
  <c r="AF558" i="2"/>
  <c r="AF559" i="2"/>
  <c r="AF560" i="2"/>
  <c r="AF561" i="2"/>
  <c r="AF562" i="2"/>
  <c r="AF563" i="2"/>
  <c r="AF564" i="2"/>
  <c r="AF565" i="2"/>
  <c r="AF566" i="2"/>
  <c r="AF567" i="2"/>
  <c r="AF568" i="2"/>
  <c r="AF569" i="2"/>
  <c r="AF570" i="2"/>
  <c r="AF571" i="2"/>
  <c r="AF572" i="2"/>
  <c r="AF573" i="2"/>
  <c r="AF574" i="2"/>
  <c r="AF575" i="2"/>
  <c r="AF576" i="2"/>
  <c r="AF577" i="2"/>
  <c r="AF578" i="2"/>
  <c r="AF579" i="2"/>
  <c r="AF580" i="2"/>
  <c r="AF581" i="2"/>
  <c r="AF582" i="2"/>
  <c r="AF583" i="2"/>
  <c r="AF584" i="2"/>
  <c r="AF585" i="2"/>
  <c r="AF586" i="2"/>
  <c r="AF587" i="2"/>
  <c r="AF588" i="2"/>
  <c r="AF589" i="2"/>
  <c r="AF590" i="2"/>
  <c r="AF591" i="2"/>
  <c r="AF592" i="2"/>
  <c r="AF593" i="2"/>
  <c r="AF594" i="2"/>
  <c r="AF595" i="2"/>
  <c r="AF596" i="2"/>
  <c r="AF597" i="2"/>
  <c r="AF598" i="2"/>
  <c r="AF599" i="2"/>
  <c r="AF600" i="2"/>
  <c r="AF601" i="2"/>
  <c r="AF602" i="2"/>
  <c r="AF603" i="2"/>
  <c r="AF604" i="2"/>
  <c r="AF605" i="2"/>
  <c r="AF606" i="2"/>
  <c r="AF607" i="2"/>
  <c r="AF608" i="2"/>
  <c r="AF609" i="2"/>
  <c r="AF610" i="2"/>
  <c r="AF611" i="2"/>
  <c r="AF612" i="2"/>
  <c r="AF613" i="2"/>
  <c r="AF614" i="2"/>
  <c r="AF615" i="2"/>
  <c r="AF616" i="2"/>
  <c r="AF617" i="2"/>
  <c r="AF618" i="2"/>
  <c r="AF619" i="2"/>
  <c r="AF620" i="2"/>
  <c r="AF621" i="2"/>
  <c r="AF622" i="2"/>
  <c r="AF623" i="2"/>
  <c r="AF624" i="2"/>
  <c r="AF625" i="2"/>
  <c r="AF626" i="2"/>
  <c r="AF627" i="2"/>
  <c r="AF628" i="2"/>
  <c r="AF629" i="2"/>
  <c r="AF630" i="2"/>
  <c r="AF631" i="2"/>
  <c r="AF632" i="2"/>
  <c r="AF633" i="2"/>
  <c r="AF634" i="2"/>
  <c r="AF635" i="2"/>
  <c r="AF636" i="2"/>
  <c r="AF637" i="2"/>
  <c r="AF638" i="2"/>
  <c r="AF639" i="2"/>
  <c r="AF640" i="2"/>
  <c r="AF641" i="2"/>
  <c r="AF642" i="2"/>
  <c r="AF643" i="2"/>
  <c r="AF644" i="2"/>
  <c r="AF645" i="2"/>
  <c r="AF646" i="2"/>
  <c r="AF647" i="2"/>
  <c r="AF648" i="2"/>
  <c r="AF649" i="2"/>
  <c r="AF650" i="2"/>
  <c r="AF651" i="2"/>
  <c r="AF652" i="2"/>
  <c r="AF653" i="2"/>
  <c r="AF654" i="2"/>
  <c r="AF655" i="2"/>
  <c r="AF656" i="2"/>
  <c r="AF657" i="2"/>
  <c r="AF658" i="2"/>
  <c r="AF659" i="2"/>
  <c r="AF660" i="2"/>
  <c r="AF661" i="2"/>
  <c r="AF662" i="2"/>
  <c r="AF663" i="2"/>
  <c r="AF664" i="2"/>
  <c r="AF665" i="2"/>
  <c r="AF666" i="2"/>
  <c r="AF667" i="2"/>
  <c r="AF668" i="2"/>
  <c r="AF669" i="2"/>
  <c r="AF670" i="2"/>
  <c r="AF671" i="2"/>
  <c r="AF672" i="2"/>
  <c r="AF673" i="2"/>
  <c r="AF674" i="2"/>
  <c r="AF675" i="2"/>
  <c r="AF676" i="2"/>
  <c r="AF677" i="2"/>
  <c r="AF678" i="2"/>
  <c r="AF679" i="2"/>
  <c r="AF680" i="2"/>
  <c r="AF681" i="2"/>
  <c r="AF682" i="2"/>
  <c r="AF683" i="2"/>
  <c r="AF684" i="2"/>
  <c r="AF685" i="2"/>
  <c r="AF686" i="2"/>
  <c r="AF687" i="2"/>
  <c r="AF688" i="2"/>
  <c r="AF689" i="2"/>
  <c r="AF690" i="2"/>
  <c r="AF691" i="2"/>
  <c r="AF692" i="2"/>
  <c r="AF693" i="2"/>
  <c r="AF694" i="2"/>
  <c r="AF695" i="2"/>
  <c r="AF696" i="2"/>
  <c r="AF697" i="2"/>
  <c r="AF698" i="2"/>
  <c r="AF699" i="2"/>
  <c r="AF700" i="2"/>
  <c r="AF701" i="2"/>
  <c r="AF702" i="2"/>
  <c r="AF703" i="2"/>
  <c r="AF704" i="2"/>
  <c r="AF705" i="2"/>
  <c r="AF706" i="2"/>
  <c r="AF707" i="2"/>
  <c r="AF708" i="2"/>
  <c r="AF709" i="2"/>
  <c r="AF710" i="2"/>
  <c r="AF711" i="2"/>
  <c r="AF712" i="2"/>
  <c r="AF713" i="2"/>
  <c r="AF714" i="2"/>
  <c r="AF715" i="2"/>
  <c r="AF716" i="2"/>
  <c r="AF717" i="2"/>
  <c r="AF718" i="2"/>
  <c r="AF719" i="2"/>
  <c r="AF720" i="2"/>
  <c r="AF721" i="2"/>
  <c r="AF722" i="2"/>
  <c r="AF723" i="2"/>
  <c r="AF724" i="2"/>
  <c r="AF725" i="2"/>
  <c r="AF726" i="2"/>
  <c r="AF727" i="2"/>
  <c r="AF728" i="2"/>
  <c r="AF729" i="2"/>
  <c r="AF730" i="2"/>
  <c r="AF731" i="2"/>
  <c r="AF732" i="2"/>
  <c r="AF733" i="2"/>
  <c r="AF734" i="2"/>
  <c r="AF735" i="2"/>
  <c r="AF736" i="2"/>
  <c r="AF737" i="2"/>
  <c r="AF738" i="2"/>
  <c r="AF739" i="2"/>
  <c r="AF740" i="2"/>
  <c r="AF741" i="2"/>
  <c r="AF742" i="2"/>
  <c r="AF743" i="2"/>
  <c r="AF744" i="2"/>
  <c r="AF745" i="2"/>
  <c r="AF746" i="2"/>
  <c r="AF747" i="2"/>
  <c r="AF748" i="2"/>
  <c r="AF749" i="2"/>
  <c r="AF750" i="2"/>
  <c r="AF751" i="2"/>
  <c r="AF752" i="2"/>
  <c r="AF753" i="2"/>
  <c r="AF754" i="2"/>
  <c r="AF755" i="2"/>
  <c r="AF756" i="2"/>
  <c r="AF757" i="2"/>
  <c r="AF758" i="2"/>
  <c r="AF759" i="2"/>
  <c r="AF760" i="2"/>
  <c r="AF761" i="2"/>
  <c r="AF762" i="2"/>
  <c r="AF763" i="2"/>
  <c r="AF764" i="2"/>
  <c r="AF765" i="2"/>
  <c r="AF766" i="2"/>
  <c r="AF767" i="2"/>
  <c r="AF768" i="2"/>
  <c r="AF769" i="2"/>
  <c r="AF770" i="2"/>
  <c r="AF771" i="2"/>
  <c r="AF772" i="2"/>
  <c r="AF773" i="2"/>
  <c r="AF774" i="2"/>
  <c r="AF775" i="2"/>
  <c r="AF776" i="2"/>
  <c r="AF777" i="2"/>
  <c r="AF778" i="2"/>
  <c r="AF779" i="2"/>
  <c r="AF780" i="2"/>
  <c r="AF781" i="2"/>
  <c r="AF782" i="2"/>
  <c r="AF783" i="2"/>
  <c r="AF784" i="2"/>
  <c r="AF785" i="2"/>
  <c r="AF786" i="2"/>
  <c r="AF787" i="2"/>
  <c r="AF788" i="2"/>
  <c r="AF789" i="2"/>
  <c r="AF790" i="2"/>
  <c r="AF791" i="2"/>
  <c r="AF792" i="2"/>
  <c r="AF793" i="2"/>
  <c r="AF794" i="2"/>
  <c r="AF795" i="2"/>
  <c r="AF796" i="2"/>
  <c r="AF797" i="2"/>
  <c r="AF798" i="2"/>
  <c r="AF799" i="2"/>
  <c r="AF800" i="2"/>
  <c r="AF801" i="2"/>
  <c r="AF802" i="2"/>
  <c r="AF803" i="2"/>
  <c r="AF804" i="2"/>
  <c r="AF805" i="2"/>
  <c r="AF806" i="2"/>
  <c r="AF807" i="2"/>
  <c r="AF808" i="2"/>
  <c r="AF809" i="2"/>
  <c r="AF810" i="2"/>
  <c r="AF811" i="2"/>
  <c r="AF812" i="2"/>
  <c r="AF813" i="2"/>
  <c r="AF814" i="2"/>
  <c r="AF815" i="2"/>
  <c r="AF816" i="2"/>
  <c r="AF817" i="2"/>
  <c r="AF818" i="2"/>
  <c r="AF819" i="2"/>
  <c r="AF820" i="2"/>
  <c r="AF821" i="2"/>
  <c r="AF822" i="2"/>
  <c r="AF823" i="2"/>
  <c r="AF824" i="2"/>
  <c r="AF825" i="2"/>
  <c r="AF826" i="2"/>
  <c r="AF827" i="2"/>
  <c r="AF828" i="2"/>
  <c r="AF829" i="2"/>
  <c r="AF830" i="2"/>
  <c r="AF831" i="2"/>
  <c r="AF832" i="2"/>
  <c r="AF833" i="2"/>
  <c r="AF834" i="2"/>
  <c r="AF835" i="2"/>
  <c r="AF836" i="2"/>
  <c r="AF837" i="2"/>
  <c r="AF838" i="2"/>
  <c r="AF839" i="2"/>
  <c r="AF840" i="2"/>
  <c r="AF841" i="2"/>
  <c r="AF842" i="2"/>
  <c r="AF843" i="2"/>
  <c r="AF844" i="2"/>
  <c r="AF845" i="2"/>
  <c r="AF846" i="2"/>
  <c r="AF847" i="2"/>
  <c r="AF848" i="2"/>
  <c r="AF849" i="2"/>
  <c r="AF850" i="2"/>
  <c r="AF851" i="2"/>
  <c r="AF852" i="2"/>
  <c r="AF853" i="2"/>
  <c r="AF854" i="2"/>
  <c r="AF855" i="2"/>
  <c r="AF856" i="2"/>
  <c r="AF857" i="2"/>
  <c r="AF858" i="2"/>
  <c r="AF859" i="2"/>
  <c r="AF860" i="2"/>
  <c r="AF861" i="2"/>
  <c r="AF862" i="2"/>
  <c r="AF863" i="2"/>
  <c r="AF864" i="2"/>
  <c r="AF865" i="2"/>
  <c r="AF866" i="2"/>
  <c r="AF867" i="2"/>
  <c r="AF868" i="2"/>
  <c r="AF869" i="2"/>
  <c r="AF870" i="2"/>
  <c r="AF871" i="2"/>
  <c r="AF872" i="2"/>
  <c r="AF873" i="2"/>
  <c r="AF874" i="2"/>
  <c r="AF875" i="2"/>
  <c r="AF876" i="2"/>
  <c r="AF877" i="2"/>
  <c r="AF878" i="2"/>
  <c r="AF879" i="2"/>
  <c r="AF880" i="2"/>
  <c r="AF881" i="2"/>
  <c r="AF882" i="2"/>
  <c r="AF883" i="2"/>
  <c r="AF884" i="2"/>
  <c r="AF885" i="2"/>
  <c r="AF886" i="2"/>
  <c r="AF887" i="2"/>
  <c r="AF888" i="2"/>
  <c r="AF889" i="2"/>
  <c r="AF890" i="2"/>
  <c r="AF891" i="2"/>
  <c r="AF892" i="2"/>
  <c r="AF893" i="2"/>
  <c r="AF894" i="2"/>
  <c r="AF895" i="2"/>
  <c r="AF896" i="2"/>
  <c r="AF897" i="2"/>
  <c r="AF898" i="2"/>
  <c r="AF899" i="2"/>
  <c r="AF900" i="2"/>
  <c r="AF901" i="2"/>
  <c r="AF902" i="2"/>
  <c r="AF903" i="2"/>
  <c r="AF904" i="2"/>
  <c r="AF905" i="2"/>
  <c r="AF906" i="2"/>
  <c r="AF907" i="2"/>
  <c r="AF908" i="2"/>
  <c r="AF909" i="2"/>
  <c r="AF910" i="2"/>
  <c r="AF911" i="2"/>
  <c r="AF912" i="2"/>
  <c r="AF913" i="2"/>
  <c r="AF914" i="2"/>
  <c r="AF915" i="2"/>
  <c r="AF916" i="2"/>
  <c r="AF917" i="2"/>
  <c r="AF918" i="2"/>
  <c r="AF919" i="2"/>
  <c r="AF920" i="2"/>
  <c r="AF921" i="2"/>
  <c r="AF922" i="2"/>
  <c r="AF923" i="2"/>
  <c r="AF924" i="2"/>
  <c r="AF925" i="2"/>
  <c r="AF926" i="2"/>
  <c r="AF927" i="2"/>
  <c r="AF928" i="2"/>
  <c r="AF929" i="2"/>
  <c r="AF930" i="2"/>
  <c r="AF931" i="2"/>
  <c r="AF932" i="2"/>
  <c r="AF933" i="2"/>
  <c r="AF934" i="2"/>
  <c r="AF935" i="2"/>
  <c r="AF936" i="2"/>
  <c r="AF937" i="2"/>
  <c r="AF938" i="2"/>
  <c r="AF939" i="2"/>
  <c r="AF940" i="2"/>
  <c r="AF941" i="2"/>
  <c r="AF942" i="2"/>
  <c r="AF943" i="2"/>
  <c r="AF944" i="2"/>
  <c r="AF945" i="2"/>
  <c r="AF946" i="2"/>
  <c r="AF947" i="2"/>
  <c r="AF948" i="2"/>
  <c r="AF949" i="2"/>
  <c r="AF950" i="2"/>
  <c r="AF951" i="2"/>
  <c r="AF952" i="2"/>
  <c r="AF953" i="2"/>
  <c r="AF954" i="2"/>
  <c r="AF955" i="2"/>
  <c r="AF956" i="2"/>
  <c r="AF957" i="2"/>
  <c r="AF958" i="2"/>
  <c r="AF959" i="2"/>
  <c r="AF960" i="2"/>
  <c r="AF961" i="2"/>
  <c r="AF962" i="2"/>
  <c r="AF963" i="2"/>
  <c r="AF964" i="2"/>
  <c r="AF965" i="2"/>
  <c r="AF966" i="2"/>
  <c r="AF967" i="2"/>
  <c r="AF968" i="2"/>
  <c r="AF969" i="2"/>
  <c r="AF970" i="2"/>
  <c r="AF971" i="2"/>
  <c r="AF972" i="2"/>
  <c r="AF973" i="2"/>
  <c r="AF974" i="2"/>
  <c r="AF975" i="2"/>
  <c r="AF976" i="2"/>
  <c r="AF977" i="2"/>
  <c r="AF978" i="2"/>
  <c r="AF979" i="2"/>
  <c r="AF980" i="2"/>
  <c r="AF981" i="2"/>
  <c r="AF982" i="2"/>
  <c r="AF983" i="2"/>
  <c r="AF984" i="2"/>
  <c r="AF985" i="2"/>
  <c r="AF986" i="2"/>
  <c r="AF987" i="2"/>
  <c r="AF988" i="2"/>
  <c r="AF989" i="2"/>
  <c r="AF990" i="2"/>
  <c r="AF991" i="2"/>
  <c r="AF992" i="2"/>
  <c r="AF993" i="2"/>
  <c r="AF994" i="2"/>
  <c r="AF995" i="2"/>
  <c r="AF996" i="2"/>
  <c r="AF997" i="2"/>
  <c r="AF998" i="2"/>
  <c r="AF999" i="2"/>
  <c r="AF1000" i="2"/>
  <c r="AF1001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E522" i="2"/>
  <c r="AE523" i="2"/>
  <c r="AE524" i="2"/>
  <c r="AE525" i="2"/>
  <c r="AE526" i="2"/>
  <c r="AE527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E546" i="2"/>
  <c r="AE547" i="2"/>
  <c r="AE548" i="2"/>
  <c r="AE549" i="2"/>
  <c r="AE550" i="2"/>
  <c r="AE551" i="2"/>
  <c r="AE552" i="2"/>
  <c r="AE553" i="2"/>
  <c r="AE554" i="2"/>
  <c r="AE555" i="2"/>
  <c r="AE556" i="2"/>
  <c r="AE557" i="2"/>
  <c r="AE558" i="2"/>
  <c r="AE559" i="2"/>
  <c r="AE560" i="2"/>
  <c r="AE561" i="2"/>
  <c r="AE562" i="2"/>
  <c r="AE563" i="2"/>
  <c r="AE564" i="2"/>
  <c r="AE565" i="2"/>
  <c r="AE566" i="2"/>
  <c r="AE567" i="2"/>
  <c r="AE568" i="2"/>
  <c r="AE569" i="2"/>
  <c r="AE570" i="2"/>
  <c r="AE571" i="2"/>
  <c r="AE572" i="2"/>
  <c r="AE573" i="2"/>
  <c r="AE574" i="2"/>
  <c r="AE575" i="2"/>
  <c r="AE576" i="2"/>
  <c r="AE577" i="2"/>
  <c r="AE578" i="2"/>
  <c r="AE579" i="2"/>
  <c r="AE580" i="2"/>
  <c r="AE581" i="2"/>
  <c r="AE582" i="2"/>
  <c r="AE583" i="2"/>
  <c r="AE584" i="2"/>
  <c r="AE585" i="2"/>
  <c r="AE586" i="2"/>
  <c r="AE587" i="2"/>
  <c r="AE588" i="2"/>
  <c r="AE589" i="2"/>
  <c r="AE590" i="2"/>
  <c r="AE591" i="2"/>
  <c r="AE592" i="2"/>
  <c r="AE593" i="2"/>
  <c r="AE594" i="2"/>
  <c r="AE595" i="2"/>
  <c r="AE596" i="2"/>
  <c r="AE597" i="2"/>
  <c r="AE598" i="2"/>
  <c r="AE599" i="2"/>
  <c r="AE600" i="2"/>
  <c r="AE601" i="2"/>
  <c r="AE602" i="2"/>
  <c r="AE603" i="2"/>
  <c r="AE604" i="2"/>
  <c r="AE605" i="2"/>
  <c r="AE606" i="2"/>
  <c r="AE607" i="2"/>
  <c r="AE608" i="2"/>
  <c r="AE609" i="2"/>
  <c r="AE610" i="2"/>
  <c r="AE611" i="2"/>
  <c r="AE612" i="2"/>
  <c r="AE613" i="2"/>
  <c r="AE614" i="2"/>
  <c r="AE615" i="2"/>
  <c r="AE616" i="2"/>
  <c r="AE617" i="2"/>
  <c r="AE618" i="2"/>
  <c r="AE619" i="2"/>
  <c r="AE620" i="2"/>
  <c r="AE621" i="2"/>
  <c r="AE622" i="2"/>
  <c r="AE623" i="2"/>
  <c r="AE624" i="2"/>
  <c r="AE625" i="2"/>
  <c r="AE626" i="2"/>
  <c r="AE627" i="2"/>
  <c r="AE628" i="2"/>
  <c r="AE629" i="2"/>
  <c r="AE630" i="2"/>
  <c r="AE631" i="2"/>
  <c r="AE632" i="2"/>
  <c r="AE633" i="2"/>
  <c r="AE634" i="2"/>
  <c r="AE635" i="2"/>
  <c r="AE636" i="2"/>
  <c r="AE637" i="2"/>
  <c r="AE638" i="2"/>
  <c r="AE639" i="2"/>
  <c r="AE640" i="2"/>
  <c r="AE641" i="2"/>
  <c r="AE642" i="2"/>
  <c r="AE643" i="2"/>
  <c r="AE644" i="2"/>
  <c r="AE645" i="2"/>
  <c r="AE646" i="2"/>
  <c r="AE647" i="2"/>
  <c r="AE648" i="2"/>
  <c r="AE649" i="2"/>
  <c r="AE650" i="2"/>
  <c r="AE651" i="2"/>
  <c r="AE652" i="2"/>
  <c r="AE653" i="2"/>
  <c r="AE654" i="2"/>
  <c r="AE655" i="2"/>
  <c r="AE656" i="2"/>
  <c r="AE657" i="2"/>
  <c r="AE658" i="2"/>
  <c r="AE659" i="2"/>
  <c r="AE660" i="2"/>
  <c r="AE661" i="2"/>
  <c r="AE662" i="2"/>
  <c r="AE663" i="2"/>
  <c r="AE664" i="2"/>
  <c r="AE665" i="2"/>
  <c r="AE666" i="2"/>
  <c r="AE667" i="2"/>
  <c r="AE668" i="2"/>
  <c r="AE669" i="2"/>
  <c r="AE670" i="2"/>
  <c r="AE671" i="2"/>
  <c r="AE672" i="2"/>
  <c r="AE673" i="2"/>
  <c r="AE674" i="2"/>
  <c r="AE675" i="2"/>
  <c r="AE676" i="2"/>
  <c r="AE677" i="2"/>
  <c r="AE678" i="2"/>
  <c r="AE679" i="2"/>
  <c r="AE680" i="2"/>
  <c r="AE681" i="2"/>
  <c r="AE682" i="2"/>
  <c r="AE683" i="2"/>
  <c r="AE684" i="2"/>
  <c r="AE685" i="2"/>
  <c r="AE686" i="2"/>
  <c r="AE687" i="2"/>
  <c r="AE688" i="2"/>
  <c r="AE689" i="2"/>
  <c r="AE690" i="2"/>
  <c r="AE691" i="2"/>
  <c r="AE692" i="2"/>
  <c r="AE693" i="2"/>
  <c r="AE694" i="2"/>
  <c r="AE695" i="2"/>
  <c r="AE696" i="2"/>
  <c r="AE697" i="2"/>
  <c r="AE698" i="2"/>
  <c r="AE699" i="2"/>
  <c r="AE700" i="2"/>
  <c r="AE701" i="2"/>
  <c r="AE702" i="2"/>
  <c r="AE703" i="2"/>
  <c r="AE704" i="2"/>
  <c r="AE705" i="2"/>
  <c r="AE706" i="2"/>
  <c r="AE707" i="2"/>
  <c r="AE708" i="2"/>
  <c r="AE709" i="2"/>
  <c r="AE710" i="2"/>
  <c r="AE711" i="2"/>
  <c r="AE712" i="2"/>
  <c r="AE713" i="2"/>
  <c r="AE714" i="2"/>
  <c r="AE715" i="2"/>
  <c r="AE716" i="2"/>
  <c r="AE717" i="2"/>
  <c r="AE718" i="2"/>
  <c r="AE719" i="2"/>
  <c r="AE720" i="2"/>
  <c r="AE721" i="2"/>
  <c r="AE722" i="2"/>
  <c r="AE723" i="2"/>
  <c r="AE724" i="2"/>
  <c r="AE725" i="2"/>
  <c r="AE726" i="2"/>
  <c r="AE727" i="2"/>
  <c r="AE728" i="2"/>
  <c r="AE729" i="2"/>
  <c r="AE730" i="2"/>
  <c r="AE731" i="2"/>
  <c r="AE732" i="2"/>
  <c r="AE733" i="2"/>
  <c r="AE734" i="2"/>
  <c r="AE735" i="2"/>
  <c r="AE736" i="2"/>
  <c r="AE737" i="2"/>
  <c r="AE738" i="2"/>
  <c r="AE739" i="2"/>
  <c r="AE740" i="2"/>
  <c r="AE741" i="2"/>
  <c r="AE742" i="2"/>
  <c r="AE743" i="2"/>
  <c r="AE744" i="2"/>
  <c r="AE745" i="2"/>
  <c r="AE746" i="2"/>
  <c r="AE747" i="2"/>
  <c r="AE748" i="2"/>
  <c r="AE749" i="2"/>
  <c r="AE750" i="2"/>
  <c r="AE751" i="2"/>
  <c r="AE752" i="2"/>
  <c r="AE753" i="2"/>
  <c r="AE754" i="2"/>
  <c r="AE755" i="2"/>
  <c r="AE756" i="2"/>
  <c r="AE757" i="2"/>
  <c r="AE758" i="2"/>
  <c r="AE759" i="2"/>
  <c r="AE760" i="2"/>
  <c r="AE761" i="2"/>
  <c r="AE762" i="2"/>
  <c r="AE763" i="2"/>
  <c r="AE764" i="2"/>
  <c r="AE765" i="2"/>
  <c r="AE766" i="2"/>
  <c r="AE767" i="2"/>
  <c r="AE768" i="2"/>
  <c r="AE769" i="2"/>
  <c r="AE770" i="2"/>
  <c r="AE771" i="2"/>
  <c r="AE772" i="2"/>
  <c r="AE773" i="2"/>
  <c r="AE774" i="2"/>
  <c r="AE775" i="2"/>
  <c r="AE776" i="2"/>
  <c r="AE777" i="2"/>
  <c r="AE778" i="2"/>
  <c r="AE779" i="2"/>
  <c r="AE780" i="2"/>
  <c r="AE781" i="2"/>
  <c r="AE782" i="2"/>
  <c r="AE783" i="2"/>
  <c r="AE784" i="2"/>
  <c r="AE785" i="2"/>
  <c r="AE786" i="2"/>
  <c r="AE787" i="2"/>
  <c r="AE788" i="2"/>
  <c r="AE789" i="2"/>
  <c r="AE790" i="2"/>
  <c r="AE791" i="2"/>
  <c r="AE792" i="2"/>
  <c r="AE793" i="2"/>
  <c r="AE794" i="2"/>
  <c r="AE795" i="2"/>
  <c r="AE796" i="2"/>
  <c r="AE797" i="2"/>
  <c r="AE798" i="2"/>
  <c r="AE799" i="2"/>
  <c r="AE800" i="2"/>
  <c r="AE801" i="2"/>
  <c r="AE802" i="2"/>
  <c r="AE803" i="2"/>
  <c r="AE804" i="2"/>
  <c r="AE805" i="2"/>
  <c r="AE806" i="2"/>
  <c r="AE807" i="2"/>
  <c r="AE808" i="2"/>
  <c r="AE809" i="2"/>
  <c r="AE810" i="2"/>
  <c r="AE811" i="2"/>
  <c r="AE812" i="2"/>
  <c r="AE813" i="2"/>
  <c r="AE814" i="2"/>
  <c r="AE815" i="2"/>
  <c r="AE816" i="2"/>
  <c r="AE817" i="2"/>
  <c r="AE818" i="2"/>
  <c r="AE819" i="2"/>
  <c r="AE820" i="2"/>
  <c r="AE821" i="2"/>
  <c r="AE822" i="2"/>
  <c r="AE823" i="2"/>
  <c r="AE824" i="2"/>
  <c r="AE825" i="2"/>
  <c r="AE826" i="2"/>
  <c r="AE827" i="2"/>
  <c r="AE828" i="2"/>
  <c r="AE829" i="2"/>
  <c r="AE830" i="2"/>
  <c r="AE831" i="2"/>
  <c r="AE832" i="2"/>
  <c r="AE833" i="2"/>
  <c r="AE834" i="2"/>
  <c r="AE835" i="2"/>
  <c r="AE836" i="2"/>
  <c r="AE837" i="2"/>
  <c r="AE838" i="2"/>
  <c r="AE839" i="2"/>
  <c r="AE840" i="2"/>
  <c r="AE841" i="2"/>
  <c r="AE842" i="2"/>
  <c r="AE843" i="2"/>
  <c r="AE844" i="2"/>
  <c r="AE845" i="2"/>
  <c r="AE846" i="2"/>
  <c r="AE847" i="2"/>
  <c r="AE848" i="2"/>
  <c r="AE849" i="2"/>
  <c r="AE850" i="2"/>
  <c r="AE851" i="2"/>
  <c r="AE852" i="2"/>
  <c r="AE853" i="2"/>
  <c r="AE854" i="2"/>
  <c r="AE855" i="2"/>
  <c r="AE856" i="2"/>
  <c r="AE857" i="2"/>
  <c r="AE858" i="2"/>
  <c r="AE859" i="2"/>
  <c r="AE860" i="2"/>
  <c r="AE861" i="2"/>
  <c r="AE862" i="2"/>
  <c r="AE863" i="2"/>
  <c r="AE864" i="2"/>
  <c r="AE865" i="2"/>
  <c r="AE866" i="2"/>
  <c r="AE867" i="2"/>
  <c r="AE868" i="2"/>
  <c r="AE869" i="2"/>
  <c r="AE870" i="2"/>
  <c r="AE871" i="2"/>
  <c r="AE872" i="2"/>
  <c r="AE873" i="2"/>
  <c r="AE874" i="2"/>
  <c r="AE875" i="2"/>
  <c r="AE876" i="2"/>
  <c r="AE877" i="2"/>
  <c r="AE878" i="2"/>
  <c r="AE879" i="2"/>
  <c r="AE880" i="2"/>
  <c r="AE881" i="2"/>
  <c r="AE882" i="2"/>
  <c r="AE883" i="2"/>
  <c r="AE884" i="2"/>
  <c r="AE885" i="2"/>
  <c r="AE886" i="2"/>
  <c r="AE887" i="2"/>
  <c r="AE888" i="2"/>
  <c r="AE889" i="2"/>
  <c r="AE890" i="2"/>
  <c r="AE891" i="2"/>
  <c r="AE892" i="2"/>
  <c r="AE893" i="2"/>
  <c r="AE894" i="2"/>
  <c r="AE895" i="2"/>
  <c r="AE896" i="2"/>
  <c r="AE897" i="2"/>
  <c r="AE898" i="2"/>
  <c r="AE899" i="2"/>
  <c r="AE900" i="2"/>
  <c r="AE901" i="2"/>
  <c r="AE902" i="2"/>
  <c r="AE903" i="2"/>
  <c r="AE904" i="2"/>
  <c r="AE905" i="2"/>
  <c r="AE906" i="2"/>
  <c r="AE907" i="2"/>
  <c r="AE908" i="2"/>
  <c r="AE909" i="2"/>
  <c r="AE910" i="2"/>
  <c r="AE911" i="2"/>
  <c r="AE912" i="2"/>
  <c r="AE913" i="2"/>
  <c r="AE914" i="2"/>
  <c r="AE915" i="2"/>
  <c r="AE916" i="2"/>
  <c r="AE917" i="2"/>
  <c r="AE918" i="2"/>
  <c r="AE919" i="2"/>
  <c r="AE920" i="2"/>
  <c r="AE921" i="2"/>
  <c r="AE922" i="2"/>
  <c r="AE923" i="2"/>
  <c r="AE924" i="2"/>
  <c r="AE925" i="2"/>
  <c r="AE926" i="2"/>
  <c r="AE927" i="2"/>
  <c r="AE928" i="2"/>
  <c r="AE929" i="2"/>
  <c r="AE930" i="2"/>
  <c r="AE931" i="2"/>
  <c r="AE932" i="2"/>
  <c r="AE933" i="2"/>
  <c r="AE934" i="2"/>
  <c r="AE935" i="2"/>
  <c r="AE936" i="2"/>
  <c r="AE937" i="2"/>
  <c r="AE938" i="2"/>
  <c r="AE939" i="2"/>
  <c r="AE940" i="2"/>
  <c r="AE941" i="2"/>
  <c r="AE942" i="2"/>
  <c r="AE943" i="2"/>
  <c r="AE944" i="2"/>
  <c r="AE945" i="2"/>
  <c r="AE946" i="2"/>
  <c r="AE947" i="2"/>
  <c r="AE948" i="2"/>
  <c r="AE949" i="2"/>
  <c r="AE950" i="2"/>
  <c r="AE951" i="2"/>
  <c r="AE952" i="2"/>
  <c r="AE953" i="2"/>
  <c r="AE954" i="2"/>
  <c r="AE955" i="2"/>
  <c r="AE956" i="2"/>
  <c r="AE957" i="2"/>
  <c r="AE958" i="2"/>
  <c r="AE959" i="2"/>
  <c r="AE960" i="2"/>
  <c r="AE961" i="2"/>
  <c r="AE962" i="2"/>
  <c r="AE963" i="2"/>
  <c r="AE964" i="2"/>
  <c r="AE965" i="2"/>
  <c r="AE966" i="2"/>
  <c r="AE967" i="2"/>
  <c r="AE968" i="2"/>
  <c r="AE969" i="2"/>
  <c r="AE970" i="2"/>
  <c r="AE971" i="2"/>
  <c r="AE972" i="2"/>
  <c r="AE973" i="2"/>
  <c r="AE974" i="2"/>
  <c r="AE975" i="2"/>
  <c r="AE976" i="2"/>
  <c r="AE977" i="2"/>
  <c r="AE978" i="2"/>
  <c r="AE979" i="2"/>
  <c r="AE980" i="2"/>
  <c r="AE981" i="2"/>
  <c r="AE982" i="2"/>
  <c r="AE983" i="2"/>
  <c r="AE984" i="2"/>
  <c r="AE985" i="2"/>
  <c r="AE986" i="2"/>
  <c r="AE987" i="2"/>
  <c r="AE988" i="2"/>
  <c r="AE989" i="2"/>
  <c r="AE990" i="2"/>
  <c r="AE991" i="2"/>
  <c r="AE992" i="2"/>
  <c r="AE993" i="2"/>
  <c r="AE994" i="2"/>
  <c r="AE995" i="2"/>
  <c r="AE996" i="2"/>
  <c r="AE997" i="2"/>
  <c r="AE998" i="2"/>
  <c r="AE999" i="2"/>
  <c r="AE1000" i="2"/>
  <c r="AE1001" i="2"/>
  <c r="AD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416" i="2"/>
  <c r="AD417" i="2"/>
  <c r="AD418" i="2"/>
  <c r="AD419" i="2"/>
  <c r="AD420" i="2"/>
  <c r="AD421" i="2"/>
  <c r="AD422" i="2"/>
  <c r="AD423" i="2"/>
  <c r="AD424" i="2"/>
  <c r="AD425" i="2"/>
  <c r="AD426" i="2"/>
  <c r="AD427" i="2"/>
  <c r="AD428" i="2"/>
  <c r="AD429" i="2"/>
  <c r="AD430" i="2"/>
  <c r="AD431" i="2"/>
  <c r="AD432" i="2"/>
  <c r="AD433" i="2"/>
  <c r="AD434" i="2"/>
  <c r="AD435" i="2"/>
  <c r="AD436" i="2"/>
  <c r="AD437" i="2"/>
  <c r="AD438" i="2"/>
  <c r="AD439" i="2"/>
  <c r="AD440" i="2"/>
  <c r="AD441" i="2"/>
  <c r="AD442" i="2"/>
  <c r="AD443" i="2"/>
  <c r="AD444" i="2"/>
  <c r="AD445" i="2"/>
  <c r="AD446" i="2"/>
  <c r="AD447" i="2"/>
  <c r="AD448" i="2"/>
  <c r="AD449" i="2"/>
  <c r="AD450" i="2"/>
  <c r="AD451" i="2"/>
  <c r="AD452" i="2"/>
  <c r="AD453" i="2"/>
  <c r="AD454" i="2"/>
  <c r="AD455" i="2"/>
  <c r="AD456" i="2"/>
  <c r="AD457" i="2"/>
  <c r="AD458" i="2"/>
  <c r="AD459" i="2"/>
  <c r="AD460" i="2"/>
  <c r="AD461" i="2"/>
  <c r="AD462" i="2"/>
  <c r="AD463" i="2"/>
  <c r="AD464" i="2"/>
  <c r="AD465" i="2"/>
  <c r="AD466" i="2"/>
  <c r="AD467" i="2"/>
  <c r="AD468" i="2"/>
  <c r="AD469" i="2"/>
  <c r="AD470" i="2"/>
  <c r="AD471" i="2"/>
  <c r="AD472" i="2"/>
  <c r="AD473" i="2"/>
  <c r="AD474" i="2"/>
  <c r="AD475" i="2"/>
  <c r="AD476" i="2"/>
  <c r="AD477" i="2"/>
  <c r="AD478" i="2"/>
  <c r="AD479" i="2"/>
  <c r="AD480" i="2"/>
  <c r="AD481" i="2"/>
  <c r="AD482" i="2"/>
  <c r="AD483" i="2"/>
  <c r="AD484" i="2"/>
  <c r="AD485" i="2"/>
  <c r="AD486" i="2"/>
  <c r="AD487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01" i="2"/>
  <c r="AD502" i="2"/>
  <c r="AD503" i="2"/>
  <c r="AD504" i="2"/>
  <c r="AD505" i="2"/>
  <c r="AD506" i="2"/>
  <c r="AD507" i="2"/>
  <c r="AD508" i="2"/>
  <c r="AD509" i="2"/>
  <c r="AD510" i="2"/>
  <c r="AD511" i="2"/>
  <c r="AD512" i="2"/>
  <c r="AD513" i="2"/>
  <c r="AD514" i="2"/>
  <c r="AD515" i="2"/>
  <c r="AD516" i="2"/>
  <c r="AD517" i="2"/>
  <c r="AD518" i="2"/>
  <c r="AD519" i="2"/>
  <c r="AD520" i="2"/>
  <c r="AD521" i="2"/>
  <c r="AD522" i="2"/>
  <c r="AD523" i="2"/>
  <c r="AD524" i="2"/>
  <c r="AD525" i="2"/>
  <c r="AD526" i="2"/>
  <c r="AD527" i="2"/>
  <c r="AD528" i="2"/>
  <c r="AD529" i="2"/>
  <c r="AD530" i="2"/>
  <c r="AD531" i="2"/>
  <c r="AD532" i="2"/>
  <c r="AD533" i="2"/>
  <c r="AD534" i="2"/>
  <c r="AD535" i="2"/>
  <c r="AD536" i="2"/>
  <c r="AD537" i="2"/>
  <c r="AD538" i="2"/>
  <c r="AD539" i="2"/>
  <c r="AD540" i="2"/>
  <c r="AD541" i="2"/>
  <c r="AD542" i="2"/>
  <c r="AD543" i="2"/>
  <c r="AD544" i="2"/>
  <c r="AD545" i="2"/>
  <c r="AD546" i="2"/>
  <c r="AD547" i="2"/>
  <c r="AD548" i="2"/>
  <c r="AD549" i="2"/>
  <c r="AD550" i="2"/>
  <c r="AD551" i="2"/>
  <c r="AD552" i="2"/>
  <c r="AD553" i="2"/>
  <c r="AD554" i="2"/>
  <c r="AD555" i="2"/>
  <c r="AD556" i="2"/>
  <c r="AD557" i="2"/>
  <c r="AD558" i="2"/>
  <c r="AD559" i="2"/>
  <c r="AD560" i="2"/>
  <c r="AD561" i="2"/>
  <c r="AD562" i="2"/>
  <c r="AD563" i="2"/>
  <c r="AD564" i="2"/>
  <c r="AD565" i="2"/>
  <c r="AD566" i="2"/>
  <c r="AD567" i="2"/>
  <c r="AD568" i="2"/>
  <c r="AD569" i="2"/>
  <c r="AD570" i="2"/>
  <c r="AD571" i="2"/>
  <c r="AD572" i="2"/>
  <c r="AD573" i="2"/>
  <c r="AD574" i="2"/>
  <c r="AD575" i="2"/>
  <c r="AD576" i="2"/>
  <c r="AD577" i="2"/>
  <c r="AD578" i="2"/>
  <c r="AD579" i="2"/>
  <c r="AD580" i="2"/>
  <c r="AD581" i="2"/>
  <c r="AD582" i="2"/>
  <c r="AD583" i="2"/>
  <c r="AD584" i="2"/>
  <c r="AD585" i="2"/>
  <c r="AD586" i="2"/>
  <c r="AD587" i="2"/>
  <c r="AD588" i="2"/>
  <c r="AD589" i="2"/>
  <c r="AD590" i="2"/>
  <c r="AD591" i="2"/>
  <c r="AD592" i="2"/>
  <c r="AD593" i="2"/>
  <c r="AD594" i="2"/>
  <c r="AD595" i="2"/>
  <c r="AD596" i="2"/>
  <c r="AD597" i="2"/>
  <c r="AD598" i="2"/>
  <c r="AD599" i="2"/>
  <c r="AD600" i="2"/>
  <c r="AD601" i="2"/>
  <c r="AD602" i="2"/>
  <c r="AD603" i="2"/>
  <c r="AD604" i="2"/>
  <c r="AD605" i="2"/>
  <c r="AD606" i="2"/>
  <c r="AD607" i="2"/>
  <c r="AD608" i="2"/>
  <c r="AD609" i="2"/>
  <c r="AD610" i="2"/>
  <c r="AD611" i="2"/>
  <c r="AD612" i="2"/>
  <c r="AD613" i="2"/>
  <c r="AD614" i="2"/>
  <c r="AD615" i="2"/>
  <c r="AD616" i="2"/>
  <c r="AD617" i="2"/>
  <c r="AD618" i="2"/>
  <c r="AD619" i="2"/>
  <c r="AD620" i="2"/>
  <c r="AD621" i="2"/>
  <c r="AD622" i="2"/>
  <c r="AD623" i="2"/>
  <c r="AD624" i="2"/>
  <c r="AD625" i="2"/>
  <c r="AD626" i="2"/>
  <c r="AD627" i="2"/>
  <c r="AD628" i="2"/>
  <c r="AD629" i="2"/>
  <c r="AD630" i="2"/>
  <c r="AD631" i="2"/>
  <c r="AD632" i="2"/>
  <c r="AD633" i="2"/>
  <c r="AD634" i="2"/>
  <c r="AD635" i="2"/>
  <c r="AD636" i="2"/>
  <c r="AD637" i="2"/>
  <c r="AD638" i="2"/>
  <c r="AD639" i="2"/>
  <c r="AD640" i="2"/>
  <c r="AD641" i="2"/>
  <c r="AD642" i="2"/>
  <c r="AD643" i="2"/>
  <c r="AD644" i="2"/>
  <c r="AD645" i="2"/>
  <c r="AD646" i="2"/>
  <c r="AD647" i="2"/>
  <c r="AD648" i="2"/>
  <c r="AD649" i="2"/>
  <c r="AD650" i="2"/>
  <c r="AD651" i="2"/>
  <c r="AD652" i="2"/>
  <c r="AD653" i="2"/>
  <c r="AD654" i="2"/>
  <c r="AD655" i="2"/>
  <c r="AD656" i="2"/>
  <c r="AD657" i="2"/>
  <c r="AD658" i="2"/>
  <c r="AD659" i="2"/>
  <c r="AD660" i="2"/>
  <c r="AD661" i="2"/>
  <c r="AD662" i="2"/>
  <c r="AD663" i="2"/>
  <c r="AD664" i="2"/>
  <c r="AD665" i="2"/>
  <c r="AD666" i="2"/>
  <c r="AD667" i="2"/>
  <c r="AD668" i="2"/>
  <c r="AD669" i="2"/>
  <c r="AD670" i="2"/>
  <c r="AD671" i="2"/>
  <c r="AD672" i="2"/>
  <c r="AD673" i="2"/>
  <c r="AD674" i="2"/>
  <c r="AD675" i="2"/>
  <c r="AD676" i="2"/>
  <c r="AD677" i="2"/>
  <c r="AD678" i="2"/>
  <c r="AD679" i="2"/>
  <c r="AD680" i="2"/>
  <c r="AD681" i="2"/>
  <c r="AD682" i="2"/>
  <c r="AD683" i="2"/>
  <c r="AD684" i="2"/>
  <c r="AD685" i="2"/>
  <c r="AD686" i="2"/>
  <c r="AD687" i="2"/>
  <c r="AD688" i="2"/>
  <c r="AD689" i="2"/>
  <c r="AD690" i="2"/>
  <c r="AD691" i="2"/>
  <c r="AD692" i="2"/>
  <c r="AD693" i="2"/>
  <c r="AD694" i="2"/>
  <c r="AD695" i="2"/>
  <c r="AD696" i="2"/>
  <c r="AD697" i="2"/>
  <c r="AD698" i="2"/>
  <c r="AD699" i="2"/>
  <c r="AD700" i="2"/>
  <c r="AD701" i="2"/>
  <c r="AD702" i="2"/>
  <c r="AD703" i="2"/>
  <c r="AD704" i="2"/>
  <c r="AD705" i="2"/>
  <c r="AD706" i="2"/>
  <c r="AD707" i="2"/>
  <c r="AD708" i="2"/>
  <c r="AD709" i="2"/>
  <c r="AD710" i="2"/>
  <c r="AD711" i="2"/>
  <c r="AD712" i="2"/>
  <c r="AD713" i="2"/>
  <c r="AD714" i="2"/>
  <c r="AD715" i="2"/>
  <c r="AD716" i="2"/>
  <c r="AD717" i="2"/>
  <c r="AD718" i="2"/>
  <c r="AD719" i="2"/>
  <c r="AD720" i="2"/>
  <c r="AD721" i="2"/>
  <c r="AD722" i="2"/>
  <c r="AD723" i="2"/>
  <c r="AD724" i="2"/>
  <c r="AD725" i="2"/>
  <c r="AD726" i="2"/>
  <c r="AD727" i="2"/>
  <c r="AD728" i="2"/>
  <c r="AD729" i="2"/>
  <c r="AD730" i="2"/>
  <c r="AD731" i="2"/>
  <c r="AD732" i="2"/>
  <c r="AD733" i="2"/>
  <c r="AD734" i="2"/>
  <c r="AD735" i="2"/>
  <c r="AD736" i="2"/>
  <c r="AD737" i="2"/>
  <c r="AD738" i="2"/>
  <c r="AD739" i="2"/>
  <c r="AD740" i="2"/>
  <c r="AD741" i="2"/>
  <c r="AD742" i="2"/>
  <c r="AD743" i="2"/>
  <c r="AD744" i="2"/>
  <c r="AD745" i="2"/>
  <c r="AD746" i="2"/>
  <c r="AD747" i="2"/>
  <c r="AD748" i="2"/>
  <c r="AD749" i="2"/>
  <c r="AD750" i="2"/>
  <c r="AD751" i="2"/>
  <c r="AD752" i="2"/>
  <c r="AD753" i="2"/>
  <c r="AD754" i="2"/>
  <c r="AD755" i="2"/>
  <c r="AD756" i="2"/>
  <c r="AD757" i="2"/>
  <c r="AD758" i="2"/>
  <c r="AD759" i="2"/>
  <c r="AD760" i="2"/>
  <c r="AD761" i="2"/>
  <c r="AD762" i="2"/>
  <c r="AD763" i="2"/>
  <c r="AD764" i="2"/>
  <c r="AD765" i="2"/>
  <c r="AD766" i="2"/>
  <c r="AD767" i="2"/>
  <c r="AD768" i="2"/>
  <c r="AD769" i="2"/>
  <c r="AD770" i="2"/>
  <c r="AD771" i="2"/>
  <c r="AD772" i="2"/>
  <c r="AD773" i="2"/>
  <c r="AD774" i="2"/>
  <c r="AD775" i="2"/>
  <c r="AD776" i="2"/>
  <c r="AD777" i="2"/>
  <c r="AD778" i="2"/>
  <c r="AD779" i="2"/>
  <c r="AD780" i="2"/>
  <c r="AD781" i="2"/>
  <c r="AD782" i="2"/>
  <c r="AD783" i="2"/>
  <c r="AD784" i="2"/>
  <c r="AD785" i="2"/>
  <c r="AD786" i="2"/>
  <c r="AD787" i="2"/>
  <c r="AD788" i="2"/>
  <c r="AD789" i="2"/>
  <c r="AD790" i="2"/>
  <c r="AD791" i="2"/>
  <c r="AD792" i="2"/>
  <c r="AD793" i="2"/>
  <c r="AD794" i="2"/>
  <c r="AD795" i="2"/>
  <c r="AD796" i="2"/>
  <c r="AD797" i="2"/>
  <c r="AD798" i="2"/>
  <c r="AD799" i="2"/>
  <c r="AD800" i="2"/>
  <c r="AD801" i="2"/>
  <c r="AD802" i="2"/>
  <c r="AD803" i="2"/>
  <c r="AD804" i="2"/>
  <c r="AD805" i="2"/>
  <c r="AD806" i="2"/>
  <c r="AD807" i="2"/>
  <c r="AD808" i="2"/>
  <c r="AD809" i="2"/>
  <c r="AD810" i="2"/>
  <c r="AD811" i="2"/>
  <c r="AD812" i="2"/>
  <c r="AD813" i="2"/>
  <c r="AD814" i="2"/>
  <c r="AD815" i="2"/>
  <c r="AD816" i="2"/>
  <c r="AD817" i="2"/>
  <c r="AD818" i="2"/>
  <c r="AD819" i="2"/>
  <c r="AD820" i="2"/>
  <c r="AD821" i="2"/>
  <c r="AD822" i="2"/>
  <c r="AD823" i="2"/>
  <c r="AD824" i="2"/>
  <c r="AD825" i="2"/>
  <c r="AD826" i="2"/>
  <c r="AD827" i="2"/>
  <c r="AD828" i="2"/>
  <c r="AD829" i="2"/>
  <c r="AD830" i="2"/>
  <c r="AD831" i="2"/>
  <c r="AD832" i="2"/>
  <c r="AD833" i="2"/>
  <c r="AD834" i="2"/>
  <c r="AD835" i="2"/>
  <c r="AD836" i="2"/>
  <c r="AD837" i="2"/>
  <c r="AD838" i="2"/>
  <c r="AD839" i="2"/>
  <c r="AD840" i="2"/>
  <c r="AD841" i="2"/>
  <c r="AD842" i="2"/>
  <c r="AD843" i="2"/>
  <c r="AD844" i="2"/>
  <c r="AD845" i="2"/>
  <c r="AD846" i="2"/>
  <c r="AD847" i="2"/>
  <c r="AD848" i="2"/>
  <c r="AD849" i="2"/>
  <c r="AD850" i="2"/>
  <c r="AD851" i="2"/>
  <c r="AD852" i="2"/>
  <c r="AD853" i="2"/>
  <c r="AD854" i="2"/>
  <c r="AD855" i="2"/>
  <c r="AD856" i="2"/>
  <c r="AD857" i="2"/>
  <c r="AD858" i="2"/>
  <c r="AD859" i="2"/>
  <c r="AD860" i="2"/>
  <c r="AD861" i="2"/>
  <c r="AD862" i="2"/>
  <c r="AD863" i="2"/>
  <c r="AD864" i="2"/>
  <c r="AD865" i="2"/>
  <c r="AD866" i="2"/>
  <c r="AD867" i="2"/>
  <c r="AD868" i="2"/>
  <c r="AD869" i="2"/>
  <c r="AD870" i="2"/>
  <c r="AD871" i="2"/>
  <c r="AD872" i="2"/>
  <c r="AD873" i="2"/>
  <c r="AD874" i="2"/>
  <c r="AD875" i="2"/>
  <c r="AD876" i="2"/>
  <c r="AD877" i="2"/>
  <c r="AD878" i="2"/>
  <c r="AD879" i="2"/>
  <c r="AD880" i="2"/>
  <c r="AD881" i="2"/>
  <c r="AD882" i="2"/>
  <c r="AD883" i="2"/>
  <c r="AD884" i="2"/>
  <c r="AD885" i="2"/>
  <c r="AD886" i="2"/>
  <c r="AD887" i="2"/>
  <c r="AD888" i="2"/>
  <c r="AD889" i="2"/>
  <c r="AD890" i="2"/>
  <c r="AD891" i="2"/>
  <c r="AD892" i="2"/>
  <c r="AD893" i="2"/>
  <c r="AD894" i="2"/>
  <c r="AD895" i="2"/>
  <c r="AD896" i="2"/>
  <c r="AD897" i="2"/>
  <c r="AD898" i="2"/>
  <c r="AD899" i="2"/>
  <c r="AD900" i="2"/>
  <c r="AD901" i="2"/>
  <c r="AD902" i="2"/>
  <c r="AD903" i="2"/>
  <c r="AD904" i="2"/>
  <c r="AD905" i="2"/>
  <c r="AD906" i="2"/>
  <c r="AD907" i="2"/>
  <c r="AD908" i="2"/>
  <c r="AD909" i="2"/>
  <c r="AD910" i="2"/>
  <c r="AD911" i="2"/>
  <c r="AD912" i="2"/>
  <c r="AD913" i="2"/>
  <c r="AD914" i="2"/>
  <c r="AD915" i="2"/>
  <c r="AD916" i="2"/>
  <c r="AD917" i="2"/>
  <c r="AD918" i="2"/>
  <c r="AD919" i="2"/>
  <c r="AD920" i="2"/>
  <c r="AD921" i="2"/>
  <c r="AD922" i="2"/>
  <c r="AD923" i="2"/>
  <c r="AD924" i="2"/>
  <c r="AD925" i="2"/>
  <c r="AD926" i="2"/>
  <c r="AD927" i="2"/>
  <c r="AD928" i="2"/>
  <c r="AD929" i="2"/>
  <c r="AD930" i="2"/>
  <c r="AD931" i="2"/>
  <c r="AD932" i="2"/>
  <c r="AD933" i="2"/>
  <c r="AD934" i="2"/>
  <c r="AD935" i="2"/>
  <c r="AD936" i="2"/>
  <c r="AD937" i="2"/>
  <c r="AD938" i="2"/>
  <c r="AD939" i="2"/>
  <c r="AD940" i="2"/>
  <c r="AD941" i="2"/>
  <c r="AD942" i="2"/>
  <c r="AD943" i="2"/>
  <c r="AD944" i="2"/>
  <c r="AD945" i="2"/>
  <c r="AD946" i="2"/>
  <c r="AD947" i="2"/>
  <c r="AD948" i="2"/>
  <c r="AD949" i="2"/>
  <c r="AD950" i="2"/>
  <c r="AD951" i="2"/>
  <c r="AD952" i="2"/>
  <c r="AD953" i="2"/>
  <c r="AD954" i="2"/>
  <c r="AD955" i="2"/>
  <c r="AD956" i="2"/>
  <c r="AD957" i="2"/>
  <c r="AD958" i="2"/>
  <c r="AD959" i="2"/>
  <c r="AD960" i="2"/>
  <c r="AD961" i="2"/>
  <c r="AD962" i="2"/>
  <c r="AD963" i="2"/>
  <c r="AD964" i="2"/>
  <c r="AD965" i="2"/>
  <c r="AD966" i="2"/>
  <c r="AD967" i="2"/>
  <c r="AD968" i="2"/>
  <c r="AD969" i="2"/>
  <c r="AD970" i="2"/>
  <c r="AD971" i="2"/>
  <c r="AD972" i="2"/>
  <c r="AD973" i="2"/>
  <c r="AD974" i="2"/>
  <c r="AD975" i="2"/>
  <c r="AD976" i="2"/>
  <c r="AD977" i="2"/>
  <c r="AD978" i="2"/>
  <c r="AD979" i="2"/>
  <c r="AD980" i="2"/>
  <c r="AD981" i="2"/>
  <c r="AD982" i="2"/>
  <c r="AD983" i="2"/>
  <c r="AD984" i="2"/>
  <c r="AD985" i="2"/>
  <c r="AD986" i="2"/>
  <c r="AD987" i="2"/>
  <c r="AD988" i="2"/>
  <c r="AD989" i="2"/>
  <c r="AD990" i="2"/>
  <c r="AD991" i="2"/>
  <c r="AD992" i="2"/>
  <c r="AD993" i="2"/>
  <c r="AD994" i="2"/>
  <c r="AD995" i="2"/>
  <c r="AD996" i="2"/>
  <c r="AD997" i="2"/>
  <c r="AD998" i="2"/>
  <c r="AD999" i="2"/>
  <c r="AD1000" i="2"/>
  <c r="AD1001" i="2"/>
  <c r="H91" i="5"/>
  <c r="H90" i="5"/>
  <c r="H89" i="5"/>
  <c r="H88" i="5"/>
  <c r="H81" i="5"/>
  <c r="H80" i="5"/>
  <c r="H79" i="5"/>
  <c r="H78" i="5"/>
  <c r="H77" i="5"/>
  <c r="H63" i="5"/>
  <c r="H62" i="5"/>
  <c r="H55" i="5"/>
  <c r="H54" i="5"/>
  <c r="H53" i="5"/>
  <c r="H52" i="5"/>
  <c r="E46" i="5"/>
  <c r="E45" i="5"/>
  <c r="E44" i="5"/>
  <c r="E43" i="5"/>
  <c r="D46" i="5"/>
  <c r="D45" i="5"/>
  <c r="D44" i="5"/>
  <c r="D43" i="5"/>
  <c r="C46" i="5"/>
  <c r="C45" i="5"/>
  <c r="C44" i="5"/>
  <c r="C43" i="5"/>
  <c r="B46" i="5"/>
  <c r="B45" i="5"/>
  <c r="B44" i="5"/>
  <c r="B43" i="5"/>
  <c r="H7" i="5"/>
  <c r="H6" i="5"/>
  <c r="H5" i="5"/>
  <c r="H4" i="5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AB512" i="2"/>
  <c r="AB513" i="2"/>
  <c r="AB514" i="2"/>
  <c r="AB515" i="2"/>
  <c r="AB516" i="2"/>
  <c r="AB517" i="2"/>
  <c r="AB518" i="2"/>
  <c r="AB519" i="2"/>
  <c r="AB520" i="2"/>
  <c r="AB521" i="2"/>
  <c r="AB522" i="2"/>
  <c r="AB523" i="2"/>
  <c r="AB524" i="2"/>
  <c r="AB525" i="2"/>
  <c r="AB526" i="2"/>
  <c r="AB527" i="2"/>
  <c r="AB528" i="2"/>
  <c r="AB529" i="2"/>
  <c r="AB530" i="2"/>
  <c r="AB531" i="2"/>
  <c r="AB532" i="2"/>
  <c r="AB533" i="2"/>
  <c r="AB534" i="2"/>
  <c r="AB535" i="2"/>
  <c r="AB536" i="2"/>
  <c r="AB537" i="2"/>
  <c r="AB538" i="2"/>
  <c r="AB539" i="2"/>
  <c r="AB540" i="2"/>
  <c r="AB541" i="2"/>
  <c r="AB542" i="2"/>
  <c r="AB543" i="2"/>
  <c r="AB544" i="2"/>
  <c r="AB545" i="2"/>
  <c r="AB546" i="2"/>
  <c r="AB547" i="2"/>
  <c r="AB548" i="2"/>
  <c r="AB549" i="2"/>
  <c r="AB550" i="2"/>
  <c r="AB551" i="2"/>
  <c r="AB552" i="2"/>
  <c r="AB553" i="2"/>
  <c r="AB554" i="2"/>
  <c r="AB555" i="2"/>
  <c r="AB556" i="2"/>
  <c r="AB557" i="2"/>
  <c r="AB558" i="2"/>
  <c r="AB559" i="2"/>
  <c r="AB560" i="2"/>
  <c r="AB561" i="2"/>
  <c r="AB562" i="2"/>
  <c r="AB563" i="2"/>
  <c r="AB564" i="2"/>
  <c r="AB565" i="2"/>
  <c r="AB566" i="2"/>
  <c r="AB567" i="2"/>
  <c r="AB568" i="2"/>
  <c r="AB569" i="2"/>
  <c r="AB570" i="2"/>
  <c r="AB571" i="2"/>
  <c r="AB572" i="2"/>
  <c r="AB573" i="2"/>
  <c r="AB574" i="2"/>
  <c r="AB575" i="2"/>
  <c r="AB576" i="2"/>
  <c r="AB577" i="2"/>
  <c r="AB578" i="2"/>
  <c r="AB579" i="2"/>
  <c r="AB580" i="2"/>
  <c r="AB581" i="2"/>
  <c r="AB582" i="2"/>
  <c r="AB583" i="2"/>
  <c r="AB584" i="2"/>
  <c r="AB585" i="2"/>
  <c r="AB586" i="2"/>
  <c r="AB587" i="2"/>
  <c r="AB588" i="2"/>
  <c r="AB589" i="2"/>
  <c r="AB590" i="2"/>
  <c r="AB591" i="2"/>
  <c r="AB592" i="2"/>
  <c r="AB593" i="2"/>
  <c r="AB594" i="2"/>
  <c r="AB595" i="2"/>
  <c r="AB596" i="2"/>
  <c r="AB597" i="2"/>
  <c r="AB598" i="2"/>
  <c r="AB599" i="2"/>
  <c r="AB600" i="2"/>
  <c r="AB601" i="2"/>
  <c r="AB602" i="2"/>
  <c r="AB603" i="2"/>
  <c r="AB604" i="2"/>
  <c r="AB605" i="2"/>
  <c r="AB606" i="2"/>
  <c r="AB607" i="2"/>
  <c r="AB608" i="2"/>
  <c r="AB609" i="2"/>
  <c r="AB610" i="2"/>
  <c r="AB611" i="2"/>
  <c r="AB612" i="2"/>
  <c r="AB613" i="2"/>
  <c r="AB614" i="2"/>
  <c r="AB615" i="2"/>
  <c r="AB616" i="2"/>
  <c r="AB617" i="2"/>
  <c r="AB618" i="2"/>
  <c r="AB619" i="2"/>
  <c r="AB620" i="2"/>
  <c r="AB621" i="2"/>
  <c r="AB622" i="2"/>
  <c r="AB623" i="2"/>
  <c r="AB624" i="2"/>
  <c r="AB625" i="2"/>
  <c r="AB626" i="2"/>
  <c r="AB627" i="2"/>
  <c r="AB628" i="2"/>
  <c r="AB629" i="2"/>
  <c r="AB630" i="2"/>
  <c r="AB631" i="2"/>
  <c r="AB632" i="2"/>
  <c r="AB633" i="2"/>
  <c r="AB634" i="2"/>
  <c r="AB635" i="2"/>
  <c r="AB636" i="2"/>
  <c r="AB637" i="2"/>
  <c r="AB638" i="2"/>
  <c r="AB639" i="2"/>
  <c r="AB640" i="2"/>
  <c r="AB641" i="2"/>
  <c r="AB642" i="2"/>
  <c r="AB643" i="2"/>
  <c r="AB644" i="2"/>
  <c r="AB645" i="2"/>
  <c r="AB646" i="2"/>
  <c r="AB647" i="2"/>
  <c r="AB648" i="2"/>
  <c r="AB649" i="2"/>
  <c r="AB650" i="2"/>
  <c r="AB651" i="2"/>
  <c r="AB652" i="2"/>
  <c r="AB653" i="2"/>
  <c r="AB654" i="2"/>
  <c r="AB655" i="2"/>
  <c r="AB656" i="2"/>
  <c r="AB657" i="2"/>
  <c r="AB658" i="2"/>
  <c r="AB659" i="2"/>
  <c r="AB660" i="2"/>
  <c r="AB661" i="2"/>
  <c r="AB662" i="2"/>
  <c r="AB663" i="2"/>
  <c r="AB664" i="2"/>
  <c r="AB665" i="2"/>
  <c r="AB666" i="2"/>
  <c r="AB667" i="2"/>
  <c r="AB668" i="2"/>
  <c r="AB669" i="2"/>
  <c r="AB670" i="2"/>
  <c r="AB671" i="2"/>
  <c r="AB672" i="2"/>
  <c r="AB673" i="2"/>
  <c r="AB674" i="2"/>
  <c r="AB675" i="2"/>
  <c r="AB676" i="2"/>
  <c r="AB677" i="2"/>
  <c r="AB678" i="2"/>
  <c r="AB679" i="2"/>
  <c r="AB680" i="2"/>
  <c r="AB681" i="2"/>
  <c r="AB682" i="2"/>
  <c r="AB683" i="2"/>
  <c r="AB684" i="2"/>
  <c r="AB685" i="2"/>
  <c r="AB686" i="2"/>
  <c r="AB687" i="2"/>
  <c r="AB688" i="2"/>
  <c r="AB689" i="2"/>
  <c r="AB690" i="2"/>
  <c r="AB691" i="2"/>
  <c r="AB692" i="2"/>
  <c r="AB693" i="2"/>
  <c r="AB694" i="2"/>
  <c r="AB695" i="2"/>
  <c r="AB696" i="2"/>
  <c r="AB697" i="2"/>
  <c r="AB698" i="2"/>
  <c r="AB699" i="2"/>
  <c r="AB700" i="2"/>
  <c r="AB701" i="2"/>
  <c r="AB702" i="2"/>
  <c r="AB703" i="2"/>
  <c r="AB704" i="2"/>
  <c r="AB705" i="2"/>
  <c r="AB706" i="2"/>
  <c r="AB707" i="2"/>
  <c r="AB708" i="2"/>
  <c r="AB709" i="2"/>
  <c r="AB710" i="2"/>
  <c r="AB711" i="2"/>
  <c r="AB712" i="2"/>
  <c r="AB713" i="2"/>
  <c r="AB714" i="2"/>
  <c r="AB715" i="2"/>
  <c r="AB716" i="2"/>
  <c r="AB717" i="2"/>
  <c r="AB718" i="2"/>
  <c r="AB719" i="2"/>
  <c r="AB720" i="2"/>
  <c r="AB721" i="2"/>
  <c r="AB722" i="2"/>
  <c r="AB723" i="2"/>
  <c r="AB724" i="2"/>
  <c r="AB725" i="2"/>
  <c r="AB726" i="2"/>
  <c r="AB727" i="2"/>
  <c r="AB728" i="2"/>
  <c r="AB729" i="2"/>
  <c r="AB730" i="2"/>
  <c r="AB731" i="2"/>
  <c r="AB732" i="2"/>
  <c r="AB733" i="2"/>
  <c r="AB734" i="2"/>
  <c r="AB735" i="2"/>
  <c r="AB736" i="2"/>
  <c r="AB737" i="2"/>
  <c r="AB738" i="2"/>
  <c r="AB739" i="2"/>
  <c r="AB740" i="2"/>
  <c r="AB741" i="2"/>
  <c r="AB742" i="2"/>
  <c r="AB743" i="2"/>
  <c r="AB744" i="2"/>
  <c r="AB745" i="2"/>
  <c r="AB746" i="2"/>
  <c r="AB747" i="2"/>
  <c r="AB748" i="2"/>
  <c r="AB749" i="2"/>
  <c r="AB750" i="2"/>
  <c r="AB751" i="2"/>
  <c r="AB752" i="2"/>
  <c r="AB753" i="2"/>
  <c r="AB754" i="2"/>
  <c r="AB755" i="2"/>
  <c r="AB756" i="2"/>
  <c r="AB757" i="2"/>
  <c r="AB758" i="2"/>
  <c r="AB759" i="2"/>
  <c r="AB760" i="2"/>
  <c r="AB761" i="2"/>
  <c r="AB762" i="2"/>
  <c r="AB763" i="2"/>
  <c r="AB764" i="2"/>
  <c r="AB765" i="2"/>
  <c r="AB766" i="2"/>
  <c r="AB767" i="2"/>
  <c r="AB768" i="2"/>
  <c r="AB769" i="2"/>
  <c r="AB770" i="2"/>
  <c r="AB771" i="2"/>
  <c r="AB772" i="2"/>
  <c r="AB773" i="2"/>
  <c r="AB774" i="2"/>
  <c r="AB775" i="2"/>
  <c r="AB776" i="2"/>
  <c r="AB777" i="2"/>
  <c r="AB778" i="2"/>
  <c r="AB779" i="2"/>
  <c r="AB780" i="2"/>
  <c r="AB781" i="2"/>
  <c r="AB782" i="2"/>
  <c r="AB783" i="2"/>
  <c r="AB784" i="2"/>
  <c r="AB785" i="2"/>
  <c r="AB786" i="2"/>
  <c r="AB787" i="2"/>
  <c r="AB788" i="2"/>
  <c r="AB789" i="2"/>
  <c r="AB790" i="2"/>
  <c r="AB791" i="2"/>
  <c r="AB792" i="2"/>
  <c r="AB793" i="2"/>
  <c r="AB794" i="2"/>
  <c r="AB795" i="2"/>
  <c r="AB796" i="2"/>
  <c r="AB797" i="2"/>
  <c r="AB798" i="2"/>
  <c r="AB799" i="2"/>
  <c r="AB800" i="2"/>
  <c r="AB801" i="2"/>
  <c r="AB802" i="2"/>
  <c r="AB803" i="2"/>
  <c r="AB804" i="2"/>
  <c r="AB805" i="2"/>
  <c r="AB806" i="2"/>
  <c r="AB807" i="2"/>
  <c r="AB808" i="2"/>
  <c r="AB809" i="2"/>
  <c r="AB810" i="2"/>
  <c r="AB811" i="2"/>
  <c r="AB812" i="2"/>
  <c r="AB813" i="2"/>
  <c r="AB814" i="2"/>
  <c r="AB815" i="2"/>
  <c r="AB816" i="2"/>
  <c r="AB817" i="2"/>
  <c r="AB818" i="2"/>
  <c r="AB819" i="2"/>
  <c r="AB820" i="2"/>
  <c r="AB821" i="2"/>
  <c r="AB822" i="2"/>
  <c r="AB823" i="2"/>
  <c r="AB824" i="2"/>
  <c r="AB825" i="2"/>
  <c r="AB826" i="2"/>
  <c r="AB827" i="2"/>
  <c r="AB828" i="2"/>
  <c r="AB829" i="2"/>
  <c r="AB830" i="2"/>
  <c r="AB831" i="2"/>
  <c r="AB832" i="2"/>
  <c r="AB833" i="2"/>
  <c r="AB834" i="2"/>
  <c r="AB835" i="2"/>
  <c r="AB836" i="2"/>
  <c r="AB837" i="2"/>
  <c r="AB838" i="2"/>
  <c r="AB839" i="2"/>
  <c r="AB840" i="2"/>
  <c r="AB841" i="2"/>
  <c r="AB842" i="2"/>
  <c r="AB843" i="2"/>
  <c r="AB844" i="2"/>
  <c r="AB845" i="2"/>
  <c r="AB846" i="2"/>
  <c r="AB847" i="2"/>
  <c r="AB848" i="2"/>
  <c r="AB849" i="2"/>
  <c r="AB850" i="2"/>
  <c r="AB851" i="2"/>
  <c r="AB852" i="2"/>
  <c r="AB853" i="2"/>
  <c r="AB854" i="2"/>
  <c r="AB855" i="2"/>
  <c r="AB856" i="2"/>
  <c r="AB857" i="2"/>
  <c r="AB858" i="2"/>
  <c r="AB859" i="2"/>
  <c r="AB860" i="2"/>
  <c r="AB861" i="2"/>
  <c r="AB862" i="2"/>
  <c r="AB863" i="2"/>
  <c r="AB864" i="2"/>
  <c r="AB865" i="2"/>
  <c r="AB866" i="2"/>
  <c r="AB867" i="2"/>
  <c r="AB868" i="2"/>
  <c r="AB869" i="2"/>
  <c r="AB870" i="2"/>
  <c r="AB871" i="2"/>
  <c r="AB872" i="2"/>
  <c r="AB873" i="2"/>
  <c r="AB874" i="2"/>
  <c r="AB875" i="2"/>
  <c r="AB876" i="2"/>
  <c r="AB877" i="2"/>
  <c r="AB878" i="2"/>
  <c r="AB879" i="2"/>
  <c r="AB880" i="2"/>
  <c r="AB881" i="2"/>
  <c r="AB882" i="2"/>
  <c r="AB883" i="2"/>
  <c r="AB884" i="2"/>
  <c r="AB885" i="2"/>
  <c r="AB886" i="2"/>
  <c r="AB887" i="2"/>
  <c r="AB888" i="2"/>
  <c r="AB889" i="2"/>
  <c r="AB890" i="2"/>
  <c r="AB891" i="2"/>
  <c r="AB892" i="2"/>
  <c r="AB893" i="2"/>
  <c r="AB894" i="2"/>
  <c r="AB895" i="2"/>
  <c r="AB896" i="2"/>
  <c r="AB897" i="2"/>
  <c r="AB898" i="2"/>
  <c r="AB899" i="2"/>
  <c r="AB900" i="2"/>
  <c r="AB901" i="2"/>
  <c r="AB902" i="2"/>
  <c r="AB903" i="2"/>
  <c r="AB904" i="2"/>
  <c r="AB905" i="2"/>
  <c r="AB906" i="2"/>
  <c r="AB907" i="2"/>
  <c r="AB908" i="2"/>
  <c r="AB909" i="2"/>
  <c r="AB910" i="2"/>
  <c r="AB911" i="2"/>
  <c r="AB912" i="2"/>
  <c r="AB913" i="2"/>
  <c r="AB914" i="2"/>
  <c r="AB915" i="2"/>
  <c r="AB916" i="2"/>
  <c r="AB917" i="2"/>
  <c r="AB918" i="2"/>
  <c r="AB919" i="2"/>
  <c r="AB920" i="2"/>
  <c r="AB921" i="2"/>
  <c r="AB922" i="2"/>
  <c r="AB923" i="2"/>
  <c r="AB924" i="2"/>
  <c r="AB925" i="2"/>
  <c r="AB926" i="2"/>
  <c r="AB927" i="2"/>
  <c r="AB928" i="2"/>
  <c r="AB929" i="2"/>
  <c r="AB930" i="2"/>
  <c r="AB931" i="2"/>
  <c r="AB932" i="2"/>
  <c r="AB933" i="2"/>
  <c r="AB934" i="2"/>
  <c r="AB935" i="2"/>
  <c r="AB936" i="2"/>
  <c r="AB937" i="2"/>
  <c r="AB938" i="2"/>
  <c r="AB939" i="2"/>
  <c r="AB940" i="2"/>
  <c r="AB941" i="2"/>
  <c r="AB942" i="2"/>
  <c r="AB943" i="2"/>
  <c r="AB944" i="2"/>
  <c r="AB945" i="2"/>
  <c r="AB946" i="2"/>
  <c r="AB947" i="2"/>
  <c r="AB948" i="2"/>
  <c r="AB949" i="2"/>
  <c r="AB950" i="2"/>
  <c r="AB951" i="2"/>
  <c r="AB952" i="2"/>
  <c r="AB953" i="2"/>
  <c r="AB954" i="2"/>
  <c r="AB955" i="2"/>
  <c r="AB956" i="2"/>
  <c r="AB957" i="2"/>
  <c r="AB958" i="2"/>
  <c r="AB959" i="2"/>
  <c r="AB960" i="2"/>
  <c r="AB961" i="2"/>
  <c r="AB962" i="2"/>
  <c r="AB963" i="2"/>
  <c r="AB964" i="2"/>
  <c r="AB965" i="2"/>
  <c r="AB966" i="2"/>
  <c r="AB967" i="2"/>
  <c r="AB968" i="2"/>
  <c r="AB969" i="2"/>
  <c r="AB970" i="2"/>
  <c r="AB971" i="2"/>
  <c r="AB972" i="2"/>
  <c r="AB973" i="2"/>
  <c r="AB974" i="2"/>
  <c r="AB975" i="2"/>
  <c r="AB976" i="2"/>
  <c r="AB977" i="2"/>
  <c r="AB978" i="2"/>
  <c r="AB979" i="2"/>
  <c r="AB980" i="2"/>
  <c r="AB981" i="2"/>
  <c r="AB982" i="2"/>
  <c r="AB983" i="2"/>
  <c r="AB984" i="2"/>
  <c r="AB985" i="2"/>
  <c r="AB986" i="2"/>
  <c r="AB987" i="2"/>
  <c r="AB988" i="2"/>
  <c r="AB989" i="2"/>
  <c r="AB990" i="2"/>
  <c r="AB991" i="2"/>
  <c r="AB992" i="2"/>
  <c r="AB993" i="2"/>
  <c r="AB994" i="2"/>
  <c r="AB995" i="2"/>
  <c r="AB996" i="2"/>
  <c r="AB997" i="2"/>
  <c r="AB998" i="2"/>
  <c r="AB999" i="2"/>
  <c r="AB1000" i="2"/>
  <c r="AB1001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73" i="2"/>
  <c r="AA974" i="2"/>
  <c r="AA975" i="2"/>
  <c r="AA976" i="2"/>
  <c r="AA977" i="2"/>
  <c r="AA978" i="2"/>
  <c r="AA979" i="2"/>
  <c r="AA980" i="2"/>
  <c r="AA981" i="2"/>
  <c r="AA982" i="2"/>
  <c r="AA983" i="2"/>
  <c r="AA984" i="2"/>
  <c r="AA985" i="2"/>
  <c r="AA986" i="2"/>
  <c r="AA987" i="2"/>
  <c r="AA988" i="2"/>
  <c r="AA989" i="2"/>
  <c r="AA990" i="2"/>
  <c r="AA991" i="2"/>
  <c r="AA992" i="2"/>
  <c r="AA993" i="2"/>
  <c r="AA994" i="2"/>
  <c r="AA995" i="2"/>
  <c r="AA996" i="2"/>
  <c r="AA997" i="2"/>
  <c r="AA998" i="2"/>
  <c r="AA999" i="2"/>
  <c r="AA1000" i="2"/>
  <c r="AA1001" i="2"/>
  <c r="B23" i="1"/>
  <c r="C23" i="1"/>
  <c r="C22" i="1"/>
  <c r="B22" i="1"/>
  <c r="C21" i="1"/>
  <c r="B21" i="1"/>
  <c r="C20" i="1"/>
  <c r="B20" i="1"/>
  <c r="B19" i="1"/>
  <c r="C19" i="1"/>
  <c r="B15" i="1" a="1"/>
  <c r="B15" i="1" s="1"/>
  <c r="B14" i="1"/>
  <c r="B4" i="1"/>
  <c r="C4" i="1" s="1"/>
  <c r="B5" i="1"/>
  <c r="C5" i="1" s="1"/>
  <c r="B6" i="1"/>
  <c r="C6" i="1" s="1"/>
  <c r="B11" i="1"/>
  <c r="C11" i="1" s="1"/>
  <c r="B10" i="1"/>
  <c r="C10" i="1" s="1"/>
  <c r="B9" i="1"/>
  <c r="C9" i="1" s="1"/>
  <c r="B7" i="1"/>
  <c r="C7" i="1" s="1"/>
  <c r="B8" i="1"/>
  <c r="C8" i="1" s="1"/>
  <c r="B3" i="1"/>
  <c r="C3" i="1" s="1"/>
  <c r="B16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5882CC-F838-4A47-B8E1-B8C8EBBB7D89}" keepAlive="1" name="Query - DACS19 - Pfizer’s Personalised Medicine(in)" description="Connection to the 'DACS19 - Pfizer’s Personalised Medicine(in)' query in the workbook." type="5" refreshedVersion="8" background="1" saveData="1">
    <dbPr connection="Provider=Microsoft.Mashup.OleDb.1;Data Source=$Workbook$;Location=&quot;DACS19 - Pfizer’s Personalised Medicine(in)&quot;;Extended Properties=&quot;&quot;" command="SELECT * FROM [DACS19 - Pfizer’s Personalised Medicine(in)]"/>
  </connection>
  <connection id="2" xr16:uid="{C6649654-4589-4658-B637-A4CFEB3B95B2}" keepAlive="1" name="Query - DACS19 - Pfizer’s Personalised Medicine(in) (2)" description="Connection to the 'DACS19 - Pfizer’s Personalised Medicine(in) (2)' query in the workbook." type="5" refreshedVersion="8" background="1" saveData="1">
    <dbPr connection="Provider=Microsoft.Mashup.OleDb.1;Data Source=$Workbook$;Location=&quot;DACS19 - Pfizer’s Personalised Medicine(in) (2)&quot;;Extended Properties=&quot;&quot;" command="SELECT * FROM [DACS19 - Pfizer’s Personalised Medicine(in)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<sst xmlns="http://schemas.openxmlformats.org/spreadsheetml/2006/main" count="37366" uniqueCount="2719">
  <si>
    <t>Patient_ID</t>
  </si>
  <si>
    <t>Age</t>
  </si>
  <si>
    <t>Gender</t>
  </si>
  <si>
    <t>Ethnicity</t>
  </si>
  <si>
    <t>Medical_History</t>
  </si>
  <si>
    <t>Genomic_Profile</t>
  </si>
  <si>
    <t>Trial_ID</t>
  </si>
  <si>
    <t>Drug_Name</t>
  </si>
  <si>
    <t>Trial_Phase</t>
  </si>
  <si>
    <t>Start_Date</t>
  </si>
  <si>
    <t>End_Date</t>
  </si>
  <si>
    <t>Dose</t>
  </si>
  <si>
    <t>Adverse_Events</t>
  </si>
  <si>
    <t>Treatment_ID</t>
  </si>
  <si>
    <t>Dose_Administered</t>
  </si>
  <si>
    <t>Treatment_Outcome</t>
  </si>
  <si>
    <t>Side_Effects</t>
  </si>
  <si>
    <t>Duration_of_Treatment</t>
  </si>
  <si>
    <t>Success_Indicator</t>
  </si>
  <si>
    <t>Gene_Name</t>
  </si>
  <si>
    <t>Mutation_Status</t>
  </si>
  <si>
    <t>Expression_Level</t>
  </si>
  <si>
    <t>Biomarker_Level</t>
  </si>
  <si>
    <t>Efficacy_Score</t>
  </si>
  <si>
    <t>Survival_Rate</t>
  </si>
  <si>
    <t>Progression_Free_Survival</t>
  </si>
  <si>
    <t>P001</t>
  </si>
  <si>
    <t>Male</t>
  </si>
  <si>
    <t>African American</t>
  </si>
  <si>
    <t>Heart Disease</t>
  </si>
  <si>
    <t>None</t>
  </si>
  <si>
    <t>T011</t>
  </si>
  <si>
    <t>DrugC</t>
  </si>
  <si>
    <t>Phase IV</t>
  </si>
  <si>
    <t>9/16/2023</t>
  </si>
  <si>
    <t>5/16/2024</t>
  </si>
  <si>
    <t>200mg</t>
  </si>
  <si>
    <t>Fatigue, Nausea</t>
  </si>
  <si>
    <t>TR0085</t>
  </si>
  <si>
    <t>Improved</t>
  </si>
  <si>
    <t>Headache</t>
  </si>
  <si>
    <t>BRCA2</t>
  </si>
  <si>
    <t>Positive</t>
  </si>
  <si>
    <t>P002</t>
  </si>
  <si>
    <t>Female</t>
  </si>
  <si>
    <t>Other</t>
  </si>
  <si>
    <t>Diabetes</t>
  </si>
  <si>
    <t>HER2 Mutation</t>
  </si>
  <si>
    <t>T014</t>
  </si>
  <si>
    <t>Phase I</t>
  </si>
  <si>
    <t>11/4/2022</t>
  </si>
  <si>
    <t>7/4/2023</t>
  </si>
  <si>
    <t>100mg</t>
  </si>
  <si>
    <t>None, Fatigue</t>
  </si>
  <si>
    <t>TR0002</t>
  </si>
  <si>
    <t>No Change</t>
  </si>
  <si>
    <t>HER2</t>
  </si>
  <si>
    <t>Negative</t>
  </si>
  <si>
    <t>P003</t>
  </si>
  <si>
    <t>TP53 Mutation</t>
  </si>
  <si>
    <t>T008</t>
  </si>
  <si>
    <t>DrugA</t>
  </si>
  <si>
    <t>5/6/2022</t>
  </si>
  <si>
    <t>5/6/2023</t>
  </si>
  <si>
    <t>150mg</t>
  </si>
  <si>
    <t>Nausea, None, Fatigue</t>
  </si>
  <si>
    <t>TR0158</t>
  </si>
  <si>
    <t>Fatigue</t>
  </si>
  <si>
    <t>P004</t>
  </si>
  <si>
    <t>EGFR Mutation</t>
  </si>
  <si>
    <t>T016</t>
  </si>
  <si>
    <t>DrugB</t>
  </si>
  <si>
    <t>Phase II</t>
  </si>
  <si>
    <t>2/17/2023</t>
  </si>
  <si>
    <t>3/17/2024</t>
  </si>
  <si>
    <t>Dizziness</t>
  </si>
  <si>
    <t>TR0029</t>
  </si>
  <si>
    <t>P005</t>
  </si>
  <si>
    <t>Asthma</t>
  </si>
  <si>
    <t>BRCA2 Mutation</t>
  </si>
  <si>
    <t>T019</t>
  </si>
  <si>
    <t>DrugD</t>
  </si>
  <si>
    <t>8/26/2023</t>
  </si>
  <si>
    <t>2/26/2024</t>
  </si>
  <si>
    <t>TR0107</t>
  </si>
  <si>
    <t>EGFR</t>
  </si>
  <si>
    <t>P006</t>
  </si>
  <si>
    <t>Caucasian</t>
  </si>
  <si>
    <t>BRCA1 Mutation</t>
  </si>
  <si>
    <t>T007</t>
  </si>
  <si>
    <t>6/23/2022</t>
  </si>
  <si>
    <t>1/23/2023</t>
  </si>
  <si>
    <t>50mg</t>
  </si>
  <si>
    <t>TR0009</t>
  </si>
  <si>
    <t>P007</t>
  </si>
  <si>
    <t>Hispanic</t>
  </si>
  <si>
    <t>T005</t>
  </si>
  <si>
    <t>9/13/2020</t>
  </si>
  <si>
    <t>11/13/2021</t>
  </si>
  <si>
    <t>Fatigue, Nausea, Headache</t>
  </si>
  <si>
    <t>TR0077</t>
  </si>
  <si>
    <t>P008</t>
  </si>
  <si>
    <t>T004</t>
  </si>
  <si>
    <t>1/8/2023</t>
  </si>
  <si>
    <t>10/8/2023</t>
  </si>
  <si>
    <t>P009</t>
  </si>
  <si>
    <t>Asian</t>
  </si>
  <si>
    <t>6/19/2023</t>
  </si>
  <si>
    <t>9/19/2024</t>
  </si>
  <si>
    <t>TR0037</t>
  </si>
  <si>
    <t>Deteriorated</t>
  </si>
  <si>
    <t>P010</t>
  </si>
  <si>
    <t>T006</t>
  </si>
  <si>
    <t>6/21/2019</t>
  </si>
  <si>
    <t>10/21/2020</t>
  </si>
  <si>
    <t>None, Headache, Fatigue</t>
  </si>
  <si>
    <t>TR0039</t>
  </si>
  <si>
    <t>P011</t>
  </si>
  <si>
    <t>T002</t>
  </si>
  <si>
    <t>9/5/2023</t>
  </si>
  <si>
    <t>9/5/2024</t>
  </si>
  <si>
    <t>Fatigue, None</t>
  </si>
  <si>
    <t>TR0166</t>
  </si>
  <si>
    <t>BRCA1</t>
  </si>
  <si>
    <t>P012</t>
  </si>
  <si>
    <t>T003</t>
  </si>
  <si>
    <t>4/28/2022</t>
  </si>
  <si>
    <t>3/28/2023</t>
  </si>
  <si>
    <t>TR0049</t>
  </si>
  <si>
    <t>Nausea</t>
  </si>
  <si>
    <t>P013</t>
  </si>
  <si>
    <t>T013</t>
  </si>
  <si>
    <t>Phase III</t>
  </si>
  <si>
    <t>5/12/2021</t>
  </si>
  <si>
    <t>7/12/2022</t>
  </si>
  <si>
    <t>Nausea, Headache</t>
  </si>
  <si>
    <t>TR0195</t>
  </si>
  <si>
    <t>TP53</t>
  </si>
  <si>
    <t>P014</t>
  </si>
  <si>
    <t>4/11/2020</t>
  </si>
  <si>
    <t>1/11/2021</t>
  </si>
  <si>
    <t>Fatigue, Headache, None</t>
  </si>
  <si>
    <t>TR0168</t>
  </si>
  <si>
    <t>P015</t>
  </si>
  <si>
    <t>1/27/2023</t>
  </si>
  <si>
    <t>8/27/2023</t>
  </si>
  <si>
    <t>TR0036</t>
  </si>
  <si>
    <t>P016</t>
  </si>
  <si>
    <t>9/18/2019</t>
  </si>
  <si>
    <t>9/18/2020</t>
  </si>
  <si>
    <t>TR0185</t>
  </si>
  <si>
    <t>P017</t>
  </si>
  <si>
    <t>T020</t>
  </si>
  <si>
    <t>7/3/2021</t>
  </si>
  <si>
    <t>6/3/2022</t>
  </si>
  <si>
    <t>Dizziness, Fatigue</t>
  </si>
  <si>
    <t>TR0179</t>
  </si>
  <si>
    <t>P018</t>
  </si>
  <si>
    <t>11/26/2022</t>
  </si>
  <si>
    <t>10/26/2023</t>
  </si>
  <si>
    <t>Nausea, Fatigue, Dizziness</t>
  </si>
  <si>
    <t>TR0178</t>
  </si>
  <si>
    <t>P019</t>
  </si>
  <si>
    <t>Hypertension</t>
  </si>
  <si>
    <t>T001</t>
  </si>
  <si>
    <t>2/10/2022</t>
  </si>
  <si>
    <t>10/10/2022</t>
  </si>
  <si>
    <t>Headache, None, Fatigue</t>
  </si>
  <si>
    <t>TR0194</t>
  </si>
  <si>
    <t>P020</t>
  </si>
  <si>
    <t>11/9/2019</t>
  </si>
  <si>
    <t>5/9/2021</t>
  </si>
  <si>
    <t>TR0142</t>
  </si>
  <si>
    <t>P021</t>
  </si>
  <si>
    <t>12/26/2022</t>
  </si>
  <si>
    <t>4/26/2024</t>
  </si>
  <si>
    <t>TR0028</t>
  </si>
  <si>
    <t>P022</t>
  </si>
  <si>
    <t>T018</t>
  </si>
  <si>
    <t>2/12/2019</t>
  </si>
  <si>
    <t>4/12/2020</t>
  </si>
  <si>
    <t>Dizziness, None, Fatigue</t>
  </si>
  <si>
    <t>TR0004</t>
  </si>
  <si>
    <t>P023</t>
  </si>
  <si>
    <t>T009</t>
  </si>
  <si>
    <t>3/14/2019</t>
  </si>
  <si>
    <t>1/14/2020</t>
  </si>
  <si>
    <t>Headache, Nausea</t>
  </si>
  <si>
    <t>TR0093</t>
  </si>
  <si>
    <t>P024</t>
  </si>
  <si>
    <t>6/14/2022</t>
  </si>
  <si>
    <t>10/14/2023</t>
  </si>
  <si>
    <t>TR0123</t>
  </si>
  <si>
    <t>P025</t>
  </si>
  <si>
    <t>T012</t>
  </si>
  <si>
    <t>9/6/2023</t>
  </si>
  <si>
    <t>1/6/2025</t>
  </si>
  <si>
    <t>Headache, Fatigue, Dizziness</t>
  </si>
  <si>
    <t>TR0075</t>
  </si>
  <si>
    <t>P026</t>
  </si>
  <si>
    <t>8/19/2023</t>
  </si>
  <si>
    <t>8/19/2024</t>
  </si>
  <si>
    <t>Nausea, None, Headache</t>
  </si>
  <si>
    <t>TR0138</t>
  </si>
  <si>
    <t>P027</t>
  </si>
  <si>
    <t>1/4/2019</t>
  </si>
  <si>
    <t>11/4/2019</t>
  </si>
  <si>
    <t>Dizziness, Fatigue, Headache</t>
  </si>
  <si>
    <t>TR0096</t>
  </si>
  <si>
    <t>P028</t>
  </si>
  <si>
    <t>6/15/2021</t>
  </si>
  <si>
    <t>12/15/2022</t>
  </si>
  <si>
    <t>TR0025</t>
  </si>
  <si>
    <t>P029</t>
  </si>
  <si>
    <t>3/18/2023</t>
  </si>
  <si>
    <t>11/18/2023</t>
  </si>
  <si>
    <t>Headache, Dizziness, Nausea</t>
  </si>
  <si>
    <t>TR0104</t>
  </si>
  <si>
    <t>P030</t>
  </si>
  <si>
    <t>5/25/2020</t>
  </si>
  <si>
    <t>10/25/2021</t>
  </si>
  <si>
    <t>Nausea, Fatigue, Headache</t>
  </si>
  <si>
    <t>TR0084</t>
  </si>
  <si>
    <t>P031</t>
  </si>
  <si>
    <t>8/20/2021</t>
  </si>
  <si>
    <t>4/20/2022</t>
  </si>
  <si>
    <t>Dizziness, Nausea, None</t>
  </si>
  <si>
    <t>TR0035</t>
  </si>
  <si>
    <t>P032</t>
  </si>
  <si>
    <t>8/21/2020</t>
  </si>
  <si>
    <t>10/21/2021</t>
  </si>
  <si>
    <t>Fatigue, Headache, Dizziness</t>
  </si>
  <si>
    <t>P033</t>
  </si>
  <si>
    <t>7/23/2022</t>
  </si>
  <si>
    <t>8/23/2023</t>
  </si>
  <si>
    <t>TR0145</t>
  </si>
  <si>
    <t>P034</t>
  </si>
  <si>
    <t>2/9/2023</t>
  </si>
  <si>
    <t>8/9/2024</t>
  </si>
  <si>
    <t>Nausea, Headache, None</t>
  </si>
  <si>
    <t>TR0056</t>
  </si>
  <si>
    <t>P035</t>
  </si>
  <si>
    <t>11/14/2023</t>
  </si>
  <si>
    <t>7/14/2024</t>
  </si>
  <si>
    <t>TR0016</t>
  </si>
  <si>
    <t>P036</t>
  </si>
  <si>
    <t>T017</t>
  </si>
  <si>
    <t>1/9/2022</t>
  </si>
  <si>
    <t>5/9/2023</t>
  </si>
  <si>
    <t>Fatigue, Dizziness, Nausea</t>
  </si>
  <si>
    <t>TR0183</t>
  </si>
  <si>
    <t>P037</t>
  </si>
  <si>
    <t>8/11/2022</t>
  </si>
  <si>
    <t>11/11/2023</t>
  </si>
  <si>
    <t>TR0171</t>
  </si>
  <si>
    <t>P038</t>
  </si>
  <si>
    <t>11/25/2021</t>
  </si>
  <si>
    <t>5/25/2022</t>
  </si>
  <si>
    <t>TR0005</t>
  </si>
  <si>
    <t>P039</t>
  </si>
  <si>
    <t>6/22/2019</t>
  </si>
  <si>
    <t>10/22/2020</t>
  </si>
  <si>
    <t>TR0161</t>
  </si>
  <si>
    <t>P040</t>
  </si>
  <si>
    <t>12/11/2019</t>
  </si>
  <si>
    <t>7/11/2020</t>
  </si>
  <si>
    <t>Fatigue, Headache, Nausea</t>
  </si>
  <si>
    <t>TR0059</t>
  </si>
  <si>
    <t>P041</t>
  </si>
  <si>
    <t>10/1/2023</t>
  </si>
  <si>
    <t>1/1/2025</t>
  </si>
  <si>
    <t>P042</t>
  </si>
  <si>
    <t>6/26/2022</t>
  </si>
  <si>
    <t>2/26/2023</t>
  </si>
  <si>
    <t>Nausea, Fatigue</t>
  </si>
  <si>
    <t>P043</t>
  </si>
  <si>
    <t>T010</t>
  </si>
  <si>
    <t>7/4/2022</t>
  </si>
  <si>
    <t>4/4/2023</t>
  </si>
  <si>
    <t>P044</t>
  </si>
  <si>
    <t>5/7/2019</t>
  </si>
  <si>
    <t>11/7/2019</t>
  </si>
  <si>
    <t>Dizziness, None</t>
  </si>
  <si>
    <t>P045</t>
  </si>
  <si>
    <t>9/7/2019</t>
  </si>
  <si>
    <t>3/7/2021</t>
  </si>
  <si>
    <t>None, Headache, Dizziness</t>
  </si>
  <si>
    <t>TR0163</t>
  </si>
  <si>
    <t>P046</t>
  </si>
  <si>
    <t>2/1/2020</t>
  </si>
  <si>
    <t>7/1/2021</t>
  </si>
  <si>
    <t>TR0089</t>
  </si>
  <si>
    <t>P047</t>
  </si>
  <si>
    <t>9/3/2021</t>
  </si>
  <si>
    <t>7/3/2022</t>
  </si>
  <si>
    <t>Headache, None</t>
  </si>
  <si>
    <t>TR0015</t>
  </si>
  <si>
    <t>P048</t>
  </si>
  <si>
    <t>1/16/2020</t>
  </si>
  <si>
    <t>12/16/2020</t>
  </si>
  <si>
    <t>TR0010</t>
  </si>
  <si>
    <t>P049</t>
  </si>
  <si>
    <t>11/2/2023</t>
  </si>
  <si>
    <t>7/2/2024</t>
  </si>
  <si>
    <t>Nausea, Headache, Dizziness</t>
  </si>
  <si>
    <t>TR0120</t>
  </si>
  <si>
    <t>P050</t>
  </si>
  <si>
    <t>10/16/2021</t>
  </si>
  <si>
    <t>4/16/2023</t>
  </si>
  <si>
    <t>Dizziness, Fatigue, Nausea</t>
  </si>
  <si>
    <t>P051</t>
  </si>
  <si>
    <t>4/14/2023</t>
  </si>
  <si>
    <t>5/14/2024</t>
  </si>
  <si>
    <t>TR0024</t>
  </si>
  <si>
    <t>P052</t>
  </si>
  <si>
    <t>11/5/2022</t>
  </si>
  <si>
    <t>8/5/2023</t>
  </si>
  <si>
    <t>None, Headache</t>
  </si>
  <si>
    <t>TR0180</t>
  </si>
  <si>
    <t>P053</t>
  </si>
  <si>
    <t>3/15/2019</t>
  </si>
  <si>
    <t>4/15/2020</t>
  </si>
  <si>
    <t>Nausea, None</t>
  </si>
  <si>
    <t>TR0198</t>
  </si>
  <si>
    <t>P054</t>
  </si>
  <si>
    <t>3/3/2021</t>
  </si>
  <si>
    <t>8/3/2022</t>
  </si>
  <si>
    <t>TR0174</t>
  </si>
  <si>
    <t>P055</t>
  </si>
  <si>
    <t>4/5/2019</t>
  </si>
  <si>
    <t>1/5/2020</t>
  </si>
  <si>
    <t>TR0020</t>
  </si>
  <si>
    <t>P056</t>
  </si>
  <si>
    <t>8/1/2022</t>
  </si>
  <si>
    <t>8/1/2023</t>
  </si>
  <si>
    <t>TR0055</t>
  </si>
  <si>
    <t>P057</t>
  </si>
  <si>
    <t>2/9/2019</t>
  </si>
  <si>
    <t>2/9/2020</t>
  </si>
  <si>
    <t>Fatigue, Dizziness</t>
  </si>
  <si>
    <t>TR0162</t>
  </si>
  <si>
    <t>P058</t>
  </si>
  <si>
    <t>4/1/2023</t>
  </si>
  <si>
    <t>10/1/2024</t>
  </si>
  <si>
    <t>TR0136</t>
  </si>
  <si>
    <t>P059</t>
  </si>
  <si>
    <t>3/6/2021</t>
  </si>
  <si>
    <t>12/6/2021</t>
  </si>
  <si>
    <t>None, Nausea, Dizziness</t>
  </si>
  <si>
    <t>P060</t>
  </si>
  <si>
    <t>9/16/2019</t>
  </si>
  <si>
    <t>3/16/2020</t>
  </si>
  <si>
    <t>Fatigue, Dizziness, Headache</t>
  </si>
  <si>
    <t>TR0184</t>
  </si>
  <si>
    <t>P061</t>
  </si>
  <si>
    <t>5/11/2021</t>
  </si>
  <si>
    <t>1/11/2022</t>
  </si>
  <si>
    <t>Headache, Dizziness, None</t>
  </si>
  <si>
    <t>TR0082</t>
  </si>
  <si>
    <t>P062</t>
  </si>
  <si>
    <t>10/11/2020</t>
  </si>
  <si>
    <t>4/11/2022</t>
  </si>
  <si>
    <t>Dizziness, Nausea, Fatigue</t>
  </si>
  <si>
    <t>P063</t>
  </si>
  <si>
    <t>5/26/2021</t>
  </si>
  <si>
    <t>12/26/2021</t>
  </si>
  <si>
    <t>TR0113</t>
  </si>
  <si>
    <t>P064</t>
  </si>
  <si>
    <t>2/26/2022</t>
  </si>
  <si>
    <t>8/26/2022</t>
  </si>
  <si>
    <t>TR0067</t>
  </si>
  <si>
    <t>P065</t>
  </si>
  <si>
    <t>7/21/2019</t>
  </si>
  <si>
    <t>3/21/2020</t>
  </si>
  <si>
    <t>TR0026</t>
  </si>
  <si>
    <t>P066</t>
  </si>
  <si>
    <t>6/1/2019</t>
  </si>
  <si>
    <t>6/1/2020</t>
  </si>
  <si>
    <t>Dizziness, Headache</t>
  </si>
  <si>
    <t>TR0052</t>
  </si>
  <si>
    <t>P067</t>
  </si>
  <si>
    <t>11/18/2019</t>
  </si>
  <si>
    <t>11/18/2020</t>
  </si>
  <si>
    <t>TR0048</t>
  </si>
  <si>
    <t>P068</t>
  </si>
  <si>
    <t>4/18/2023</t>
  </si>
  <si>
    <t>10/18/2023</t>
  </si>
  <si>
    <t>TR0061</t>
  </si>
  <si>
    <t>P069</t>
  </si>
  <si>
    <t>3/6/2022</t>
  </si>
  <si>
    <t>12/6/2022</t>
  </si>
  <si>
    <t>TR0109</t>
  </si>
  <si>
    <t>P070</t>
  </si>
  <si>
    <t>8/28/2023</t>
  </si>
  <si>
    <t>2/28/2024</t>
  </si>
  <si>
    <t>P071</t>
  </si>
  <si>
    <t>11/16/2022</t>
  </si>
  <si>
    <t>2/16/2024</t>
  </si>
  <si>
    <t>TR0071</t>
  </si>
  <si>
    <t>P072</t>
  </si>
  <si>
    <t>5/10/2021</t>
  </si>
  <si>
    <t>3/10/2022</t>
  </si>
  <si>
    <t>P073</t>
  </si>
  <si>
    <t>9/26/2019</t>
  </si>
  <si>
    <t>5/26/2020</t>
  </si>
  <si>
    <t>P074</t>
  </si>
  <si>
    <t>9/13/2022</t>
  </si>
  <si>
    <t>1/13/2024</t>
  </si>
  <si>
    <t>TR0126</t>
  </si>
  <si>
    <t>P075</t>
  </si>
  <si>
    <t>11/8/2020</t>
  </si>
  <si>
    <t>3/8/2022</t>
  </si>
  <si>
    <t>TR0200</t>
  </si>
  <si>
    <t>P076</t>
  </si>
  <si>
    <t>6/15/2022</t>
  </si>
  <si>
    <t>4/15/2023</t>
  </si>
  <si>
    <t>TR0150</t>
  </si>
  <si>
    <t>P077</t>
  </si>
  <si>
    <t>4/5/2021</t>
  </si>
  <si>
    <t>6/5/2022</t>
  </si>
  <si>
    <t>P078</t>
  </si>
  <si>
    <t>3/18/2022</t>
  </si>
  <si>
    <t>None, Dizziness, Nausea</t>
  </si>
  <si>
    <t>TR0169</t>
  </si>
  <si>
    <t>P079</t>
  </si>
  <si>
    <t>6/8/2020</t>
  </si>
  <si>
    <t>11/8/2021</t>
  </si>
  <si>
    <t>None, Dizziness</t>
  </si>
  <si>
    <t>P080</t>
  </si>
  <si>
    <t>2/28/2023</t>
  </si>
  <si>
    <t>6/28/2024</t>
  </si>
  <si>
    <t>None, Headache, Nausea</t>
  </si>
  <si>
    <t>P081</t>
  </si>
  <si>
    <t>5/7/2022</t>
  </si>
  <si>
    <t>11/7/2023</t>
  </si>
  <si>
    <t>TR0034</t>
  </si>
  <si>
    <t>P082</t>
  </si>
  <si>
    <t>8/1/2024</t>
  </si>
  <si>
    <t>Fatigue, Dizziness, None</t>
  </si>
  <si>
    <t>P083</t>
  </si>
  <si>
    <t>T015</t>
  </si>
  <si>
    <t>6/16/2020</t>
  </si>
  <si>
    <t>5/16/2021</t>
  </si>
  <si>
    <t>P084</t>
  </si>
  <si>
    <t>10/2/2023</t>
  </si>
  <si>
    <t>1/2/2025</t>
  </si>
  <si>
    <t>Nausea, Dizziness, Headache</t>
  </si>
  <si>
    <t>TR0177</t>
  </si>
  <si>
    <t>P085</t>
  </si>
  <si>
    <t>11/17/2019</t>
  </si>
  <si>
    <t>9/17/2020</t>
  </si>
  <si>
    <t>Nausea, Dizziness</t>
  </si>
  <si>
    <t>TR0073</t>
  </si>
  <si>
    <t>P086</t>
  </si>
  <si>
    <t>8/7/2023</t>
  </si>
  <si>
    <t>1/7/2025</t>
  </si>
  <si>
    <t>P087</t>
  </si>
  <si>
    <t>5/9/2022</t>
  </si>
  <si>
    <t>6/9/2023</t>
  </si>
  <si>
    <t>TR0011</t>
  </si>
  <si>
    <t>P088</t>
  </si>
  <si>
    <t>10/9/2022</t>
  </si>
  <si>
    <t>3/9/2024</t>
  </si>
  <si>
    <t>TR0030</t>
  </si>
  <si>
    <t>P089</t>
  </si>
  <si>
    <t>11/26/2024</t>
  </si>
  <si>
    <t>TR0098</t>
  </si>
  <si>
    <t>P090</t>
  </si>
  <si>
    <t>9/17/2021</t>
  </si>
  <si>
    <t>Fatigue, Headache</t>
  </si>
  <si>
    <t>P091</t>
  </si>
  <si>
    <t>6/8/2022</t>
  </si>
  <si>
    <t>5/8/2023</t>
  </si>
  <si>
    <t>TR0058</t>
  </si>
  <si>
    <t>P092</t>
  </si>
  <si>
    <t>12/21/2022</t>
  </si>
  <si>
    <t>6/21/2023</t>
  </si>
  <si>
    <t>TR0143</t>
  </si>
  <si>
    <t>P093</t>
  </si>
  <si>
    <t>6/18/2022</t>
  </si>
  <si>
    <t>12/18/2023</t>
  </si>
  <si>
    <t>P094</t>
  </si>
  <si>
    <t>12/24/2020</t>
  </si>
  <si>
    <t>5/24/2022</t>
  </si>
  <si>
    <t>TR0157</t>
  </si>
  <si>
    <t>P095</t>
  </si>
  <si>
    <t>11/19/2022</t>
  </si>
  <si>
    <t>1/19/2024</t>
  </si>
  <si>
    <t>P096</t>
  </si>
  <si>
    <t>10/23/2022</t>
  </si>
  <si>
    <t>4/23/2024</t>
  </si>
  <si>
    <t>TR0076</t>
  </si>
  <si>
    <t>P097</t>
  </si>
  <si>
    <t>2/18/2022</t>
  </si>
  <si>
    <t>P098</t>
  </si>
  <si>
    <t>3/10/2021</t>
  </si>
  <si>
    <t>7/10/2022</t>
  </si>
  <si>
    <t>P099</t>
  </si>
  <si>
    <t>12/10/2023</t>
  </si>
  <si>
    <t>5/10/2025</t>
  </si>
  <si>
    <t>Headache, Dizziness</t>
  </si>
  <si>
    <t>TR0176</t>
  </si>
  <si>
    <t>P100</t>
  </si>
  <si>
    <t>8/6/2021</t>
  </si>
  <si>
    <t>TR0189</t>
  </si>
  <si>
    <t>P101</t>
  </si>
  <si>
    <t>12/5/2020</t>
  </si>
  <si>
    <t>TR0147</t>
  </si>
  <si>
    <t>P102</t>
  </si>
  <si>
    <t>4/7/2021</t>
  </si>
  <si>
    <t>8/7/2022</t>
  </si>
  <si>
    <t>P103</t>
  </si>
  <si>
    <t>7/26/2021</t>
  </si>
  <si>
    <t>TR0007</t>
  </si>
  <si>
    <t>P104</t>
  </si>
  <si>
    <t>4/22/2019</t>
  </si>
  <si>
    <t>8/22/2020</t>
  </si>
  <si>
    <t>Headache, Nausea, Dizziness</t>
  </si>
  <si>
    <t>P105</t>
  </si>
  <si>
    <t>4/9/2023</t>
  </si>
  <si>
    <t>4/9/2024</t>
  </si>
  <si>
    <t>TR0081</t>
  </si>
  <si>
    <t>P106</t>
  </si>
  <si>
    <t>11/10/2021</t>
  </si>
  <si>
    <t>2/10/2023</t>
  </si>
  <si>
    <t>TR0102</t>
  </si>
  <si>
    <t>P107</t>
  </si>
  <si>
    <t>4/5/2024</t>
  </si>
  <si>
    <t>TR0153</t>
  </si>
  <si>
    <t>P108</t>
  </si>
  <si>
    <t>10/27/2020</t>
  </si>
  <si>
    <t>8/27/2021</t>
  </si>
  <si>
    <t>TR0172</t>
  </si>
  <si>
    <t>P109</t>
  </si>
  <si>
    <t>11/21/2020</t>
  </si>
  <si>
    <t>8/21/2021</t>
  </si>
  <si>
    <t>Dizziness, Nausea</t>
  </si>
  <si>
    <t>TR0050</t>
  </si>
  <si>
    <t>P110</t>
  </si>
  <si>
    <t>4/26/2021</t>
  </si>
  <si>
    <t>1/26/2022</t>
  </si>
  <si>
    <t>P111</t>
  </si>
  <si>
    <t>9/9/2024</t>
  </si>
  <si>
    <t>Nausea, Dizziness, None</t>
  </si>
  <si>
    <t>P112</t>
  </si>
  <si>
    <t>7/8/2021</t>
  </si>
  <si>
    <t>TR0129</t>
  </si>
  <si>
    <t>P113</t>
  </si>
  <si>
    <t>1/8/2021</t>
  </si>
  <si>
    <t>7/8/2022</t>
  </si>
  <si>
    <t>TR0068</t>
  </si>
  <si>
    <t>P114</t>
  </si>
  <si>
    <t>9/19/2023</t>
  </si>
  <si>
    <t>5/19/2024</t>
  </si>
  <si>
    <t>Headache, None, Dizziness</t>
  </si>
  <si>
    <t>P115</t>
  </si>
  <si>
    <t>10/8/2022</t>
  </si>
  <si>
    <t>P116</t>
  </si>
  <si>
    <t>1/8/2022</t>
  </si>
  <si>
    <t>P117</t>
  </si>
  <si>
    <t>4/15/2019</t>
  </si>
  <si>
    <t>7/15/2020</t>
  </si>
  <si>
    <t>TR0106</t>
  </si>
  <si>
    <t>P118</t>
  </si>
  <si>
    <t>3/4/2022</t>
  </si>
  <si>
    <t>9/4/2022</t>
  </si>
  <si>
    <t>Dizziness, Headache, Nausea</t>
  </si>
  <si>
    <t>TR0156</t>
  </si>
  <si>
    <t>P119</t>
  </si>
  <si>
    <t>7/12/2023</t>
  </si>
  <si>
    <t>1/12/2024</t>
  </si>
  <si>
    <t>TR0197</t>
  </si>
  <si>
    <t>P120</t>
  </si>
  <si>
    <t>4/1/2021</t>
  </si>
  <si>
    <t>9/1/2022</t>
  </si>
  <si>
    <t>P121</t>
  </si>
  <si>
    <t>4/14/2022</t>
  </si>
  <si>
    <t>6/14/2023</t>
  </si>
  <si>
    <t>TR0144</t>
  </si>
  <si>
    <t>P122</t>
  </si>
  <si>
    <t>3/13/2022</t>
  </si>
  <si>
    <t>Dizziness, Nausea, Headache</t>
  </si>
  <si>
    <t>TR0100</t>
  </si>
  <si>
    <t>P123</t>
  </si>
  <si>
    <t>10/21/2022</t>
  </si>
  <si>
    <t>12/21/2023</t>
  </si>
  <si>
    <t>TR0164</t>
  </si>
  <si>
    <t>P124</t>
  </si>
  <si>
    <t>4/21/2021</t>
  </si>
  <si>
    <t>P125</t>
  </si>
  <si>
    <t>4/20/2021</t>
  </si>
  <si>
    <t>1/20/2022</t>
  </si>
  <si>
    <t>P126</t>
  </si>
  <si>
    <t>10/16/2022</t>
  </si>
  <si>
    <t>4/16/2024</t>
  </si>
  <si>
    <t>TR0151</t>
  </si>
  <si>
    <t>P127</t>
  </si>
  <si>
    <t>4/10/2021</t>
  </si>
  <si>
    <t>TR0046</t>
  </si>
  <si>
    <t>P128</t>
  </si>
  <si>
    <t>4/7/2020</t>
  </si>
  <si>
    <t>1/7/2021</t>
  </si>
  <si>
    <t>TR0031</t>
  </si>
  <si>
    <t>P129</t>
  </si>
  <si>
    <t>5/13/2023</t>
  </si>
  <si>
    <t>2/13/2024</t>
  </si>
  <si>
    <t>P130</t>
  </si>
  <si>
    <t>1/22/2019</t>
  </si>
  <si>
    <t>10/22/2019</t>
  </si>
  <si>
    <t>P131</t>
  </si>
  <si>
    <t>6/28/2021</t>
  </si>
  <si>
    <t>6/28/2022</t>
  </si>
  <si>
    <t>TR0148</t>
  </si>
  <si>
    <t>P132</t>
  </si>
  <si>
    <t>7/16/2020</t>
  </si>
  <si>
    <t>3/16/2021</t>
  </si>
  <si>
    <t>P133</t>
  </si>
  <si>
    <t>6/12/2021</t>
  </si>
  <si>
    <t>8/12/2022</t>
  </si>
  <si>
    <t>TR0032</t>
  </si>
  <si>
    <t>P134</t>
  </si>
  <si>
    <t>7/5/2023</t>
  </si>
  <si>
    <t>TR0019</t>
  </si>
  <si>
    <t>P135</t>
  </si>
  <si>
    <t>12/19/2021</t>
  </si>
  <si>
    <t>2/19/2023</t>
  </si>
  <si>
    <t>TR0006</t>
  </si>
  <si>
    <t>P136</t>
  </si>
  <si>
    <t>9/25/2022</t>
  </si>
  <si>
    <t>4/25/2023</t>
  </si>
  <si>
    <t>TR0022</t>
  </si>
  <si>
    <t>P137</t>
  </si>
  <si>
    <t>7/28/2022</t>
  </si>
  <si>
    <t>P138</t>
  </si>
  <si>
    <t>5/12/2022</t>
  </si>
  <si>
    <t>5/12/2023</t>
  </si>
  <si>
    <t>TR0003</t>
  </si>
  <si>
    <t>P139</t>
  </si>
  <si>
    <t>5/20/2022</t>
  </si>
  <si>
    <t>2/20/2023</t>
  </si>
  <si>
    <t>None, Fatigue, Headache</t>
  </si>
  <si>
    <t>P140</t>
  </si>
  <si>
    <t>5/14/2023</t>
  </si>
  <si>
    <t>2/14/2024</t>
  </si>
  <si>
    <t>P141</t>
  </si>
  <si>
    <t>5/5/2021</t>
  </si>
  <si>
    <t>10/5/2022</t>
  </si>
  <si>
    <t>P142</t>
  </si>
  <si>
    <t>1/9/2020</t>
  </si>
  <si>
    <t>7/9/2021</t>
  </si>
  <si>
    <t>TR0121</t>
  </si>
  <si>
    <t>P143</t>
  </si>
  <si>
    <t>8/24/2020</t>
  </si>
  <si>
    <t>2/24/2022</t>
  </si>
  <si>
    <t>TR0175</t>
  </si>
  <si>
    <t>P144</t>
  </si>
  <si>
    <t>6/1/2022</t>
  </si>
  <si>
    <t>2/1/2023</t>
  </si>
  <si>
    <t>P145</t>
  </si>
  <si>
    <t>11/5/2021</t>
  </si>
  <si>
    <t>4/5/2023</t>
  </si>
  <si>
    <t>TR0060</t>
  </si>
  <si>
    <t>P146</t>
  </si>
  <si>
    <t>9/10/2022</t>
  </si>
  <si>
    <t>11/10/2023</t>
  </si>
  <si>
    <t>P147</t>
  </si>
  <si>
    <t>11/17/2020</t>
  </si>
  <si>
    <t>TR0094</t>
  </si>
  <si>
    <t>P148</t>
  </si>
  <si>
    <t>2/17/2019</t>
  </si>
  <si>
    <t>6/17/2020</t>
  </si>
  <si>
    <t>P149</t>
  </si>
  <si>
    <t>9/20/2022</t>
  </si>
  <si>
    <t>P150</t>
  </si>
  <si>
    <t>9/4/2020</t>
  </si>
  <si>
    <t>4/4/2021</t>
  </si>
  <si>
    <t>Headache, Fatigue, Nausea</t>
  </si>
  <si>
    <t>TR0135</t>
  </si>
  <si>
    <t>P151</t>
  </si>
  <si>
    <t>P152</t>
  </si>
  <si>
    <t>8/13/2022</t>
  </si>
  <si>
    <t>2/13/2023</t>
  </si>
  <si>
    <t>TR0133</t>
  </si>
  <si>
    <t>P153</t>
  </si>
  <si>
    <t>8/12/2019</t>
  </si>
  <si>
    <t>P154</t>
  </si>
  <si>
    <t>5/10/2024</t>
  </si>
  <si>
    <t>P155</t>
  </si>
  <si>
    <t>1/11/2023</t>
  </si>
  <si>
    <t>3/11/2024</t>
  </si>
  <si>
    <t>TR0040</t>
  </si>
  <si>
    <t>P156</t>
  </si>
  <si>
    <t>7/9/2023</t>
  </si>
  <si>
    <t>2/9/2024</t>
  </si>
  <si>
    <t>TR0124</t>
  </si>
  <si>
    <t>P157</t>
  </si>
  <si>
    <t>6/12/2023</t>
  </si>
  <si>
    <t>None, Nausea</t>
  </si>
  <si>
    <t>P158</t>
  </si>
  <si>
    <t>4/20/2019</t>
  </si>
  <si>
    <t>12/20/2019</t>
  </si>
  <si>
    <t>P159</t>
  </si>
  <si>
    <t>7/19/2019</t>
  </si>
  <si>
    <t>11/19/2020</t>
  </si>
  <si>
    <t>P160</t>
  </si>
  <si>
    <t>P161</t>
  </si>
  <si>
    <t>11/12/2021</t>
  </si>
  <si>
    <t>10/12/2022</t>
  </si>
  <si>
    <t>P162</t>
  </si>
  <si>
    <t>4/19/2022</t>
  </si>
  <si>
    <t>12/19/2022</t>
  </si>
  <si>
    <t>TR0115</t>
  </si>
  <si>
    <t>P163</t>
  </si>
  <si>
    <t>2/18/2021</t>
  </si>
  <si>
    <t>TR0038</t>
  </si>
  <si>
    <t>P164</t>
  </si>
  <si>
    <t>10/20/2019</t>
  </si>
  <si>
    <t>8/20/2020</t>
  </si>
  <si>
    <t>P165</t>
  </si>
  <si>
    <t>1/9/2023</t>
  </si>
  <si>
    <t>P166</t>
  </si>
  <si>
    <t>12/19/2023</t>
  </si>
  <si>
    <t>3/19/2025</t>
  </si>
  <si>
    <t>Nausea, Headache, Fatigue</t>
  </si>
  <si>
    <t>P167</t>
  </si>
  <si>
    <t>7/10/2020</t>
  </si>
  <si>
    <t>10/10/2021</t>
  </si>
  <si>
    <t>P168</t>
  </si>
  <si>
    <t>5/11/2019</t>
  </si>
  <si>
    <t>TR0181</t>
  </si>
  <si>
    <t>P169</t>
  </si>
  <si>
    <t>11/28/2023</t>
  </si>
  <si>
    <t>7/28/2024</t>
  </si>
  <si>
    <t>P170</t>
  </si>
  <si>
    <t>8/16/2019</t>
  </si>
  <si>
    <t>9/16/2020</t>
  </si>
  <si>
    <t>P171</t>
  </si>
  <si>
    <t>3/2/2020</t>
  </si>
  <si>
    <t>7/2/2021</t>
  </si>
  <si>
    <t>P172</t>
  </si>
  <si>
    <t>6/2/2023</t>
  </si>
  <si>
    <t>1/2/2024</t>
  </si>
  <si>
    <t>TR0018</t>
  </si>
  <si>
    <t>P173</t>
  </si>
  <si>
    <t>1/4/2023</t>
  </si>
  <si>
    <t>4/4/2024</t>
  </si>
  <si>
    <t>TR0110</t>
  </si>
  <si>
    <t>P174</t>
  </si>
  <si>
    <t>4/23/2023</t>
  </si>
  <si>
    <t>2/23/2024</t>
  </si>
  <si>
    <t>P175</t>
  </si>
  <si>
    <t>P176</t>
  </si>
  <si>
    <t>8/5/2020</t>
  </si>
  <si>
    <t>12/5/2021</t>
  </si>
  <si>
    <t>TR0191</t>
  </si>
  <si>
    <t>P177</t>
  </si>
  <si>
    <t>P178</t>
  </si>
  <si>
    <t>6/26/2019</t>
  </si>
  <si>
    <t>12/26/2019</t>
  </si>
  <si>
    <t>TR0130</t>
  </si>
  <si>
    <t>P179</t>
  </si>
  <si>
    <t>12/2/2020</t>
  </si>
  <si>
    <t>1/2/2022</t>
  </si>
  <si>
    <t>TR0080</t>
  </si>
  <si>
    <t>P180</t>
  </si>
  <si>
    <t>5/9/2020</t>
  </si>
  <si>
    <t>P181</t>
  </si>
  <si>
    <t>5/20/2019</t>
  </si>
  <si>
    <t>4/20/2020</t>
  </si>
  <si>
    <t>TR0008</t>
  </si>
  <si>
    <t>P182</t>
  </si>
  <si>
    <t>6/27/2021</t>
  </si>
  <si>
    <t>3/27/2022</t>
  </si>
  <si>
    <t>P183</t>
  </si>
  <si>
    <t>12/22/2020</t>
  </si>
  <si>
    <t>11/22/2021</t>
  </si>
  <si>
    <t>TR0017</t>
  </si>
  <si>
    <t>P184</t>
  </si>
  <si>
    <t>6/18/2019</t>
  </si>
  <si>
    <t>10/18/2020</t>
  </si>
  <si>
    <t>TR0103</t>
  </si>
  <si>
    <t>P185</t>
  </si>
  <si>
    <t>12/8/2023</t>
  </si>
  <si>
    <t>8/8/2024</t>
  </si>
  <si>
    <t>TR0152</t>
  </si>
  <si>
    <t>P186</t>
  </si>
  <si>
    <t>11/22/2022</t>
  </si>
  <si>
    <t>5/22/2023</t>
  </si>
  <si>
    <t>TR0149</t>
  </si>
  <si>
    <t>P187</t>
  </si>
  <si>
    <t>12/12/2022</t>
  </si>
  <si>
    <t>P188</t>
  </si>
  <si>
    <t>7/14/2022</t>
  </si>
  <si>
    <t>9/14/2023</t>
  </si>
  <si>
    <t>P189</t>
  </si>
  <si>
    <t>2/5/2020</t>
  </si>
  <si>
    <t>6/5/2021</t>
  </si>
  <si>
    <t>TR0160</t>
  </si>
  <si>
    <t>P190</t>
  </si>
  <si>
    <t>TR0146</t>
  </si>
  <si>
    <t>P191</t>
  </si>
  <si>
    <t>11/24/2022</t>
  </si>
  <si>
    <t>3/24/2024</t>
  </si>
  <si>
    <t>Dizziness, None, Headache</t>
  </si>
  <si>
    <t>TR0014</t>
  </si>
  <si>
    <t>P192</t>
  </si>
  <si>
    <t>P193</t>
  </si>
  <si>
    <t>Nausea, Fatigue, None</t>
  </si>
  <si>
    <t>TR0190</t>
  </si>
  <si>
    <t>P194</t>
  </si>
  <si>
    <t>3/27/2023</t>
  </si>
  <si>
    <t>4/27/2024</t>
  </si>
  <si>
    <t>TR0186</t>
  </si>
  <si>
    <t>P195</t>
  </si>
  <si>
    <t>12/25/2022</t>
  </si>
  <si>
    <t>2/25/2024</t>
  </si>
  <si>
    <t>P196</t>
  </si>
  <si>
    <t>8/21/2023</t>
  </si>
  <si>
    <t>TR0066</t>
  </si>
  <si>
    <t>P197</t>
  </si>
  <si>
    <t>2/17/2022</t>
  </si>
  <si>
    <t>9/17/2022</t>
  </si>
  <si>
    <t>TR0065</t>
  </si>
  <si>
    <t>P198</t>
  </si>
  <si>
    <t>11/25/2022</t>
  </si>
  <si>
    <t>3/25/2024</t>
  </si>
  <si>
    <t>P199</t>
  </si>
  <si>
    <t>6/2/2022</t>
  </si>
  <si>
    <t>4/2/2023</t>
  </si>
  <si>
    <t>P200</t>
  </si>
  <si>
    <t>2/3/2019</t>
  </si>
  <si>
    <t>5/3/2020</t>
  </si>
  <si>
    <t>P201</t>
  </si>
  <si>
    <t>12/28/2023</t>
  </si>
  <si>
    <t>Fatigue, Nausea, Dizziness</t>
  </si>
  <si>
    <t>P202</t>
  </si>
  <si>
    <t>5/21/2022</t>
  </si>
  <si>
    <t>2/21/2023</t>
  </si>
  <si>
    <t>P203</t>
  </si>
  <si>
    <t>4/26/2023</t>
  </si>
  <si>
    <t>P204</t>
  </si>
  <si>
    <t>12/5/2019</t>
  </si>
  <si>
    <t>1/5/2021</t>
  </si>
  <si>
    <t>TR0063</t>
  </si>
  <si>
    <t>P205</t>
  </si>
  <si>
    <t>10/26/2022</t>
  </si>
  <si>
    <t>1/26/2024</t>
  </si>
  <si>
    <t>P206</t>
  </si>
  <si>
    <t>3/23/2022</t>
  </si>
  <si>
    <t>2/23/2023</t>
  </si>
  <si>
    <t>P207</t>
  </si>
  <si>
    <t>12/5/2022</t>
  </si>
  <si>
    <t>TR0062</t>
  </si>
  <si>
    <t>P208</t>
  </si>
  <si>
    <t>9/4/2019</t>
  </si>
  <si>
    <t>12/4/2020</t>
  </si>
  <si>
    <t>P209</t>
  </si>
  <si>
    <t>7/9/2020</t>
  </si>
  <si>
    <t>6/9/2021</t>
  </si>
  <si>
    <t>P210</t>
  </si>
  <si>
    <t>P211</t>
  </si>
  <si>
    <t>7/12/2020</t>
  </si>
  <si>
    <t>3/12/2021</t>
  </si>
  <si>
    <t>Fatigue, None, Dizziness</t>
  </si>
  <si>
    <t>P212</t>
  </si>
  <si>
    <t>3/26/2023</t>
  </si>
  <si>
    <t>9/26/2024</t>
  </si>
  <si>
    <t>P213</t>
  </si>
  <si>
    <t>1/8/2024</t>
  </si>
  <si>
    <t>P214</t>
  </si>
  <si>
    <t>3/12/2020</t>
  </si>
  <si>
    <t>1/12/2021</t>
  </si>
  <si>
    <t>Nausea, Dizziness, Fatigue</t>
  </si>
  <si>
    <t>P215</t>
  </si>
  <si>
    <t>12/11/2022</t>
  </si>
  <si>
    <t>2/11/2024</t>
  </si>
  <si>
    <t>P216</t>
  </si>
  <si>
    <t>9/15/2023</t>
  </si>
  <si>
    <t>P217</t>
  </si>
  <si>
    <t>8/9/2022</t>
  </si>
  <si>
    <t>P218</t>
  </si>
  <si>
    <t>8/3/2020</t>
  </si>
  <si>
    <t>P219</t>
  </si>
  <si>
    <t>3/16/2023</t>
  </si>
  <si>
    <t>P220</t>
  </si>
  <si>
    <t>10/5/2021</t>
  </si>
  <si>
    <t>P221</t>
  </si>
  <si>
    <t>12/23/2020</t>
  </si>
  <si>
    <t>4/23/2022</t>
  </si>
  <si>
    <t>P222</t>
  </si>
  <si>
    <t>6/15/2020</t>
  </si>
  <si>
    <t>8/15/2021</t>
  </si>
  <si>
    <t>None, Nausea, Headache</t>
  </si>
  <si>
    <t>P223</t>
  </si>
  <si>
    <t>12/15/2023</t>
  </si>
  <si>
    <t>11/15/2024</t>
  </si>
  <si>
    <t>P224</t>
  </si>
  <si>
    <t>1/3/2020</t>
  </si>
  <si>
    <t>P225</t>
  </si>
  <si>
    <t>8/28/2021</t>
  </si>
  <si>
    <t>10/28/2022</t>
  </si>
  <si>
    <t>P226</t>
  </si>
  <si>
    <t>10/25/2019</t>
  </si>
  <si>
    <t>10/25/2020</t>
  </si>
  <si>
    <t>P227</t>
  </si>
  <si>
    <t>9/24/2022</t>
  </si>
  <si>
    <t>10/24/2023</t>
  </si>
  <si>
    <t>P228</t>
  </si>
  <si>
    <t>Headache, Nausea, Fatigue</t>
  </si>
  <si>
    <t>TR0132</t>
  </si>
  <si>
    <t>P229</t>
  </si>
  <si>
    <t>5/12/2019</t>
  </si>
  <si>
    <t>5/12/2020</t>
  </si>
  <si>
    <t>P230</t>
  </si>
  <si>
    <t>9/19/2019</t>
  </si>
  <si>
    <t>8/19/2020</t>
  </si>
  <si>
    <t>P231</t>
  </si>
  <si>
    <t>2/4/2022</t>
  </si>
  <si>
    <t>10/4/2022</t>
  </si>
  <si>
    <t>P232</t>
  </si>
  <si>
    <t>12/8/2020</t>
  </si>
  <si>
    <t>10/8/2021</t>
  </si>
  <si>
    <t>TR0021</t>
  </si>
  <si>
    <t>P233</t>
  </si>
  <si>
    <t>5/2/2019</t>
  </si>
  <si>
    <t>12/2/2019</t>
  </si>
  <si>
    <t>TR0155</t>
  </si>
  <si>
    <t>P234</t>
  </si>
  <si>
    <t>12/20/2023</t>
  </si>
  <si>
    <t>9/20/2024</t>
  </si>
  <si>
    <t>TR0196</t>
  </si>
  <si>
    <t>P235</t>
  </si>
  <si>
    <t>3/15/2023</t>
  </si>
  <si>
    <t>7/15/2024</t>
  </si>
  <si>
    <t>P236</t>
  </si>
  <si>
    <t>12/2/2023</t>
  </si>
  <si>
    <t>P237</t>
  </si>
  <si>
    <t>11/16/2019</t>
  </si>
  <si>
    <t>P238</t>
  </si>
  <si>
    <t>12/16/2022</t>
  </si>
  <si>
    <t>10/16/2023</t>
  </si>
  <si>
    <t>P239</t>
  </si>
  <si>
    <t>7/2/2020</t>
  </si>
  <si>
    <t>P240</t>
  </si>
  <si>
    <t>9/9/2022</t>
  </si>
  <si>
    <t>11/9/2023</t>
  </si>
  <si>
    <t>TR0111</t>
  </si>
  <si>
    <t>P241</t>
  </si>
  <si>
    <t>5/23/2020</t>
  </si>
  <si>
    <t>5/23/2021</t>
  </si>
  <si>
    <t>TR0173</t>
  </si>
  <si>
    <t>P242</t>
  </si>
  <si>
    <t>6/2/2021</t>
  </si>
  <si>
    <t>12/2/2021</t>
  </si>
  <si>
    <t>TR0090</t>
  </si>
  <si>
    <t>P243</t>
  </si>
  <si>
    <t>10/3/2021</t>
  </si>
  <si>
    <t>3/3/2023</t>
  </si>
  <si>
    <t>TR0044</t>
  </si>
  <si>
    <t>P244</t>
  </si>
  <si>
    <t>10/13/2022</t>
  </si>
  <si>
    <t>9/13/2023</t>
  </si>
  <si>
    <t>TR0087</t>
  </si>
  <si>
    <t>P245</t>
  </si>
  <si>
    <t>1/10/2021</t>
  </si>
  <si>
    <t>4/10/2022</t>
  </si>
  <si>
    <t>P246</t>
  </si>
  <si>
    <t>9/14/2024</t>
  </si>
  <si>
    <t>P247</t>
  </si>
  <si>
    <t>10/28/2023</t>
  </si>
  <si>
    <t>4/28/2025</t>
  </si>
  <si>
    <t>TR0119</t>
  </si>
  <si>
    <t>P248</t>
  </si>
  <si>
    <t>11/20/2021</t>
  </si>
  <si>
    <t>8/20/2022</t>
  </si>
  <si>
    <t>P249</t>
  </si>
  <si>
    <t>3/1/2021</t>
  </si>
  <si>
    <t>1/1/2022</t>
  </si>
  <si>
    <t>Dizziness, Fatigue, None</t>
  </si>
  <si>
    <t>P250</t>
  </si>
  <si>
    <t>12/27/2022</t>
  </si>
  <si>
    <t>P251</t>
  </si>
  <si>
    <t>4/5/2022</t>
  </si>
  <si>
    <t>P252</t>
  </si>
  <si>
    <t>11/16/2021</t>
  </si>
  <si>
    <t>P253</t>
  </si>
  <si>
    <t>7/9/2019</t>
  </si>
  <si>
    <t>TR0054</t>
  </si>
  <si>
    <t>P254</t>
  </si>
  <si>
    <t>12/9/2020</t>
  </si>
  <si>
    <t>2/9/2022</t>
  </si>
  <si>
    <t>TR0117</t>
  </si>
  <si>
    <t>P255</t>
  </si>
  <si>
    <t>4/17/2020</t>
  </si>
  <si>
    <t>P256</t>
  </si>
  <si>
    <t>9/21/2019</t>
  </si>
  <si>
    <t>12/21/2020</t>
  </si>
  <si>
    <t>TR0051</t>
  </si>
  <si>
    <t>P257</t>
  </si>
  <si>
    <t>6/16/2023</t>
  </si>
  <si>
    <t>TR0074</t>
  </si>
  <si>
    <t>P258</t>
  </si>
  <si>
    <t>3/1/2022</t>
  </si>
  <si>
    <t>1/1/2023</t>
  </si>
  <si>
    <t>TR0116</t>
  </si>
  <si>
    <t>P259</t>
  </si>
  <si>
    <t>12/20/2022</t>
  </si>
  <si>
    <t>10/20/2023</t>
  </si>
  <si>
    <t>P260</t>
  </si>
  <si>
    <t>9/2/2020</t>
  </si>
  <si>
    <t>P261</t>
  </si>
  <si>
    <t>8/9/2023</t>
  </si>
  <si>
    <t>P262</t>
  </si>
  <si>
    <t>8/4/2023</t>
  </si>
  <si>
    <t>TR0118</t>
  </si>
  <si>
    <t>P263</t>
  </si>
  <si>
    <t>1/17/2023</t>
  </si>
  <si>
    <t>7/17/2024</t>
  </si>
  <si>
    <t>P264</t>
  </si>
  <si>
    <t>2/15/2019</t>
  </si>
  <si>
    <t>P265</t>
  </si>
  <si>
    <t>2/6/2023</t>
  </si>
  <si>
    <t>P266</t>
  </si>
  <si>
    <t>6/17/2019</t>
  </si>
  <si>
    <t>3/17/2020</t>
  </si>
  <si>
    <t>TR0069</t>
  </si>
  <si>
    <t>P267</t>
  </si>
  <si>
    <t>11/8/2022</t>
  </si>
  <si>
    <t>3/8/2024</t>
  </si>
  <si>
    <t>P268</t>
  </si>
  <si>
    <t>11/4/2020</t>
  </si>
  <si>
    <t>TR0170</t>
  </si>
  <si>
    <t>P269</t>
  </si>
  <si>
    <t>1/3/2022</t>
  </si>
  <si>
    <t>1/3/2023</t>
  </si>
  <si>
    <t>P270</t>
  </si>
  <si>
    <t>2/1/2022</t>
  </si>
  <si>
    <t>10/1/2022</t>
  </si>
  <si>
    <t>TR0078</t>
  </si>
  <si>
    <t>P271</t>
  </si>
  <si>
    <t>3/5/2024</t>
  </si>
  <si>
    <t>TR0023</t>
  </si>
  <si>
    <t>P272</t>
  </si>
  <si>
    <t>8/19/2019</t>
  </si>
  <si>
    <t>5/19/2020</t>
  </si>
  <si>
    <t>P273</t>
  </si>
  <si>
    <t>8/17/2022</t>
  </si>
  <si>
    <t>11/17/2023</t>
  </si>
  <si>
    <t>P274</t>
  </si>
  <si>
    <t>3/10/2019</t>
  </si>
  <si>
    <t>8/10/2020</t>
  </si>
  <si>
    <t>P275</t>
  </si>
  <si>
    <t>4/10/2023</t>
  </si>
  <si>
    <t>9/10/2024</t>
  </si>
  <si>
    <t>P276</t>
  </si>
  <si>
    <t>11/6/2021</t>
  </si>
  <si>
    <t>7/6/2022</t>
  </si>
  <si>
    <t>P277</t>
  </si>
  <si>
    <t>10/22/2023</t>
  </si>
  <si>
    <t>5/22/2024</t>
  </si>
  <si>
    <t>P278</t>
  </si>
  <si>
    <t>9/16/2022</t>
  </si>
  <si>
    <t>TR0086</t>
  </si>
  <si>
    <t>P279</t>
  </si>
  <si>
    <t>6/21/2022</t>
  </si>
  <si>
    <t>10/21/2023</t>
  </si>
  <si>
    <t>TR0108</t>
  </si>
  <si>
    <t>P280</t>
  </si>
  <si>
    <t>6/13/2021</t>
  </si>
  <si>
    <t>12/13/2022</t>
  </si>
  <si>
    <t>P281</t>
  </si>
  <si>
    <t>9/20/2021</t>
  </si>
  <si>
    <t>P282</t>
  </si>
  <si>
    <t>7/18/2020</t>
  </si>
  <si>
    <t>TR0139</t>
  </si>
  <si>
    <t>P283</t>
  </si>
  <si>
    <t>8/10/2019</t>
  </si>
  <si>
    <t>11/10/2020</t>
  </si>
  <si>
    <t>P284</t>
  </si>
  <si>
    <t>9/19/2021</t>
  </si>
  <si>
    <t>6/19/2022</t>
  </si>
  <si>
    <t>P285</t>
  </si>
  <si>
    <t>2/16/2023</t>
  </si>
  <si>
    <t>TR0042</t>
  </si>
  <si>
    <t>P286</t>
  </si>
  <si>
    <t>9/12/2020</t>
  </si>
  <si>
    <t>4/12/2021</t>
  </si>
  <si>
    <t>TR0095</t>
  </si>
  <si>
    <t>P287</t>
  </si>
  <si>
    <t>7/2/2023</t>
  </si>
  <si>
    <t>5/2/2024</t>
  </si>
  <si>
    <t>P288</t>
  </si>
  <si>
    <t>8/27/2022</t>
  </si>
  <si>
    <t>1/27/2024</t>
  </si>
  <si>
    <t>P289</t>
  </si>
  <si>
    <t>11/3/2021</t>
  </si>
  <si>
    <t>P290</t>
  </si>
  <si>
    <t>4/8/2021</t>
  </si>
  <si>
    <t>9/8/2022</t>
  </si>
  <si>
    <t>P291</t>
  </si>
  <si>
    <t>2/4/2019</t>
  </si>
  <si>
    <t>4/4/2020</t>
  </si>
  <si>
    <t>P292</t>
  </si>
  <si>
    <t>3/14/2021</t>
  </si>
  <si>
    <t>2/14/2022</t>
  </si>
  <si>
    <t>P293</t>
  </si>
  <si>
    <t>1/14/2022</t>
  </si>
  <si>
    <t>P294</t>
  </si>
  <si>
    <t>12/26/2023</t>
  </si>
  <si>
    <t>P295</t>
  </si>
  <si>
    <t>9/10/2023</t>
  </si>
  <si>
    <t>3/10/2024</t>
  </si>
  <si>
    <t>P296</t>
  </si>
  <si>
    <t>5/8/2022</t>
  </si>
  <si>
    <t>9/8/2023</t>
  </si>
  <si>
    <t>TR0154</t>
  </si>
  <si>
    <t>P297</t>
  </si>
  <si>
    <t>9/1/2019</t>
  </si>
  <si>
    <t>1/1/2021</t>
  </si>
  <si>
    <t>P298</t>
  </si>
  <si>
    <t>10/21/2019</t>
  </si>
  <si>
    <t>P299</t>
  </si>
  <si>
    <t>4/22/2023</t>
  </si>
  <si>
    <t>9/22/2024</t>
  </si>
  <si>
    <t>TR0033</t>
  </si>
  <si>
    <t>P300</t>
  </si>
  <si>
    <t>P301</t>
  </si>
  <si>
    <t>7/7/2019</t>
  </si>
  <si>
    <t>6/7/2020</t>
  </si>
  <si>
    <t>P302</t>
  </si>
  <si>
    <t>2/16/2020</t>
  </si>
  <si>
    <t>11/16/2020</t>
  </si>
  <si>
    <t>TR0134</t>
  </si>
  <si>
    <t>P303</t>
  </si>
  <si>
    <t>9/20/2020</t>
  </si>
  <si>
    <t>P304</t>
  </si>
  <si>
    <t>P305</t>
  </si>
  <si>
    <t>7/16/2021</t>
  </si>
  <si>
    <t>P306</t>
  </si>
  <si>
    <t>4/20/2023</t>
  </si>
  <si>
    <t>P307</t>
  </si>
  <si>
    <t>9/23/2023</t>
  </si>
  <si>
    <t>P308</t>
  </si>
  <si>
    <t>4/13/2022</t>
  </si>
  <si>
    <t>TR0092</t>
  </si>
  <si>
    <t>P309</t>
  </si>
  <si>
    <t>4/9/2020</t>
  </si>
  <si>
    <t>9/9/2021</t>
  </si>
  <si>
    <t>P310</t>
  </si>
  <si>
    <t>8/8/2021</t>
  </si>
  <si>
    <t>P311</t>
  </si>
  <si>
    <t>5/26/2023</t>
  </si>
  <si>
    <t>P312</t>
  </si>
  <si>
    <t>7/25/2023</t>
  </si>
  <si>
    <t>11/25/2024</t>
  </si>
  <si>
    <t>P313</t>
  </si>
  <si>
    <t>1/15/2021</t>
  </si>
  <si>
    <t>P314</t>
  </si>
  <si>
    <t>10/11/2023</t>
  </si>
  <si>
    <t>10/11/2024</t>
  </si>
  <si>
    <t>P315</t>
  </si>
  <si>
    <t>9/18/2023</t>
  </si>
  <si>
    <t>1/18/2025</t>
  </si>
  <si>
    <t>P316</t>
  </si>
  <si>
    <t>5/10/2019</t>
  </si>
  <si>
    <t>4/10/2020</t>
  </si>
  <si>
    <t>P317</t>
  </si>
  <si>
    <t>2/11/2021</t>
  </si>
  <si>
    <t>11/11/2021</t>
  </si>
  <si>
    <t>P318</t>
  </si>
  <si>
    <t>7/22/2022</t>
  </si>
  <si>
    <t>1/22/2024</t>
  </si>
  <si>
    <t>P319</t>
  </si>
  <si>
    <t>2/18/2023</t>
  </si>
  <si>
    <t>P320</t>
  </si>
  <si>
    <t>8/10/2021</t>
  </si>
  <si>
    <t>P321</t>
  </si>
  <si>
    <t>5/14/2020</t>
  </si>
  <si>
    <t>10/14/2021</t>
  </si>
  <si>
    <t>P322</t>
  </si>
  <si>
    <t>8/15/2023</t>
  </si>
  <si>
    <t>9/15/2024</t>
  </si>
  <si>
    <t>P323</t>
  </si>
  <si>
    <t>7/13/2024</t>
  </si>
  <si>
    <t>P324</t>
  </si>
  <si>
    <t>8/6/2022</t>
  </si>
  <si>
    <t>6/6/2023</t>
  </si>
  <si>
    <t>P325</t>
  </si>
  <si>
    <t>2/3/2022</t>
  </si>
  <si>
    <t>4/3/2023</t>
  </si>
  <si>
    <t>TR0072</t>
  </si>
  <si>
    <t>P326</t>
  </si>
  <si>
    <t>3/15/2021</t>
  </si>
  <si>
    <t>2/15/2022</t>
  </si>
  <si>
    <t>P327</t>
  </si>
  <si>
    <t>3/8/2021</t>
  </si>
  <si>
    <t>P328</t>
  </si>
  <si>
    <t>2/7/2025</t>
  </si>
  <si>
    <t>P329</t>
  </si>
  <si>
    <t>TR0027</t>
  </si>
  <si>
    <t>P330</t>
  </si>
  <si>
    <t>6/16/2022</t>
  </si>
  <si>
    <t>P331</t>
  </si>
  <si>
    <t>4/16/2021</t>
  </si>
  <si>
    <t>TR0053</t>
  </si>
  <si>
    <t>P332</t>
  </si>
  <si>
    <t>4/28/2019</t>
  </si>
  <si>
    <t>9/28/2020</t>
  </si>
  <si>
    <t>P333</t>
  </si>
  <si>
    <t>1/21/2020</t>
  </si>
  <si>
    <t>9/21/2020</t>
  </si>
  <si>
    <t>TR0045</t>
  </si>
  <si>
    <t>P334</t>
  </si>
  <si>
    <t>2/10/2024</t>
  </si>
  <si>
    <t>P335</t>
  </si>
  <si>
    <t>TR0187</t>
  </si>
  <si>
    <t>P336</t>
  </si>
  <si>
    <t>1/5/2023</t>
  </si>
  <si>
    <t>P337</t>
  </si>
  <si>
    <t>3/19/2020</t>
  </si>
  <si>
    <t>TR0131</t>
  </si>
  <si>
    <t>P338</t>
  </si>
  <si>
    <t>8/22/2023</t>
  </si>
  <si>
    <t>4/22/2024</t>
  </si>
  <si>
    <t>P339</t>
  </si>
  <si>
    <t>5/23/2022</t>
  </si>
  <si>
    <t>3/23/2023</t>
  </si>
  <si>
    <t>P340</t>
  </si>
  <si>
    <t>12/14/2019</t>
  </si>
  <si>
    <t>2/14/2021</t>
  </si>
  <si>
    <t>P341</t>
  </si>
  <si>
    <t>12/6/2019</t>
  </si>
  <si>
    <t>6/6/2021</t>
  </si>
  <si>
    <t>P342</t>
  </si>
  <si>
    <t>6/25/2023</t>
  </si>
  <si>
    <t>TR0193</t>
  </si>
  <si>
    <t>P343</t>
  </si>
  <si>
    <t>9/14/2022</t>
  </si>
  <si>
    <t>P344</t>
  </si>
  <si>
    <t>5/23/2023</t>
  </si>
  <si>
    <t>11/23/2024</t>
  </si>
  <si>
    <t>P345</t>
  </si>
  <si>
    <t>8/22/2022</t>
  </si>
  <si>
    <t>P346</t>
  </si>
  <si>
    <t>2/16/2022</t>
  </si>
  <si>
    <t>P347</t>
  </si>
  <si>
    <t>11/24/2023</t>
  </si>
  <si>
    <t>12/24/2024</t>
  </si>
  <si>
    <t>None, Fatigue, Dizziness</t>
  </si>
  <si>
    <t>P348</t>
  </si>
  <si>
    <t>4/24/2023</t>
  </si>
  <si>
    <t>P349</t>
  </si>
  <si>
    <t>1/18/2022</t>
  </si>
  <si>
    <t>TR0057</t>
  </si>
  <si>
    <t>P350</t>
  </si>
  <si>
    <t>1/10/2022</t>
  </si>
  <si>
    <t>P351</t>
  </si>
  <si>
    <t>7/22/2021</t>
  </si>
  <si>
    <t>P352</t>
  </si>
  <si>
    <t>10/5/2020</t>
  </si>
  <si>
    <t>P353</t>
  </si>
  <si>
    <t>1/4/2020</t>
  </si>
  <si>
    <t>3/4/2021</t>
  </si>
  <si>
    <t>Headache, Fatigue, None</t>
  </si>
  <si>
    <t>P354</t>
  </si>
  <si>
    <t>9/21/2023</t>
  </si>
  <si>
    <t>P355</t>
  </si>
  <si>
    <t>11/23/2022</t>
  </si>
  <si>
    <t>11/23/2023</t>
  </si>
  <si>
    <t>P356</t>
  </si>
  <si>
    <t>3/28/2019</t>
  </si>
  <si>
    <t>6/28/2020</t>
  </si>
  <si>
    <t>P357</t>
  </si>
  <si>
    <t>7/12/2024</t>
  </si>
  <si>
    <t>P358</t>
  </si>
  <si>
    <t>4/2/2019</t>
  </si>
  <si>
    <t>1/2/2020</t>
  </si>
  <si>
    <t>P359</t>
  </si>
  <si>
    <t>11/14/2021</t>
  </si>
  <si>
    <t>Fatigue, Nausea, None</t>
  </si>
  <si>
    <t>TR0188</t>
  </si>
  <si>
    <t>P360</t>
  </si>
  <si>
    <t>1/4/2021</t>
  </si>
  <si>
    <t>P361</t>
  </si>
  <si>
    <t>9/24/2020</t>
  </si>
  <si>
    <t>7/24/2021</t>
  </si>
  <si>
    <t>P362</t>
  </si>
  <si>
    <t>9/20/2023</t>
  </si>
  <si>
    <t>Fatigue, None, Nausea</t>
  </si>
  <si>
    <t>P363</t>
  </si>
  <si>
    <t>7/26/2023</t>
  </si>
  <si>
    <t>Headache, Fatigue</t>
  </si>
  <si>
    <t>TR0079</t>
  </si>
  <si>
    <t>P364</t>
  </si>
  <si>
    <t>12/10/2019</t>
  </si>
  <si>
    <t>2/10/2021</t>
  </si>
  <si>
    <t>P365</t>
  </si>
  <si>
    <t>2/22/2022</t>
  </si>
  <si>
    <t>P366</t>
  </si>
  <si>
    <t>P367</t>
  </si>
  <si>
    <t>1/20/2021</t>
  </si>
  <si>
    <t>2/20/2022</t>
  </si>
  <si>
    <t>P368</t>
  </si>
  <si>
    <t>1/5/2022</t>
  </si>
  <si>
    <t>P369</t>
  </si>
  <si>
    <t>2/7/2020</t>
  </si>
  <si>
    <t>12/7/2020</t>
  </si>
  <si>
    <t>P370</t>
  </si>
  <si>
    <t>2/24/2024</t>
  </si>
  <si>
    <t>P371</t>
  </si>
  <si>
    <t>12/16/2021</t>
  </si>
  <si>
    <t>P372</t>
  </si>
  <si>
    <t>11/21/2023</t>
  </si>
  <si>
    <t>7/21/2024</t>
  </si>
  <si>
    <t>P373</t>
  </si>
  <si>
    <t>4/11/2021</t>
  </si>
  <si>
    <t>P374</t>
  </si>
  <si>
    <t>11/24/2019</t>
  </si>
  <si>
    <t>10/24/2020</t>
  </si>
  <si>
    <t>P375</t>
  </si>
  <si>
    <t>P376</t>
  </si>
  <si>
    <t>P377</t>
  </si>
  <si>
    <t>1/23/2024</t>
  </si>
  <si>
    <t>P378</t>
  </si>
  <si>
    <t>3/1/2020</t>
  </si>
  <si>
    <t>11/1/2020</t>
  </si>
  <si>
    <t>TR0182</t>
  </si>
  <si>
    <t>P379</t>
  </si>
  <si>
    <t>11/5/2019</t>
  </si>
  <si>
    <t>9/5/2020</t>
  </si>
  <si>
    <t>P380</t>
  </si>
  <si>
    <t>11/27/2019</t>
  </si>
  <si>
    <t>5/27/2020</t>
  </si>
  <si>
    <t>P381</t>
  </si>
  <si>
    <t>4/19/2021</t>
  </si>
  <si>
    <t>8/19/2022</t>
  </si>
  <si>
    <t>P382</t>
  </si>
  <si>
    <t>9/10/2021</t>
  </si>
  <si>
    <t>P383</t>
  </si>
  <si>
    <t>1/4/2022</t>
  </si>
  <si>
    <t>P384</t>
  </si>
  <si>
    <t>10/15/2022</t>
  </si>
  <si>
    <t>6/15/2023</t>
  </si>
  <si>
    <t>P385</t>
  </si>
  <si>
    <t>1/8/2020</t>
  </si>
  <si>
    <t>P386</t>
  </si>
  <si>
    <t>6/4/2023</t>
  </si>
  <si>
    <t>5/4/2024</t>
  </si>
  <si>
    <t>P387</t>
  </si>
  <si>
    <t>11/12/2022</t>
  </si>
  <si>
    <t>9/12/2023</t>
  </si>
  <si>
    <t>P388</t>
  </si>
  <si>
    <t>9/6/2022</t>
  </si>
  <si>
    <t>P389</t>
  </si>
  <si>
    <t>10/23/2019</t>
  </si>
  <si>
    <t>10/23/2020</t>
  </si>
  <si>
    <t>TR0001</t>
  </si>
  <si>
    <t>P390</t>
  </si>
  <si>
    <t>7/8/2023</t>
  </si>
  <si>
    <t>4/8/2024</t>
  </si>
  <si>
    <t>P391</t>
  </si>
  <si>
    <t>12/3/2021</t>
  </si>
  <si>
    <t>P392</t>
  </si>
  <si>
    <t>7/21/2020</t>
  </si>
  <si>
    <t>P393</t>
  </si>
  <si>
    <t>7/20/2020</t>
  </si>
  <si>
    <t>P394</t>
  </si>
  <si>
    <t>6/1/2023</t>
  </si>
  <si>
    <t>3/1/2024</t>
  </si>
  <si>
    <t>P395</t>
  </si>
  <si>
    <t>1/11/2019</t>
  </si>
  <si>
    <t>8/11/2019</t>
  </si>
  <si>
    <t>P396</t>
  </si>
  <si>
    <t>8/17/2024</t>
  </si>
  <si>
    <t>P397</t>
  </si>
  <si>
    <t>12/6/2020</t>
  </si>
  <si>
    <t>2/6/2022</t>
  </si>
  <si>
    <t>P398</t>
  </si>
  <si>
    <t>3/25/2019</t>
  </si>
  <si>
    <t>1/25/2020</t>
  </si>
  <si>
    <t>P399</t>
  </si>
  <si>
    <t>6/5/2023</t>
  </si>
  <si>
    <t>P400</t>
  </si>
  <si>
    <t>4/21/2020</t>
  </si>
  <si>
    <t>P401</t>
  </si>
  <si>
    <t>3/4/2024</t>
  </si>
  <si>
    <t>P402</t>
  </si>
  <si>
    <t>11/7/2020</t>
  </si>
  <si>
    <t>10/7/2021</t>
  </si>
  <si>
    <t>P403</t>
  </si>
  <si>
    <t>12/15/2021</t>
  </si>
  <si>
    <t>None, Fatigue, Nausea</t>
  </si>
  <si>
    <t>P404</t>
  </si>
  <si>
    <t>7/27/2023</t>
  </si>
  <si>
    <t>P405</t>
  </si>
  <si>
    <t>11/15/2020</t>
  </si>
  <si>
    <t>3/15/2022</t>
  </si>
  <si>
    <t>P406</t>
  </si>
  <si>
    <t>Headache, Dizziness, Fatigue</t>
  </si>
  <si>
    <t>P407</t>
  </si>
  <si>
    <t>5/28/2022</t>
  </si>
  <si>
    <t>9/28/2023</t>
  </si>
  <si>
    <t>P408</t>
  </si>
  <si>
    <t>4/25/2020</t>
  </si>
  <si>
    <t>5/25/2021</t>
  </si>
  <si>
    <t>P409</t>
  </si>
  <si>
    <t>7/2/2019</t>
  </si>
  <si>
    <t>P410</t>
  </si>
  <si>
    <t>12/6/2023</t>
  </si>
  <si>
    <t>P411</t>
  </si>
  <si>
    <t>3/1/2023</t>
  </si>
  <si>
    <t>6/1/2024</t>
  </si>
  <si>
    <t>Headache, Nausea, None</t>
  </si>
  <si>
    <t>P412</t>
  </si>
  <si>
    <t>2/5/2021</t>
  </si>
  <si>
    <t>P413</t>
  </si>
  <si>
    <t>8/14/2022</t>
  </si>
  <si>
    <t>P414</t>
  </si>
  <si>
    <t>11/20/2022</t>
  </si>
  <si>
    <t>P415</t>
  </si>
  <si>
    <t>P416</t>
  </si>
  <si>
    <t>7/4/2021</t>
  </si>
  <si>
    <t>P417</t>
  </si>
  <si>
    <t>8/6/2019</t>
  </si>
  <si>
    <t>2/6/2020</t>
  </si>
  <si>
    <t>P418</t>
  </si>
  <si>
    <t>6/4/2020</t>
  </si>
  <si>
    <t>Nausea, None, Dizziness</t>
  </si>
  <si>
    <t>P419</t>
  </si>
  <si>
    <t>3/14/2025</t>
  </si>
  <si>
    <t>P420</t>
  </si>
  <si>
    <t>1/10/2023</t>
  </si>
  <si>
    <t>7/10/2023</t>
  </si>
  <si>
    <t>P421</t>
  </si>
  <si>
    <t>1/13/2022</t>
  </si>
  <si>
    <t>TR0101</t>
  </si>
  <si>
    <t>P422</t>
  </si>
  <si>
    <t>4/6/2022</t>
  </si>
  <si>
    <t>11/6/2022</t>
  </si>
  <si>
    <t>P423</t>
  </si>
  <si>
    <t>10/15/2020</t>
  </si>
  <si>
    <t>5/15/2021</t>
  </si>
  <si>
    <t>P424</t>
  </si>
  <si>
    <t>11/3/2022</t>
  </si>
  <si>
    <t>TR0127</t>
  </si>
  <si>
    <t>P425</t>
  </si>
  <si>
    <t>1/5/2024</t>
  </si>
  <si>
    <t>P426</t>
  </si>
  <si>
    <t>P427</t>
  </si>
  <si>
    <t>7/17/2023</t>
  </si>
  <si>
    <t>6/17/2024</t>
  </si>
  <si>
    <t>P428</t>
  </si>
  <si>
    <t>11/8/2019</t>
  </si>
  <si>
    <t>P429</t>
  </si>
  <si>
    <t>3/26/2020</t>
  </si>
  <si>
    <t>12/26/2020</t>
  </si>
  <si>
    <t>None, Dizziness, Headache</t>
  </si>
  <si>
    <t>P430</t>
  </si>
  <si>
    <t>7/1/2023</t>
  </si>
  <si>
    <t>P431</t>
  </si>
  <si>
    <t>TR0199</t>
  </si>
  <si>
    <t>P432</t>
  </si>
  <si>
    <t>6/10/2019</t>
  </si>
  <si>
    <t>TR0070</t>
  </si>
  <si>
    <t>P433</t>
  </si>
  <si>
    <t>12/3/2020</t>
  </si>
  <si>
    <t>P434</t>
  </si>
  <si>
    <t>8/23/2024</t>
  </si>
  <si>
    <t>P435</t>
  </si>
  <si>
    <t>2/26/2021</t>
  </si>
  <si>
    <t>P436</t>
  </si>
  <si>
    <t>12/9/2019</t>
  </si>
  <si>
    <t>8/9/2020</t>
  </si>
  <si>
    <t>P437</t>
  </si>
  <si>
    <t>7/22/2023</t>
  </si>
  <si>
    <t>6/22/2024</t>
  </si>
  <si>
    <t>P438</t>
  </si>
  <si>
    <t>9/22/2021</t>
  </si>
  <si>
    <t>2/22/2023</t>
  </si>
  <si>
    <t>P439</t>
  </si>
  <si>
    <t>7/19/2024</t>
  </si>
  <si>
    <t>P440</t>
  </si>
  <si>
    <t>2/24/2019</t>
  </si>
  <si>
    <t>5/24/2020</t>
  </si>
  <si>
    <t>P441</t>
  </si>
  <si>
    <t>3/20/2019</t>
  </si>
  <si>
    <t>P442</t>
  </si>
  <si>
    <t>2/14/2023</t>
  </si>
  <si>
    <t>P443</t>
  </si>
  <si>
    <t>7/13/2021</t>
  </si>
  <si>
    <t>P444</t>
  </si>
  <si>
    <t>8/15/2022</t>
  </si>
  <si>
    <t>P445</t>
  </si>
  <si>
    <t>11/10/2022</t>
  </si>
  <si>
    <t>P446</t>
  </si>
  <si>
    <t>1/28/2019</t>
  </si>
  <si>
    <t>P447</t>
  </si>
  <si>
    <t>5/4/2023</t>
  </si>
  <si>
    <t>11/4/2023</t>
  </si>
  <si>
    <t>P448</t>
  </si>
  <si>
    <t>9/26/2022</t>
  </si>
  <si>
    <t>3/26/2024</t>
  </si>
  <si>
    <t>P449</t>
  </si>
  <si>
    <t>5/7/2024</t>
  </si>
  <si>
    <t>P450</t>
  </si>
  <si>
    <t>4/2/2022</t>
  </si>
  <si>
    <t>P451</t>
  </si>
  <si>
    <t>1/18/2023</t>
  </si>
  <si>
    <t>6/18/2024</t>
  </si>
  <si>
    <t>P452</t>
  </si>
  <si>
    <t>P453</t>
  </si>
  <si>
    <t>5/26/2022</t>
  </si>
  <si>
    <t>P454</t>
  </si>
  <si>
    <t>1/20/2023</t>
  </si>
  <si>
    <t>TR0112</t>
  </si>
  <si>
    <t>P455</t>
  </si>
  <si>
    <t>11/15/2019</t>
  </si>
  <si>
    <t>P456</t>
  </si>
  <si>
    <t>8/23/2020</t>
  </si>
  <si>
    <t>6/23/2021</t>
  </si>
  <si>
    <t>P457</t>
  </si>
  <si>
    <t>P458</t>
  </si>
  <si>
    <t>1/28/2022</t>
  </si>
  <si>
    <t>1/28/2023</t>
  </si>
  <si>
    <t>P459</t>
  </si>
  <si>
    <t>10/25/2023</t>
  </si>
  <si>
    <t>Dizziness, Headache, Fatigue</t>
  </si>
  <si>
    <t>P460</t>
  </si>
  <si>
    <t>8/24/2022</t>
  </si>
  <si>
    <t>5/24/2023</t>
  </si>
  <si>
    <t>P461</t>
  </si>
  <si>
    <t>P462</t>
  </si>
  <si>
    <t>6/6/2020</t>
  </si>
  <si>
    <t>P463</t>
  </si>
  <si>
    <t>6/8/2024</t>
  </si>
  <si>
    <t>P464</t>
  </si>
  <si>
    <t>6/27/2023</t>
  </si>
  <si>
    <t>10/27/2024</t>
  </si>
  <si>
    <t>P465</t>
  </si>
  <si>
    <t>P466</t>
  </si>
  <si>
    <t>4/19/2019</t>
  </si>
  <si>
    <t>6/19/2020</t>
  </si>
  <si>
    <t>P467</t>
  </si>
  <si>
    <t>8/11/2020</t>
  </si>
  <si>
    <t>TR0105</t>
  </si>
  <si>
    <t>P468</t>
  </si>
  <si>
    <t>3/19/2024</t>
  </si>
  <si>
    <t>None, Dizziness, Fatigue</t>
  </si>
  <si>
    <t>P469</t>
  </si>
  <si>
    <t>P470</t>
  </si>
  <si>
    <t>6/19/2021</t>
  </si>
  <si>
    <t>9/19/2022</t>
  </si>
  <si>
    <t>TR0091</t>
  </si>
  <si>
    <t>P471</t>
  </si>
  <si>
    <t>10/19/2019</t>
  </si>
  <si>
    <t>9/19/2020</t>
  </si>
  <si>
    <t>P472</t>
  </si>
  <si>
    <t>7/11/2021</t>
  </si>
  <si>
    <t>P473</t>
  </si>
  <si>
    <t>3/10/2020</t>
  </si>
  <si>
    <t>P474</t>
  </si>
  <si>
    <t>6/7/2019</t>
  </si>
  <si>
    <t>P475</t>
  </si>
  <si>
    <t>P476</t>
  </si>
  <si>
    <t>10/13/2020</t>
  </si>
  <si>
    <t>TR0125</t>
  </si>
  <si>
    <t>P477</t>
  </si>
  <si>
    <t>7/23/2019</t>
  </si>
  <si>
    <t>P478</t>
  </si>
  <si>
    <t>2/8/2021</t>
  </si>
  <si>
    <t>9/8/2021</t>
  </si>
  <si>
    <t>TR0064</t>
  </si>
  <si>
    <t>P479</t>
  </si>
  <si>
    <t>P480</t>
  </si>
  <si>
    <t>11/27/2021</t>
  </si>
  <si>
    <t>5/27/2022</t>
  </si>
  <si>
    <t>P481</t>
  </si>
  <si>
    <t>6/25/2021</t>
  </si>
  <si>
    <t>P482</t>
  </si>
  <si>
    <t>P483</t>
  </si>
  <si>
    <t>7/17/2020</t>
  </si>
  <si>
    <t>P484</t>
  </si>
  <si>
    <t>P485</t>
  </si>
  <si>
    <t>12/4/2023</t>
  </si>
  <si>
    <t>1/4/2025</t>
  </si>
  <si>
    <t>P486</t>
  </si>
  <si>
    <t>3/13/2019</t>
  </si>
  <si>
    <t>6/13/2020</t>
  </si>
  <si>
    <t>P487</t>
  </si>
  <si>
    <t>8/18/2023</t>
  </si>
  <si>
    <t>9/18/2024</t>
  </si>
  <si>
    <t>P488</t>
  </si>
  <si>
    <t>8/28/2020</t>
  </si>
  <si>
    <t>3/28/2021</t>
  </si>
  <si>
    <t>P489</t>
  </si>
  <si>
    <t>11/6/2023</t>
  </si>
  <si>
    <t>7/6/2024</t>
  </si>
  <si>
    <t>Fatigue, None, Headache</t>
  </si>
  <si>
    <t>P490</t>
  </si>
  <si>
    <t>1/10/2019</t>
  </si>
  <si>
    <t>6/10/2020</t>
  </si>
  <si>
    <t>P491</t>
  </si>
  <si>
    <t>5/27/2021</t>
  </si>
  <si>
    <t>P492</t>
  </si>
  <si>
    <t>1/25/2023</t>
  </si>
  <si>
    <t>P493</t>
  </si>
  <si>
    <t>6/10/2022</t>
  </si>
  <si>
    <t>8/10/2023</t>
  </si>
  <si>
    <t>P494</t>
  </si>
  <si>
    <t>8/18/2021</t>
  </si>
  <si>
    <t>P495</t>
  </si>
  <si>
    <t>12/1/2020</t>
  </si>
  <si>
    <t>9/1/2021</t>
  </si>
  <si>
    <t>P496</t>
  </si>
  <si>
    <t>5/21/2021</t>
  </si>
  <si>
    <t>11/21/2021</t>
  </si>
  <si>
    <t>P497</t>
  </si>
  <si>
    <t>1/15/2019</t>
  </si>
  <si>
    <t>5/15/2020</t>
  </si>
  <si>
    <t>P498</t>
  </si>
  <si>
    <t>2/5/2022</t>
  </si>
  <si>
    <t>TR0114</t>
  </si>
  <si>
    <t>P499</t>
  </si>
  <si>
    <t>12/3/2023</t>
  </si>
  <si>
    <t>3/3/2025</t>
  </si>
  <si>
    <t>P500</t>
  </si>
  <si>
    <t>1/13/2021</t>
  </si>
  <si>
    <t>6/13/2022</t>
  </si>
  <si>
    <t>P501</t>
  </si>
  <si>
    <t>10/12/2021</t>
  </si>
  <si>
    <t>9/12/2022</t>
  </si>
  <si>
    <t>TR0099</t>
  </si>
  <si>
    <t>P502</t>
  </si>
  <si>
    <t>1/9/2024</t>
  </si>
  <si>
    <t>P503</t>
  </si>
  <si>
    <t>1/6/2021</t>
  </si>
  <si>
    <t>1/6/2022</t>
  </si>
  <si>
    <t>P504</t>
  </si>
  <si>
    <t>4/24/2021</t>
  </si>
  <si>
    <t>P505</t>
  </si>
  <si>
    <t>3/5/2023</t>
  </si>
  <si>
    <t>7/5/2024</t>
  </si>
  <si>
    <t>P506</t>
  </si>
  <si>
    <t>4/28/2020</t>
  </si>
  <si>
    <t>1/28/2021</t>
  </si>
  <si>
    <t>P507</t>
  </si>
  <si>
    <t>8/23/2022</t>
  </si>
  <si>
    <t>P508</t>
  </si>
  <si>
    <t>6/12/2020</t>
  </si>
  <si>
    <t>P509</t>
  </si>
  <si>
    <t>P510</t>
  </si>
  <si>
    <t>10/17/2020</t>
  </si>
  <si>
    <t>10/17/2021</t>
  </si>
  <si>
    <t>P511</t>
  </si>
  <si>
    <t>9/12/2021</t>
  </si>
  <si>
    <t>4/12/2022</t>
  </si>
  <si>
    <t>P512</t>
  </si>
  <si>
    <t>2/12/2023</t>
  </si>
  <si>
    <t>P513</t>
  </si>
  <si>
    <t>9/24/2019</t>
  </si>
  <si>
    <t>TR0137</t>
  </si>
  <si>
    <t>P514</t>
  </si>
  <si>
    <t>6/12/2019</t>
  </si>
  <si>
    <t>12/12/2019</t>
  </si>
  <si>
    <t>P515</t>
  </si>
  <si>
    <t>5/10/2023</t>
  </si>
  <si>
    <t>8/10/2024</t>
  </si>
  <si>
    <t>TR0122</t>
  </si>
  <si>
    <t>P516</t>
  </si>
  <si>
    <t>4/1/2022</t>
  </si>
  <si>
    <t>P517</t>
  </si>
  <si>
    <t>6/18/2023</t>
  </si>
  <si>
    <t>P518</t>
  </si>
  <si>
    <t>6/3/2023</t>
  </si>
  <si>
    <t>3/3/2024</t>
  </si>
  <si>
    <t>P519</t>
  </si>
  <si>
    <t>3/18/2021</t>
  </si>
  <si>
    <t>P520</t>
  </si>
  <si>
    <t>11/4/2021</t>
  </si>
  <si>
    <t>3/4/2023</t>
  </si>
  <si>
    <t>P521</t>
  </si>
  <si>
    <t>P522</t>
  </si>
  <si>
    <t>6/20/2021</t>
  </si>
  <si>
    <t>P523</t>
  </si>
  <si>
    <t>11/20/2020</t>
  </si>
  <si>
    <t>12/20/2021</t>
  </si>
  <si>
    <t>P524</t>
  </si>
  <si>
    <t>P525</t>
  </si>
  <si>
    <t>2/24/2023</t>
  </si>
  <si>
    <t>P526</t>
  </si>
  <si>
    <t>8/23/2021</t>
  </si>
  <si>
    <t>P527</t>
  </si>
  <si>
    <t>P528</t>
  </si>
  <si>
    <t>3/12/2023</t>
  </si>
  <si>
    <t>P529</t>
  </si>
  <si>
    <t>12/8/2021</t>
  </si>
  <si>
    <t>TR0128</t>
  </si>
  <si>
    <t>P530</t>
  </si>
  <si>
    <t>2/28/2025</t>
  </si>
  <si>
    <t>P531</t>
  </si>
  <si>
    <t>12/27/2020</t>
  </si>
  <si>
    <t>7/27/2021</t>
  </si>
  <si>
    <t>P532</t>
  </si>
  <si>
    <t>8/3/2019</t>
  </si>
  <si>
    <t>9/3/2020</t>
  </si>
  <si>
    <t>P533</t>
  </si>
  <si>
    <t>7/20/2021</t>
  </si>
  <si>
    <t>P534</t>
  </si>
  <si>
    <t>P535</t>
  </si>
  <si>
    <t>11/10/2019</t>
  </si>
  <si>
    <t>P536</t>
  </si>
  <si>
    <t>1/12/2023</t>
  </si>
  <si>
    <t>P537</t>
  </si>
  <si>
    <t>4/22/2020</t>
  </si>
  <si>
    <t>TR0083</t>
  </si>
  <si>
    <t>P538</t>
  </si>
  <si>
    <t>6/24/2020</t>
  </si>
  <si>
    <t>P539</t>
  </si>
  <si>
    <t>3/24/2022</t>
  </si>
  <si>
    <t>10/24/2022</t>
  </si>
  <si>
    <t>P540</t>
  </si>
  <si>
    <t>2/28/2020</t>
  </si>
  <si>
    <t>P541</t>
  </si>
  <si>
    <t>7/13/2022</t>
  </si>
  <si>
    <t>P542</t>
  </si>
  <si>
    <t>8/18/2024</t>
  </si>
  <si>
    <t>P543</t>
  </si>
  <si>
    <t>P544</t>
  </si>
  <si>
    <t>3/7/2020</t>
  </si>
  <si>
    <t>P545</t>
  </si>
  <si>
    <t>2/8/2023</t>
  </si>
  <si>
    <t>P546</t>
  </si>
  <si>
    <t>2/19/2022</t>
  </si>
  <si>
    <t>P547</t>
  </si>
  <si>
    <t>1/13/2019</t>
  </si>
  <si>
    <t>7/13/2020</t>
  </si>
  <si>
    <t>P548</t>
  </si>
  <si>
    <t>P549</t>
  </si>
  <si>
    <t>3/1/2019</t>
  </si>
  <si>
    <t>4/1/2020</t>
  </si>
  <si>
    <t>P550</t>
  </si>
  <si>
    <t>P551</t>
  </si>
  <si>
    <t>6/23/2024</t>
  </si>
  <si>
    <t>P552</t>
  </si>
  <si>
    <t>3/24/2021</t>
  </si>
  <si>
    <t>7/24/2022</t>
  </si>
  <si>
    <t>P553</t>
  </si>
  <si>
    <t>4/6/2019</t>
  </si>
  <si>
    <t>4/6/2020</t>
  </si>
  <si>
    <t>P554</t>
  </si>
  <si>
    <t>3/9/2021</t>
  </si>
  <si>
    <t>TR0088</t>
  </si>
  <si>
    <t>P555</t>
  </si>
  <si>
    <t>7/10/2021</t>
  </si>
  <si>
    <t>P556</t>
  </si>
  <si>
    <t>P557</t>
  </si>
  <si>
    <t>1/24/2022</t>
  </si>
  <si>
    <t>P558</t>
  </si>
  <si>
    <t>7/19/2022</t>
  </si>
  <si>
    <t>4/19/2023</t>
  </si>
  <si>
    <t>P559</t>
  </si>
  <si>
    <t>2/25/2023</t>
  </si>
  <si>
    <t>6/25/2024</t>
  </si>
  <si>
    <t>P560</t>
  </si>
  <si>
    <t>10/6/2022</t>
  </si>
  <si>
    <t>3/6/2024</t>
  </si>
  <si>
    <t>P561</t>
  </si>
  <si>
    <t>10/14/2024</t>
  </si>
  <si>
    <t>P562</t>
  </si>
  <si>
    <t>10/4/2019</t>
  </si>
  <si>
    <t>P563</t>
  </si>
  <si>
    <t>11/1/2022</t>
  </si>
  <si>
    <t>P564</t>
  </si>
  <si>
    <t>6/15/2019</t>
  </si>
  <si>
    <t>P565</t>
  </si>
  <si>
    <t>12/3/2019</t>
  </si>
  <si>
    <t>4/3/2021</t>
  </si>
  <si>
    <t>P566</t>
  </si>
  <si>
    <t>2/19/2020</t>
  </si>
  <si>
    <t>TR0159</t>
  </si>
  <si>
    <t>P567</t>
  </si>
  <si>
    <t>12/27/2019</t>
  </si>
  <si>
    <t>P568</t>
  </si>
  <si>
    <t>P569</t>
  </si>
  <si>
    <t>5/14/2021</t>
  </si>
  <si>
    <t>P570</t>
  </si>
  <si>
    <t>2/15/2024</t>
  </si>
  <si>
    <t>P571</t>
  </si>
  <si>
    <t>10/9/2021</t>
  </si>
  <si>
    <t>3/9/2023</t>
  </si>
  <si>
    <t>P572</t>
  </si>
  <si>
    <t>11/19/2023</t>
  </si>
  <si>
    <t>10/19/2024</t>
  </si>
  <si>
    <t>P573</t>
  </si>
  <si>
    <t>12/4/2022</t>
  </si>
  <si>
    <t>P574</t>
  </si>
  <si>
    <t>3/9/2019</t>
  </si>
  <si>
    <t>3/9/2020</t>
  </si>
  <si>
    <t>P575</t>
  </si>
  <si>
    <t>1/17/2020</t>
  </si>
  <si>
    <t>P576</t>
  </si>
  <si>
    <t>2/19/2024</t>
  </si>
  <si>
    <t>P577</t>
  </si>
  <si>
    <t>P578</t>
  </si>
  <si>
    <t>5/23/2024</t>
  </si>
  <si>
    <t>P579</t>
  </si>
  <si>
    <t>8/3/2023</t>
  </si>
  <si>
    <t>P580</t>
  </si>
  <si>
    <t>2/19/2025</t>
  </si>
  <si>
    <t>P581</t>
  </si>
  <si>
    <t>2/15/2020</t>
  </si>
  <si>
    <t>P582</t>
  </si>
  <si>
    <t>7/27/2020</t>
  </si>
  <si>
    <t>4/27/2021</t>
  </si>
  <si>
    <t>P583</t>
  </si>
  <si>
    <t>10/27/2022</t>
  </si>
  <si>
    <t>P584</t>
  </si>
  <si>
    <t>4/9/2022</t>
  </si>
  <si>
    <t>P585</t>
  </si>
  <si>
    <t>2/8/2019</t>
  </si>
  <si>
    <t>8/8/2019</t>
  </si>
  <si>
    <t>P586</t>
  </si>
  <si>
    <t>1/19/2021</t>
  </si>
  <si>
    <t>7/19/2021</t>
  </si>
  <si>
    <t>P587</t>
  </si>
  <si>
    <t>2/27/2022</t>
  </si>
  <si>
    <t>11/27/2022</t>
  </si>
  <si>
    <t>P588</t>
  </si>
  <si>
    <t>10/2/2019</t>
  </si>
  <si>
    <t>10/2/2020</t>
  </si>
  <si>
    <t>P589</t>
  </si>
  <si>
    <t>8/5/2022</t>
  </si>
  <si>
    <t>P590</t>
  </si>
  <si>
    <t>12/18/2022</t>
  </si>
  <si>
    <t>P591</t>
  </si>
  <si>
    <t>3/7/2022</t>
  </si>
  <si>
    <t>TR0141</t>
  </si>
  <si>
    <t>P592</t>
  </si>
  <si>
    <t>6/11/2021</t>
  </si>
  <si>
    <t>P593</t>
  </si>
  <si>
    <t>P594</t>
  </si>
  <si>
    <t>P595</t>
  </si>
  <si>
    <t>12/28/2021</t>
  </si>
  <si>
    <t>9/28/2022</t>
  </si>
  <si>
    <t>P596</t>
  </si>
  <si>
    <t>1/16/2022</t>
  </si>
  <si>
    <t>5/16/2023</t>
  </si>
  <si>
    <t>P597</t>
  </si>
  <si>
    <t>6/14/2024</t>
  </si>
  <si>
    <t>P598</t>
  </si>
  <si>
    <t>10/3/2023</t>
  </si>
  <si>
    <t>P599</t>
  </si>
  <si>
    <t>7/14/2023</t>
  </si>
  <si>
    <t>12/14/2024</t>
  </si>
  <si>
    <t>P600</t>
  </si>
  <si>
    <t>2/8/2020</t>
  </si>
  <si>
    <t>9/8/2020</t>
  </si>
  <si>
    <t>P601</t>
  </si>
  <si>
    <t>2/2/2023</t>
  </si>
  <si>
    <t>P602</t>
  </si>
  <si>
    <t>6/23/2023</t>
  </si>
  <si>
    <t>P603</t>
  </si>
  <si>
    <t>3/28/2020</t>
  </si>
  <si>
    <t>2/28/2021</t>
  </si>
  <si>
    <t>P604</t>
  </si>
  <si>
    <t>P605</t>
  </si>
  <si>
    <t>6/24/2022</t>
  </si>
  <si>
    <t>12/24/2023</t>
  </si>
  <si>
    <t>P606</t>
  </si>
  <si>
    <t>P607</t>
  </si>
  <si>
    <t>7/16/2019</t>
  </si>
  <si>
    <t>P608</t>
  </si>
  <si>
    <t>11/2/2022</t>
  </si>
  <si>
    <t>P609</t>
  </si>
  <si>
    <t>7/20/2023</t>
  </si>
  <si>
    <t>2/20/2024</t>
  </si>
  <si>
    <t>P610</t>
  </si>
  <si>
    <t>5/18/2022</t>
  </si>
  <si>
    <t>P611</t>
  </si>
  <si>
    <t>10/16/2020</t>
  </si>
  <si>
    <t>P612</t>
  </si>
  <si>
    <t>8/11/2021</t>
  </si>
  <si>
    <t>11/11/2022</t>
  </si>
  <si>
    <t>P613</t>
  </si>
  <si>
    <t>11/21/2019</t>
  </si>
  <si>
    <t>P614</t>
  </si>
  <si>
    <t>9/5/2021</t>
  </si>
  <si>
    <t>P615</t>
  </si>
  <si>
    <t>1/21/2023</t>
  </si>
  <si>
    <t>P616</t>
  </si>
  <si>
    <t>P617</t>
  </si>
  <si>
    <t>11/22/2019</t>
  </si>
  <si>
    <t>1/22/2021</t>
  </si>
  <si>
    <t>P618</t>
  </si>
  <si>
    <t>11/23/2019</t>
  </si>
  <si>
    <t>4/23/2021</t>
  </si>
  <si>
    <t>P619</t>
  </si>
  <si>
    <t>3/18/2020</t>
  </si>
  <si>
    <t>P620</t>
  </si>
  <si>
    <t>11/22/2023</t>
  </si>
  <si>
    <t>1/22/2025</t>
  </si>
  <si>
    <t>P621</t>
  </si>
  <si>
    <t>P622</t>
  </si>
  <si>
    <t>2/20/2020</t>
  </si>
  <si>
    <t>TR0013</t>
  </si>
  <si>
    <t>P623</t>
  </si>
  <si>
    <t>2/9/2021</t>
  </si>
  <si>
    <t>P624</t>
  </si>
  <si>
    <t>12/19/2019</t>
  </si>
  <si>
    <t>P625</t>
  </si>
  <si>
    <t>12/10/2021</t>
  </si>
  <si>
    <t>P626</t>
  </si>
  <si>
    <t>P627</t>
  </si>
  <si>
    <t>3/27/2021</t>
  </si>
  <si>
    <t>7/27/2022</t>
  </si>
  <si>
    <t>P628</t>
  </si>
  <si>
    <t>11/5/2023</t>
  </si>
  <si>
    <t>2/5/2025</t>
  </si>
  <si>
    <t>P629</t>
  </si>
  <si>
    <t>2/11/2022</t>
  </si>
  <si>
    <t>7/11/2023</t>
  </si>
  <si>
    <t>P630</t>
  </si>
  <si>
    <t>2/23/2020</t>
  </si>
  <si>
    <t>P631</t>
  </si>
  <si>
    <t>7/12/2019</t>
  </si>
  <si>
    <t>11/12/2020</t>
  </si>
  <si>
    <t>P632</t>
  </si>
  <si>
    <t>P633</t>
  </si>
  <si>
    <t>2/3/2023</t>
  </si>
  <si>
    <t>11/3/2023</t>
  </si>
  <si>
    <t>P634</t>
  </si>
  <si>
    <t>9/6/2019</t>
  </si>
  <si>
    <t>10/6/2020</t>
  </si>
  <si>
    <t>Dizziness, Headache, None</t>
  </si>
  <si>
    <t>P635</t>
  </si>
  <si>
    <t>10/22/2022</t>
  </si>
  <si>
    <t>P636</t>
  </si>
  <si>
    <t>2/6/2019</t>
  </si>
  <si>
    <t>10/6/2019</t>
  </si>
  <si>
    <t>P637</t>
  </si>
  <si>
    <t>5/22/2019</t>
  </si>
  <si>
    <t>P638</t>
  </si>
  <si>
    <t>9/4/2024</t>
  </si>
  <si>
    <t>P639</t>
  </si>
  <si>
    <t>P640</t>
  </si>
  <si>
    <t>11/25/2020</t>
  </si>
  <si>
    <t>P641</t>
  </si>
  <si>
    <t>P642</t>
  </si>
  <si>
    <t>8/11/2024</t>
  </si>
  <si>
    <t>P643</t>
  </si>
  <si>
    <t>5/28/2021</t>
  </si>
  <si>
    <t>3/28/2022</t>
  </si>
  <si>
    <t>P644</t>
  </si>
  <si>
    <t>11/22/2020</t>
  </si>
  <si>
    <t>10/22/2021</t>
  </si>
  <si>
    <t>P645</t>
  </si>
  <si>
    <t>P646</t>
  </si>
  <si>
    <t>5/2/2020</t>
  </si>
  <si>
    <t>5/2/2021</t>
  </si>
  <si>
    <t>P647</t>
  </si>
  <si>
    <t>12/22/2019</t>
  </si>
  <si>
    <t>P648</t>
  </si>
  <si>
    <t>5/1/2021</t>
  </si>
  <si>
    <t>P649</t>
  </si>
  <si>
    <t>3/6/2023</t>
  </si>
  <si>
    <t>P650</t>
  </si>
  <si>
    <t>12/13/2020</t>
  </si>
  <si>
    <t>P651</t>
  </si>
  <si>
    <t>3/3/2022</t>
  </si>
  <si>
    <t>P652</t>
  </si>
  <si>
    <t>6/26/2023</t>
  </si>
  <si>
    <t>P653</t>
  </si>
  <si>
    <t>12/21/2021</t>
  </si>
  <si>
    <t>P654</t>
  </si>
  <si>
    <t>P655</t>
  </si>
  <si>
    <t>P656</t>
  </si>
  <si>
    <t>P657</t>
  </si>
  <si>
    <t>7/5/2019</t>
  </si>
  <si>
    <t>P658</t>
  </si>
  <si>
    <t>10/28/2021</t>
  </si>
  <si>
    <t>P659</t>
  </si>
  <si>
    <t>P660</t>
  </si>
  <si>
    <t>P661</t>
  </si>
  <si>
    <t>5/17/2020</t>
  </si>
  <si>
    <t>1/17/2021</t>
  </si>
  <si>
    <t>P662</t>
  </si>
  <si>
    <t>6/10/2023</t>
  </si>
  <si>
    <t>P663</t>
  </si>
  <si>
    <t>2/20/2021</t>
  </si>
  <si>
    <t>TR0012</t>
  </si>
  <si>
    <t>P664</t>
  </si>
  <si>
    <t>9/28/2019</t>
  </si>
  <si>
    <t>P665</t>
  </si>
  <si>
    <t>3/22/2023</t>
  </si>
  <si>
    <t>7/22/2024</t>
  </si>
  <si>
    <t>P666</t>
  </si>
  <si>
    <t>P667</t>
  </si>
  <si>
    <t>1/14/2021</t>
  </si>
  <si>
    <t>P668</t>
  </si>
  <si>
    <t>10/20/2022</t>
  </si>
  <si>
    <t>P669</t>
  </si>
  <si>
    <t>3/2/2022</t>
  </si>
  <si>
    <t>P670</t>
  </si>
  <si>
    <t>P671</t>
  </si>
  <si>
    <t>4/6/2023</t>
  </si>
  <si>
    <t>P672</t>
  </si>
  <si>
    <t>2/5/2023</t>
  </si>
  <si>
    <t>P673</t>
  </si>
  <si>
    <t>P674</t>
  </si>
  <si>
    <t>P675</t>
  </si>
  <si>
    <t>P676</t>
  </si>
  <si>
    <t>11/11/2019</t>
  </si>
  <si>
    <t>P677</t>
  </si>
  <si>
    <t>P678</t>
  </si>
  <si>
    <t>P679</t>
  </si>
  <si>
    <t>10/24/2021</t>
  </si>
  <si>
    <t>P680</t>
  </si>
  <si>
    <t>4/3/2019</t>
  </si>
  <si>
    <t>10/3/2020</t>
  </si>
  <si>
    <t>P681</t>
  </si>
  <si>
    <t>7/26/2020</t>
  </si>
  <si>
    <t>P682</t>
  </si>
  <si>
    <t>6/7/2021</t>
  </si>
  <si>
    <t>P683</t>
  </si>
  <si>
    <t>P684</t>
  </si>
  <si>
    <t>P685</t>
  </si>
  <si>
    <t>12/10/2022</t>
  </si>
  <si>
    <t>P686</t>
  </si>
  <si>
    <t>P687</t>
  </si>
  <si>
    <t>3/3/2019</t>
  </si>
  <si>
    <t>10/3/2019</t>
  </si>
  <si>
    <t>P688</t>
  </si>
  <si>
    <t>6/21/2021</t>
  </si>
  <si>
    <t>P689</t>
  </si>
  <si>
    <t>10/7/2020</t>
  </si>
  <si>
    <t>P690</t>
  </si>
  <si>
    <t>P691</t>
  </si>
  <si>
    <t>11/9/2020</t>
  </si>
  <si>
    <t>P692</t>
  </si>
  <si>
    <t>11/5/2020</t>
  </si>
  <si>
    <t>8/5/2021</t>
  </si>
  <si>
    <t>P693</t>
  </si>
  <si>
    <t>P694</t>
  </si>
  <si>
    <t>8/8/2020</t>
  </si>
  <si>
    <t>P695</t>
  </si>
  <si>
    <t>2/19/2019</t>
  </si>
  <si>
    <t>P696</t>
  </si>
  <si>
    <t>8/7/2019</t>
  </si>
  <si>
    <t>P697</t>
  </si>
  <si>
    <t>8/25/2021</t>
  </si>
  <si>
    <t>P698</t>
  </si>
  <si>
    <t>4/24/2020</t>
  </si>
  <si>
    <t>1/24/2021</t>
  </si>
  <si>
    <t>P699</t>
  </si>
  <si>
    <t>10/18/2021</t>
  </si>
  <si>
    <t>P700</t>
  </si>
  <si>
    <t>11/12/2023</t>
  </si>
  <si>
    <t>P701</t>
  </si>
  <si>
    <t>P702</t>
  </si>
  <si>
    <t>3/22/2024</t>
  </si>
  <si>
    <t>P703</t>
  </si>
  <si>
    <t>P704</t>
  </si>
  <si>
    <t>6/8/2021</t>
  </si>
  <si>
    <t>P705</t>
  </si>
  <si>
    <t>9/3/2023</t>
  </si>
  <si>
    <t>8/3/2024</t>
  </si>
  <si>
    <t>P706</t>
  </si>
  <si>
    <t>2/21/2024</t>
  </si>
  <si>
    <t>P707</t>
  </si>
  <si>
    <t>8/26/2020</t>
  </si>
  <si>
    <t>3/26/2021</t>
  </si>
  <si>
    <t>TR0192</t>
  </si>
  <si>
    <t>P708</t>
  </si>
  <si>
    <t>9/27/2019</t>
  </si>
  <si>
    <t>P709</t>
  </si>
  <si>
    <t>5/1/2024</t>
  </si>
  <si>
    <t>P710</t>
  </si>
  <si>
    <t>8/8/2022</t>
  </si>
  <si>
    <t>P711</t>
  </si>
  <si>
    <t>2/25/2021</t>
  </si>
  <si>
    <t>P712</t>
  </si>
  <si>
    <t>8/16/2023</t>
  </si>
  <si>
    <t>P713</t>
  </si>
  <si>
    <t>P714</t>
  </si>
  <si>
    <t>4/24/2022</t>
  </si>
  <si>
    <t>8/24/2023</t>
  </si>
  <si>
    <t>P715</t>
  </si>
  <si>
    <t>6/8/2019</t>
  </si>
  <si>
    <t>P716</t>
  </si>
  <si>
    <t>5/19/2023</t>
  </si>
  <si>
    <t>4/19/2024</t>
  </si>
  <si>
    <t>P717</t>
  </si>
  <si>
    <t>P718</t>
  </si>
  <si>
    <t>4/27/2020</t>
  </si>
  <si>
    <t>P719</t>
  </si>
  <si>
    <t>7/22/2020</t>
  </si>
  <si>
    <t>P720</t>
  </si>
  <si>
    <t>8/11/2023</t>
  </si>
  <si>
    <t>P721</t>
  </si>
  <si>
    <t>3/17/2021</t>
  </si>
  <si>
    <t>5/17/2022</t>
  </si>
  <si>
    <t>P722</t>
  </si>
  <si>
    <t>1/7/2019</t>
  </si>
  <si>
    <t>P723</t>
  </si>
  <si>
    <t>1/27/2021</t>
  </si>
  <si>
    <t>1/27/2022</t>
  </si>
  <si>
    <t>P724</t>
  </si>
  <si>
    <t>P725</t>
  </si>
  <si>
    <t>11/12/2019</t>
  </si>
  <si>
    <t>12/12/2020</t>
  </si>
  <si>
    <t>P726</t>
  </si>
  <si>
    <t>10/26/2024</t>
  </si>
  <si>
    <t>P727</t>
  </si>
  <si>
    <t>P728</t>
  </si>
  <si>
    <t>5/18/2020</t>
  </si>
  <si>
    <t>P729</t>
  </si>
  <si>
    <t>1/18/2021</t>
  </si>
  <si>
    <t>7/18/2022</t>
  </si>
  <si>
    <t>TR0140</t>
  </si>
  <si>
    <t>P730</t>
  </si>
  <si>
    <t>6/22/2023</t>
  </si>
  <si>
    <t>P731</t>
  </si>
  <si>
    <t>3/16/2019</t>
  </si>
  <si>
    <t>P732</t>
  </si>
  <si>
    <t>2/13/2019</t>
  </si>
  <si>
    <t>4/13/2020</t>
  </si>
  <si>
    <t>None, Nausea, Fatigue</t>
  </si>
  <si>
    <t>P733</t>
  </si>
  <si>
    <t>P734</t>
  </si>
  <si>
    <t>P735</t>
  </si>
  <si>
    <t>P736</t>
  </si>
  <si>
    <t>7/8/2020</t>
  </si>
  <si>
    <t>P737</t>
  </si>
  <si>
    <t>10/2/2021</t>
  </si>
  <si>
    <t>3/2/2023</t>
  </si>
  <si>
    <t>P738</t>
  </si>
  <si>
    <t>P739</t>
  </si>
  <si>
    <t>12/22/2022</t>
  </si>
  <si>
    <t>P740</t>
  </si>
  <si>
    <t>P741</t>
  </si>
  <si>
    <t>6/6/2022</t>
  </si>
  <si>
    <t>P742</t>
  </si>
  <si>
    <t>10/2/2022</t>
  </si>
  <si>
    <t>P743</t>
  </si>
  <si>
    <t>12/23/2023</t>
  </si>
  <si>
    <t>10/23/2024</t>
  </si>
  <si>
    <t>P744</t>
  </si>
  <si>
    <t>2/12/2022</t>
  </si>
  <si>
    <t>P745</t>
  </si>
  <si>
    <t>P746</t>
  </si>
  <si>
    <t>12/22/2021</t>
  </si>
  <si>
    <t>P747</t>
  </si>
  <si>
    <t>3/17/2022</t>
  </si>
  <si>
    <t>P748</t>
  </si>
  <si>
    <t>3/9/2022</t>
  </si>
  <si>
    <t>P749</t>
  </si>
  <si>
    <t>2/26/2025</t>
  </si>
  <si>
    <t>P750</t>
  </si>
  <si>
    <t>7/25/2024</t>
  </si>
  <si>
    <t>P751</t>
  </si>
  <si>
    <t>1/3/2021</t>
  </si>
  <si>
    <t>P752</t>
  </si>
  <si>
    <t>P753</t>
  </si>
  <si>
    <t>12/27/2023</t>
  </si>
  <si>
    <t>8/27/2024</t>
  </si>
  <si>
    <t>P754</t>
  </si>
  <si>
    <t>10/17/2022</t>
  </si>
  <si>
    <t>TR0043</t>
  </si>
  <si>
    <t>P755</t>
  </si>
  <si>
    <t>3/10/2023</t>
  </si>
  <si>
    <t>6/10/2024</t>
  </si>
  <si>
    <t>P756</t>
  </si>
  <si>
    <t>11/27/2020</t>
  </si>
  <si>
    <t>P757</t>
  </si>
  <si>
    <t>10/23/2023</t>
  </si>
  <si>
    <t>P758</t>
  </si>
  <si>
    <t>2/17/2020</t>
  </si>
  <si>
    <t>P759</t>
  </si>
  <si>
    <t>5/16/2022</t>
  </si>
  <si>
    <t>1/16/2023</t>
  </si>
  <si>
    <t>P760</t>
  </si>
  <si>
    <t>11/13/2022</t>
  </si>
  <si>
    <t>P761</t>
  </si>
  <si>
    <t>P762</t>
  </si>
  <si>
    <t>2/24/2020</t>
  </si>
  <si>
    <t>2/24/2021</t>
  </si>
  <si>
    <t>P763</t>
  </si>
  <si>
    <t>5/9/2024</t>
  </si>
  <si>
    <t>P764</t>
  </si>
  <si>
    <t>P765</t>
  </si>
  <si>
    <t>11/27/2023</t>
  </si>
  <si>
    <t>P766</t>
  </si>
  <si>
    <t>9/17/2023</t>
  </si>
  <si>
    <t>12/17/2024</t>
  </si>
  <si>
    <t>P767</t>
  </si>
  <si>
    <t>5/11/2024</t>
  </si>
  <si>
    <t>P768</t>
  </si>
  <si>
    <t>P769</t>
  </si>
  <si>
    <t>7/5/2021</t>
  </si>
  <si>
    <t>P770</t>
  </si>
  <si>
    <t>P771</t>
  </si>
  <si>
    <t>P772</t>
  </si>
  <si>
    <t>P773</t>
  </si>
  <si>
    <t>P774</t>
  </si>
  <si>
    <t>10/6/2021</t>
  </si>
  <si>
    <t>Headache, None, Nausea</t>
  </si>
  <si>
    <t>P775</t>
  </si>
  <si>
    <t>P776</t>
  </si>
  <si>
    <t>P777</t>
  </si>
  <si>
    <t>4/1/2019</t>
  </si>
  <si>
    <t>10/1/2020</t>
  </si>
  <si>
    <t>P778</t>
  </si>
  <si>
    <t>P779</t>
  </si>
  <si>
    <t>6/17/2021</t>
  </si>
  <si>
    <t>4/17/2022</t>
  </si>
  <si>
    <t>P780</t>
  </si>
  <si>
    <t>11/16/2023</t>
  </si>
  <si>
    <t>P781</t>
  </si>
  <si>
    <t>12/3/2022</t>
  </si>
  <si>
    <t>P782</t>
  </si>
  <si>
    <t>P783</t>
  </si>
  <si>
    <t>10/20/2021</t>
  </si>
  <si>
    <t>P784</t>
  </si>
  <si>
    <t>P785</t>
  </si>
  <si>
    <t>P786</t>
  </si>
  <si>
    <t>P787</t>
  </si>
  <si>
    <t>9/13/2019</t>
  </si>
  <si>
    <t>P788</t>
  </si>
  <si>
    <t>1/14/2023</t>
  </si>
  <si>
    <t>P789</t>
  </si>
  <si>
    <t>1/14/2025</t>
  </si>
  <si>
    <t>P790</t>
  </si>
  <si>
    <t>8/2/2022</t>
  </si>
  <si>
    <t>P791</t>
  </si>
  <si>
    <t>10/14/2019</t>
  </si>
  <si>
    <t>P792</t>
  </si>
  <si>
    <t>P793</t>
  </si>
  <si>
    <t>5/13/2020</t>
  </si>
  <si>
    <t>P794</t>
  </si>
  <si>
    <t>4/7/2019</t>
  </si>
  <si>
    <t>5/7/2020</t>
  </si>
  <si>
    <t>P795</t>
  </si>
  <si>
    <t>P796</t>
  </si>
  <si>
    <t>P797</t>
  </si>
  <si>
    <t>3/13/2023</t>
  </si>
  <si>
    <t>P798</t>
  </si>
  <si>
    <t>5/11/2023</t>
  </si>
  <si>
    <t>11/11/2024</t>
  </si>
  <si>
    <t>P799</t>
  </si>
  <si>
    <t>4/27/2019</t>
  </si>
  <si>
    <t>P800</t>
  </si>
  <si>
    <t>8/17/2021</t>
  </si>
  <si>
    <t>P801</t>
  </si>
  <si>
    <t>6/14/2021</t>
  </si>
  <si>
    <t>5/14/2022</t>
  </si>
  <si>
    <t>P802</t>
  </si>
  <si>
    <t>11/6/2020</t>
  </si>
  <si>
    <t>P803</t>
  </si>
  <si>
    <t>3/25/2021</t>
  </si>
  <si>
    <t>P804</t>
  </si>
  <si>
    <t>9/21/2024</t>
  </si>
  <si>
    <t>P805</t>
  </si>
  <si>
    <t>5/15/2019</t>
  </si>
  <si>
    <t>1/15/2020</t>
  </si>
  <si>
    <t>P806</t>
  </si>
  <si>
    <t>P807</t>
  </si>
  <si>
    <t>11/15/2021</t>
  </si>
  <si>
    <t>P808</t>
  </si>
  <si>
    <t>8/6/2020</t>
  </si>
  <si>
    <t>2/6/2021</t>
  </si>
  <si>
    <t>P809</t>
  </si>
  <si>
    <t>7/20/2019</t>
  </si>
  <si>
    <t>P810</t>
  </si>
  <si>
    <t>2/27/2023</t>
  </si>
  <si>
    <t>2/27/2024</t>
  </si>
  <si>
    <t>P811</t>
  </si>
  <si>
    <t>P812</t>
  </si>
  <si>
    <t>P813</t>
  </si>
  <si>
    <t>P814</t>
  </si>
  <si>
    <t>9/2/2023</t>
  </si>
  <si>
    <t>2/2/2025</t>
  </si>
  <si>
    <t>P815</t>
  </si>
  <si>
    <t>2/2/2022</t>
  </si>
  <si>
    <t>P816</t>
  </si>
  <si>
    <t>10/17/2019</t>
  </si>
  <si>
    <t>4/17/2021</t>
  </si>
  <si>
    <t>P817</t>
  </si>
  <si>
    <t>1/12/2020</t>
  </si>
  <si>
    <t>P818</t>
  </si>
  <si>
    <t>9/27/2020</t>
  </si>
  <si>
    <t>P819</t>
  </si>
  <si>
    <t>TR0041</t>
  </si>
  <si>
    <t>P820</t>
  </si>
  <si>
    <t>3/22/2025</t>
  </si>
  <si>
    <t>P821</t>
  </si>
  <si>
    <t>8/14/2020</t>
  </si>
  <si>
    <t>P822</t>
  </si>
  <si>
    <t>8/10/2022</t>
  </si>
  <si>
    <t>1/10/2024</t>
  </si>
  <si>
    <t>P823</t>
  </si>
  <si>
    <t>3/20/2020</t>
  </si>
  <si>
    <t>P824</t>
  </si>
  <si>
    <t>10/5/2019</t>
  </si>
  <si>
    <t>6/5/2020</t>
  </si>
  <si>
    <t>P825</t>
  </si>
  <si>
    <t>P826</t>
  </si>
  <si>
    <t>2/3/2020</t>
  </si>
  <si>
    <t>P827</t>
  </si>
  <si>
    <t>7/5/2020</t>
  </si>
  <si>
    <t>P828</t>
  </si>
  <si>
    <t>5/5/2022</t>
  </si>
  <si>
    <t>P829</t>
  </si>
  <si>
    <t>P830</t>
  </si>
  <si>
    <t>9/25/2021</t>
  </si>
  <si>
    <t>6/25/2022</t>
  </si>
  <si>
    <t>P831</t>
  </si>
  <si>
    <t>9/7/2023</t>
  </si>
  <si>
    <t>11/7/2024</t>
  </si>
  <si>
    <t>P832</t>
  </si>
  <si>
    <t>7/20/2022</t>
  </si>
  <si>
    <t>P833</t>
  </si>
  <si>
    <t>P834</t>
  </si>
  <si>
    <t>12/23/2021</t>
  </si>
  <si>
    <t>P835</t>
  </si>
  <si>
    <t>P836</t>
  </si>
  <si>
    <t>8/2/2024</t>
  </si>
  <si>
    <t>P837</t>
  </si>
  <si>
    <t>P838</t>
  </si>
  <si>
    <t>6/22/2020</t>
  </si>
  <si>
    <t>P839</t>
  </si>
  <si>
    <t>2/13/2021</t>
  </si>
  <si>
    <t>P840</t>
  </si>
  <si>
    <t>1/1/2020</t>
  </si>
  <si>
    <t>P841</t>
  </si>
  <si>
    <t>P842</t>
  </si>
  <si>
    <t>12/8/2019</t>
  </si>
  <si>
    <t>P843</t>
  </si>
  <si>
    <t>P844</t>
  </si>
  <si>
    <t>6/12/2022</t>
  </si>
  <si>
    <t>8/12/2023</t>
  </si>
  <si>
    <t>P845</t>
  </si>
  <si>
    <t>7/6/2023</t>
  </si>
  <si>
    <t>P846</t>
  </si>
  <si>
    <t>6/11/2023</t>
  </si>
  <si>
    <t>P847</t>
  </si>
  <si>
    <t>3/20/2024</t>
  </si>
  <si>
    <t>P848</t>
  </si>
  <si>
    <t>3/21/2023</t>
  </si>
  <si>
    <t>P849</t>
  </si>
  <si>
    <t>P850</t>
  </si>
  <si>
    <t>7/25/2021</t>
  </si>
  <si>
    <t>P851</t>
  </si>
  <si>
    <t>P852</t>
  </si>
  <si>
    <t>5/8/2019</t>
  </si>
  <si>
    <t>10/8/2020</t>
  </si>
  <si>
    <t>P853</t>
  </si>
  <si>
    <t>7/15/2022</t>
  </si>
  <si>
    <t>1/15/2024</t>
  </si>
  <si>
    <t>P854</t>
  </si>
  <si>
    <t>7/7/2022</t>
  </si>
  <si>
    <t>P855</t>
  </si>
  <si>
    <t>2/10/2019</t>
  </si>
  <si>
    <t>10/10/2019</t>
  </si>
  <si>
    <t>P856</t>
  </si>
  <si>
    <t>11/5/2024</t>
  </si>
  <si>
    <t>P857</t>
  </si>
  <si>
    <t>P858</t>
  </si>
  <si>
    <t>8/13/2021</t>
  </si>
  <si>
    <t>P859</t>
  </si>
  <si>
    <t>P860</t>
  </si>
  <si>
    <t>P861</t>
  </si>
  <si>
    <t>10/7/2023</t>
  </si>
  <si>
    <t>7/7/2024</t>
  </si>
  <si>
    <t>P862</t>
  </si>
  <si>
    <t>2/6/2024</t>
  </si>
  <si>
    <t>P863</t>
  </si>
  <si>
    <t>6/9/2024</t>
  </si>
  <si>
    <t>P864</t>
  </si>
  <si>
    <t>7/13/2023</t>
  </si>
  <si>
    <t>11/13/2024</t>
  </si>
  <si>
    <t>P865</t>
  </si>
  <si>
    <t>P866</t>
  </si>
  <si>
    <t>P867</t>
  </si>
  <si>
    <t>1/21/2025</t>
  </si>
  <si>
    <t>P868</t>
  </si>
  <si>
    <t>P869</t>
  </si>
  <si>
    <t>6/13/2024</t>
  </si>
  <si>
    <t>P870</t>
  </si>
  <si>
    <t>P871</t>
  </si>
  <si>
    <t>P872</t>
  </si>
  <si>
    <t>7/8/2019</t>
  </si>
  <si>
    <t>P873</t>
  </si>
  <si>
    <t>12/5/2023</t>
  </si>
  <si>
    <t>P874</t>
  </si>
  <si>
    <t>P875</t>
  </si>
  <si>
    <t>8/15/2024</t>
  </si>
  <si>
    <t>P876</t>
  </si>
  <si>
    <t>P877</t>
  </si>
  <si>
    <t>2/26/2020</t>
  </si>
  <si>
    <t>TR0167</t>
  </si>
  <si>
    <t>P878</t>
  </si>
  <si>
    <t>2/3/2021</t>
  </si>
  <si>
    <t>P879</t>
  </si>
  <si>
    <t>7/9/2022</t>
  </si>
  <si>
    <t>P880</t>
  </si>
  <si>
    <t>10/15/2021</t>
  </si>
  <si>
    <t>1/15/2023</t>
  </si>
  <si>
    <t>P881</t>
  </si>
  <si>
    <t>10/24/2019</t>
  </si>
  <si>
    <t>P882</t>
  </si>
  <si>
    <t>P883</t>
  </si>
  <si>
    <t>P884</t>
  </si>
  <si>
    <t>5/19/2021</t>
  </si>
  <si>
    <t>P885</t>
  </si>
  <si>
    <t>1/27/2025</t>
  </si>
  <si>
    <t>P886</t>
  </si>
  <si>
    <t>P887</t>
  </si>
  <si>
    <t>12/20/2020</t>
  </si>
  <si>
    <t>P888</t>
  </si>
  <si>
    <t>10/11/2021</t>
  </si>
  <si>
    <t>2/11/2023</t>
  </si>
  <si>
    <t>P889</t>
  </si>
  <si>
    <t>4/8/2020</t>
  </si>
  <si>
    <t>P890</t>
  </si>
  <si>
    <t>P891</t>
  </si>
  <si>
    <t>P892</t>
  </si>
  <si>
    <t>P893</t>
  </si>
  <si>
    <t>2/7/2023</t>
  </si>
  <si>
    <t>P894</t>
  </si>
  <si>
    <t>3/25/2022</t>
  </si>
  <si>
    <t>P895</t>
  </si>
  <si>
    <t>4/9/2019</t>
  </si>
  <si>
    <t>9/9/2020</t>
  </si>
  <si>
    <t>P896</t>
  </si>
  <si>
    <t>P897</t>
  </si>
  <si>
    <t>P898</t>
  </si>
  <si>
    <t>3/23/2024</t>
  </si>
  <si>
    <t>P899</t>
  </si>
  <si>
    <t>P900</t>
  </si>
  <si>
    <t>3/11/2022</t>
  </si>
  <si>
    <t>P901</t>
  </si>
  <si>
    <t>7/6/2019</t>
  </si>
  <si>
    <t>7/6/2020</t>
  </si>
  <si>
    <t>P902</t>
  </si>
  <si>
    <t>10/19/2023</t>
  </si>
  <si>
    <t>P903</t>
  </si>
  <si>
    <t>12/6/2024</t>
  </si>
  <si>
    <t>P904</t>
  </si>
  <si>
    <t>7/3/2019</t>
  </si>
  <si>
    <t>7/3/2020</t>
  </si>
  <si>
    <t>P905</t>
  </si>
  <si>
    <t>9/11/2021</t>
  </si>
  <si>
    <t>P906</t>
  </si>
  <si>
    <t>9/7/2020</t>
  </si>
  <si>
    <t>P907</t>
  </si>
  <si>
    <t>P908</t>
  </si>
  <si>
    <t>1/25/2022</t>
  </si>
  <si>
    <t>P909</t>
  </si>
  <si>
    <t>P910</t>
  </si>
  <si>
    <t>3/20/2021</t>
  </si>
  <si>
    <t>P911</t>
  </si>
  <si>
    <t>9/23/2020</t>
  </si>
  <si>
    <t>P912</t>
  </si>
  <si>
    <t>7/7/2023</t>
  </si>
  <si>
    <t>2/7/2024</t>
  </si>
  <si>
    <t>P913</t>
  </si>
  <si>
    <t>8/13/2019</t>
  </si>
  <si>
    <t>P914</t>
  </si>
  <si>
    <t>5/18/2021</t>
  </si>
  <si>
    <t>P915</t>
  </si>
  <si>
    <t>7/4/2024</t>
  </si>
  <si>
    <t>P916</t>
  </si>
  <si>
    <t>P917</t>
  </si>
  <si>
    <t>7/16/2022</t>
  </si>
  <si>
    <t>P918</t>
  </si>
  <si>
    <t>P919</t>
  </si>
  <si>
    <t>P920</t>
  </si>
  <si>
    <t>6/8/2023</t>
  </si>
  <si>
    <t>P921</t>
  </si>
  <si>
    <t>6/6/2019</t>
  </si>
  <si>
    <t>1/6/2020</t>
  </si>
  <si>
    <t>P922</t>
  </si>
  <si>
    <t>12/18/2020</t>
  </si>
  <si>
    <t>P923</t>
  </si>
  <si>
    <t>1/2/2021</t>
  </si>
  <si>
    <t>P924</t>
  </si>
  <si>
    <t>9/28/2024</t>
  </si>
  <si>
    <t>P925</t>
  </si>
  <si>
    <t>P926</t>
  </si>
  <si>
    <t>11/14/2024</t>
  </si>
  <si>
    <t>P927</t>
  </si>
  <si>
    <t>P928</t>
  </si>
  <si>
    <t>12/4/2021</t>
  </si>
  <si>
    <t>P929</t>
  </si>
  <si>
    <t>P930</t>
  </si>
  <si>
    <t>2/15/2023</t>
  </si>
  <si>
    <t>P931</t>
  </si>
  <si>
    <t>P932</t>
  </si>
  <si>
    <t>6/4/2021</t>
  </si>
  <si>
    <t>P933</t>
  </si>
  <si>
    <t>8/18/2020</t>
  </si>
  <si>
    <t>9/18/2021</t>
  </si>
  <si>
    <t>P934</t>
  </si>
  <si>
    <t>P935</t>
  </si>
  <si>
    <t>P936</t>
  </si>
  <si>
    <t>P937</t>
  </si>
  <si>
    <t>P938</t>
  </si>
  <si>
    <t>P939</t>
  </si>
  <si>
    <t>3/24/2019</t>
  </si>
  <si>
    <t>12/24/2019</t>
  </si>
  <si>
    <t>P940</t>
  </si>
  <si>
    <t>P941</t>
  </si>
  <si>
    <t>12/1/2022</t>
  </si>
  <si>
    <t>P942</t>
  </si>
  <si>
    <t>P943</t>
  </si>
  <si>
    <t>P944</t>
  </si>
  <si>
    <t>7/23/2023</t>
  </si>
  <si>
    <t>P945</t>
  </si>
  <si>
    <t>2/4/2021</t>
  </si>
  <si>
    <t>P946</t>
  </si>
  <si>
    <t>10/11/2022</t>
  </si>
  <si>
    <t>P947</t>
  </si>
  <si>
    <t>9/28/2021</t>
  </si>
  <si>
    <t>P948</t>
  </si>
  <si>
    <t>4/28/2021</t>
  </si>
  <si>
    <t>P949</t>
  </si>
  <si>
    <t>P950</t>
  </si>
  <si>
    <t>P951</t>
  </si>
  <si>
    <t>P952</t>
  </si>
  <si>
    <t>3/18/2019</t>
  </si>
  <si>
    <t>P953</t>
  </si>
  <si>
    <t>P954</t>
  </si>
  <si>
    <t>P955</t>
  </si>
  <si>
    <t>10/12/2020</t>
  </si>
  <si>
    <t>P956</t>
  </si>
  <si>
    <t>12/13/2019</t>
  </si>
  <si>
    <t>P957</t>
  </si>
  <si>
    <t>P958</t>
  </si>
  <si>
    <t>5/20/2023</t>
  </si>
  <si>
    <t>P959</t>
  </si>
  <si>
    <t>P960</t>
  </si>
  <si>
    <t>5/10/2020</t>
  </si>
  <si>
    <t>P961</t>
  </si>
  <si>
    <t>12/27/2021</t>
  </si>
  <si>
    <t>P962</t>
  </si>
  <si>
    <t>Dizziness, None, Nausea</t>
  </si>
  <si>
    <t>P963</t>
  </si>
  <si>
    <t>P964</t>
  </si>
  <si>
    <t>P965</t>
  </si>
  <si>
    <t>P966</t>
  </si>
  <si>
    <t>P967</t>
  </si>
  <si>
    <t>8/20/2023</t>
  </si>
  <si>
    <t>P968</t>
  </si>
  <si>
    <t>1/13/2023</t>
  </si>
  <si>
    <t>P969</t>
  </si>
  <si>
    <t>7/4/2020</t>
  </si>
  <si>
    <t>P970</t>
  </si>
  <si>
    <t>P971</t>
  </si>
  <si>
    <t>12/9/2023</t>
  </si>
  <si>
    <t>12/9/2024</t>
  </si>
  <si>
    <t>P972</t>
  </si>
  <si>
    <t>2/20/2025</t>
  </si>
  <si>
    <t>P973</t>
  </si>
  <si>
    <t>P974</t>
  </si>
  <si>
    <t>10/1/2021</t>
  </si>
  <si>
    <t>P975</t>
  </si>
  <si>
    <t>P976</t>
  </si>
  <si>
    <t>P977</t>
  </si>
  <si>
    <t>P978</t>
  </si>
  <si>
    <t>P979</t>
  </si>
  <si>
    <t>P980</t>
  </si>
  <si>
    <t>12/14/2021</t>
  </si>
  <si>
    <t>P981</t>
  </si>
  <si>
    <t>6/27/2022</t>
  </si>
  <si>
    <t>P982</t>
  </si>
  <si>
    <t>9/17/2019</t>
  </si>
  <si>
    <t>P983</t>
  </si>
  <si>
    <t>2/23/2019</t>
  </si>
  <si>
    <t>P984</t>
  </si>
  <si>
    <t>2/26/2019</t>
  </si>
  <si>
    <t>P985</t>
  </si>
  <si>
    <t>1/24/2023</t>
  </si>
  <si>
    <t>P986</t>
  </si>
  <si>
    <t>P987</t>
  </si>
  <si>
    <t>12/17/2023</t>
  </si>
  <si>
    <t>P988</t>
  </si>
  <si>
    <t>4/28/2023</t>
  </si>
  <si>
    <t>P989</t>
  </si>
  <si>
    <t>P990</t>
  </si>
  <si>
    <t>P991</t>
  </si>
  <si>
    <t>5/17/2021</t>
  </si>
  <si>
    <t>P992</t>
  </si>
  <si>
    <t>P993</t>
  </si>
  <si>
    <t>11/28/2020</t>
  </si>
  <si>
    <t>2/28/2022</t>
  </si>
  <si>
    <t>P994</t>
  </si>
  <si>
    <t>P995</t>
  </si>
  <si>
    <t>P996</t>
  </si>
  <si>
    <t>2/15/2021</t>
  </si>
  <si>
    <t>9/15/2021</t>
  </si>
  <si>
    <t>P997</t>
  </si>
  <si>
    <t>P998</t>
  </si>
  <si>
    <t>8/5/2024</t>
  </si>
  <si>
    <t>P999</t>
  </si>
  <si>
    <t>7/16/2023</t>
  </si>
  <si>
    <t>7/16/2024</t>
  </si>
  <si>
    <t>P1000</t>
  </si>
  <si>
    <t>1/23/2020</t>
  </si>
  <si>
    <t>Column</t>
  </si>
  <si>
    <t>A</t>
  </si>
  <si>
    <t>B</t>
  </si>
  <si>
    <t>C</t>
  </si>
  <si>
    <t>Missing Count</t>
  </si>
  <si>
    <t>Missing %</t>
  </si>
  <si>
    <t>Not Reported</t>
  </si>
  <si>
    <t>Not Reported, Fatigue</t>
  </si>
  <si>
    <t>Nausea, Not Reported, Fatigue</t>
  </si>
  <si>
    <t>Not Reported, Headache, Fatigue</t>
  </si>
  <si>
    <t>Fatigue, Not Reported</t>
  </si>
  <si>
    <t>Fatigue, Headache, Not Reported</t>
  </si>
  <si>
    <t>Headache, Not Reported, Fatigue</t>
  </si>
  <si>
    <t>Dizziness, Not Reported, Fatigue</t>
  </si>
  <si>
    <t>Nausea, Not Reported, Headache</t>
  </si>
  <si>
    <t>Dizziness, Nausea, Not Reported</t>
  </si>
  <si>
    <t>Nausea, Headache, Not Reported</t>
  </si>
  <si>
    <t>Dizziness, Not Reported</t>
  </si>
  <si>
    <t>Not Reported, Headache, Dizziness</t>
  </si>
  <si>
    <t>Headache, Not Reported</t>
  </si>
  <si>
    <t>Not Reported, Headache</t>
  </si>
  <si>
    <t>Nausea, Not Reported</t>
  </si>
  <si>
    <t>Not Reported, Nausea, Dizziness</t>
  </si>
  <si>
    <t>Headache, Dizziness, Not Reported</t>
  </si>
  <si>
    <t>Not Reported, Dizziness, Nausea</t>
  </si>
  <si>
    <t>Not Reported, Dizziness</t>
  </si>
  <si>
    <t>Not Reported, Headache, Nausea</t>
  </si>
  <si>
    <t>Fatigue, Dizziness, Not Reported</t>
  </si>
  <si>
    <t>Nausea, Dizziness, Not Reported</t>
  </si>
  <si>
    <t>Headache, Not Reported, Dizziness</t>
  </si>
  <si>
    <t>Not Reported, Fatigue, Headache</t>
  </si>
  <si>
    <t>Not Reported, Nausea</t>
  </si>
  <si>
    <t>Dizziness, Not Reported, Headache</t>
  </si>
  <si>
    <t>Nausea, Fatigue, Not Reported</t>
  </si>
  <si>
    <t>Fatigue, Not Reported, Dizziness</t>
  </si>
  <si>
    <t>Not Reported, Nausea, Headache</t>
  </si>
  <si>
    <t>Dizziness, Fatigue, Not Reported</t>
  </si>
  <si>
    <t>Not Reported, Fatigue, Dizziness</t>
  </si>
  <si>
    <t>Headache, Fatigue, Not Reported</t>
  </si>
  <si>
    <t>Fatigue, Nausea, Not Reported</t>
  </si>
  <si>
    <t>Fatigue, Not Reported, Nausea</t>
  </si>
  <si>
    <t>Not Reported, Fatigue, Nausea</t>
  </si>
  <si>
    <t>Headache, Nausea, Not Reported</t>
  </si>
  <si>
    <t>Nausea, Not Reported, Dizziness</t>
  </si>
  <si>
    <t>Not Reported, Dizziness, Headache</t>
  </si>
  <si>
    <t>Not Reported, Dizziness, Fatigue</t>
  </si>
  <si>
    <t>Fatigue, Not Reported, Headache</t>
  </si>
  <si>
    <t>Dizziness, Headache, Not Reported</t>
  </si>
  <si>
    <t>Not Reported, Nausea, Fatigue</t>
  </si>
  <si>
    <t>Headache, Not Reported, Nausea</t>
  </si>
  <si>
    <t>Dizziness, Not Reported, Nausea</t>
  </si>
  <si>
    <t>Check</t>
  </si>
  <si>
    <t>Result</t>
  </si>
  <si>
    <t>Total Records</t>
  </si>
  <si>
    <t>Unique Patient IDs</t>
  </si>
  <si>
    <t>Duplicate Patient IDs</t>
  </si>
  <si>
    <t>Minimum</t>
  </si>
  <si>
    <t>Maximum</t>
  </si>
  <si>
    <t>Duration of Treatment</t>
  </si>
  <si>
    <t>Efficacy Score</t>
  </si>
  <si>
    <t>Survival Rate</t>
  </si>
  <si>
    <t>Progression Free Survival</t>
  </si>
  <si>
    <t>Dose_Numeric</t>
  </si>
  <si>
    <t>Dose_Administered_Numeric</t>
  </si>
  <si>
    <t>18-30</t>
  </si>
  <si>
    <t>31-50</t>
  </si>
  <si>
    <t>51-65</t>
  </si>
  <si>
    <t>66+</t>
  </si>
  <si>
    <t>Grand Total</t>
  </si>
  <si>
    <t>Count of Patient_ID</t>
  </si>
  <si>
    <t>Column Labels</t>
  </si>
  <si>
    <t>Age Group</t>
  </si>
  <si>
    <t>Drug</t>
  </si>
  <si>
    <t>Improvement Rate</t>
  </si>
  <si>
    <t>Side_Effects2</t>
  </si>
  <si>
    <t>Side Effects</t>
  </si>
  <si>
    <t>Dizziness Rate</t>
  </si>
  <si>
    <t>Mutation Status</t>
  </si>
  <si>
    <t>Average of Progression_Free_Survival</t>
  </si>
  <si>
    <t>Average of Efficacy_Score</t>
  </si>
  <si>
    <t>Average of Dose_Administered_Numeric</t>
  </si>
  <si>
    <t>Drug Name</t>
  </si>
  <si>
    <t>Average of Survival_Rate</t>
  </si>
  <si>
    <t>Count of Side_Effects</t>
  </si>
  <si>
    <t>Average of Expression_Level</t>
  </si>
  <si>
    <t>Gene</t>
  </si>
  <si>
    <t>Count of Adverse_Events</t>
  </si>
  <si>
    <t>3-8</t>
  </si>
  <si>
    <t>8-13</t>
  </si>
  <si>
    <t>13-18</t>
  </si>
  <si>
    <t>18-23</t>
  </si>
  <si>
    <t>Count of Efficacy_Score</t>
  </si>
  <si>
    <t>30-59</t>
  </si>
  <si>
    <t>60-89</t>
  </si>
  <si>
    <t>90-119</t>
  </si>
  <si>
    <t>120-149</t>
  </si>
  <si>
    <t>150-180</t>
  </si>
  <si>
    <t>Treatment Duration</t>
  </si>
  <si>
    <t>Average of Biomarker_Level</t>
  </si>
  <si>
    <t>Treatment Outcome</t>
  </si>
  <si>
    <t>Side_Effects_Numeric</t>
  </si>
  <si>
    <t xml:space="preserve"> </t>
  </si>
  <si>
    <t>Average of Success_Indicator</t>
  </si>
  <si>
    <t>Treatment_Outcome_Numeric</t>
  </si>
  <si>
    <t>Drug_A_Biomarker</t>
  </si>
  <si>
    <t>Drug_B_Biomarker</t>
  </si>
  <si>
    <t>Drug_C_Biomarker</t>
  </si>
  <si>
    <t>Drug_D_Biomarker</t>
  </si>
  <si>
    <t>Sum of Success_Indicator</t>
  </si>
  <si>
    <t>Mutation</t>
  </si>
  <si>
    <t>Trial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</si>
</sst>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10" fontId="0" fillId="0" borderId="0" xfId="1" applyNumberFormat="1" applyFont="1"/>
    <xf numFmtId="2" fontId="0" fillId="0" borderId="0" xfId="0" applyNumberFormat="1"/>
    <xf numFmtId="0" fontId="3" fillId="0" borderId="0" xfId="0" applyFont="1"/>
    <xf numFmtId="0" fontId="0" fillId="0" borderId="0" xfId="0" applyNumberFormat="1"/>
    <xf numFmtId="9" fontId="0" fillId="0" borderId="0" xfId="0" applyNumberFormat="1"/>
  </cellXfs>
  <cellStyles count="2">
    <cellStyle name="Normal" xfId="0" builtinId="0"/>
    <cellStyle name="Percent" xfId="1" builtinId="5"/>
  </cellStyles>
  <dxfs count="4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Success</a:t>
            </a:r>
            <a:r>
              <a:rPr lang="en-US" baseline="0"/>
              <a:t> Rate vs. Dose Administered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Clean_Data!$AB$1</c:f>
              <c:strCache>
                <c:ptCount val="1"/>
                <c:pt idx="0">
                  <c:v>Dose_Administered_Numeric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Clean_Data!$AB$2:$AB$1001</c:f>
              <c:numCache>
                <c:formatCode>General</c:formatCode>
                <c:ptCount val="1000"/>
                <c:pt idx="0">
                  <c:v>200</c:v>
                </c:pt>
                <c:pt idx="1">
                  <c:v>100</c:v>
                </c:pt>
                <c:pt idx="2">
                  <c:v>150</c:v>
                </c:pt>
                <c:pt idx="3">
                  <c:v>150</c:v>
                </c:pt>
                <c:pt idx="4">
                  <c:v>200</c:v>
                </c:pt>
                <c:pt idx="5">
                  <c:v>50</c:v>
                </c:pt>
                <c:pt idx="6">
                  <c:v>100</c:v>
                </c:pt>
                <c:pt idx="7">
                  <c:v>50</c:v>
                </c:pt>
                <c:pt idx="8">
                  <c:v>150</c:v>
                </c:pt>
                <c:pt idx="9">
                  <c:v>200</c:v>
                </c:pt>
                <c:pt idx="10">
                  <c:v>100</c:v>
                </c:pt>
                <c:pt idx="11">
                  <c:v>150</c:v>
                </c:pt>
                <c:pt idx="12">
                  <c:v>200</c:v>
                </c:pt>
                <c:pt idx="13">
                  <c:v>200</c:v>
                </c:pt>
                <c:pt idx="14">
                  <c:v>50</c:v>
                </c:pt>
                <c:pt idx="15">
                  <c:v>50</c:v>
                </c:pt>
                <c:pt idx="16">
                  <c:v>200</c:v>
                </c:pt>
                <c:pt idx="17">
                  <c:v>50</c:v>
                </c:pt>
                <c:pt idx="18">
                  <c:v>100</c:v>
                </c:pt>
                <c:pt idx="19">
                  <c:v>200</c:v>
                </c:pt>
                <c:pt idx="20">
                  <c:v>100</c:v>
                </c:pt>
                <c:pt idx="21">
                  <c:v>50</c:v>
                </c:pt>
                <c:pt idx="22">
                  <c:v>200</c:v>
                </c:pt>
                <c:pt idx="23">
                  <c:v>100</c:v>
                </c:pt>
                <c:pt idx="24">
                  <c:v>50</c:v>
                </c:pt>
                <c:pt idx="25">
                  <c:v>200</c:v>
                </c:pt>
                <c:pt idx="26">
                  <c:v>100</c:v>
                </c:pt>
                <c:pt idx="27">
                  <c:v>100</c:v>
                </c:pt>
                <c:pt idx="28">
                  <c:v>150</c:v>
                </c:pt>
                <c:pt idx="29">
                  <c:v>50</c:v>
                </c:pt>
                <c:pt idx="30">
                  <c:v>150</c:v>
                </c:pt>
                <c:pt idx="31">
                  <c:v>100</c:v>
                </c:pt>
                <c:pt idx="32">
                  <c:v>200</c:v>
                </c:pt>
                <c:pt idx="33">
                  <c:v>150</c:v>
                </c:pt>
                <c:pt idx="34">
                  <c:v>100</c:v>
                </c:pt>
                <c:pt idx="35">
                  <c:v>100</c:v>
                </c:pt>
                <c:pt idx="36">
                  <c:v>50</c:v>
                </c:pt>
                <c:pt idx="37">
                  <c:v>50</c:v>
                </c:pt>
                <c:pt idx="38">
                  <c:v>100</c:v>
                </c:pt>
                <c:pt idx="39">
                  <c:v>200</c:v>
                </c:pt>
                <c:pt idx="40">
                  <c:v>100</c:v>
                </c:pt>
                <c:pt idx="41">
                  <c:v>100</c:v>
                </c:pt>
                <c:pt idx="42">
                  <c:v>200</c:v>
                </c:pt>
                <c:pt idx="43">
                  <c:v>50</c:v>
                </c:pt>
                <c:pt idx="44">
                  <c:v>100</c:v>
                </c:pt>
                <c:pt idx="45">
                  <c:v>100</c:v>
                </c:pt>
                <c:pt idx="46">
                  <c:v>50</c:v>
                </c:pt>
                <c:pt idx="47">
                  <c:v>200</c:v>
                </c:pt>
                <c:pt idx="48">
                  <c:v>100</c:v>
                </c:pt>
                <c:pt idx="49">
                  <c:v>100</c:v>
                </c:pt>
                <c:pt idx="50">
                  <c:v>50</c:v>
                </c:pt>
                <c:pt idx="51">
                  <c:v>150</c:v>
                </c:pt>
                <c:pt idx="52">
                  <c:v>150</c:v>
                </c:pt>
                <c:pt idx="53">
                  <c:v>100</c:v>
                </c:pt>
                <c:pt idx="54">
                  <c:v>200</c:v>
                </c:pt>
                <c:pt idx="55">
                  <c:v>200</c:v>
                </c:pt>
                <c:pt idx="56">
                  <c:v>100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100</c:v>
                </c:pt>
                <c:pt idx="61">
                  <c:v>100</c:v>
                </c:pt>
                <c:pt idx="62">
                  <c:v>50</c:v>
                </c:pt>
                <c:pt idx="63">
                  <c:v>150</c:v>
                </c:pt>
                <c:pt idx="64">
                  <c:v>200</c:v>
                </c:pt>
                <c:pt idx="65">
                  <c:v>50</c:v>
                </c:pt>
                <c:pt idx="66">
                  <c:v>100</c:v>
                </c:pt>
                <c:pt idx="67">
                  <c:v>200</c:v>
                </c:pt>
                <c:pt idx="68">
                  <c:v>100</c:v>
                </c:pt>
                <c:pt idx="69">
                  <c:v>200</c:v>
                </c:pt>
                <c:pt idx="70">
                  <c:v>200</c:v>
                </c:pt>
                <c:pt idx="71">
                  <c:v>200</c:v>
                </c:pt>
                <c:pt idx="72">
                  <c:v>50</c:v>
                </c:pt>
                <c:pt idx="73">
                  <c:v>50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200</c:v>
                </c:pt>
                <c:pt idx="78">
                  <c:v>150</c:v>
                </c:pt>
                <c:pt idx="79">
                  <c:v>200</c:v>
                </c:pt>
                <c:pt idx="80">
                  <c:v>100</c:v>
                </c:pt>
                <c:pt idx="81">
                  <c:v>50</c:v>
                </c:pt>
                <c:pt idx="82">
                  <c:v>100</c:v>
                </c:pt>
                <c:pt idx="83">
                  <c:v>50</c:v>
                </c:pt>
                <c:pt idx="84">
                  <c:v>100</c:v>
                </c:pt>
                <c:pt idx="85">
                  <c:v>200</c:v>
                </c:pt>
                <c:pt idx="86">
                  <c:v>50</c:v>
                </c:pt>
                <c:pt idx="87">
                  <c:v>50</c:v>
                </c:pt>
                <c:pt idx="88">
                  <c:v>200</c:v>
                </c:pt>
                <c:pt idx="89">
                  <c:v>50</c:v>
                </c:pt>
                <c:pt idx="90">
                  <c:v>150</c:v>
                </c:pt>
                <c:pt idx="91">
                  <c:v>50</c:v>
                </c:pt>
                <c:pt idx="92">
                  <c:v>200</c:v>
                </c:pt>
                <c:pt idx="93">
                  <c:v>200</c:v>
                </c:pt>
                <c:pt idx="94">
                  <c:v>100</c:v>
                </c:pt>
                <c:pt idx="95">
                  <c:v>100</c:v>
                </c:pt>
                <c:pt idx="96">
                  <c:v>150</c:v>
                </c:pt>
                <c:pt idx="97">
                  <c:v>150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150</c:v>
                </c:pt>
                <c:pt idx="102">
                  <c:v>200</c:v>
                </c:pt>
                <c:pt idx="103">
                  <c:v>100</c:v>
                </c:pt>
                <c:pt idx="104">
                  <c:v>200</c:v>
                </c:pt>
                <c:pt idx="105">
                  <c:v>50</c:v>
                </c:pt>
                <c:pt idx="106">
                  <c:v>50</c:v>
                </c:pt>
                <c:pt idx="107">
                  <c:v>100</c:v>
                </c:pt>
                <c:pt idx="108">
                  <c:v>50</c:v>
                </c:pt>
                <c:pt idx="109">
                  <c:v>200</c:v>
                </c:pt>
                <c:pt idx="110">
                  <c:v>50</c:v>
                </c:pt>
                <c:pt idx="111">
                  <c:v>150</c:v>
                </c:pt>
                <c:pt idx="112">
                  <c:v>200</c:v>
                </c:pt>
                <c:pt idx="113">
                  <c:v>200</c:v>
                </c:pt>
                <c:pt idx="114">
                  <c:v>150</c:v>
                </c:pt>
                <c:pt idx="115">
                  <c:v>100</c:v>
                </c:pt>
                <c:pt idx="116">
                  <c:v>200</c:v>
                </c:pt>
                <c:pt idx="117">
                  <c:v>100</c:v>
                </c:pt>
                <c:pt idx="118">
                  <c:v>200</c:v>
                </c:pt>
                <c:pt idx="119">
                  <c:v>50</c:v>
                </c:pt>
                <c:pt idx="120">
                  <c:v>200</c:v>
                </c:pt>
                <c:pt idx="121">
                  <c:v>150</c:v>
                </c:pt>
                <c:pt idx="122">
                  <c:v>150</c:v>
                </c:pt>
                <c:pt idx="123">
                  <c:v>100</c:v>
                </c:pt>
                <c:pt idx="124">
                  <c:v>200</c:v>
                </c:pt>
                <c:pt idx="125">
                  <c:v>100</c:v>
                </c:pt>
                <c:pt idx="126">
                  <c:v>200</c:v>
                </c:pt>
                <c:pt idx="127">
                  <c:v>150</c:v>
                </c:pt>
                <c:pt idx="128">
                  <c:v>100</c:v>
                </c:pt>
                <c:pt idx="129">
                  <c:v>200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200</c:v>
                </c:pt>
                <c:pt idx="135">
                  <c:v>50</c:v>
                </c:pt>
                <c:pt idx="136">
                  <c:v>200</c:v>
                </c:pt>
                <c:pt idx="137">
                  <c:v>150</c:v>
                </c:pt>
                <c:pt idx="138">
                  <c:v>50</c:v>
                </c:pt>
                <c:pt idx="139">
                  <c:v>50</c:v>
                </c:pt>
                <c:pt idx="140">
                  <c:v>200</c:v>
                </c:pt>
                <c:pt idx="141">
                  <c:v>200</c:v>
                </c:pt>
                <c:pt idx="142">
                  <c:v>50</c:v>
                </c:pt>
                <c:pt idx="143">
                  <c:v>150</c:v>
                </c:pt>
                <c:pt idx="144">
                  <c:v>50</c:v>
                </c:pt>
                <c:pt idx="145">
                  <c:v>200</c:v>
                </c:pt>
                <c:pt idx="146">
                  <c:v>100</c:v>
                </c:pt>
                <c:pt idx="147">
                  <c:v>50</c:v>
                </c:pt>
                <c:pt idx="148">
                  <c:v>50</c:v>
                </c:pt>
                <c:pt idx="149">
                  <c:v>100</c:v>
                </c:pt>
                <c:pt idx="150">
                  <c:v>150</c:v>
                </c:pt>
                <c:pt idx="151">
                  <c:v>50</c:v>
                </c:pt>
                <c:pt idx="152">
                  <c:v>100</c:v>
                </c:pt>
                <c:pt idx="153">
                  <c:v>200</c:v>
                </c:pt>
                <c:pt idx="154">
                  <c:v>100</c:v>
                </c:pt>
                <c:pt idx="155">
                  <c:v>200</c:v>
                </c:pt>
                <c:pt idx="156">
                  <c:v>100</c:v>
                </c:pt>
                <c:pt idx="157">
                  <c:v>150</c:v>
                </c:pt>
                <c:pt idx="158">
                  <c:v>50</c:v>
                </c:pt>
                <c:pt idx="159">
                  <c:v>200</c:v>
                </c:pt>
                <c:pt idx="160">
                  <c:v>150</c:v>
                </c:pt>
                <c:pt idx="161">
                  <c:v>200</c:v>
                </c:pt>
                <c:pt idx="162">
                  <c:v>50</c:v>
                </c:pt>
                <c:pt idx="163">
                  <c:v>100</c:v>
                </c:pt>
                <c:pt idx="164">
                  <c:v>100</c:v>
                </c:pt>
                <c:pt idx="165">
                  <c:v>50</c:v>
                </c:pt>
                <c:pt idx="166">
                  <c:v>50</c:v>
                </c:pt>
                <c:pt idx="167">
                  <c:v>100</c:v>
                </c:pt>
                <c:pt idx="168">
                  <c:v>100</c:v>
                </c:pt>
                <c:pt idx="169">
                  <c:v>50</c:v>
                </c:pt>
                <c:pt idx="170">
                  <c:v>150</c:v>
                </c:pt>
                <c:pt idx="171">
                  <c:v>150</c:v>
                </c:pt>
                <c:pt idx="172">
                  <c:v>50</c:v>
                </c:pt>
                <c:pt idx="173">
                  <c:v>100</c:v>
                </c:pt>
                <c:pt idx="174">
                  <c:v>150</c:v>
                </c:pt>
                <c:pt idx="175">
                  <c:v>200</c:v>
                </c:pt>
                <c:pt idx="176">
                  <c:v>100</c:v>
                </c:pt>
                <c:pt idx="177">
                  <c:v>100</c:v>
                </c:pt>
                <c:pt idx="178">
                  <c:v>200</c:v>
                </c:pt>
                <c:pt idx="179">
                  <c:v>150</c:v>
                </c:pt>
                <c:pt idx="180">
                  <c:v>200</c:v>
                </c:pt>
                <c:pt idx="181">
                  <c:v>50</c:v>
                </c:pt>
                <c:pt idx="182">
                  <c:v>150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100</c:v>
                </c:pt>
                <c:pt idx="188">
                  <c:v>200</c:v>
                </c:pt>
                <c:pt idx="189">
                  <c:v>150</c:v>
                </c:pt>
                <c:pt idx="190">
                  <c:v>50</c:v>
                </c:pt>
                <c:pt idx="191">
                  <c:v>150</c:v>
                </c:pt>
                <c:pt idx="192">
                  <c:v>50</c:v>
                </c:pt>
                <c:pt idx="193">
                  <c:v>200</c:v>
                </c:pt>
                <c:pt idx="194">
                  <c:v>100</c:v>
                </c:pt>
                <c:pt idx="195">
                  <c:v>150</c:v>
                </c:pt>
                <c:pt idx="196">
                  <c:v>200</c:v>
                </c:pt>
                <c:pt idx="197">
                  <c:v>100</c:v>
                </c:pt>
                <c:pt idx="198">
                  <c:v>150</c:v>
                </c:pt>
                <c:pt idx="199">
                  <c:v>150</c:v>
                </c:pt>
                <c:pt idx="200">
                  <c:v>50</c:v>
                </c:pt>
                <c:pt idx="201">
                  <c:v>100</c:v>
                </c:pt>
                <c:pt idx="202">
                  <c:v>150</c:v>
                </c:pt>
                <c:pt idx="203">
                  <c:v>50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150</c:v>
                </c:pt>
                <c:pt idx="208">
                  <c:v>200</c:v>
                </c:pt>
                <c:pt idx="209">
                  <c:v>100</c:v>
                </c:pt>
                <c:pt idx="210">
                  <c:v>200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50</c:v>
                </c:pt>
                <c:pt idx="215">
                  <c:v>50</c:v>
                </c:pt>
                <c:pt idx="216">
                  <c:v>200</c:v>
                </c:pt>
                <c:pt idx="217">
                  <c:v>200</c:v>
                </c:pt>
                <c:pt idx="218">
                  <c:v>200</c:v>
                </c:pt>
                <c:pt idx="219">
                  <c:v>150</c:v>
                </c:pt>
                <c:pt idx="220">
                  <c:v>100</c:v>
                </c:pt>
                <c:pt idx="221">
                  <c:v>100</c:v>
                </c:pt>
                <c:pt idx="222">
                  <c:v>50</c:v>
                </c:pt>
                <c:pt idx="223">
                  <c:v>200</c:v>
                </c:pt>
                <c:pt idx="224">
                  <c:v>50</c:v>
                </c:pt>
                <c:pt idx="225">
                  <c:v>50</c:v>
                </c:pt>
                <c:pt idx="226">
                  <c:v>100</c:v>
                </c:pt>
                <c:pt idx="227">
                  <c:v>150</c:v>
                </c:pt>
                <c:pt idx="228">
                  <c:v>150</c:v>
                </c:pt>
                <c:pt idx="229">
                  <c:v>100</c:v>
                </c:pt>
                <c:pt idx="230">
                  <c:v>50</c:v>
                </c:pt>
                <c:pt idx="231">
                  <c:v>100</c:v>
                </c:pt>
                <c:pt idx="232">
                  <c:v>150</c:v>
                </c:pt>
                <c:pt idx="233">
                  <c:v>50</c:v>
                </c:pt>
                <c:pt idx="234">
                  <c:v>50</c:v>
                </c:pt>
                <c:pt idx="235">
                  <c:v>150</c:v>
                </c:pt>
                <c:pt idx="236">
                  <c:v>50</c:v>
                </c:pt>
                <c:pt idx="237">
                  <c:v>150</c:v>
                </c:pt>
                <c:pt idx="238">
                  <c:v>200</c:v>
                </c:pt>
                <c:pt idx="239">
                  <c:v>150</c:v>
                </c:pt>
                <c:pt idx="240">
                  <c:v>200</c:v>
                </c:pt>
                <c:pt idx="241">
                  <c:v>50</c:v>
                </c:pt>
                <c:pt idx="242">
                  <c:v>50</c:v>
                </c:pt>
                <c:pt idx="243">
                  <c:v>50</c:v>
                </c:pt>
                <c:pt idx="244">
                  <c:v>200</c:v>
                </c:pt>
                <c:pt idx="245">
                  <c:v>150</c:v>
                </c:pt>
                <c:pt idx="246">
                  <c:v>200</c:v>
                </c:pt>
                <c:pt idx="247">
                  <c:v>200</c:v>
                </c:pt>
                <c:pt idx="248">
                  <c:v>150</c:v>
                </c:pt>
                <c:pt idx="249">
                  <c:v>100</c:v>
                </c:pt>
                <c:pt idx="250">
                  <c:v>100</c:v>
                </c:pt>
                <c:pt idx="251">
                  <c:v>150</c:v>
                </c:pt>
                <c:pt idx="252">
                  <c:v>50</c:v>
                </c:pt>
                <c:pt idx="253">
                  <c:v>50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150</c:v>
                </c:pt>
                <c:pt idx="258">
                  <c:v>50</c:v>
                </c:pt>
                <c:pt idx="259">
                  <c:v>100</c:v>
                </c:pt>
                <c:pt idx="260">
                  <c:v>150</c:v>
                </c:pt>
                <c:pt idx="261">
                  <c:v>50</c:v>
                </c:pt>
                <c:pt idx="262">
                  <c:v>100</c:v>
                </c:pt>
                <c:pt idx="263">
                  <c:v>200</c:v>
                </c:pt>
                <c:pt idx="264">
                  <c:v>200</c:v>
                </c:pt>
                <c:pt idx="265">
                  <c:v>200</c:v>
                </c:pt>
                <c:pt idx="266">
                  <c:v>100</c:v>
                </c:pt>
                <c:pt idx="267">
                  <c:v>200</c:v>
                </c:pt>
                <c:pt idx="268">
                  <c:v>150</c:v>
                </c:pt>
                <c:pt idx="269">
                  <c:v>200</c:v>
                </c:pt>
                <c:pt idx="270">
                  <c:v>100</c:v>
                </c:pt>
                <c:pt idx="271">
                  <c:v>100</c:v>
                </c:pt>
                <c:pt idx="272">
                  <c:v>200</c:v>
                </c:pt>
                <c:pt idx="273">
                  <c:v>100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100</c:v>
                </c:pt>
                <c:pt idx="279">
                  <c:v>100</c:v>
                </c:pt>
                <c:pt idx="280">
                  <c:v>200</c:v>
                </c:pt>
                <c:pt idx="281">
                  <c:v>150</c:v>
                </c:pt>
                <c:pt idx="282">
                  <c:v>50</c:v>
                </c:pt>
                <c:pt idx="283">
                  <c:v>150</c:v>
                </c:pt>
                <c:pt idx="284">
                  <c:v>200</c:v>
                </c:pt>
                <c:pt idx="285">
                  <c:v>200</c:v>
                </c:pt>
                <c:pt idx="286">
                  <c:v>150</c:v>
                </c:pt>
                <c:pt idx="287">
                  <c:v>100</c:v>
                </c:pt>
                <c:pt idx="288">
                  <c:v>50</c:v>
                </c:pt>
                <c:pt idx="289">
                  <c:v>200</c:v>
                </c:pt>
                <c:pt idx="290">
                  <c:v>100</c:v>
                </c:pt>
                <c:pt idx="291">
                  <c:v>150</c:v>
                </c:pt>
                <c:pt idx="292">
                  <c:v>100</c:v>
                </c:pt>
                <c:pt idx="293">
                  <c:v>200</c:v>
                </c:pt>
                <c:pt idx="294">
                  <c:v>100</c:v>
                </c:pt>
                <c:pt idx="295">
                  <c:v>150</c:v>
                </c:pt>
                <c:pt idx="296">
                  <c:v>200</c:v>
                </c:pt>
                <c:pt idx="297">
                  <c:v>100</c:v>
                </c:pt>
                <c:pt idx="298">
                  <c:v>100</c:v>
                </c:pt>
                <c:pt idx="299">
                  <c:v>50</c:v>
                </c:pt>
                <c:pt idx="300">
                  <c:v>50</c:v>
                </c:pt>
                <c:pt idx="301">
                  <c:v>150</c:v>
                </c:pt>
                <c:pt idx="302">
                  <c:v>200</c:v>
                </c:pt>
                <c:pt idx="303">
                  <c:v>50</c:v>
                </c:pt>
                <c:pt idx="304">
                  <c:v>200</c:v>
                </c:pt>
                <c:pt idx="305">
                  <c:v>150</c:v>
                </c:pt>
                <c:pt idx="306">
                  <c:v>150</c:v>
                </c:pt>
                <c:pt idx="307">
                  <c:v>50</c:v>
                </c:pt>
                <c:pt idx="308">
                  <c:v>100</c:v>
                </c:pt>
                <c:pt idx="309">
                  <c:v>150</c:v>
                </c:pt>
                <c:pt idx="310">
                  <c:v>150</c:v>
                </c:pt>
                <c:pt idx="311">
                  <c:v>150</c:v>
                </c:pt>
                <c:pt idx="312">
                  <c:v>200</c:v>
                </c:pt>
                <c:pt idx="313">
                  <c:v>200</c:v>
                </c:pt>
                <c:pt idx="314">
                  <c:v>50</c:v>
                </c:pt>
                <c:pt idx="315">
                  <c:v>200</c:v>
                </c:pt>
                <c:pt idx="316">
                  <c:v>200</c:v>
                </c:pt>
                <c:pt idx="317">
                  <c:v>200</c:v>
                </c:pt>
                <c:pt idx="318">
                  <c:v>100</c:v>
                </c:pt>
                <c:pt idx="319">
                  <c:v>50</c:v>
                </c:pt>
                <c:pt idx="320">
                  <c:v>200</c:v>
                </c:pt>
                <c:pt idx="321">
                  <c:v>50</c:v>
                </c:pt>
                <c:pt idx="322">
                  <c:v>50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50</c:v>
                </c:pt>
                <c:pt idx="327">
                  <c:v>100</c:v>
                </c:pt>
                <c:pt idx="328">
                  <c:v>100</c:v>
                </c:pt>
                <c:pt idx="329">
                  <c:v>150</c:v>
                </c:pt>
                <c:pt idx="330">
                  <c:v>100</c:v>
                </c:pt>
                <c:pt idx="331">
                  <c:v>150</c:v>
                </c:pt>
                <c:pt idx="332">
                  <c:v>100</c:v>
                </c:pt>
                <c:pt idx="333">
                  <c:v>200</c:v>
                </c:pt>
                <c:pt idx="334">
                  <c:v>150</c:v>
                </c:pt>
                <c:pt idx="335">
                  <c:v>50</c:v>
                </c:pt>
                <c:pt idx="336">
                  <c:v>100</c:v>
                </c:pt>
                <c:pt idx="337">
                  <c:v>150</c:v>
                </c:pt>
                <c:pt idx="338">
                  <c:v>200</c:v>
                </c:pt>
                <c:pt idx="339">
                  <c:v>200</c:v>
                </c:pt>
                <c:pt idx="340">
                  <c:v>100</c:v>
                </c:pt>
                <c:pt idx="341">
                  <c:v>50</c:v>
                </c:pt>
                <c:pt idx="342">
                  <c:v>150</c:v>
                </c:pt>
                <c:pt idx="343">
                  <c:v>100</c:v>
                </c:pt>
                <c:pt idx="344">
                  <c:v>50</c:v>
                </c:pt>
                <c:pt idx="345">
                  <c:v>100</c:v>
                </c:pt>
                <c:pt idx="346">
                  <c:v>50</c:v>
                </c:pt>
                <c:pt idx="347">
                  <c:v>150</c:v>
                </c:pt>
                <c:pt idx="348">
                  <c:v>150</c:v>
                </c:pt>
                <c:pt idx="349">
                  <c:v>200</c:v>
                </c:pt>
                <c:pt idx="350">
                  <c:v>150</c:v>
                </c:pt>
                <c:pt idx="351">
                  <c:v>200</c:v>
                </c:pt>
                <c:pt idx="352">
                  <c:v>150</c:v>
                </c:pt>
                <c:pt idx="353">
                  <c:v>200</c:v>
                </c:pt>
                <c:pt idx="354">
                  <c:v>150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200</c:v>
                </c:pt>
                <c:pt idx="360">
                  <c:v>200</c:v>
                </c:pt>
                <c:pt idx="361">
                  <c:v>200</c:v>
                </c:pt>
                <c:pt idx="362">
                  <c:v>150</c:v>
                </c:pt>
                <c:pt idx="363">
                  <c:v>200</c:v>
                </c:pt>
                <c:pt idx="364">
                  <c:v>50</c:v>
                </c:pt>
                <c:pt idx="365">
                  <c:v>50</c:v>
                </c:pt>
                <c:pt idx="366">
                  <c:v>150</c:v>
                </c:pt>
                <c:pt idx="367">
                  <c:v>150</c:v>
                </c:pt>
                <c:pt idx="368">
                  <c:v>50</c:v>
                </c:pt>
                <c:pt idx="369">
                  <c:v>200</c:v>
                </c:pt>
                <c:pt idx="370">
                  <c:v>200</c:v>
                </c:pt>
                <c:pt idx="371">
                  <c:v>100</c:v>
                </c:pt>
                <c:pt idx="372">
                  <c:v>200</c:v>
                </c:pt>
                <c:pt idx="373">
                  <c:v>100</c:v>
                </c:pt>
                <c:pt idx="374">
                  <c:v>150</c:v>
                </c:pt>
                <c:pt idx="375">
                  <c:v>100</c:v>
                </c:pt>
                <c:pt idx="376">
                  <c:v>150</c:v>
                </c:pt>
                <c:pt idx="377">
                  <c:v>100</c:v>
                </c:pt>
                <c:pt idx="378">
                  <c:v>100</c:v>
                </c:pt>
                <c:pt idx="379">
                  <c:v>150</c:v>
                </c:pt>
                <c:pt idx="380">
                  <c:v>200</c:v>
                </c:pt>
                <c:pt idx="381">
                  <c:v>100</c:v>
                </c:pt>
                <c:pt idx="382">
                  <c:v>50</c:v>
                </c:pt>
                <c:pt idx="383">
                  <c:v>150</c:v>
                </c:pt>
                <c:pt idx="384">
                  <c:v>200</c:v>
                </c:pt>
                <c:pt idx="385">
                  <c:v>50</c:v>
                </c:pt>
                <c:pt idx="386">
                  <c:v>50</c:v>
                </c:pt>
                <c:pt idx="387">
                  <c:v>200</c:v>
                </c:pt>
                <c:pt idx="388">
                  <c:v>100</c:v>
                </c:pt>
                <c:pt idx="389">
                  <c:v>100</c:v>
                </c:pt>
                <c:pt idx="390">
                  <c:v>50</c:v>
                </c:pt>
                <c:pt idx="391">
                  <c:v>100</c:v>
                </c:pt>
                <c:pt idx="392">
                  <c:v>100</c:v>
                </c:pt>
                <c:pt idx="393">
                  <c:v>150</c:v>
                </c:pt>
                <c:pt idx="394">
                  <c:v>150</c:v>
                </c:pt>
                <c:pt idx="395">
                  <c:v>100</c:v>
                </c:pt>
                <c:pt idx="396">
                  <c:v>150</c:v>
                </c:pt>
                <c:pt idx="397">
                  <c:v>50</c:v>
                </c:pt>
                <c:pt idx="398">
                  <c:v>200</c:v>
                </c:pt>
                <c:pt idx="399">
                  <c:v>100</c:v>
                </c:pt>
                <c:pt idx="400">
                  <c:v>100</c:v>
                </c:pt>
                <c:pt idx="401">
                  <c:v>50</c:v>
                </c:pt>
                <c:pt idx="402">
                  <c:v>100</c:v>
                </c:pt>
                <c:pt idx="403">
                  <c:v>100</c:v>
                </c:pt>
                <c:pt idx="404">
                  <c:v>50</c:v>
                </c:pt>
                <c:pt idx="405">
                  <c:v>50</c:v>
                </c:pt>
                <c:pt idx="406">
                  <c:v>200</c:v>
                </c:pt>
                <c:pt idx="407">
                  <c:v>200</c:v>
                </c:pt>
                <c:pt idx="408">
                  <c:v>50</c:v>
                </c:pt>
                <c:pt idx="409">
                  <c:v>150</c:v>
                </c:pt>
                <c:pt idx="410">
                  <c:v>50</c:v>
                </c:pt>
                <c:pt idx="411">
                  <c:v>50</c:v>
                </c:pt>
                <c:pt idx="412">
                  <c:v>200</c:v>
                </c:pt>
                <c:pt idx="413">
                  <c:v>50</c:v>
                </c:pt>
                <c:pt idx="414">
                  <c:v>100</c:v>
                </c:pt>
                <c:pt idx="415">
                  <c:v>150</c:v>
                </c:pt>
                <c:pt idx="416">
                  <c:v>150</c:v>
                </c:pt>
                <c:pt idx="417">
                  <c:v>150</c:v>
                </c:pt>
                <c:pt idx="418">
                  <c:v>200</c:v>
                </c:pt>
                <c:pt idx="419">
                  <c:v>50</c:v>
                </c:pt>
                <c:pt idx="420">
                  <c:v>150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50</c:v>
                </c:pt>
                <c:pt idx="425">
                  <c:v>100</c:v>
                </c:pt>
                <c:pt idx="426">
                  <c:v>50</c:v>
                </c:pt>
                <c:pt idx="427">
                  <c:v>100</c:v>
                </c:pt>
                <c:pt idx="428">
                  <c:v>150</c:v>
                </c:pt>
                <c:pt idx="429">
                  <c:v>200</c:v>
                </c:pt>
                <c:pt idx="430">
                  <c:v>100</c:v>
                </c:pt>
                <c:pt idx="431">
                  <c:v>150</c:v>
                </c:pt>
                <c:pt idx="432">
                  <c:v>200</c:v>
                </c:pt>
                <c:pt idx="433">
                  <c:v>50</c:v>
                </c:pt>
                <c:pt idx="434">
                  <c:v>50</c:v>
                </c:pt>
                <c:pt idx="435">
                  <c:v>100</c:v>
                </c:pt>
                <c:pt idx="436">
                  <c:v>100</c:v>
                </c:pt>
                <c:pt idx="437">
                  <c:v>150</c:v>
                </c:pt>
                <c:pt idx="438">
                  <c:v>50</c:v>
                </c:pt>
                <c:pt idx="439">
                  <c:v>50</c:v>
                </c:pt>
                <c:pt idx="440">
                  <c:v>50</c:v>
                </c:pt>
                <c:pt idx="441">
                  <c:v>50</c:v>
                </c:pt>
                <c:pt idx="442">
                  <c:v>50</c:v>
                </c:pt>
                <c:pt idx="443">
                  <c:v>200</c:v>
                </c:pt>
                <c:pt idx="444">
                  <c:v>50</c:v>
                </c:pt>
                <c:pt idx="445">
                  <c:v>100</c:v>
                </c:pt>
                <c:pt idx="446">
                  <c:v>50</c:v>
                </c:pt>
                <c:pt idx="447">
                  <c:v>100</c:v>
                </c:pt>
                <c:pt idx="448">
                  <c:v>200</c:v>
                </c:pt>
                <c:pt idx="449">
                  <c:v>150</c:v>
                </c:pt>
                <c:pt idx="450">
                  <c:v>50</c:v>
                </c:pt>
                <c:pt idx="451">
                  <c:v>50</c:v>
                </c:pt>
                <c:pt idx="452">
                  <c:v>50</c:v>
                </c:pt>
                <c:pt idx="453">
                  <c:v>150</c:v>
                </c:pt>
                <c:pt idx="454">
                  <c:v>150</c:v>
                </c:pt>
                <c:pt idx="455">
                  <c:v>150</c:v>
                </c:pt>
                <c:pt idx="456">
                  <c:v>100</c:v>
                </c:pt>
                <c:pt idx="457">
                  <c:v>200</c:v>
                </c:pt>
                <c:pt idx="458">
                  <c:v>150</c:v>
                </c:pt>
                <c:pt idx="459">
                  <c:v>100</c:v>
                </c:pt>
                <c:pt idx="460">
                  <c:v>150</c:v>
                </c:pt>
                <c:pt idx="461">
                  <c:v>150</c:v>
                </c:pt>
                <c:pt idx="462">
                  <c:v>150</c:v>
                </c:pt>
                <c:pt idx="463">
                  <c:v>200</c:v>
                </c:pt>
                <c:pt idx="464">
                  <c:v>50</c:v>
                </c:pt>
                <c:pt idx="465">
                  <c:v>200</c:v>
                </c:pt>
                <c:pt idx="466">
                  <c:v>50</c:v>
                </c:pt>
                <c:pt idx="467">
                  <c:v>100</c:v>
                </c:pt>
                <c:pt idx="468">
                  <c:v>200</c:v>
                </c:pt>
                <c:pt idx="469">
                  <c:v>50</c:v>
                </c:pt>
                <c:pt idx="470">
                  <c:v>200</c:v>
                </c:pt>
                <c:pt idx="471">
                  <c:v>100</c:v>
                </c:pt>
                <c:pt idx="472">
                  <c:v>50</c:v>
                </c:pt>
                <c:pt idx="473">
                  <c:v>200</c:v>
                </c:pt>
                <c:pt idx="474">
                  <c:v>100</c:v>
                </c:pt>
                <c:pt idx="475">
                  <c:v>100</c:v>
                </c:pt>
                <c:pt idx="476">
                  <c:v>200</c:v>
                </c:pt>
                <c:pt idx="477">
                  <c:v>150</c:v>
                </c:pt>
                <c:pt idx="478">
                  <c:v>50</c:v>
                </c:pt>
                <c:pt idx="479">
                  <c:v>150</c:v>
                </c:pt>
                <c:pt idx="480">
                  <c:v>50</c:v>
                </c:pt>
                <c:pt idx="481">
                  <c:v>200</c:v>
                </c:pt>
                <c:pt idx="482">
                  <c:v>200</c:v>
                </c:pt>
                <c:pt idx="483">
                  <c:v>200</c:v>
                </c:pt>
                <c:pt idx="484">
                  <c:v>100</c:v>
                </c:pt>
                <c:pt idx="485">
                  <c:v>200</c:v>
                </c:pt>
                <c:pt idx="486">
                  <c:v>150</c:v>
                </c:pt>
                <c:pt idx="487">
                  <c:v>50</c:v>
                </c:pt>
                <c:pt idx="488">
                  <c:v>150</c:v>
                </c:pt>
                <c:pt idx="489">
                  <c:v>100</c:v>
                </c:pt>
                <c:pt idx="490">
                  <c:v>150</c:v>
                </c:pt>
                <c:pt idx="491">
                  <c:v>150</c:v>
                </c:pt>
                <c:pt idx="492">
                  <c:v>50</c:v>
                </c:pt>
                <c:pt idx="493">
                  <c:v>200</c:v>
                </c:pt>
                <c:pt idx="494">
                  <c:v>200</c:v>
                </c:pt>
                <c:pt idx="495">
                  <c:v>50</c:v>
                </c:pt>
                <c:pt idx="496">
                  <c:v>50</c:v>
                </c:pt>
                <c:pt idx="497">
                  <c:v>150</c:v>
                </c:pt>
                <c:pt idx="498">
                  <c:v>200</c:v>
                </c:pt>
                <c:pt idx="499">
                  <c:v>150</c:v>
                </c:pt>
                <c:pt idx="500">
                  <c:v>200</c:v>
                </c:pt>
                <c:pt idx="501">
                  <c:v>200</c:v>
                </c:pt>
                <c:pt idx="502">
                  <c:v>200</c:v>
                </c:pt>
                <c:pt idx="503">
                  <c:v>150</c:v>
                </c:pt>
                <c:pt idx="504">
                  <c:v>150</c:v>
                </c:pt>
                <c:pt idx="505">
                  <c:v>200</c:v>
                </c:pt>
                <c:pt idx="506">
                  <c:v>50</c:v>
                </c:pt>
                <c:pt idx="507">
                  <c:v>50</c:v>
                </c:pt>
                <c:pt idx="508">
                  <c:v>50</c:v>
                </c:pt>
                <c:pt idx="509">
                  <c:v>200</c:v>
                </c:pt>
                <c:pt idx="510">
                  <c:v>100</c:v>
                </c:pt>
                <c:pt idx="511">
                  <c:v>150</c:v>
                </c:pt>
                <c:pt idx="512">
                  <c:v>100</c:v>
                </c:pt>
                <c:pt idx="513">
                  <c:v>100</c:v>
                </c:pt>
                <c:pt idx="514">
                  <c:v>100</c:v>
                </c:pt>
                <c:pt idx="515">
                  <c:v>200</c:v>
                </c:pt>
                <c:pt idx="516">
                  <c:v>200</c:v>
                </c:pt>
                <c:pt idx="517">
                  <c:v>150</c:v>
                </c:pt>
                <c:pt idx="518">
                  <c:v>200</c:v>
                </c:pt>
                <c:pt idx="519">
                  <c:v>150</c:v>
                </c:pt>
                <c:pt idx="520">
                  <c:v>200</c:v>
                </c:pt>
                <c:pt idx="521">
                  <c:v>200</c:v>
                </c:pt>
                <c:pt idx="522">
                  <c:v>100</c:v>
                </c:pt>
                <c:pt idx="523">
                  <c:v>50</c:v>
                </c:pt>
                <c:pt idx="524">
                  <c:v>150</c:v>
                </c:pt>
                <c:pt idx="525">
                  <c:v>150</c:v>
                </c:pt>
                <c:pt idx="526">
                  <c:v>100</c:v>
                </c:pt>
                <c:pt idx="527">
                  <c:v>100</c:v>
                </c:pt>
                <c:pt idx="528">
                  <c:v>150</c:v>
                </c:pt>
                <c:pt idx="529">
                  <c:v>50</c:v>
                </c:pt>
                <c:pt idx="530">
                  <c:v>100</c:v>
                </c:pt>
                <c:pt idx="531">
                  <c:v>100</c:v>
                </c:pt>
                <c:pt idx="532">
                  <c:v>200</c:v>
                </c:pt>
                <c:pt idx="533">
                  <c:v>200</c:v>
                </c:pt>
                <c:pt idx="534">
                  <c:v>100</c:v>
                </c:pt>
                <c:pt idx="535">
                  <c:v>150</c:v>
                </c:pt>
                <c:pt idx="536">
                  <c:v>150</c:v>
                </c:pt>
                <c:pt idx="537">
                  <c:v>200</c:v>
                </c:pt>
                <c:pt idx="538">
                  <c:v>150</c:v>
                </c:pt>
                <c:pt idx="539">
                  <c:v>150</c:v>
                </c:pt>
                <c:pt idx="540">
                  <c:v>200</c:v>
                </c:pt>
                <c:pt idx="541">
                  <c:v>50</c:v>
                </c:pt>
                <c:pt idx="542">
                  <c:v>50</c:v>
                </c:pt>
                <c:pt idx="543">
                  <c:v>100</c:v>
                </c:pt>
                <c:pt idx="544">
                  <c:v>150</c:v>
                </c:pt>
                <c:pt idx="545">
                  <c:v>50</c:v>
                </c:pt>
                <c:pt idx="546">
                  <c:v>200</c:v>
                </c:pt>
                <c:pt idx="547">
                  <c:v>100</c:v>
                </c:pt>
                <c:pt idx="548">
                  <c:v>100</c:v>
                </c:pt>
                <c:pt idx="549">
                  <c:v>100</c:v>
                </c:pt>
                <c:pt idx="550">
                  <c:v>200</c:v>
                </c:pt>
                <c:pt idx="551">
                  <c:v>150</c:v>
                </c:pt>
                <c:pt idx="552">
                  <c:v>150</c:v>
                </c:pt>
                <c:pt idx="553">
                  <c:v>200</c:v>
                </c:pt>
                <c:pt idx="554">
                  <c:v>200</c:v>
                </c:pt>
                <c:pt idx="555">
                  <c:v>100</c:v>
                </c:pt>
                <c:pt idx="556">
                  <c:v>50</c:v>
                </c:pt>
                <c:pt idx="557">
                  <c:v>100</c:v>
                </c:pt>
                <c:pt idx="558">
                  <c:v>200</c:v>
                </c:pt>
                <c:pt idx="559">
                  <c:v>200</c:v>
                </c:pt>
                <c:pt idx="560">
                  <c:v>150</c:v>
                </c:pt>
                <c:pt idx="561">
                  <c:v>50</c:v>
                </c:pt>
                <c:pt idx="562">
                  <c:v>100</c:v>
                </c:pt>
                <c:pt idx="563">
                  <c:v>150</c:v>
                </c:pt>
                <c:pt idx="564">
                  <c:v>200</c:v>
                </c:pt>
                <c:pt idx="565">
                  <c:v>150</c:v>
                </c:pt>
                <c:pt idx="566">
                  <c:v>150</c:v>
                </c:pt>
                <c:pt idx="567">
                  <c:v>100</c:v>
                </c:pt>
                <c:pt idx="568">
                  <c:v>150</c:v>
                </c:pt>
                <c:pt idx="569">
                  <c:v>50</c:v>
                </c:pt>
                <c:pt idx="570">
                  <c:v>50</c:v>
                </c:pt>
                <c:pt idx="571">
                  <c:v>50</c:v>
                </c:pt>
                <c:pt idx="572">
                  <c:v>50</c:v>
                </c:pt>
                <c:pt idx="573">
                  <c:v>100</c:v>
                </c:pt>
                <c:pt idx="574">
                  <c:v>50</c:v>
                </c:pt>
                <c:pt idx="575">
                  <c:v>200</c:v>
                </c:pt>
                <c:pt idx="576">
                  <c:v>150</c:v>
                </c:pt>
                <c:pt idx="577">
                  <c:v>50</c:v>
                </c:pt>
                <c:pt idx="578">
                  <c:v>50</c:v>
                </c:pt>
                <c:pt idx="579">
                  <c:v>100</c:v>
                </c:pt>
                <c:pt idx="580">
                  <c:v>100</c:v>
                </c:pt>
                <c:pt idx="581">
                  <c:v>150</c:v>
                </c:pt>
                <c:pt idx="582">
                  <c:v>200</c:v>
                </c:pt>
                <c:pt idx="583">
                  <c:v>200</c:v>
                </c:pt>
                <c:pt idx="584">
                  <c:v>200</c:v>
                </c:pt>
                <c:pt idx="585">
                  <c:v>100</c:v>
                </c:pt>
                <c:pt idx="586">
                  <c:v>150</c:v>
                </c:pt>
                <c:pt idx="587">
                  <c:v>50</c:v>
                </c:pt>
                <c:pt idx="588">
                  <c:v>150</c:v>
                </c:pt>
                <c:pt idx="589">
                  <c:v>200</c:v>
                </c:pt>
                <c:pt idx="590">
                  <c:v>100</c:v>
                </c:pt>
                <c:pt idx="591">
                  <c:v>100</c:v>
                </c:pt>
                <c:pt idx="592">
                  <c:v>100</c:v>
                </c:pt>
                <c:pt idx="593">
                  <c:v>150</c:v>
                </c:pt>
                <c:pt idx="594">
                  <c:v>50</c:v>
                </c:pt>
                <c:pt idx="595">
                  <c:v>150</c:v>
                </c:pt>
                <c:pt idx="596">
                  <c:v>150</c:v>
                </c:pt>
                <c:pt idx="597">
                  <c:v>50</c:v>
                </c:pt>
                <c:pt idx="598">
                  <c:v>150</c:v>
                </c:pt>
                <c:pt idx="599">
                  <c:v>100</c:v>
                </c:pt>
                <c:pt idx="600">
                  <c:v>100</c:v>
                </c:pt>
                <c:pt idx="601">
                  <c:v>200</c:v>
                </c:pt>
                <c:pt idx="602">
                  <c:v>100</c:v>
                </c:pt>
                <c:pt idx="603">
                  <c:v>50</c:v>
                </c:pt>
                <c:pt idx="604">
                  <c:v>200</c:v>
                </c:pt>
                <c:pt idx="605">
                  <c:v>200</c:v>
                </c:pt>
                <c:pt idx="606">
                  <c:v>150</c:v>
                </c:pt>
                <c:pt idx="607">
                  <c:v>50</c:v>
                </c:pt>
                <c:pt idx="608">
                  <c:v>100</c:v>
                </c:pt>
                <c:pt idx="609">
                  <c:v>150</c:v>
                </c:pt>
                <c:pt idx="610">
                  <c:v>150</c:v>
                </c:pt>
                <c:pt idx="611">
                  <c:v>100</c:v>
                </c:pt>
                <c:pt idx="612">
                  <c:v>200</c:v>
                </c:pt>
                <c:pt idx="613">
                  <c:v>50</c:v>
                </c:pt>
                <c:pt idx="614">
                  <c:v>150</c:v>
                </c:pt>
                <c:pt idx="615">
                  <c:v>50</c:v>
                </c:pt>
                <c:pt idx="616">
                  <c:v>50</c:v>
                </c:pt>
                <c:pt idx="617">
                  <c:v>200</c:v>
                </c:pt>
                <c:pt idx="618">
                  <c:v>150</c:v>
                </c:pt>
                <c:pt idx="619">
                  <c:v>200</c:v>
                </c:pt>
                <c:pt idx="620">
                  <c:v>100</c:v>
                </c:pt>
                <c:pt idx="621">
                  <c:v>50</c:v>
                </c:pt>
                <c:pt idx="622">
                  <c:v>50</c:v>
                </c:pt>
                <c:pt idx="623">
                  <c:v>50</c:v>
                </c:pt>
                <c:pt idx="624">
                  <c:v>200</c:v>
                </c:pt>
                <c:pt idx="625">
                  <c:v>150</c:v>
                </c:pt>
                <c:pt idx="626">
                  <c:v>200</c:v>
                </c:pt>
                <c:pt idx="627">
                  <c:v>150</c:v>
                </c:pt>
                <c:pt idx="628">
                  <c:v>150</c:v>
                </c:pt>
                <c:pt idx="629">
                  <c:v>100</c:v>
                </c:pt>
                <c:pt idx="630">
                  <c:v>200</c:v>
                </c:pt>
                <c:pt idx="631">
                  <c:v>50</c:v>
                </c:pt>
                <c:pt idx="632">
                  <c:v>50</c:v>
                </c:pt>
                <c:pt idx="633">
                  <c:v>150</c:v>
                </c:pt>
                <c:pt idx="634">
                  <c:v>50</c:v>
                </c:pt>
                <c:pt idx="635">
                  <c:v>100</c:v>
                </c:pt>
                <c:pt idx="636">
                  <c:v>200</c:v>
                </c:pt>
                <c:pt idx="637">
                  <c:v>50</c:v>
                </c:pt>
                <c:pt idx="638">
                  <c:v>100</c:v>
                </c:pt>
                <c:pt idx="639">
                  <c:v>150</c:v>
                </c:pt>
                <c:pt idx="640">
                  <c:v>150</c:v>
                </c:pt>
                <c:pt idx="641">
                  <c:v>200</c:v>
                </c:pt>
                <c:pt idx="642">
                  <c:v>100</c:v>
                </c:pt>
                <c:pt idx="643">
                  <c:v>150</c:v>
                </c:pt>
                <c:pt idx="644">
                  <c:v>200</c:v>
                </c:pt>
                <c:pt idx="645">
                  <c:v>200</c:v>
                </c:pt>
                <c:pt idx="646">
                  <c:v>100</c:v>
                </c:pt>
                <c:pt idx="647">
                  <c:v>150</c:v>
                </c:pt>
                <c:pt idx="648">
                  <c:v>150</c:v>
                </c:pt>
                <c:pt idx="649">
                  <c:v>200</c:v>
                </c:pt>
                <c:pt idx="650">
                  <c:v>200</c:v>
                </c:pt>
                <c:pt idx="651">
                  <c:v>200</c:v>
                </c:pt>
                <c:pt idx="652">
                  <c:v>100</c:v>
                </c:pt>
                <c:pt idx="653">
                  <c:v>100</c:v>
                </c:pt>
                <c:pt idx="654">
                  <c:v>50</c:v>
                </c:pt>
                <c:pt idx="655">
                  <c:v>50</c:v>
                </c:pt>
                <c:pt idx="656">
                  <c:v>150</c:v>
                </c:pt>
                <c:pt idx="657">
                  <c:v>100</c:v>
                </c:pt>
                <c:pt idx="658">
                  <c:v>200</c:v>
                </c:pt>
                <c:pt idx="659">
                  <c:v>50</c:v>
                </c:pt>
                <c:pt idx="660">
                  <c:v>50</c:v>
                </c:pt>
                <c:pt idx="661">
                  <c:v>50</c:v>
                </c:pt>
                <c:pt idx="662">
                  <c:v>150</c:v>
                </c:pt>
                <c:pt idx="663">
                  <c:v>150</c:v>
                </c:pt>
                <c:pt idx="664">
                  <c:v>150</c:v>
                </c:pt>
                <c:pt idx="665">
                  <c:v>100</c:v>
                </c:pt>
                <c:pt idx="666">
                  <c:v>200</c:v>
                </c:pt>
                <c:pt idx="667">
                  <c:v>100</c:v>
                </c:pt>
                <c:pt idx="668">
                  <c:v>150</c:v>
                </c:pt>
                <c:pt idx="669">
                  <c:v>150</c:v>
                </c:pt>
                <c:pt idx="670">
                  <c:v>200</c:v>
                </c:pt>
                <c:pt idx="671">
                  <c:v>200</c:v>
                </c:pt>
                <c:pt idx="672">
                  <c:v>100</c:v>
                </c:pt>
                <c:pt idx="673">
                  <c:v>50</c:v>
                </c:pt>
                <c:pt idx="674">
                  <c:v>100</c:v>
                </c:pt>
                <c:pt idx="675">
                  <c:v>200</c:v>
                </c:pt>
                <c:pt idx="676">
                  <c:v>50</c:v>
                </c:pt>
                <c:pt idx="677">
                  <c:v>150</c:v>
                </c:pt>
                <c:pt idx="678">
                  <c:v>100</c:v>
                </c:pt>
                <c:pt idx="679">
                  <c:v>150</c:v>
                </c:pt>
                <c:pt idx="680">
                  <c:v>150</c:v>
                </c:pt>
                <c:pt idx="681">
                  <c:v>200</c:v>
                </c:pt>
                <c:pt idx="682">
                  <c:v>50</c:v>
                </c:pt>
                <c:pt idx="683">
                  <c:v>200</c:v>
                </c:pt>
                <c:pt idx="684">
                  <c:v>50</c:v>
                </c:pt>
                <c:pt idx="685">
                  <c:v>50</c:v>
                </c:pt>
                <c:pt idx="686">
                  <c:v>50</c:v>
                </c:pt>
                <c:pt idx="687">
                  <c:v>50</c:v>
                </c:pt>
                <c:pt idx="688">
                  <c:v>200</c:v>
                </c:pt>
                <c:pt idx="689">
                  <c:v>200</c:v>
                </c:pt>
                <c:pt idx="690">
                  <c:v>50</c:v>
                </c:pt>
                <c:pt idx="691">
                  <c:v>200</c:v>
                </c:pt>
                <c:pt idx="692">
                  <c:v>150</c:v>
                </c:pt>
                <c:pt idx="693">
                  <c:v>100</c:v>
                </c:pt>
                <c:pt idx="694">
                  <c:v>100</c:v>
                </c:pt>
                <c:pt idx="695">
                  <c:v>50</c:v>
                </c:pt>
                <c:pt idx="696">
                  <c:v>150</c:v>
                </c:pt>
                <c:pt idx="697">
                  <c:v>100</c:v>
                </c:pt>
                <c:pt idx="698">
                  <c:v>100</c:v>
                </c:pt>
                <c:pt idx="699">
                  <c:v>200</c:v>
                </c:pt>
                <c:pt idx="700">
                  <c:v>200</c:v>
                </c:pt>
                <c:pt idx="701">
                  <c:v>50</c:v>
                </c:pt>
                <c:pt idx="702">
                  <c:v>100</c:v>
                </c:pt>
                <c:pt idx="703">
                  <c:v>50</c:v>
                </c:pt>
                <c:pt idx="704">
                  <c:v>50</c:v>
                </c:pt>
                <c:pt idx="705">
                  <c:v>50</c:v>
                </c:pt>
                <c:pt idx="706">
                  <c:v>200</c:v>
                </c:pt>
                <c:pt idx="707">
                  <c:v>200</c:v>
                </c:pt>
                <c:pt idx="708">
                  <c:v>150</c:v>
                </c:pt>
                <c:pt idx="709">
                  <c:v>150</c:v>
                </c:pt>
                <c:pt idx="710">
                  <c:v>100</c:v>
                </c:pt>
                <c:pt idx="711">
                  <c:v>100</c:v>
                </c:pt>
                <c:pt idx="712">
                  <c:v>100</c:v>
                </c:pt>
                <c:pt idx="713">
                  <c:v>150</c:v>
                </c:pt>
                <c:pt idx="714">
                  <c:v>100</c:v>
                </c:pt>
                <c:pt idx="715">
                  <c:v>50</c:v>
                </c:pt>
                <c:pt idx="716">
                  <c:v>150</c:v>
                </c:pt>
                <c:pt idx="717">
                  <c:v>50</c:v>
                </c:pt>
                <c:pt idx="718">
                  <c:v>200</c:v>
                </c:pt>
                <c:pt idx="719">
                  <c:v>100</c:v>
                </c:pt>
                <c:pt idx="720">
                  <c:v>200</c:v>
                </c:pt>
                <c:pt idx="721">
                  <c:v>100</c:v>
                </c:pt>
                <c:pt idx="722">
                  <c:v>100</c:v>
                </c:pt>
                <c:pt idx="723">
                  <c:v>200</c:v>
                </c:pt>
                <c:pt idx="724">
                  <c:v>50</c:v>
                </c:pt>
                <c:pt idx="725">
                  <c:v>150</c:v>
                </c:pt>
                <c:pt idx="726">
                  <c:v>100</c:v>
                </c:pt>
                <c:pt idx="727">
                  <c:v>100</c:v>
                </c:pt>
                <c:pt idx="728">
                  <c:v>100</c:v>
                </c:pt>
                <c:pt idx="729">
                  <c:v>100</c:v>
                </c:pt>
                <c:pt idx="730">
                  <c:v>100</c:v>
                </c:pt>
                <c:pt idx="731">
                  <c:v>50</c:v>
                </c:pt>
                <c:pt idx="732">
                  <c:v>150</c:v>
                </c:pt>
                <c:pt idx="733">
                  <c:v>50</c:v>
                </c:pt>
                <c:pt idx="734">
                  <c:v>150</c:v>
                </c:pt>
                <c:pt idx="735">
                  <c:v>150</c:v>
                </c:pt>
                <c:pt idx="736">
                  <c:v>100</c:v>
                </c:pt>
                <c:pt idx="737">
                  <c:v>200</c:v>
                </c:pt>
                <c:pt idx="738">
                  <c:v>200</c:v>
                </c:pt>
                <c:pt idx="739">
                  <c:v>200</c:v>
                </c:pt>
                <c:pt idx="740">
                  <c:v>200</c:v>
                </c:pt>
                <c:pt idx="741">
                  <c:v>150</c:v>
                </c:pt>
                <c:pt idx="742">
                  <c:v>150</c:v>
                </c:pt>
                <c:pt idx="743">
                  <c:v>100</c:v>
                </c:pt>
                <c:pt idx="744">
                  <c:v>200</c:v>
                </c:pt>
                <c:pt idx="745">
                  <c:v>200</c:v>
                </c:pt>
                <c:pt idx="746">
                  <c:v>200</c:v>
                </c:pt>
                <c:pt idx="747">
                  <c:v>150</c:v>
                </c:pt>
                <c:pt idx="748">
                  <c:v>150</c:v>
                </c:pt>
                <c:pt idx="749">
                  <c:v>150</c:v>
                </c:pt>
                <c:pt idx="750">
                  <c:v>100</c:v>
                </c:pt>
                <c:pt idx="751">
                  <c:v>50</c:v>
                </c:pt>
                <c:pt idx="752">
                  <c:v>200</c:v>
                </c:pt>
                <c:pt idx="753">
                  <c:v>200</c:v>
                </c:pt>
                <c:pt idx="754">
                  <c:v>50</c:v>
                </c:pt>
                <c:pt idx="755">
                  <c:v>150</c:v>
                </c:pt>
                <c:pt idx="756">
                  <c:v>100</c:v>
                </c:pt>
                <c:pt idx="757">
                  <c:v>100</c:v>
                </c:pt>
                <c:pt idx="758">
                  <c:v>100</c:v>
                </c:pt>
                <c:pt idx="759">
                  <c:v>50</c:v>
                </c:pt>
                <c:pt idx="760">
                  <c:v>100</c:v>
                </c:pt>
                <c:pt idx="761">
                  <c:v>150</c:v>
                </c:pt>
                <c:pt idx="762">
                  <c:v>50</c:v>
                </c:pt>
                <c:pt idx="763">
                  <c:v>200</c:v>
                </c:pt>
                <c:pt idx="764">
                  <c:v>100</c:v>
                </c:pt>
                <c:pt idx="765">
                  <c:v>200</c:v>
                </c:pt>
                <c:pt idx="766">
                  <c:v>200</c:v>
                </c:pt>
                <c:pt idx="767">
                  <c:v>100</c:v>
                </c:pt>
                <c:pt idx="768">
                  <c:v>100</c:v>
                </c:pt>
                <c:pt idx="769">
                  <c:v>50</c:v>
                </c:pt>
                <c:pt idx="770">
                  <c:v>150</c:v>
                </c:pt>
                <c:pt idx="771">
                  <c:v>50</c:v>
                </c:pt>
                <c:pt idx="772">
                  <c:v>200</c:v>
                </c:pt>
                <c:pt idx="773">
                  <c:v>100</c:v>
                </c:pt>
                <c:pt idx="774">
                  <c:v>50</c:v>
                </c:pt>
                <c:pt idx="775">
                  <c:v>150</c:v>
                </c:pt>
                <c:pt idx="776">
                  <c:v>200</c:v>
                </c:pt>
                <c:pt idx="777">
                  <c:v>50</c:v>
                </c:pt>
                <c:pt idx="778">
                  <c:v>200</c:v>
                </c:pt>
                <c:pt idx="779">
                  <c:v>100</c:v>
                </c:pt>
                <c:pt idx="780">
                  <c:v>100</c:v>
                </c:pt>
                <c:pt idx="781">
                  <c:v>200</c:v>
                </c:pt>
                <c:pt idx="782">
                  <c:v>50</c:v>
                </c:pt>
                <c:pt idx="783">
                  <c:v>100</c:v>
                </c:pt>
                <c:pt idx="784">
                  <c:v>50</c:v>
                </c:pt>
                <c:pt idx="785">
                  <c:v>50</c:v>
                </c:pt>
                <c:pt idx="786">
                  <c:v>150</c:v>
                </c:pt>
                <c:pt idx="787">
                  <c:v>150</c:v>
                </c:pt>
                <c:pt idx="788">
                  <c:v>100</c:v>
                </c:pt>
                <c:pt idx="789">
                  <c:v>100</c:v>
                </c:pt>
                <c:pt idx="790">
                  <c:v>150</c:v>
                </c:pt>
                <c:pt idx="791">
                  <c:v>100</c:v>
                </c:pt>
                <c:pt idx="792">
                  <c:v>100</c:v>
                </c:pt>
                <c:pt idx="793">
                  <c:v>200</c:v>
                </c:pt>
                <c:pt idx="794">
                  <c:v>200</c:v>
                </c:pt>
                <c:pt idx="795">
                  <c:v>50</c:v>
                </c:pt>
                <c:pt idx="796">
                  <c:v>200</c:v>
                </c:pt>
                <c:pt idx="797">
                  <c:v>50</c:v>
                </c:pt>
                <c:pt idx="798">
                  <c:v>200</c:v>
                </c:pt>
                <c:pt idx="799">
                  <c:v>150</c:v>
                </c:pt>
                <c:pt idx="800">
                  <c:v>200</c:v>
                </c:pt>
                <c:pt idx="801">
                  <c:v>200</c:v>
                </c:pt>
                <c:pt idx="802">
                  <c:v>200</c:v>
                </c:pt>
                <c:pt idx="803">
                  <c:v>50</c:v>
                </c:pt>
                <c:pt idx="804">
                  <c:v>200</c:v>
                </c:pt>
                <c:pt idx="805">
                  <c:v>100</c:v>
                </c:pt>
                <c:pt idx="806">
                  <c:v>100</c:v>
                </c:pt>
                <c:pt idx="807">
                  <c:v>100</c:v>
                </c:pt>
                <c:pt idx="808">
                  <c:v>100</c:v>
                </c:pt>
                <c:pt idx="809">
                  <c:v>150</c:v>
                </c:pt>
                <c:pt idx="810">
                  <c:v>50</c:v>
                </c:pt>
                <c:pt idx="811">
                  <c:v>200</c:v>
                </c:pt>
                <c:pt idx="812">
                  <c:v>100</c:v>
                </c:pt>
                <c:pt idx="813">
                  <c:v>100</c:v>
                </c:pt>
                <c:pt idx="814">
                  <c:v>200</c:v>
                </c:pt>
                <c:pt idx="815">
                  <c:v>50</c:v>
                </c:pt>
                <c:pt idx="816">
                  <c:v>150</c:v>
                </c:pt>
                <c:pt idx="817">
                  <c:v>150</c:v>
                </c:pt>
                <c:pt idx="818">
                  <c:v>100</c:v>
                </c:pt>
                <c:pt idx="819">
                  <c:v>200</c:v>
                </c:pt>
                <c:pt idx="820">
                  <c:v>150</c:v>
                </c:pt>
                <c:pt idx="821">
                  <c:v>50</c:v>
                </c:pt>
                <c:pt idx="822">
                  <c:v>150</c:v>
                </c:pt>
                <c:pt idx="823">
                  <c:v>150</c:v>
                </c:pt>
                <c:pt idx="824">
                  <c:v>150</c:v>
                </c:pt>
                <c:pt idx="825">
                  <c:v>150</c:v>
                </c:pt>
                <c:pt idx="826">
                  <c:v>50</c:v>
                </c:pt>
                <c:pt idx="827">
                  <c:v>200</c:v>
                </c:pt>
                <c:pt idx="828">
                  <c:v>50</c:v>
                </c:pt>
                <c:pt idx="829">
                  <c:v>150</c:v>
                </c:pt>
                <c:pt idx="830">
                  <c:v>150</c:v>
                </c:pt>
                <c:pt idx="831">
                  <c:v>150</c:v>
                </c:pt>
                <c:pt idx="832">
                  <c:v>200</c:v>
                </c:pt>
                <c:pt idx="833">
                  <c:v>100</c:v>
                </c:pt>
                <c:pt idx="834">
                  <c:v>100</c:v>
                </c:pt>
                <c:pt idx="835">
                  <c:v>150</c:v>
                </c:pt>
                <c:pt idx="836">
                  <c:v>100</c:v>
                </c:pt>
                <c:pt idx="837">
                  <c:v>150</c:v>
                </c:pt>
                <c:pt idx="838">
                  <c:v>200</c:v>
                </c:pt>
                <c:pt idx="839">
                  <c:v>200</c:v>
                </c:pt>
                <c:pt idx="840">
                  <c:v>200</c:v>
                </c:pt>
                <c:pt idx="841">
                  <c:v>200</c:v>
                </c:pt>
                <c:pt idx="842">
                  <c:v>50</c:v>
                </c:pt>
                <c:pt idx="843">
                  <c:v>100</c:v>
                </c:pt>
                <c:pt idx="844">
                  <c:v>100</c:v>
                </c:pt>
                <c:pt idx="845">
                  <c:v>50</c:v>
                </c:pt>
                <c:pt idx="846">
                  <c:v>200</c:v>
                </c:pt>
                <c:pt idx="847">
                  <c:v>100</c:v>
                </c:pt>
                <c:pt idx="848">
                  <c:v>50</c:v>
                </c:pt>
                <c:pt idx="849">
                  <c:v>100</c:v>
                </c:pt>
                <c:pt idx="850">
                  <c:v>100</c:v>
                </c:pt>
                <c:pt idx="851">
                  <c:v>150</c:v>
                </c:pt>
                <c:pt idx="852">
                  <c:v>50</c:v>
                </c:pt>
                <c:pt idx="853">
                  <c:v>150</c:v>
                </c:pt>
                <c:pt idx="854">
                  <c:v>150</c:v>
                </c:pt>
                <c:pt idx="855">
                  <c:v>100</c:v>
                </c:pt>
                <c:pt idx="856">
                  <c:v>100</c:v>
                </c:pt>
                <c:pt idx="857">
                  <c:v>150</c:v>
                </c:pt>
                <c:pt idx="858">
                  <c:v>150</c:v>
                </c:pt>
                <c:pt idx="859">
                  <c:v>100</c:v>
                </c:pt>
                <c:pt idx="860">
                  <c:v>100</c:v>
                </c:pt>
                <c:pt idx="861">
                  <c:v>50</c:v>
                </c:pt>
                <c:pt idx="862">
                  <c:v>200</c:v>
                </c:pt>
                <c:pt idx="863">
                  <c:v>150</c:v>
                </c:pt>
                <c:pt idx="864">
                  <c:v>100</c:v>
                </c:pt>
                <c:pt idx="865">
                  <c:v>200</c:v>
                </c:pt>
                <c:pt idx="866">
                  <c:v>100</c:v>
                </c:pt>
                <c:pt idx="867">
                  <c:v>100</c:v>
                </c:pt>
                <c:pt idx="868">
                  <c:v>200</c:v>
                </c:pt>
                <c:pt idx="869">
                  <c:v>200</c:v>
                </c:pt>
                <c:pt idx="870">
                  <c:v>150</c:v>
                </c:pt>
                <c:pt idx="871">
                  <c:v>200</c:v>
                </c:pt>
                <c:pt idx="872">
                  <c:v>50</c:v>
                </c:pt>
                <c:pt idx="873">
                  <c:v>50</c:v>
                </c:pt>
                <c:pt idx="874">
                  <c:v>200</c:v>
                </c:pt>
                <c:pt idx="875">
                  <c:v>100</c:v>
                </c:pt>
                <c:pt idx="876">
                  <c:v>100</c:v>
                </c:pt>
                <c:pt idx="877">
                  <c:v>200</c:v>
                </c:pt>
                <c:pt idx="878">
                  <c:v>200</c:v>
                </c:pt>
                <c:pt idx="879">
                  <c:v>200</c:v>
                </c:pt>
                <c:pt idx="880">
                  <c:v>150</c:v>
                </c:pt>
                <c:pt idx="881">
                  <c:v>100</c:v>
                </c:pt>
                <c:pt idx="882">
                  <c:v>200</c:v>
                </c:pt>
                <c:pt idx="883">
                  <c:v>150</c:v>
                </c:pt>
                <c:pt idx="884">
                  <c:v>150</c:v>
                </c:pt>
                <c:pt idx="885">
                  <c:v>150</c:v>
                </c:pt>
                <c:pt idx="886">
                  <c:v>50</c:v>
                </c:pt>
                <c:pt idx="887">
                  <c:v>200</c:v>
                </c:pt>
                <c:pt idx="888">
                  <c:v>150</c:v>
                </c:pt>
                <c:pt idx="889">
                  <c:v>200</c:v>
                </c:pt>
                <c:pt idx="890">
                  <c:v>200</c:v>
                </c:pt>
                <c:pt idx="891">
                  <c:v>200</c:v>
                </c:pt>
                <c:pt idx="892">
                  <c:v>50</c:v>
                </c:pt>
                <c:pt idx="893">
                  <c:v>150</c:v>
                </c:pt>
                <c:pt idx="894">
                  <c:v>100</c:v>
                </c:pt>
                <c:pt idx="895">
                  <c:v>200</c:v>
                </c:pt>
                <c:pt idx="896">
                  <c:v>100</c:v>
                </c:pt>
                <c:pt idx="897">
                  <c:v>100</c:v>
                </c:pt>
                <c:pt idx="898">
                  <c:v>200</c:v>
                </c:pt>
                <c:pt idx="899">
                  <c:v>50</c:v>
                </c:pt>
                <c:pt idx="900">
                  <c:v>150</c:v>
                </c:pt>
                <c:pt idx="901">
                  <c:v>50</c:v>
                </c:pt>
                <c:pt idx="902">
                  <c:v>200</c:v>
                </c:pt>
                <c:pt idx="903">
                  <c:v>150</c:v>
                </c:pt>
                <c:pt idx="904">
                  <c:v>200</c:v>
                </c:pt>
                <c:pt idx="905">
                  <c:v>50</c:v>
                </c:pt>
                <c:pt idx="906">
                  <c:v>50</c:v>
                </c:pt>
                <c:pt idx="907">
                  <c:v>50</c:v>
                </c:pt>
                <c:pt idx="908">
                  <c:v>50</c:v>
                </c:pt>
                <c:pt idx="909">
                  <c:v>100</c:v>
                </c:pt>
                <c:pt idx="910">
                  <c:v>50</c:v>
                </c:pt>
                <c:pt idx="911">
                  <c:v>50</c:v>
                </c:pt>
                <c:pt idx="912">
                  <c:v>200</c:v>
                </c:pt>
                <c:pt idx="913">
                  <c:v>200</c:v>
                </c:pt>
                <c:pt idx="914">
                  <c:v>100</c:v>
                </c:pt>
                <c:pt idx="915">
                  <c:v>50</c:v>
                </c:pt>
                <c:pt idx="916">
                  <c:v>50</c:v>
                </c:pt>
                <c:pt idx="917">
                  <c:v>200</c:v>
                </c:pt>
                <c:pt idx="918">
                  <c:v>200</c:v>
                </c:pt>
                <c:pt idx="919">
                  <c:v>200</c:v>
                </c:pt>
                <c:pt idx="920">
                  <c:v>50</c:v>
                </c:pt>
                <c:pt idx="921">
                  <c:v>100</c:v>
                </c:pt>
                <c:pt idx="922">
                  <c:v>100</c:v>
                </c:pt>
                <c:pt idx="923">
                  <c:v>200</c:v>
                </c:pt>
                <c:pt idx="924">
                  <c:v>150</c:v>
                </c:pt>
                <c:pt idx="925">
                  <c:v>100</c:v>
                </c:pt>
                <c:pt idx="926">
                  <c:v>150</c:v>
                </c:pt>
                <c:pt idx="927">
                  <c:v>50</c:v>
                </c:pt>
                <c:pt idx="928">
                  <c:v>150</c:v>
                </c:pt>
                <c:pt idx="929">
                  <c:v>50</c:v>
                </c:pt>
                <c:pt idx="930">
                  <c:v>150</c:v>
                </c:pt>
                <c:pt idx="931">
                  <c:v>100</c:v>
                </c:pt>
                <c:pt idx="932">
                  <c:v>100</c:v>
                </c:pt>
                <c:pt idx="933">
                  <c:v>50</c:v>
                </c:pt>
                <c:pt idx="934">
                  <c:v>100</c:v>
                </c:pt>
                <c:pt idx="935">
                  <c:v>150</c:v>
                </c:pt>
                <c:pt idx="936">
                  <c:v>150</c:v>
                </c:pt>
                <c:pt idx="937">
                  <c:v>200</c:v>
                </c:pt>
                <c:pt idx="938">
                  <c:v>50</c:v>
                </c:pt>
                <c:pt idx="939">
                  <c:v>100</c:v>
                </c:pt>
                <c:pt idx="940">
                  <c:v>150</c:v>
                </c:pt>
                <c:pt idx="941">
                  <c:v>200</c:v>
                </c:pt>
                <c:pt idx="942">
                  <c:v>150</c:v>
                </c:pt>
                <c:pt idx="943">
                  <c:v>150</c:v>
                </c:pt>
                <c:pt idx="944">
                  <c:v>150</c:v>
                </c:pt>
                <c:pt idx="945">
                  <c:v>150</c:v>
                </c:pt>
                <c:pt idx="946">
                  <c:v>150</c:v>
                </c:pt>
                <c:pt idx="947">
                  <c:v>150</c:v>
                </c:pt>
                <c:pt idx="948">
                  <c:v>50</c:v>
                </c:pt>
                <c:pt idx="949">
                  <c:v>100</c:v>
                </c:pt>
                <c:pt idx="950">
                  <c:v>150</c:v>
                </c:pt>
                <c:pt idx="951">
                  <c:v>200</c:v>
                </c:pt>
                <c:pt idx="952">
                  <c:v>150</c:v>
                </c:pt>
                <c:pt idx="953">
                  <c:v>100</c:v>
                </c:pt>
                <c:pt idx="954">
                  <c:v>200</c:v>
                </c:pt>
                <c:pt idx="955">
                  <c:v>50</c:v>
                </c:pt>
                <c:pt idx="956">
                  <c:v>100</c:v>
                </c:pt>
                <c:pt idx="957">
                  <c:v>50</c:v>
                </c:pt>
                <c:pt idx="958">
                  <c:v>50</c:v>
                </c:pt>
                <c:pt idx="959">
                  <c:v>100</c:v>
                </c:pt>
                <c:pt idx="960">
                  <c:v>200</c:v>
                </c:pt>
                <c:pt idx="961">
                  <c:v>150</c:v>
                </c:pt>
                <c:pt idx="962">
                  <c:v>200</c:v>
                </c:pt>
                <c:pt idx="963">
                  <c:v>200</c:v>
                </c:pt>
                <c:pt idx="964">
                  <c:v>200</c:v>
                </c:pt>
                <c:pt idx="965">
                  <c:v>100</c:v>
                </c:pt>
                <c:pt idx="966">
                  <c:v>50</c:v>
                </c:pt>
                <c:pt idx="967">
                  <c:v>150</c:v>
                </c:pt>
                <c:pt idx="968">
                  <c:v>100</c:v>
                </c:pt>
                <c:pt idx="969">
                  <c:v>50</c:v>
                </c:pt>
                <c:pt idx="970">
                  <c:v>200</c:v>
                </c:pt>
                <c:pt idx="971">
                  <c:v>150</c:v>
                </c:pt>
                <c:pt idx="972">
                  <c:v>50</c:v>
                </c:pt>
                <c:pt idx="973">
                  <c:v>200</c:v>
                </c:pt>
                <c:pt idx="974">
                  <c:v>100</c:v>
                </c:pt>
                <c:pt idx="975">
                  <c:v>150</c:v>
                </c:pt>
                <c:pt idx="976">
                  <c:v>200</c:v>
                </c:pt>
                <c:pt idx="977">
                  <c:v>200</c:v>
                </c:pt>
                <c:pt idx="978">
                  <c:v>50</c:v>
                </c:pt>
                <c:pt idx="979">
                  <c:v>200</c:v>
                </c:pt>
                <c:pt idx="980">
                  <c:v>50</c:v>
                </c:pt>
                <c:pt idx="981">
                  <c:v>200</c:v>
                </c:pt>
                <c:pt idx="982">
                  <c:v>50</c:v>
                </c:pt>
                <c:pt idx="983">
                  <c:v>50</c:v>
                </c:pt>
                <c:pt idx="984">
                  <c:v>150</c:v>
                </c:pt>
                <c:pt idx="985">
                  <c:v>50</c:v>
                </c:pt>
                <c:pt idx="986">
                  <c:v>200</c:v>
                </c:pt>
                <c:pt idx="987">
                  <c:v>50</c:v>
                </c:pt>
                <c:pt idx="988">
                  <c:v>50</c:v>
                </c:pt>
                <c:pt idx="989">
                  <c:v>150</c:v>
                </c:pt>
                <c:pt idx="990">
                  <c:v>150</c:v>
                </c:pt>
                <c:pt idx="991">
                  <c:v>50</c:v>
                </c:pt>
                <c:pt idx="992">
                  <c:v>150</c:v>
                </c:pt>
                <c:pt idx="993">
                  <c:v>150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100</c:v>
                </c:pt>
                <c:pt idx="998">
                  <c:v>100</c:v>
                </c:pt>
                <c:pt idx="999">
                  <c:v>150</c:v>
                </c:pt>
              </c:numCache>
            </c:numRef>
          </c:xVal>
          <c:yVal>
            <c:numRef>
              <c:f>Clean_Data!$S$2:$S$1001</c:f>
              <c:numCache>
                <c:formatCode>General</c:formatCode>
                <c:ptCount val="1000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1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1</c:v>
                </c:pt>
                <c:pt idx="126">
                  <c:v>0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1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0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0</c:v>
                </c:pt>
                <c:pt idx="143">
                  <c:v>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1</c:v>
                </c:pt>
                <c:pt idx="158">
                  <c:v>1</c:v>
                </c:pt>
                <c:pt idx="159">
                  <c:v>0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1</c:v>
                </c:pt>
                <c:pt idx="193">
                  <c:v>0</c:v>
                </c:pt>
                <c:pt idx="194">
                  <c:v>1</c:v>
                </c:pt>
                <c:pt idx="195">
                  <c:v>0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1</c:v>
                </c:pt>
                <c:pt idx="206">
                  <c:v>1</c:v>
                </c:pt>
                <c:pt idx="207">
                  <c:v>0</c:v>
                </c:pt>
                <c:pt idx="208">
                  <c:v>1</c:v>
                </c:pt>
                <c:pt idx="209">
                  <c:v>1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1</c:v>
                </c:pt>
                <c:pt idx="219">
                  <c:v>0</c:v>
                </c:pt>
                <c:pt idx="220">
                  <c:v>1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</c:v>
                </c:pt>
                <c:pt idx="233">
                  <c:v>1</c:v>
                </c:pt>
                <c:pt idx="234">
                  <c:v>0</c:v>
                </c:pt>
                <c:pt idx="235">
                  <c:v>0</c:v>
                </c:pt>
                <c:pt idx="236">
                  <c:v>1</c:v>
                </c:pt>
                <c:pt idx="237">
                  <c:v>0</c:v>
                </c:pt>
                <c:pt idx="238">
                  <c:v>0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1</c:v>
                </c:pt>
                <c:pt idx="243">
                  <c:v>0</c:v>
                </c:pt>
                <c:pt idx="244">
                  <c:v>1</c:v>
                </c:pt>
                <c:pt idx="245">
                  <c:v>0</c:v>
                </c:pt>
                <c:pt idx="246">
                  <c:v>1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1</c:v>
                </c:pt>
                <c:pt idx="258">
                  <c:v>1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1</c:v>
                </c:pt>
                <c:pt idx="264">
                  <c:v>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</c:v>
                </c:pt>
                <c:pt idx="273">
                  <c:v>0</c:v>
                </c:pt>
                <c:pt idx="274">
                  <c:v>1</c:v>
                </c:pt>
                <c:pt idx="275">
                  <c:v>1</c:v>
                </c:pt>
                <c:pt idx="276">
                  <c:v>0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1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1</c:v>
                </c:pt>
                <c:pt idx="291">
                  <c:v>1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</c:v>
                </c:pt>
                <c:pt idx="298">
                  <c:v>0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0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1</c:v>
                </c:pt>
                <c:pt idx="315">
                  <c:v>0</c:v>
                </c:pt>
                <c:pt idx="316">
                  <c:v>0</c:v>
                </c:pt>
                <c:pt idx="317">
                  <c:v>1</c:v>
                </c:pt>
                <c:pt idx="318">
                  <c:v>0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1</c:v>
                </c:pt>
                <c:pt idx="325">
                  <c:v>0</c:v>
                </c:pt>
                <c:pt idx="326">
                  <c:v>1</c:v>
                </c:pt>
                <c:pt idx="327">
                  <c:v>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</c:v>
                </c:pt>
                <c:pt idx="332">
                  <c:v>0</c:v>
                </c:pt>
                <c:pt idx="333">
                  <c:v>0</c:v>
                </c:pt>
                <c:pt idx="334">
                  <c:v>1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1</c:v>
                </c:pt>
                <c:pt idx="354">
                  <c:v>0</c:v>
                </c:pt>
                <c:pt idx="355">
                  <c:v>0</c:v>
                </c:pt>
                <c:pt idx="356">
                  <c:v>1</c:v>
                </c:pt>
                <c:pt idx="357">
                  <c:v>0</c:v>
                </c:pt>
                <c:pt idx="358">
                  <c:v>0</c:v>
                </c:pt>
                <c:pt idx="359">
                  <c:v>1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1</c:v>
                </c:pt>
                <c:pt idx="370">
                  <c:v>0</c:v>
                </c:pt>
                <c:pt idx="371">
                  <c:v>1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0</c:v>
                </c:pt>
                <c:pt idx="385">
                  <c:v>1</c:v>
                </c:pt>
                <c:pt idx="386">
                  <c:v>0</c:v>
                </c:pt>
                <c:pt idx="387">
                  <c:v>0</c:v>
                </c:pt>
                <c:pt idx="388">
                  <c:v>1</c:v>
                </c:pt>
                <c:pt idx="389">
                  <c:v>0</c:v>
                </c:pt>
                <c:pt idx="390">
                  <c:v>1</c:v>
                </c:pt>
                <c:pt idx="391">
                  <c:v>0</c:v>
                </c:pt>
                <c:pt idx="392">
                  <c:v>0</c:v>
                </c:pt>
                <c:pt idx="393">
                  <c:v>1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1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1</c:v>
                </c:pt>
                <c:pt idx="404">
                  <c:v>1</c:v>
                </c:pt>
                <c:pt idx="405">
                  <c:v>0</c:v>
                </c:pt>
                <c:pt idx="406">
                  <c:v>1</c:v>
                </c:pt>
                <c:pt idx="407">
                  <c:v>1</c:v>
                </c:pt>
                <c:pt idx="408">
                  <c:v>0</c:v>
                </c:pt>
                <c:pt idx="409">
                  <c:v>0</c:v>
                </c:pt>
                <c:pt idx="410">
                  <c:v>1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1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1</c:v>
                </c:pt>
                <c:pt idx="419">
                  <c:v>1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1</c:v>
                </c:pt>
                <c:pt idx="424">
                  <c:v>0</c:v>
                </c:pt>
                <c:pt idx="425">
                  <c:v>0</c:v>
                </c:pt>
                <c:pt idx="426">
                  <c:v>1</c:v>
                </c:pt>
                <c:pt idx="427">
                  <c:v>0</c:v>
                </c:pt>
                <c:pt idx="428">
                  <c:v>1</c:v>
                </c:pt>
                <c:pt idx="429">
                  <c:v>0</c:v>
                </c:pt>
                <c:pt idx="430">
                  <c:v>1</c:v>
                </c:pt>
                <c:pt idx="431">
                  <c:v>0</c:v>
                </c:pt>
                <c:pt idx="432">
                  <c:v>0</c:v>
                </c:pt>
                <c:pt idx="433">
                  <c:v>1</c:v>
                </c:pt>
                <c:pt idx="434">
                  <c:v>0</c:v>
                </c:pt>
                <c:pt idx="435">
                  <c:v>1</c:v>
                </c:pt>
                <c:pt idx="436">
                  <c:v>0</c:v>
                </c:pt>
                <c:pt idx="437">
                  <c:v>0</c:v>
                </c:pt>
                <c:pt idx="438">
                  <c:v>1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1</c:v>
                </c:pt>
                <c:pt idx="443">
                  <c:v>0</c:v>
                </c:pt>
                <c:pt idx="444">
                  <c:v>0</c:v>
                </c:pt>
                <c:pt idx="445">
                  <c:v>1</c:v>
                </c:pt>
                <c:pt idx="446">
                  <c:v>0</c:v>
                </c:pt>
                <c:pt idx="447">
                  <c:v>0</c:v>
                </c:pt>
                <c:pt idx="448">
                  <c:v>1</c:v>
                </c:pt>
                <c:pt idx="449">
                  <c:v>0</c:v>
                </c:pt>
                <c:pt idx="450">
                  <c:v>1</c:v>
                </c:pt>
                <c:pt idx="451">
                  <c:v>0</c:v>
                </c:pt>
                <c:pt idx="452">
                  <c:v>1</c:v>
                </c:pt>
                <c:pt idx="453">
                  <c:v>1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1</c:v>
                </c:pt>
                <c:pt idx="461">
                  <c:v>0</c:v>
                </c:pt>
                <c:pt idx="462">
                  <c:v>0</c:v>
                </c:pt>
                <c:pt idx="463">
                  <c:v>1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1</c:v>
                </c:pt>
                <c:pt idx="468">
                  <c:v>1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1</c:v>
                </c:pt>
                <c:pt idx="473">
                  <c:v>1</c:v>
                </c:pt>
                <c:pt idx="474">
                  <c:v>0</c:v>
                </c:pt>
                <c:pt idx="475">
                  <c:v>1</c:v>
                </c:pt>
                <c:pt idx="476">
                  <c:v>0</c:v>
                </c:pt>
                <c:pt idx="477">
                  <c:v>0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0</c:v>
                </c:pt>
                <c:pt idx="482">
                  <c:v>0</c:v>
                </c:pt>
                <c:pt idx="483">
                  <c:v>1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1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1</c:v>
                </c:pt>
                <c:pt idx="498">
                  <c:v>1</c:v>
                </c:pt>
                <c:pt idx="499">
                  <c:v>0</c:v>
                </c:pt>
                <c:pt idx="500">
                  <c:v>1</c:v>
                </c:pt>
                <c:pt idx="501">
                  <c:v>0</c:v>
                </c:pt>
                <c:pt idx="502">
                  <c:v>0</c:v>
                </c:pt>
                <c:pt idx="503">
                  <c:v>1</c:v>
                </c:pt>
                <c:pt idx="504">
                  <c:v>1</c:v>
                </c:pt>
                <c:pt idx="505">
                  <c:v>0</c:v>
                </c:pt>
                <c:pt idx="506">
                  <c:v>1</c:v>
                </c:pt>
                <c:pt idx="507">
                  <c:v>1</c:v>
                </c:pt>
                <c:pt idx="508">
                  <c:v>0</c:v>
                </c:pt>
                <c:pt idx="509">
                  <c:v>0</c:v>
                </c:pt>
                <c:pt idx="510">
                  <c:v>1</c:v>
                </c:pt>
                <c:pt idx="511">
                  <c:v>0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1</c:v>
                </c:pt>
                <c:pt idx="519">
                  <c:v>0</c:v>
                </c:pt>
                <c:pt idx="520">
                  <c:v>1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1</c:v>
                </c:pt>
                <c:pt idx="531">
                  <c:v>1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1</c:v>
                </c:pt>
                <c:pt idx="545">
                  <c:v>0</c:v>
                </c:pt>
                <c:pt idx="546">
                  <c:v>0</c:v>
                </c:pt>
                <c:pt idx="547">
                  <c:v>1</c:v>
                </c:pt>
                <c:pt idx="548">
                  <c:v>0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0</c:v>
                </c:pt>
                <c:pt idx="553">
                  <c:v>0</c:v>
                </c:pt>
                <c:pt idx="554">
                  <c:v>1</c:v>
                </c:pt>
                <c:pt idx="555">
                  <c:v>1</c:v>
                </c:pt>
                <c:pt idx="556">
                  <c:v>0</c:v>
                </c:pt>
                <c:pt idx="557">
                  <c:v>1</c:v>
                </c:pt>
                <c:pt idx="558">
                  <c:v>1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1</c:v>
                </c:pt>
                <c:pt idx="565">
                  <c:v>0</c:v>
                </c:pt>
                <c:pt idx="566">
                  <c:v>0</c:v>
                </c:pt>
                <c:pt idx="567">
                  <c:v>1</c:v>
                </c:pt>
                <c:pt idx="568">
                  <c:v>0</c:v>
                </c:pt>
                <c:pt idx="569">
                  <c:v>0</c:v>
                </c:pt>
                <c:pt idx="570">
                  <c:v>1</c:v>
                </c:pt>
                <c:pt idx="571">
                  <c:v>1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1</c:v>
                </c:pt>
                <c:pt idx="577">
                  <c:v>0</c:v>
                </c:pt>
                <c:pt idx="578">
                  <c:v>0</c:v>
                </c:pt>
                <c:pt idx="579">
                  <c:v>1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1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1</c:v>
                </c:pt>
                <c:pt idx="592">
                  <c:v>1</c:v>
                </c:pt>
                <c:pt idx="593">
                  <c:v>0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0</c:v>
                </c:pt>
                <c:pt idx="598">
                  <c:v>0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1</c:v>
                </c:pt>
                <c:pt idx="617">
                  <c:v>1</c:v>
                </c:pt>
                <c:pt idx="618">
                  <c:v>0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1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1</c:v>
                </c:pt>
                <c:pt idx="635">
                  <c:v>0</c:v>
                </c:pt>
                <c:pt idx="636">
                  <c:v>1</c:v>
                </c:pt>
                <c:pt idx="637">
                  <c:v>0</c:v>
                </c:pt>
                <c:pt idx="638">
                  <c:v>0</c:v>
                </c:pt>
                <c:pt idx="639">
                  <c:v>1</c:v>
                </c:pt>
                <c:pt idx="640">
                  <c:v>1</c:v>
                </c:pt>
                <c:pt idx="641">
                  <c:v>0</c:v>
                </c:pt>
                <c:pt idx="642">
                  <c:v>1</c:v>
                </c:pt>
                <c:pt idx="643">
                  <c:v>0</c:v>
                </c:pt>
                <c:pt idx="644">
                  <c:v>1</c:v>
                </c:pt>
                <c:pt idx="645">
                  <c:v>0</c:v>
                </c:pt>
                <c:pt idx="646">
                  <c:v>1</c:v>
                </c:pt>
                <c:pt idx="647">
                  <c:v>1</c:v>
                </c:pt>
                <c:pt idx="648">
                  <c:v>0</c:v>
                </c:pt>
                <c:pt idx="649">
                  <c:v>0</c:v>
                </c:pt>
                <c:pt idx="650">
                  <c:v>1</c:v>
                </c:pt>
                <c:pt idx="651">
                  <c:v>0</c:v>
                </c:pt>
                <c:pt idx="652">
                  <c:v>1</c:v>
                </c:pt>
                <c:pt idx="653">
                  <c:v>1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1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1</c:v>
                </c:pt>
                <c:pt idx="664">
                  <c:v>0</c:v>
                </c:pt>
                <c:pt idx="665">
                  <c:v>1</c:v>
                </c:pt>
                <c:pt idx="666">
                  <c:v>1</c:v>
                </c:pt>
                <c:pt idx="667">
                  <c:v>0</c:v>
                </c:pt>
                <c:pt idx="668">
                  <c:v>1</c:v>
                </c:pt>
                <c:pt idx="669">
                  <c:v>1</c:v>
                </c:pt>
                <c:pt idx="670">
                  <c:v>0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1</c:v>
                </c:pt>
                <c:pt idx="681">
                  <c:v>0</c:v>
                </c:pt>
                <c:pt idx="682">
                  <c:v>1</c:v>
                </c:pt>
                <c:pt idx="683">
                  <c:v>0</c:v>
                </c:pt>
                <c:pt idx="684">
                  <c:v>1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1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1</c:v>
                </c:pt>
                <c:pt idx="697">
                  <c:v>1</c:v>
                </c:pt>
                <c:pt idx="698">
                  <c:v>0</c:v>
                </c:pt>
                <c:pt idx="699">
                  <c:v>0</c:v>
                </c:pt>
                <c:pt idx="700">
                  <c:v>1</c:v>
                </c:pt>
                <c:pt idx="701">
                  <c:v>1</c:v>
                </c:pt>
                <c:pt idx="702">
                  <c:v>0</c:v>
                </c:pt>
                <c:pt idx="703">
                  <c:v>0</c:v>
                </c:pt>
                <c:pt idx="704">
                  <c:v>1</c:v>
                </c:pt>
                <c:pt idx="705">
                  <c:v>0</c:v>
                </c:pt>
                <c:pt idx="706">
                  <c:v>0</c:v>
                </c:pt>
                <c:pt idx="707">
                  <c:v>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1</c:v>
                </c:pt>
                <c:pt idx="713">
                  <c:v>1</c:v>
                </c:pt>
                <c:pt idx="714">
                  <c:v>0</c:v>
                </c:pt>
                <c:pt idx="715">
                  <c:v>1</c:v>
                </c:pt>
                <c:pt idx="716">
                  <c:v>1</c:v>
                </c:pt>
                <c:pt idx="717">
                  <c:v>0</c:v>
                </c:pt>
                <c:pt idx="718">
                  <c:v>1</c:v>
                </c:pt>
                <c:pt idx="719">
                  <c:v>1</c:v>
                </c:pt>
                <c:pt idx="720">
                  <c:v>0</c:v>
                </c:pt>
                <c:pt idx="721">
                  <c:v>1</c:v>
                </c:pt>
                <c:pt idx="722">
                  <c:v>0</c:v>
                </c:pt>
                <c:pt idx="723">
                  <c:v>1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1</c:v>
                </c:pt>
                <c:pt idx="734">
                  <c:v>1</c:v>
                </c:pt>
                <c:pt idx="735">
                  <c:v>0</c:v>
                </c:pt>
                <c:pt idx="736">
                  <c:v>0</c:v>
                </c:pt>
                <c:pt idx="737">
                  <c:v>1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1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1</c:v>
                </c:pt>
                <c:pt idx="749">
                  <c:v>0</c:v>
                </c:pt>
                <c:pt idx="750">
                  <c:v>0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0</c:v>
                </c:pt>
                <c:pt idx="756">
                  <c:v>0</c:v>
                </c:pt>
                <c:pt idx="757">
                  <c:v>1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0</c:v>
                </c:pt>
                <c:pt idx="766">
                  <c:v>1</c:v>
                </c:pt>
                <c:pt idx="767">
                  <c:v>1</c:v>
                </c:pt>
                <c:pt idx="768">
                  <c:v>0</c:v>
                </c:pt>
                <c:pt idx="769">
                  <c:v>0</c:v>
                </c:pt>
                <c:pt idx="770">
                  <c:v>1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1</c:v>
                </c:pt>
                <c:pt idx="775">
                  <c:v>1</c:v>
                </c:pt>
                <c:pt idx="776">
                  <c:v>0</c:v>
                </c:pt>
                <c:pt idx="777">
                  <c:v>1</c:v>
                </c:pt>
                <c:pt idx="778">
                  <c:v>1</c:v>
                </c:pt>
                <c:pt idx="779">
                  <c:v>0</c:v>
                </c:pt>
                <c:pt idx="780">
                  <c:v>1</c:v>
                </c:pt>
                <c:pt idx="781">
                  <c:v>1</c:v>
                </c:pt>
                <c:pt idx="782">
                  <c:v>0</c:v>
                </c:pt>
                <c:pt idx="783">
                  <c:v>0</c:v>
                </c:pt>
                <c:pt idx="784">
                  <c:v>1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1</c:v>
                </c:pt>
                <c:pt idx="792">
                  <c:v>0</c:v>
                </c:pt>
                <c:pt idx="793">
                  <c:v>1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1</c:v>
                </c:pt>
                <c:pt idx="798">
                  <c:v>1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1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1</c:v>
                </c:pt>
                <c:pt idx="830">
                  <c:v>0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0</c:v>
                </c:pt>
                <c:pt idx="835">
                  <c:v>1</c:v>
                </c:pt>
                <c:pt idx="836">
                  <c:v>1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1</c:v>
                </c:pt>
                <c:pt idx="842">
                  <c:v>0</c:v>
                </c:pt>
                <c:pt idx="843">
                  <c:v>0</c:v>
                </c:pt>
                <c:pt idx="844">
                  <c:v>1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1</c:v>
                </c:pt>
                <c:pt idx="849">
                  <c:v>0</c:v>
                </c:pt>
                <c:pt idx="850">
                  <c:v>1</c:v>
                </c:pt>
                <c:pt idx="851">
                  <c:v>0</c:v>
                </c:pt>
                <c:pt idx="852">
                  <c:v>1</c:v>
                </c:pt>
                <c:pt idx="853">
                  <c:v>0</c:v>
                </c:pt>
                <c:pt idx="854">
                  <c:v>1</c:v>
                </c:pt>
                <c:pt idx="855">
                  <c:v>0</c:v>
                </c:pt>
                <c:pt idx="856">
                  <c:v>1</c:v>
                </c:pt>
                <c:pt idx="857">
                  <c:v>0</c:v>
                </c:pt>
                <c:pt idx="858">
                  <c:v>0</c:v>
                </c:pt>
                <c:pt idx="859">
                  <c:v>1</c:v>
                </c:pt>
                <c:pt idx="860">
                  <c:v>0</c:v>
                </c:pt>
                <c:pt idx="861">
                  <c:v>0</c:v>
                </c:pt>
                <c:pt idx="862">
                  <c:v>1</c:v>
                </c:pt>
                <c:pt idx="863">
                  <c:v>1</c:v>
                </c:pt>
                <c:pt idx="864">
                  <c:v>0</c:v>
                </c:pt>
                <c:pt idx="865">
                  <c:v>1</c:v>
                </c:pt>
                <c:pt idx="866">
                  <c:v>0</c:v>
                </c:pt>
                <c:pt idx="867">
                  <c:v>0</c:v>
                </c:pt>
                <c:pt idx="868">
                  <c:v>1</c:v>
                </c:pt>
                <c:pt idx="869">
                  <c:v>1</c:v>
                </c:pt>
                <c:pt idx="870">
                  <c:v>0</c:v>
                </c:pt>
                <c:pt idx="871">
                  <c:v>1</c:v>
                </c:pt>
                <c:pt idx="872">
                  <c:v>0</c:v>
                </c:pt>
                <c:pt idx="873">
                  <c:v>1</c:v>
                </c:pt>
                <c:pt idx="874">
                  <c:v>1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1</c:v>
                </c:pt>
                <c:pt idx="879">
                  <c:v>0</c:v>
                </c:pt>
                <c:pt idx="880">
                  <c:v>1</c:v>
                </c:pt>
                <c:pt idx="881">
                  <c:v>1</c:v>
                </c:pt>
                <c:pt idx="882">
                  <c:v>0</c:v>
                </c:pt>
                <c:pt idx="883">
                  <c:v>0</c:v>
                </c:pt>
                <c:pt idx="884">
                  <c:v>1</c:v>
                </c:pt>
                <c:pt idx="885">
                  <c:v>0</c:v>
                </c:pt>
                <c:pt idx="886">
                  <c:v>0</c:v>
                </c:pt>
                <c:pt idx="887">
                  <c:v>1</c:v>
                </c:pt>
                <c:pt idx="888">
                  <c:v>1</c:v>
                </c:pt>
                <c:pt idx="889">
                  <c:v>0</c:v>
                </c:pt>
                <c:pt idx="890">
                  <c:v>1</c:v>
                </c:pt>
                <c:pt idx="891">
                  <c:v>0</c:v>
                </c:pt>
                <c:pt idx="892">
                  <c:v>1</c:v>
                </c:pt>
                <c:pt idx="893">
                  <c:v>0</c:v>
                </c:pt>
                <c:pt idx="894">
                  <c:v>0</c:v>
                </c:pt>
                <c:pt idx="895">
                  <c:v>1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1</c:v>
                </c:pt>
                <c:pt idx="900">
                  <c:v>0</c:v>
                </c:pt>
                <c:pt idx="901">
                  <c:v>1</c:v>
                </c:pt>
                <c:pt idx="902">
                  <c:v>0</c:v>
                </c:pt>
                <c:pt idx="903">
                  <c:v>1</c:v>
                </c:pt>
                <c:pt idx="904">
                  <c:v>0</c:v>
                </c:pt>
                <c:pt idx="905">
                  <c:v>1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1</c:v>
                </c:pt>
                <c:pt idx="914">
                  <c:v>0</c:v>
                </c:pt>
                <c:pt idx="915">
                  <c:v>1</c:v>
                </c:pt>
                <c:pt idx="916">
                  <c:v>0</c:v>
                </c:pt>
                <c:pt idx="917">
                  <c:v>1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1</c:v>
                </c:pt>
                <c:pt idx="926">
                  <c:v>0</c:v>
                </c:pt>
                <c:pt idx="927">
                  <c:v>1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1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1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1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0</c:v>
                </c:pt>
                <c:pt idx="954">
                  <c:v>1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0</c:v>
                </c:pt>
                <c:pt idx="963">
                  <c:v>0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0</c:v>
                </c:pt>
                <c:pt idx="968">
                  <c:v>1</c:v>
                </c:pt>
                <c:pt idx="969">
                  <c:v>0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1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0</c:v>
                </c:pt>
                <c:pt idx="995">
                  <c:v>0</c:v>
                </c:pt>
                <c:pt idx="996">
                  <c:v>1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77-4E27-9475-A1CF29090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529680"/>
        <c:axId val="783742864"/>
      </c:scatterChart>
      <c:valAx>
        <c:axId val="78552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Dose</a:t>
                </a:r>
                <a:r>
                  <a:rPr lang="en-IN" baseline="0"/>
                  <a:t> Administered (mg)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742864"/>
        <c:crosses val="autoZero"/>
        <c:crossBetween val="midCat"/>
      </c:valAx>
      <c:valAx>
        <c:axId val="78374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Success</a:t>
                </a:r>
                <a:r>
                  <a:rPr lang="en-IN" baseline="0"/>
                  <a:t> Indicator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529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Treatment</a:t>
            </a:r>
            <a:r>
              <a:rPr lang="en-US" baseline="0"/>
              <a:t> Duration vs. Side Effects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Clean_Data!$AD$1</c:f>
              <c:strCache>
                <c:ptCount val="1"/>
                <c:pt idx="0">
                  <c:v>Side_Effects_Numeric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Clean_Data!$R$2:$R$1001</c:f>
              <c:numCache>
                <c:formatCode>General</c:formatCode>
                <c:ptCount val="1000"/>
                <c:pt idx="0">
                  <c:v>95</c:v>
                </c:pt>
                <c:pt idx="1">
                  <c:v>90</c:v>
                </c:pt>
                <c:pt idx="2">
                  <c:v>64</c:v>
                </c:pt>
                <c:pt idx="3">
                  <c:v>159</c:v>
                </c:pt>
                <c:pt idx="4">
                  <c:v>44</c:v>
                </c:pt>
                <c:pt idx="5">
                  <c:v>76</c:v>
                </c:pt>
                <c:pt idx="6">
                  <c:v>138</c:v>
                </c:pt>
                <c:pt idx="7">
                  <c:v>42</c:v>
                </c:pt>
                <c:pt idx="8">
                  <c:v>86</c:v>
                </c:pt>
                <c:pt idx="9">
                  <c:v>77</c:v>
                </c:pt>
                <c:pt idx="10">
                  <c:v>124</c:v>
                </c:pt>
                <c:pt idx="11">
                  <c:v>152</c:v>
                </c:pt>
                <c:pt idx="12">
                  <c:v>124</c:v>
                </c:pt>
                <c:pt idx="13">
                  <c:v>95</c:v>
                </c:pt>
                <c:pt idx="14">
                  <c:v>47</c:v>
                </c:pt>
                <c:pt idx="15">
                  <c:v>103</c:v>
                </c:pt>
                <c:pt idx="16">
                  <c:v>50</c:v>
                </c:pt>
                <c:pt idx="17">
                  <c:v>99</c:v>
                </c:pt>
                <c:pt idx="18">
                  <c:v>50</c:v>
                </c:pt>
                <c:pt idx="19">
                  <c:v>77</c:v>
                </c:pt>
                <c:pt idx="20">
                  <c:v>108</c:v>
                </c:pt>
                <c:pt idx="21">
                  <c:v>129</c:v>
                </c:pt>
                <c:pt idx="22">
                  <c:v>156</c:v>
                </c:pt>
                <c:pt idx="23">
                  <c:v>131</c:v>
                </c:pt>
                <c:pt idx="24">
                  <c:v>134</c:v>
                </c:pt>
                <c:pt idx="25">
                  <c:v>57</c:v>
                </c:pt>
                <c:pt idx="26">
                  <c:v>180</c:v>
                </c:pt>
                <c:pt idx="27">
                  <c:v>111</c:v>
                </c:pt>
                <c:pt idx="28">
                  <c:v>77</c:v>
                </c:pt>
                <c:pt idx="29">
                  <c:v>59</c:v>
                </c:pt>
                <c:pt idx="30">
                  <c:v>91</c:v>
                </c:pt>
                <c:pt idx="31">
                  <c:v>145</c:v>
                </c:pt>
                <c:pt idx="32">
                  <c:v>104</c:v>
                </c:pt>
                <c:pt idx="33">
                  <c:v>93</c:v>
                </c:pt>
                <c:pt idx="34">
                  <c:v>166</c:v>
                </c:pt>
                <c:pt idx="35">
                  <c:v>130</c:v>
                </c:pt>
                <c:pt idx="36">
                  <c:v>46</c:v>
                </c:pt>
                <c:pt idx="37">
                  <c:v>142</c:v>
                </c:pt>
                <c:pt idx="38">
                  <c:v>139</c:v>
                </c:pt>
                <c:pt idx="39">
                  <c:v>56</c:v>
                </c:pt>
                <c:pt idx="40">
                  <c:v>135</c:v>
                </c:pt>
                <c:pt idx="41">
                  <c:v>102</c:v>
                </c:pt>
                <c:pt idx="42">
                  <c:v>63</c:v>
                </c:pt>
                <c:pt idx="43">
                  <c:v>136</c:v>
                </c:pt>
                <c:pt idx="44">
                  <c:v>109</c:v>
                </c:pt>
                <c:pt idx="45">
                  <c:v>96</c:v>
                </c:pt>
                <c:pt idx="46">
                  <c:v>72</c:v>
                </c:pt>
                <c:pt idx="47">
                  <c:v>87</c:v>
                </c:pt>
                <c:pt idx="48">
                  <c:v>113</c:v>
                </c:pt>
                <c:pt idx="49">
                  <c:v>89</c:v>
                </c:pt>
                <c:pt idx="50">
                  <c:v>163</c:v>
                </c:pt>
                <c:pt idx="51">
                  <c:v>111</c:v>
                </c:pt>
                <c:pt idx="52">
                  <c:v>108</c:v>
                </c:pt>
                <c:pt idx="53">
                  <c:v>74</c:v>
                </c:pt>
                <c:pt idx="54">
                  <c:v>80</c:v>
                </c:pt>
                <c:pt idx="55">
                  <c:v>101</c:v>
                </c:pt>
                <c:pt idx="56">
                  <c:v>127</c:v>
                </c:pt>
                <c:pt idx="57">
                  <c:v>89</c:v>
                </c:pt>
                <c:pt idx="58">
                  <c:v>174</c:v>
                </c:pt>
                <c:pt idx="59">
                  <c:v>45</c:v>
                </c:pt>
                <c:pt idx="60">
                  <c:v>121</c:v>
                </c:pt>
                <c:pt idx="61">
                  <c:v>90</c:v>
                </c:pt>
                <c:pt idx="62">
                  <c:v>72</c:v>
                </c:pt>
                <c:pt idx="63">
                  <c:v>117</c:v>
                </c:pt>
                <c:pt idx="64">
                  <c:v>78</c:v>
                </c:pt>
                <c:pt idx="65">
                  <c:v>82</c:v>
                </c:pt>
                <c:pt idx="66">
                  <c:v>97</c:v>
                </c:pt>
                <c:pt idx="67">
                  <c:v>50</c:v>
                </c:pt>
                <c:pt idx="68">
                  <c:v>81</c:v>
                </c:pt>
                <c:pt idx="69">
                  <c:v>180</c:v>
                </c:pt>
                <c:pt idx="70">
                  <c:v>132</c:v>
                </c:pt>
                <c:pt idx="71">
                  <c:v>112</c:v>
                </c:pt>
                <c:pt idx="72">
                  <c:v>37</c:v>
                </c:pt>
                <c:pt idx="73">
                  <c:v>75</c:v>
                </c:pt>
                <c:pt idx="74">
                  <c:v>151</c:v>
                </c:pt>
                <c:pt idx="75">
                  <c:v>160</c:v>
                </c:pt>
                <c:pt idx="76">
                  <c:v>65</c:v>
                </c:pt>
                <c:pt idx="77">
                  <c:v>105</c:v>
                </c:pt>
                <c:pt idx="78">
                  <c:v>148</c:v>
                </c:pt>
                <c:pt idx="79">
                  <c:v>117</c:v>
                </c:pt>
                <c:pt idx="80">
                  <c:v>139</c:v>
                </c:pt>
                <c:pt idx="81">
                  <c:v>56</c:v>
                </c:pt>
                <c:pt idx="82">
                  <c:v>63</c:v>
                </c:pt>
                <c:pt idx="83">
                  <c:v>143</c:v>
                </c:pt>
                <c:pt idx="84">
                  <c:v>157</c:v>
                </c:pt>
                <c:pt idx="85">
                  <c:v>58</c:v>
                </c:pt>
                <c:pt idx="86">
                  <c:v>110</c:v>
                </c:pt>
                <c:pt idx="87">
                  <c:v>146</c:v>
                </c:pt>
                <c:pt idx="88">
                  <c:v>37</c:v>
                </c:pt>
                <c:pt idx="89">
                  <c:v>68</c:v>
                </c:pt>
                <c:pt idx="90">
                  <c:v>133</c:v>
                </c:pt>
                <c:pt idx="91">
                  <c:v>53</c:v>
                </c:pt>
                <c:pt idx="92">
                  <c:v>30</c:v>
                </c:pt>
                <c:pt idx="93">
                  <c:v>60</c:v>
                </c:pt>
                <c:pt idx="94">
                  <c:v>153</c:v>
                </c:pt>
                <c:pt idx="95">
                  <c:v>65</c:v>
                </c:pt>
                <c:pt idx="96">
                  <c:v>136</c:v>
                </c:pt>
                <c:pt idx="97">
                  <c:v>168</c:v>
                </c:pt>
                <c:pt idx="98">
                  <c:v>43</c:v>
                </c:pt>
                <c:pt idx="99">
                  <c:v>126</c:v>
                </c:pt>
                <c:pt idx="100">
                  <c:v>48</c:v>
                </c:pt>
                <c:pt idx="101">
                  <c:v>151</c:v>
                </c:pt>
                <c:pt idx="102">
                  <c:v>161</c:v>
                </c:pt>
                <c:pt idx="103">
                  <c:v>48</c:v>
                </c:pt>
                <c:pt idx="104">
                  <c:v>60</c:v>
                </c:pt>
                <c:pt idx="105">
                  <c:v>151</c:v>
                </c:pt>
                <c:pt idx="106">
                  <c:v>170</c:v>
                </c:pt>
                <c:pt idx="107">
                  <c:v>170</c:v>
                </c:pt>
                <c:pt idx="108">
                  <c:v>145</c:v>
                </c:pt>
                <c:pt idx="109">
                  <c:v>152</c:v>
                </c:pt>
                <c:pt idx="110">
                  <c:v>178</c:v>
                </c:pt>
                <c:pt idx="111">
                  <c:v>131</c:v>
                </c:pt>
                <c:pt idx="112">
                  <c:v>40</c:v>
                </c:pt>
                <c:pt idx="113">
                  <c:v>94</c:v>
                </c:pt>
                <c:pt idx="114">
                  <c:v>60</c:v>
                </c:pt>
                <c:pt idx="115">
                  <c:v>176</c:v>
                </c:pt>
                <c:pt idx="116">
                  <c:v>179</c:v>
                </c:pt>
                <c:pt idx="117">
                  <c:v>151</c:v>
                </c:pt>
                <c:pt idx="118">
                  <c:v>180</c:v>
                </c:pt>
                <c:pt idx="119">
                  <c:v>110</c:v>
                </c:pt>
                <c:pt idx="120">
                  <c:v>94</c:v>
                </c:pt>
                <c:pt idx="121">
                  <c:v>53</c:v>
                </c:pt>
                <c:pt idx="122">
                  <c:v>32</c:v>
                </c:pt>
                <c:pt idx="123">
                  <c:v>131</c:v>
                </c:pt>
                <c:pt idx="124">
                  <c:v>159</c:v>
                </c:pt>
                <c:pt idx="125">
                  <c:v>59</c:v>
                </c:pt>
                <c:pt idx="126">
                  <c:v>120</c:v>
                </c:pt>
                <c:pt idx="127">
                  <c:v>31</c:v>
                </c:pt>
                <c:pt idx="128">
                  <c:v>38</c:v>
                </c:pt>
                <c:pt idx="129">
                  <c:v>170</c:v>
                </c:pt>
                <c:pt idx="130">
                  <c:v>55</c:v>
                </c:pt>
                <c:pt idx="131">
                  <c:v>131</c:v>
                </c:pt>
                <c:pt idx="132">
                  <c:v>80</c:v>
                </c:pt>
                <c:pt idx="133">
                  <c:v>117</c:v>
                </c:pt>
                <c:pt idx="134">
                  <c:v>94</c:v>
                </c:pt>
                <c:pt idx="135">
                  <c:v>109</c:v>
                </c:pt>
                <c:pt idx="136">
                  <c:v>146</c:v>
                </c:pt>
                <c:pt idx="137">
                  <c:v>64</c:v>
                </c:pt>
                <c:pt idx="138">
                  <c:v>93</c:v>
                </c:pt>
                <c:pt idx="139">
                  <c:v>145</c:v>
                </c:pt>
                <c:pt idx="140">
                  <c:v>85</c:v>
                </c:pt>
                <c:pt idx="141">
                  <c:v>94</c:v>
                </c:pt>
                <c:pt idx="142">
                  <c:v>70</c:v>
                </c:pt>
                <c:pt idx="143">
                  <c:v>151</c:v>
                </c:pt>
                <c:pt idx="144">
                  <c:v>118</c:v>
                </c:pt>
                <c:pt idx="145">
                  <c:v>112</c:v>
                </c:pt>
                <c:pt idx="146">
                  <c:v>112</c:v>
                </c:pt>
                <c:pt idx="147">
                  <c:v>57</c:v>
                </c:pt>
                <c:pt idx="148">
                  <c:v>149</c:v>
                </c:pt>
                <c:pt idx="149">
                  <c:v>175</c:v>
                </c:pt>
                <c:pt idx="150">
                  <c:v>125</c:v>
                </c:pt>
                <c:pt idx="151">
                  <c:v>31</c:v>
                </c:pt>
                <c:pt idx="152">
                  <c:v>53</c:v>
                </c:pt>
                <c:pt idx="153">
                  <c:v>141</c:v>
                </c:pt>
                <c:pt idx="154">
                  <c:v>144</c:v>
                </c:pt>
                <c:pt idx="155">
                  <c:v>154</c:v>
                </c:pt>
                <c:pt idx="156">
                  <c:v>119</c:v>
                </c:pt>
                <c:pt idx="157">
                  <c:v>145</c:v>
                </c:pt>
                <c:pt idx="158">
                  <c:v>99</c:v>
                </c:pt>
                <c:pt idx="159">
                  <c:v>77</c:v>
                </c:pt>
                <c:pt idx="160">
                  <c:v>129</c:v>
                </c:pt>
                <c:pt idx="161">
                  <c:v>82</c:v>
                </c:pt>
                <c:pt idx="162">
                  <c:v>111</c:v>
                </c:pt>
                <c:pt idx="163">
                  <c:v>152</c:v>
                </c:pt>
                <c:pt idx="164">
                  <c:v>155</c:v>
                </c:pt>
                <c:pt idx="165">
                  <c:v>167</c:v>
                </c:pt>
                <c:pt idx="166">
                  <c:v>158</c:v>
                </c:pt>
                <c:pt idx="167">
                  <c:v>51</c:v>
                </c:pt>
                <c:pt idx="168">
                  <c:v>137</c:v>
                </c:pt>
                <c:pt idx="169">
                  <c:v>146</c:v>
                </c:pt>
                <c:pt idx="170">
                  <c:v>106</c:v>
                </c:pt>
                <c:pt idx="171">
                  <c:v>46</c:v>
                </c:pt>
                <c:pt idx="172">
                  <c:v>96</c:v>
                </c:pt>
                <c:pt idx="173">
                  <c:v>83</c:v>
                </c:pt>
                <c:pt idx="174">
                  <c:v>115</c:v>
                </c:pt>
                <c:pt idx="175">
                  <c:v>106</c:v>
                </c:pt>
                <c:pt idx="176">
                  <c:v>110</c:v>
                </c:pt>
                <c:pt idx="177">
                  <c:v>158</c:v>
                </c:pt>
                <c:pt idx="178">
                  <c:v>52</c:v>
                </c:pt>
                <c:pt idx="179">
                  <c:v>59</c:v>
                </c:pt>
                <c:pt idx="180">
                  <c:v>57</c:v>
                </c:pt>
                <c:pt idx="181">
                  <c:v>54</c:v>
                </c:pt>
                <c:pt idx="182">
                  <c:v>119</c:v>
                </c:pt>
                <c:pt idx="183">
                  <c:v>91</c:v>
                </c:pt>
                <c:pt idx="184">
                  <c:v>113</c:v>
                </c:pt>
                <c:pt idx="185">
                  <c:v>67</c:v>
                </c:pt>
                <c:pt idx="186">
                  <c:v>170</c:v>
                </c:pt>
                <c:pt idx="187">
                  <c:v>122</c:v>
                </c:pt>
                <c:pt idx="188">
                  <c:v>160</c:v>
                </c:pt>
                <c:pt idx="189">
                  <c:v>58</c:v>
                </c:pt>
                <c:pt idx="190">
                  <c:v>32</c:v>
                </c:pt>
                <c:pt idx="191">
                  <c:v>43</c:v>
                </c:pt>
                <c:pt idx="192">
                  <c:v>124</c:v>
                </c:pt>
                <c:pt idx="193">
                  <c:v>83</c:v>
                </c:pt>
                <c:pt idx="194">
                  <c:v>141</c:v>
                </c:pt>
                <c:pt idx="195">
                  <c:v>130</c:v>
                </c:pt>
                <c:pt idx="196">
                  <c:v>36</c:v>
                </c:pt>
                <c:pt idx="197">
                  <c:v>49</c:v>
                </c:pt>
                <c:pt idx="198">
                  <c:v>130</c:v>
                </c:pt>
                <c:pt idx="199">
                  <c:v>39</c:v>
                </c:pt>
                <c:pt idx="200">
                  <c:v>175</c:v>
                </c:pt>
                <c:pt idx="201">
                  <c:v>57</c:v>
                </c:pt>
                <c:pt idx="202">
                  <c:v>44</c:v>
                </c:pt>
                <c:pt idx="203">
                  <c:v>33</c:v>
                </c:pt>
                <c:pt idx="204">
                  <c:v>113</c:v>
                </c:pt>
                <c:pt idx="205">
                  <c:v>126</c:v>
                </c:pt>
                <c:pt idx="206">
                  <c:v>39</c:v>
                </c:pt>
                <c:pt idx="207">
                  <c:v>100</c:v>
                </c:pt>
                <c:pt idx="208">
                  <c:v>75</c:v>
                </c:pt>
                <c:pt idx="209">
                  <c:v>135</c:v>
                </c:pt>
                <c:pt idx="210">
                  <c:v>38</c:v>
                </c:pt>
                <c:pt idx="211">
                  <c:v>85</c:v>
                </c:pt>
                <c:pt idx="212">
                  <c:v>38</c:v>
                </c:pt>
                <c:pt idx="213">
                  <c:v>147</c:v>
                </c:pt>
                <c:pt idx="214">
                  <c:v>177</c:v>
                </c:pt>
                <c:pt idx="215">
                  <c:v>173</c:v>
                </c:pt>
                <c:pt idx="216">
                  <c:v>154</c:v>
                </c:pt>
                <c:pt idx="217">
                  <c:v>100</c:v>
                </c:pt>
                <c:pt idx="218">
                  <c:v>89</c:v>
                </c:pt>
                <c:pt idx="219">
                  <c:v>103</c:v>
                </c:pt>
                <c:pt idx="220">
                  <c:v>177</c:v>
                </c:pt>
                <c:pt idx="221">
                  <c:v>147</c:v>
                </c:pt>
                <c:pt idx="222">
                  <c:v>108</c:v>
                </c:pt>
                <c:pt idx="223">
                  <c:v>160</c:v>
                </c:pt>
                <c:pt idx="224">
                  <c:v>103</c:v>
                </c:pt>
                <c:pt idx="225">
                  <c:v>74</c:v>
                </c:pt>
                <c:pt idx="226">
                  <c:v>150</c:v>
                </c:pt>
                <c:pt idx="227">
                  <c:v>34</c:v>
                </c:pt>
                <c:pt idx="228">
                  <c:v>161</c:v>
                </c:pt>
                <c:pt idx="229">
                  <c:v>154</c:v>
                </c:pt>
                <c:pt idx="230">
                  <c:v>143</c:v>
                </c:pt>
                <c:pt idx="231">
                  <c:v>49</c:v>
                </c:pt>
                <c:pt idx="232">
                  <c:v>81</c:v>
                </c:pt>
                <c:pt idx="233">
                  <c:v>85</c:v>
                </c:pt>
                <c:pt idx="234">
                  <c:v>161</c:v>
                </c:pt>
                <c:pt idx="235">
                  <c:v>109</c:v>
                </c:pt>
                <c:pt idx="236">
                  <c:v>132</c:v>
                </c:pt>
                <c:pt idx="237">
                  <c:v>154</c:v>
                </c:pt>
                <c:pt idx="238">
                  <c:v>69</c:v>
                </c:pt>
                <c:pt idx="239">
                  <c:v>145</c:v>
                </c:pt>
                <c:pt idx="240">
                  <c:v>168</c:v>
                </c:pt>
                <c:pt idx="241">
                  <c:v>36</c:v>
                </c:pt>
                <c:pt idx="242">
                  <c:v>113</c:v>
                </c:pt>
                <c:pt idx="243">
                  <c:v>116</c:v>
                </c:pt>
                <c:pt idx="244">
                  <c:v>54</c:v>
                </c:pt>
                <c:pt idx="245">
                  <c:v>161</c:v>
                </c:pt>
                <c:pt idx="246">
                  <c:v>68</c:v>
                </c:pt>
                <c:pt idx="247">
                  <c:v>92</c:v>
                </c:pt>
                <c:pt idx="248">
                  <c:v>35</c:v>
                </c:pt>
                <c:pt idx="249">
                  <c:v>163</c:v>
                </c:pt>
                <c:pt idx="250">
                  <c:v>180</c:v>
                </c:pt>
                <c:pt idx="251">
                  <c:v>91</c:v>
                </c:pt>
                <c:pt idx="252">
                  <c:v>111</c:v>
                </c:pt>
                <c:pt idx="253">
                  <c:v>43</c:v>
                </c:pt>
                <c:pt idx="254">
                  <c:v>96</c:v>
                </c:pt>
                <c:pt idx="255">
                  <c:v>42</c:v>
                </c:pt>
                <c:pt idx="256">
                  <c:v>127</c:v>
                </c:pt>
                <c:pt idx="257">
                  <c:v>179</c:v>
                </c:pt>
                <c:pt idx="258">
                  <c:v>90</c:v>
                </c:pt>
                <c:pt idx="259">
                  <c:v>52</c:v>
                </c:pt>
                <c:pt idx="260">
                  <c:v>68</c:v>
                </c:pt>
                <c:pt idx="261">
                  <c:v>67</c:v>
                </c:pt>
                <c:pt idx="262">
                  <c:v>114</c:v>
                </c:pt>
                <c:pt idx="263">
                  <c:v>145</c:v>
                </c:pt>
                <c:pt idx="264">
                  <c:v>133</c:v>
                </c:pt>
                <c:pt idx="265">
                  <c:v>138</c:v>
                </c:pt>
                <c:pt idx="266">
                  <c:v>50</c:v>
                </c:pt>
                <c:pt idx="267">
                  <c:v>94</c:v>
                </c:pt>
                <c:pt idx="268">
                  <c:v>97</c:v>
                </c:pt>
                <c:pt idx="269">
                  <c:v>122</c:v>
                </c:pt>
                <c:pt idx="270">
                  <c:v>67</c:v>
                </c:pt>
                <c:pt idx="271">
                  <c:v>56</c:v>
                </c:pt>
                <c:pt idx="272">
                  <c:v>177</c:v>
                </c:pt>
                <c:pt idx="273">
                  <c:v>180</c:v>
                </c:pt>
                <c:pt idx="274">
                  <c:v>155</c:v>
                </c:pt>
                <c:pt idx="275">
                  <c:v>88</c:v>
                </c:pt>
                <c:pt idx="276">
                  <c:v>56</c:v>
                </c:pt>
                <c:pt idx="277">
                  <c:v>81</c:v>
                </c:pt>
                <c:pt idx="278">
                  <c:v>139</c:v>
                </c:pt>
                <c:pt idx="279">
                  <c:v>177</c:v>
                </c:pt>
                <c:pt idx="280">
                  <c:v>80</c:v>
                </c:pt>
                <c:pt idx="281">
                  <c:v>91</c:v>
                </c:pt>
                <c:pt idx="282">
                  <c:v>166</c:v>
                </c:pt>
                <c:pt idx="283">
                  <c:v>50</c:v>
                </c:pt>
                <c:pt idx="284">
                  <c:v>62</c:v>
                </c:pt>
                <c:pt idx="285">
                  <c:v>40</c:v>
                </c:pt>
                <c:pt idx="286">
                  <c:v>61</c:v>
                </c:pt>
                <c:pt idx="287">
                  <c:v>144</c:v>
                </c:pt>
                <c:pt idx="288">
                  <c:v>168</c:v>
                </c:pt>
                <c:pt idx="289">
                  <c:v>180</c:v>
                </c:pt>
                <c:pt idx="290">
                  <c:v>108</c:v>
                </c:pt>
                <c:pt idx="291">
                  <c:v>180</c:v>
                </c:pt>
                <c:pt idx="292">
                  <c:v>93</c:v>
                </c:pt>
                <c:pt idx="293">
                  <c:v>72</c:v>
                </c:pt>
                <c:pt idx="294">
                  <c:v>65</c:v>
                </c:pt>
                <c:pt idx="295">
                  <c:v>64</c:v>
                </c:pt>
                <c:pt idx="296">
                  <c:v>75</c:v>
                </c:pt>
                <c:pt idx="297">
                  <c:v>156</c:v>
                </c:pt>
                <c:pt idx="298">
                  <c:v>62</c:v>
                </c:pt>
                <c:pt idx="299">
                  <c:v>149</c:v>
                </c:pt>
                <c:pt idx="300">
                  <c:v>80</c:v>
                </c:pt>
                <c:pt idx="301">
                  <c:v>142</c:v>
                </c:pt>
                <c:pt idx="302">
                  <c:v>43</c:v>
                </c:pt>
                <c:pt idx="303">
                  <c:v>79</c:v>
                </c:pt>
                <c:pt idx="304">
                  <c:v>62</c:v>
                </c:pt>
                <c:pt idx="305">
                  <c:v>173</c:v>
                </c:pt>
                <c:pt idx="306">
                  <c:v>40</c:v>
                </c:pt>
                <c:pt idx="307">
                  <c:v>59</c:v>
                </c:pt>
                <c:pt idx="308">
                  <c:v>75</c:v>
                </c:pt>
                <c:pt idx="309">
                  <c:v>63</c:v>
                </c:pt>
                <c:pt idx="310">
                  <c:v>160</c:v>
                </c:pt>
                <c:pt idx="311">
                  <c:v>164</c:v>
                </c:pt>
                <c:pt idx="312">
                  <c:v>70</c:v>
                </c:pt>
                <c:pt idx="313">
                  <c:v>99</c:v>
                </c:pt>
                <c:pt idx="314">
                  <c:v>39</c:v>
                </c:pt>
                <c:pt idx="315">
                  <c:v>68</c:v>
                </c:pt>
                <c:pt idx="316">
                  <c:v>125</c:v>
                </c:pt>
                <c:pt idx="317">
                  <c:v>38</c:v>
                </c:pt>
                <c:pt idx="318">
                  <c:v>53</c:v>
                </c:pt>
                <c:pt idx="319">
                  <c:v>113</c:v>
                </c:pt>
                <c:pt idx="320">
                  <c:v>81</c:v>
                </c:pt>
                <c:pt idx="321">
                  <c:v>130</c:v>
                </c:pt>
                <c:pt idx="322">
                  <c:v>104</c:v>
                </c:pt>
                <c:pt idx="323">
                  <c:v>127</c:v>
                </c:pt>
                <c:pt idx="324">
                  <c:v>34</c:v>
                </c:pt>
                <c:pt idx="325">
                  <c:v>143</c:v>
                </c:pt>
                <c:pt idx="326">
                  <c:v>79</c:v>
                </c:pt>
                <c:pt idx="327">
                  <c:v>121</c:v>
                </c:pt>
                <c:pt idx="328">
                  <c:v>175</c:v>
                </c:pt>
                <c:pt idx="329">
                  <c:v>160</c:v>
                </c:pt>
                <c:pt idx="330">
                  <c:v>90</c:v>
                </c:pt>
                <c:pt idx="331">
                  <c:v>86</c:v>
                </c:pt>
                <c:pt idx="332">
                  <c:v>82</c:v>
                </c:pt>
                <c:pt idx="333">
                  <c:v>126</c:v>
                </c:pt>
                <c:pt idx="334">
                  <c:v>127</c:v>
                </c:pt>
                <c:pt idx="335">
                  <c:v>155</c:v>
                </c:pt>
                <c:pt idx="336">
                  <c:v>124</c:v>
                </c:pt>
                <c:pt idx="337">
                  <c:v>33</c:v>
                </c:pt>
                <c:pt idx="338">
                  <c:v>118</c:v>
                </c:pt>
                <c:pt idx="339">
                  <c:v>64</c:v>
                </c:pt>
                <c:pt idx="340">
                  <c:v>72</c:v>
                </c:pt>
                <c:pt idx="341">
                  <c:v>40</c:v>
                </c:pt>
                <c:pt idx="342">
                  <c:v>126</c:v>
                </c:pt>
                <c:pt idx="343">
                  <c:v>30</c:v>
                </c:pt>
                <c:pt idx="344">
                  <c:v>163</c:v>
                </c:pt>
                <c:pt idx="345">
                  <c:v>57</c:v>
                </c:pt>
                <c:pt idx="346">
                  <c:v>117</c:v>
                </c:pt>
                <c:pt idx="347">
                  <c:v>109</c:v>
                </c:pt>
                <c:pt idx="348">
                  <c:v>67</c:v>
                </c:pt>
                <c:pt idx="349">
                  <c:v>87</c:v>
                </c:pt>
                <c:pt idx="350">
                  <c:v>102</c:v>
                </c:pt>
                <c:pt idx="351">
                  <c:v>32</c:v>
                </c:pt>
                <c:pt idx="352">
                  <c:v>38</c:v>
                </c:pt>
                <c:pt idx="353">
                  <c:v>155</c:v>
                </c:pt>
                <c:pt idx="354">
                  <c:v>77</c:v>
                </c:pt>
                <c:pt idx="355">
                  <c:v>40</c:v>
                </c:pt>
                <c:pt idx="356">
                  <c:v>105</c:v>
                </c:pt>
                <c:pt idx="357">
                  <c:v>121</c:v>
                </c:pt>
                <c:pt idx="358">
                  <c:v>125</c:v>
                </c:pt>
                <c:pt idx="359">
                  <c:v>115</c:v>
                </c:pt>
                <c:pt idx="360">
                  <c:v>102</c:v>
                </c:pt>
                <c:pt idx="361">
                  <c:v>62</c:v>
                </c:pt>
                <c:pt idx="362">
                  <c:v>108</c:v>
                </c:pt>
                <c:pt idx="363">
                  <c:v>152</c:v>
                </c:pt>
                <c:pt idx="364">
                  <c:v>74</c:v>
                </c:pt>
                <c:pt idx="365">
                  <c:v>30</c:v>
                </c:pt>
                <c:pt idx="366">
                  <c:v>132</c:v>
                </c:pt>
                <c:pt idx="367">
                  <c:v>123</c:v>
                </c:pt>
                <c:pt idx="368">
                  <c:v>38</c:v>
                </c:pt>
                <c:pt idx="369">
                  <c:v>69</c:v>
                </c:pt>
                <c:pt idx="370">
                  <c:v>77</c:v>
                </c:pt>
                <c:pt idx="371">
                  <c:v>79</c:v>
                </c:pt>
                <c:pt idx="372">
                  <c:v>107</c:v>
                </c:pt>
                <c:pt idx="373">
                  <c:v>77</c:v>
                </c:pt>
                <c:pt idx="374">
                  <c:v>52</c:v>
                </c:pt>
                <c:pt idx="375">
                  <c:v>94</c:v>
                </c:pt>
                <c:pt idx="376">
                  <c:v>131</c:v>
                </c:pt>
                <c:pt idx="377">
                  <c:v>96</c:v>
                </c:pt>
                <c:pt idx="378">
                  <c:v>30</c:v>
                </c:pt>
                <c:pt idx="379">
                  <c:v>167</c:v>
                </c:pt>
                <c:pt idx="380">
                  <c:v>124</c:v>
                </c:pt>
                <c:pt idx="381">
                  <c:v>139</c:v>
                </c:pt>
                <c:pt idx="382">
                  <c:v>66</c:v>
                </c:pt>
                <c:pt idx="383">
                  <c:v>98</c:v>
                </c:pt>
                <c:pt idx="384">
                  <c:v>128</c:v>
                </c:pt>
                <c:pt idx="385">
                  <c:v>165</c:v>
                </c:pt>
                <c:pt idx="386">
                  <c:v>111</c:v>
                </c:pt>
                <c:pt idx="387">
                  <c:v>115</c:v>
                </c:pt>
                <c:pt idx="388">
                  <c:v>122</c:v>
                </c:pt>
                <c:pt idx="389">
                  <c:v>126</c:v>
                </c:pt>
                <c:pt idx="390">
                  <c:v>150</c:v>
                </c:pt>
                <c:pt idx="391">
                  <c:v>171</c:v>
                </c:pt>
                <c:pt idx="392">
                  <c:v>110</c:v>
                </c:pt>
                <c:pt idx="393">
                  <c:v>32</c:v>
                </c:pt>
                <c:pt idx="394">
                  <c:v>158</c:v>
                </c:pt>
                <c:pt idx="395">
                  <c:v>39</c:v>
                </c:pt>
                <c:pt idx="396">
                  <c:v>140</c:v>
                </c:pt>
                <c:pt idx="397">
                  <c:v>71</c:v>
                </c:pt>
                <c:pt idx="398">
                  <c:v>63</c:v>
                </c:pt>
                <c:pt idx="399">
                  <c:v>70</c:v>
                </c:pt>
                <c:pt idx="400">
                  <c:v>46</c:v>
                </c:pt>
                <c:pt idx="401">
                  <c:v>43</c:v>
                </c:pt>
                <c:pt idx="402">
                  <c:v>106</c:v>
                </c:pt>
                <c:pt idx="403">
                  <c:v>111</c:v>
                </c:pt>
                <c:pt idx="404">
                  <c:v>169</c:v>
                </c:pt>
                <c:pt idx="405">
                  <c:v>168</c:v>
                </c:pt>
                <c:pt idx="406">
                  <c:v>135</c:v>
                </c:pt>
                <c:pt idx="407">
                  <c:v>148</c:v>
                </c:pt>
                <c:pt idx="408">
                  <c:v>111</c:v>
                </c:pt>
                <c:pt idx="409">
                  <c:v>159</c:v>
                </c:pt>
                <c:pt idx="410">
                  <c:v>121</c:v>
                </c:pt>
                <c:pt idx="411">
                  <c:v>57</c:v>
                </c:pt>
                <c:pt idx="412">
                  <c:v>145</c:v>
                </c:pt>
                <c:pt idx="413">
                  <c:v>79</c:v>
                </c:pt>
                <c:pt idx="414">
                  <c:v>171</c:v>
                </c:pt>
                <c:pt idx="415">
                  <c:v>144</c:v>
                </c:pt>
                <c:pt idx="416">
                  <c:v>131</c:v>
                </c:pt>
                <c:pt idx="417">
                  <c:v>89</c:v>
                </c:pt>
                <c:pt idx="418">
                  <c:v>157</c:v>
                </c:pt>
                <c:pt idx="419">
                  <c:v>165</c:v>
                </c:pt>
                <c:pt idx="420">
                  <c:v>156</c:v>
                </c:pt>
                <c:pt idx="421">
                  <c:v>58</c:v>
                </c:pt>
                <c:pt idx="422">
                  <c:v>163</c:v>
                </c:pt>
                <c:pt idx="423">
                  <c:v>33</c:v>
                </c:pt>
                <c:pt idx="424">
                  <c:v>161</c:v>
                </c:pt>
                <c:pt idx="425">
                  <c:v>151</c:v>
                </c:pt>
                <c:pt idx="426">
                  <c:v>138</c:v>
                </c:pt>
                <c:pt idx="427">
                  <c:v>91</c:v>
                </c:pt>
                <c:pt idx="428">
                  <c:v>158</c:v>
                </c:pt>
                <c:pt idx="429">
                  <c:v>73</c:v>
                </c:pt>
                <c:pt idx="430">
                  <c:v>107</c:v>
                </c:pt>
                <c:pt idx="431">
                  <c:v>35</c:v>
                </c:pt>
                <c:pt idx="432">
                  <c:v>164</c:v>
                </c:pt>
                <c:pt idx="433">
                  <c:v>157</c:v>
                </c:pt>
                <c:pt idx="434">
                  <c:v>43</c:v>
                </c:pt>
                <c:pt idx="435">
                  <c:v>151</c:v>
                </c:pt>
                <c:pt idx="436">
                  <c:v>107</c:v>
                </c:pt>
                <c:pt idx="437">
                  <c:v>148</c:v>
                </c:pt>
                <c:pt idx="438">
                  <c:v>162</c:v>
                </c:pt>
                <c:pt idx="439">
                  <c:v>87</c:v>
                </c:pt>
                <c:pt idx="440">
                  <c:v>159</c:v>
                </c:pt>
                <c:pt idx="441">
                  <c:v>73</c:v>
                </c:pt>
                <c:pt idx="442">
                  <c:v>147</c:v>
                </c:pt>
                <c:pt idx="443">
                  <c:v>83</c:v>
                </c:pt>
                <c:pt idx="444">
                  <c:v>177</c:v>
                </c:pt>
                <c:pt idx="445">
                  <c:v>151</c:v>
                </c:pt>
                <c:pt idx="446">
                  <c:v>145</c:v>
                </c:pt>
                <c:pt idx="447">
                  <c:v>82</c:v>
                </c:pt>
                <c:pt idx="448">
                  <c:v>142</c:v>
                </c:pt>
                <c:pt idx="449">
                  <c:v>121</c:v>
                </c:pt>
                <c:pt idx="450">
                  <c:v>137</c:v>
                </c:pt>
                <c:pt idx="451">
                  <c:v>50</c:v>
                </c:pt>
                <c:pt idx="452">
                  <c:v>127</c:v>
                </c:pt>
                <c:pt idx="453">
                  <c:v>89</c:v>
                </c:pt>
                <c:pt idx="454">
                  <c:v>104</c:v>
                </c:pt>
                <c:pt idx="455">
                  <c:v>158</c:v>
                </c:pt>
                <c:pt idx="456">
                  <c:v>59</c:v>
                </c:pt>
                <c:pt idx="457">
                  <c:v>140</c:v>
                </c:pt>
                <c:pt idx="458">
                  <c:v>57</c:v>
                </c:pt>
                <c:pt idx="459">
                  <c:v>93</c:v>
                </c:pt>
                <c:pt idx="460">
                  <c:v>32</c:v>
                </c:pt>
                <c:pt idx="461">
                  <c:v>67</c:v>
                </c:pt>
                <c:pt idx="462">
                  <c:v>90</c:v>
                </c:pt>
                <c:pt idx="463">
                  <c:v>113</c:v>
                </c:pt>
                <c:pt idx="464">
                  <c:v>160</c:v>
                </c:pt>
                <c:pt idx="465">
                  <c:v>163</c:v>
                </c:pt>
                <c:pt idx="466">
                  <c:v>120</c:v>
                </c:pt>
                <c:pt idx="467">
                  <c:v>134</c:v>
                </c:pt>
                <c:pt idx="468">
                  <c:v>48</c:v>
                </c:pt>
                <c:pt idx="469">
                  <c:v>145</c:v>
                </c:pt>
                <c:pt idx="470">
                  <c:v>101</c:v>
                </c:pt>
                <c:pt idx="471">
                  <c:v>140</c:v>
                </c:pt>
                <c:pt idx="472">
                  <c:v>171</c:v>
                </c:pt>
                <c:pt idx="473">
                  <c:v>143</c:v>
                </c:pt>
                <c:pt idx="474">
                  <c:v>48</c:v>
                </c:pt>
                <c:pt idx="475">
                  <c:v>102</c:v>
                </c:pt>
                <c:pt idx="476">
                  <c:v>76</c:v>
                </c:pt>
                <c:pt idx="477">
                  <c:v>59</c:v>
                </c:pt>
                <c:pt idx="478">
                  <c:v>112</c:v>
                </c:pt>
                <c:pt idx="479">
                  <c:v>82</c:v>
                </c:pt>
                <c:pt idx="480">
                  <c:v>167</c:v>
                </c:pt>
                <c:pt idx="481">
                  <c:v>88</c:v>
                </c:pt>
                <c:pt idx="482">
                  <c:v>68</c:v>
                </c:pt>
                <c:pt idx="483">
                  <c:v>173</c:v>
                </c:pt>
                <c:pt idx="484">
                  <c:v>174</c:v>
                </c:pt>
                <c:pt idx="485">
                  <c:v>135</c:v>
                </c:pt>
                <c:pt idx="486">
                  <c:v>172</c:v>
                </c:pt>
                <c:pt idx="487">
                  <c:v>65</c:v>
                </c:pt>
                <c:pt idx="488">
                  <c:v>148</c:v>
                </c:pt>
                <c:pt idx="489">
                  <c:v>54</c:v>
                </c:pt>
                <c:pt idx="490">
                  <c:v>81</c:v>
                </c:pt>
                <c:pt idx="491">
                  <c:v>85</c:v>
                </c:pt>
                <c:pt idx="492">
                  <c:v>151</c:v>
                </c:pt>
                <c:pt idx="493">
                  <c:v>75</c:v>
                </c:pt>
                <c:pt idx="494">
                  <c:v>114</c:v>
                </c:pt>
                <c:pt idx="495">
                  <c:v>56</c:v>
                </c:pt>
                <c:pt idx="496">
                  <c:v>34</c:v>
                </c:pt>
                <c:pt idx="497">
                  <c:v>80</c:v>
                </c:pt>
                <c:pt idx="498">
                  <c:v>77</c:v>
                </c:pt>
                <c:pt idx="499">
                  <c:v>135</c:v>
                </c:pt>
                <c:pt idx="500">
                  <c:v>175</c:v>
                </c:pt>
                <c:pt idx="501">
                  <c:v>151</c:v>
                </c:pt>
                <c:pt idx="502">
                  <c:v>71</c:v>
                </c:pt>
                <c:pt idx="503">
                  <c:v>57</c:v>
                </c:pt>
                <c:pt idx="504">
                  <c:v>147</c:v>
                </c:pt>
                <c:pt idx="505">
                  <c:v>125</c:v>
                </c:pt>
                <c:pt idx="506">
                  <c:v>113</c:v>
                </c:pt>
                <c:pt idx="507">
                  <c:v>157</c:v>
                </c:pt>
                <c:pt idx="508">
                  <c:v>57</c:v>
                </c:pt>
                <c:pt idx="509">
                  <c:v>138</c:v>
                </c:pt>
                <c:pt idx="510">
                  <c:v>31</c:v>
                </c:pt>
                <c:pt idx="511">
                  <c:v>168</c:v>
                </c:pt>
                <c:pt idx="512">
                  <c:v>67</c:v>
                </c:pt>
                <c:pt idx="513">
                  <c:v>107</c:v>
                </c:pt>
                <c:pt idx="514">
                  <c:v>100</c:v>
                </c:pt>
                <c:pt idx="515">
                  <c:v>54</c:v>
                </c:pt>
                <c:pt idx="516">
                  <c:v>68</c:v>
                </c:pt>
                <c:pt idx="517">
                  <c:v>37</c:v>
                </c:pt>
                <c:pt idx="518">
                  <c:v>176</c:v>
                </c:pt>
                <c:pt idx="519">
                  <c:v>103</c:v>
                </c:pt>
                <c:pt idx="520">
                  <c:v>87</c:v>
                </c:pt>
                <c:pt idx="521">
                  <c:v>74</c:v>
                </c:pt>
                <c:pt idx="522">
                  <c:v>114</c:v>
                </c:pt>
                <c:pt idx="523">
                  <c:v>104</c:v>
                </c:pt>
                <c:pt idx="524">
                  <c:v>97</c:v>
                </c:pt>
                <c:pt idx="525">
                  <c:v>86</c:v>
                </c:pt>
                <c:pt idx="526">
                  <c:v>88</c:v>
                </c:pt>
                <c:pt idx="527">
                  <c:v>73</c:v>
                </c:pt>
                <c:pt idx="528">
                  <c:v>33</c:v>
                </c:pt>
                <c:pt idx="529">
                  <c:v>92</c:v>
                </c:pt>
                <c:pt idx="530">
                  <c:v>178</c:v>
                </c:pt>
                <c:pt idx="531">
                  <c:v>154</c:v>
                </c:pt>
                <c:pt idx="532">
                  <c:v>106</c:v>
                </c:pt>
                <c:pt idx="533">
                  <c:v>54</c:v>
                </c:pt>
                <c:pt idx="534">
                  <c:v>70</c:v>
                </c:pt>
                <c:pt idx="535">
                  <c:v>174</c:v>
                </c:pt>
                <c:pt idx="536">
                  <c:v>113</c:v>
                </c:pt>
                <c:pt idx="537">
                  <c:v>93</c:v>
                </c:pt>
                <c:pt idx="538">
                  <c:v>81</c:v>
                </c:pt>
                <c:pt idx="539">
                  <c:v>88</c:v>
                </c:pt>
                <c:pt idx="540">
                  <c:v>34</c:v>
                </c:pt>
                <c:pt idx="541">
                  <c:v>48</c:v>
                </c:pt>
                <c:pt idx="542">
                  <c:v>68</c:v>
                </c:pt>
                <c:pt idx="543">
                  <c:v>62</c:v>
                </c:pt>
                <c:pt idx="544">
                  <c:v>36</c:v>
                </c:pt>
                <c:pt idx="545">
                  <c:v>121</c:v>
                </c:pt>
                <c:pt idx="546">
                  <c:v>141</c:v>
                </c:pt>
                <c:pt idx="547">
                  <c:v>83</c:v>
                </c:pt>
                <c:pt idx="548">
                  <c:v>37</c:v>
                </c:pt>
                <c:pt idx="549">
                  <c:v>148</c:v>
                </c:pt>
                <c:pt idx="550">
                  <c:v>63</c:v>
                </c:pt>
                <c:pt idx="551">
                  <c:v>138</c:v>
                </c:pt>
                <c:pt idx="552">
                  <c:v>78</c:v>
                </c:pt>
                <c:pt idx="553">
                  <c:v>46</c:v>
                </c:pt>
                <c:pt idx="554">
                  <c:v>86</c:v>
                </c:pt>
                <c:pt idx="555">
                  <c:v>87</c:v>
                </c:pt>
                <c:pt idx="556">
                  <c:v>83</c:v>
                </c:pt>
                <c:pt idx="557">
                  <c:v>61</c:v>
                </c:pt>
                <c:pt idx="558">
                  <c:v>146</c:v>
                </c:pt>
                <c:pt idx="559">
                  <c:v>122</c:v>
                </c:pt>
                <c:pt idx="560">
                  <c:v>92</c:v>
                </c:pt>
                <c:pt idx="561">
                  <c:v>137</c:v>
                </c:pt>
                <c:pt idx="562">
                  <c:v>37</c:v>
                </c:pt>
                <c:pt idx="563">
                  <c:v>132</c:v>
                </c:pt>
                <c:pt idx="564">
                  <c:v>81</c:v>
                </c:pt>
                <c:pt idx="565">
                  <c:v>80</c:v>
                </c:pt>
                <c:pt idx="566">
                  <c:v>92</c:v>
                </c:pt>
                <c:pt idx="567">
                  <c:v>153</c:v>
                </c:pt>
                <c:pt idx="568">
                  <c:v>64</c:v>
                </c:pt>
                <c:pt idx="569">
                  <c:v>46</c:v>
                </c:pt>
                <c:pt idx="570">
                  <c:v>85</c:v>
                </c:pt>
                <c:pt idx="571">
                  <c:v>46</c:v>
                </c:pt>
                <c:pt idx="572">
                  <c:v>134</c:v>
                </c:pt>
                <c:pt idx="573">
                  <c:v>116</c:v>
                </c:pt>
                <c:pt idx="574">
                  <c:v>125</c:v>
                </c:pt>
                <c:pt idx="575">
                  <c:v>167</c:v>
                </c:pt>
                <c:pt idx="576">
                  <c:v>46</c:v>
                </c:pt>
                <c:pt idx="577">
                  <c:v>163</c:v>
                </c:pt>
                <c:pt idx="578">
                  <c:v>129</c:v>
                </c:pt>
                <c:pt idx="579">
                  <c:v>128</c:v>
                </c:pt>
                <c:pt idx="580">
                  <c:v>176</c:v>
                </c:pt>
                <c:pt idx="581">
                  <c:v>96</c:v>
                </c:pt>
                <c:pt idx="582">
                  <c:v>40</c:v>
                </c:pt>
                <c:pt idx="583">
                  <c:v>57</c:v>
                </c:pt>
                <c:pt idx="584">
                  <c:v>91</c:v>
                </c:pt>
                <c:pt idx="585">
                  <c:v>44</c:v>
                </c:pt>
                <c:pt idx="586">
                  <c:v>46</c:v>
                </c:pt>
                <c:pt idx="587">
                  <c:v>35</c:v>
                </c:pt>
                <c:pt idx="588">
                  <c:v>129</c:v>
                </c:pt>
                <c:pt idx="589">
                  <c:v>136</c:v>
                </c:pt>
                <c:pt idx="590">
                  <c:v>108</c:v>
                </c:pt>
                <c:pt idx="591">
                  <c:v>128</c:v>
                </c:pt>
                <c:pt idx="592">
                  <c:v>51</c:v>
                </c:pt>
                <c:pt idx="593">
                  <c:v>104</c:v>
                </c:pt>
                <c:pt idx="594">
                  <c:v>127</c:v>
                </c:pt>
                <c:pt idx="595">
                  <c:v>106</c:v>
                </c:pt>
                <c:pt idx="596">
                  <c:v>111</c:v>
                </c:pt>
                <c:pt idx="597">
                  <c:v>34</c:v>
                </c:pt>
                <c:pt idx="598">
                  <c:v>79</c:v>
                </c:pt>
                <c:pt idx="599">
                  <c:v>49</c:v>
                </c:pt>
                <c:pt idx="600">
                  <c:v>30</c:v>
                </c:pt>
                <c:pt idx="601">
                  <c:v>31</c:v>
                </c:pt>
                <c:pt idx="602">
                  <c:v>135</c:v>
                </c:pt>
                <c:pt idx="603">
                  <c:v>144</c:v>
                </c:pt>
                <c:pt idx="604">
                  <c:v>169</c:v>
                </c:pt>
                <c:pt idx="605">
                  <c:v>132</c:v>
                </c:pt>
                <c:pt idx="606">
                  <c:v>107</c:v>
                </c:pt>
                <c:pt idx="607">
                  <c:v>104</c:v>
                </c:pt>
                <c:pt idx="608">
                  <c:v>124</c:v>
                </c:pt>
                <c:pt idx="609">
                  <c:v>90</c:v>
                </c:pt>
                <c:pt idx="610">
                  <c:v>66</c:v>
                </c:pt>
                <c:pt idx="611">
                  <c:v>164</c:v>
                </c:pt>
                <c:pt idx="612">
                  <c:v>127</c:v>
                </c:pt>
                <c:pt idx="613">
                  <c:v>124</c:v>
                </c:pt>
                <c:pt idx="614">
                  <c:v>157</c:v>
                </c:pt>
                <c:pt idx="615">
                  <c:v>69</c:v>
                </c:pt>
                <c:pt idx="616">
                  <c:v>86</c:v>
                </c:pt>
                <c:pt idx="617">
                  <c:v>88</c:v>
                </c:pt>
                <c:pt idx="618">
                  <c:v>81</c:v>
                </c:pt>
                <c:pt idx="619">
                  <c:v>57</c:v>
                </c:pt>
                <c:pt idx="620">
                  <c:v>82</c:v>
                </c:pt>
                <c:pt idx="621">
                  <c:v>30</c:v>
                </c:pt>
                <c:pt idx="622">
                  <c:v>146</c:v>
                </c:pt>
                <c:pt idx="623">
                  <c:v>37</c:v>
                </c:pt>
                <c:pt idx="624">
                  <c:v>78</c:v>
                </c:pt>
                <c:pt idx="625">
                  <c:v>171</c:v>
                </c:pt>
                <c:pt idx="626">
                  <c:v>94</c:v>
                </c:pt>
                <c:pt idx="627">
                  <c:v>137</c:v>
                </c:pt>
                <c:pt idx="628">
                  <c:v>57</c:v>
                </c:pt>
                <c:pt idx="629">
                  <c:v>78</c:v>
                </c:pt>
                <c:pt idx="630">
                  <c:v>125</c:v>
                </c:pt>
                <c:pt idx="631">
                  <c:v>138</c:v>
                </c:pt>
                <c:pt idx="632">
                  <c:v>38</c:v>
                </c:pt>
                <c:pt idx="633">
                  <c:v>94</c:v>
                </c:pt>
                <c:pt idx="634">
                  <c:v>129</c:v>
                </c:pt>
                <c:pt idx="635">
                  <c:v>35</c:v>
                </c:pt>
                <c:pt idx="636">
                  <c:v>71</c:v>
                </c:pt>
                <c:pt idx="637">
                  <c:v>130</c:v>
                </c:pt>
                <c:pt idx="638">
                  <c:v>55</c:v>
                </c:pt>
                <c:pt idx="639">
                  <c:v>40</c:v>
                </c:pt>
                <c:pt idx="640">
                  <c:v>46</c:v>
                </c:pt>
                <c:pt idx="641">
                  <c:v>176</c:v>
                </c:pt>
                <c:pt idx="642">
                  <c:v>108</c:v>
                </c:pt>
                <c:pt idx="643">
                  <c:v>60</c:v>
                </c:pt>
                <c:pt idx="644">
                  <c:v>61</c:v>
                </c:pt>
                <c:pt idx="645">
                  <c:v>65</c:v>
                </c:pt>
                <c:pt idx="646">
                  <c:v>116</c:v>
                </c:pt>
                <c:pt idx="647">
                  <c:v>34</c:v>
                </c:pt>
                <c:pt idx="648">
                  <c:v>141</c:v>
                </c:pt>
                <c:pt idx="649">
                  <c:v>155</c:v>
                </c:pt>
                <c:pt idx="650">
                  <c:v>120</c:v>
                </c:pt>
                <c:pt idx="651">
                  <c:v>144</c:v>
                </c:pt>
                <c:pt idx="652">
                  <c:v>53</c:v>
                </c:pt>
                <c:pt idx="653">
                  <c:v>53</c:v>
                </c:pt>
                <c:pt idx="654">
                  <c:v>148</c:v>
                </c:pt>
                <c:pt idx="655">
                  <c:v>63</c:v>
                </c:pt>
                <c:pt idx="656">
                  <c:v>168</c:v>
                </c:pt>
                <c:pt idx="657">
                  <c:v>106</c:v>
                </c:pt>
                <c:pt idx="658">
                  <c:v>88</c:v>
                </c:pt>
                <c:pt idx="659">
                  <c:v>140</c:v>
                </c:pt>
                <c:pt idx="660">
                  <c:v>99</c:v>
                </c:pt>
                <c:pt idx="661">
                  <c:v>161</c:v>
                </c:pt>
                <c:pt idx="662">
                  <c:v>64</c:v>
                </c:pt>
                <c:pt idx="663">
                  <c:v>59</c:v>
                </c:pt>
                <c:pt idx="664">
                  <c:v>114</c:v>
                </c:pt>
                <c:pt idx="665">
                  <c:v>159</c:v>
                </c:pt>
                <c:pt idx="666">
                  <c:v>124</c:v>
                </c:pt>
                <c:pt idx="667">
                  <c:v>55</c:v>
                </c:pt>
                <c:pt idx="668">
                  <c:v>114</c:v>
                </c:pt>
                <c:pt idx="669">
                  <c:v>148</c:v>
                </c:pt>
                <c:pt idx="670">
                  <c:v>137</c:v>
                </c:pt>
                <c:pt idx="671">
                  <c:v>115</c:v>
                </c:pt>
                <c:pt idx="672">
                  <c:v>94</c:v>
                </c:pt>
                <c:pt idx="673">
                  <c:v>161</c:v>
                </c:pt>
                <c:pt idx="674">
                  <c:v>100</c:v>
                </c:pt>
                <c:pt idx="675">
                  <c:v>89</c:v>
                </c:pt>
                <c:pt idx="676">
                  <c:v>140</c:v>
                </c:pt>
                <c:pt idx="677">
                  <c:v>75</c:v>
                </c:pt>
                <c:pt idx="678">
                  <c:v>71</c:v>
                </c:pt>
                <c:pt idx="679">
                  <c:v>61</c:v>
                </c:pt>
                <c:pt idx="680">
                  <c:v>71</c:v>
                </c:pt>
                <c:pt idx="681">
                  <c:v>147</c:v>
                </c:pt>
                <c:pt idx="682">
                  <c:v>163</c:v>
                </c:pt>
                <c:pt idx="683">
                  <c:v>96</c:v>
                </c:pt>
                <c:pt idx="684">
                  <c:v>65</c:v>
                </c:pt>
                <c:pt idx="685">
                  <c:v>168</c:v>
                </c:pt>
                <c:pt idx="686">
                  <c:v>133</c:v>
                </c:pt>
                <c:pt idx="687">
                  <c:v>73</c:v>
                </c:pt>
                <c:pt idx="688">
                  <c:v>133</c:v>
                </c:pt>
                <c:pt idx="689">
                  <c:v>178</c:v>
                </c:pt>
                <c:pt idx="690">
                  <c:v>117</c:v>
                </c:pt>
                <c:pt idx="691">
                  <c:v>141</c:v>
                </c:pt>
                <c:pt idx="692">
                  <c:v>165</c:v>
                </c:pt>
                <c:pt idx="693">
                  <c:v>86</c:v>
                </c:pt>
                <c:pt idx="694">
                  <c:v>177</c:v>
                </c:pt>
                <c:pt idx="695">
                  <c:v>81</c:v>
                </c:pt>
                <c:pt idx="696">
                  <c:v>56</c:v>
                </c:pt>
                <c:pt idx="697">
                  <c:v>134</c:v>
                </c:pt>
                <c:pt idx="698">
                  <c:v>72</c:v>
                </c:pt>
                <c:pt idx="699">
                  <c:v>35</c:v>
                </c:pt>
                <c:pt idx="700">
                  <c:v>82</c:v>
                </c:pt>
                <c:pt idx="701">
                  <c:v>136</c:v>
                </c:pt>
                <c:pt idx="702">
                  <c:v>110</c:v>
                </c:pt>
                <c:pt idx="703">
                  <c:v>43</c:v>
                </c:pt>
                <c:pt idx="704">
                  <c:v>41</c:v>
                </c:pt>
                <c:pt idx="705">
                  <c:v>37</c:v>
                </c:pt>
                <c:pt idx="706">
                  <c:v>68</c:v>
                </c:pt>
                <c:pt idx="707">
                  <c:v>158</c:v>
                </c:pt>
                <c:pt idx="708">
                  <c:v>52</c:v>
                </c:pt>
                <c:pt idx="709">
                  <c:v>40</c:v>
                </c:pt>
                <c:pt idx="710">
                  <c:v>61</c:v>
                </c:pt>
                <c:pt idx="711">
                  <c:v>69</c:v>
                </c:pt>
                <c:pt idx="712">
                  <c:v>94</c:v>
                </c:pt>
                <c:pt idx="713">
                  <c:v>51</c:v>
                </c:pt>
                <c:pt idx="714">
                  <c:v>117</c:v>
                </c:pt>
                <c:pt idx="715">
                  <c:v>146</c:v>
                </c:pt>
                <c:pt idx="716">
                  <c:v>51</c:v>
                </c:pt>
                <c:pt idx="717">
                  <c:v>164</c:v>
                </c:pt>
                <c:pt idx="718">
                  <c:v>109</c:v>
                </c:pt>
                <c:pt idx="719">
                  <c:v>159</c:v>
                </c:pt>
                <c:pt idx="720">
                  <c:v>156</c:v>
                </c:pt>
                <c:pt idx="721">
                  <c:v>128</c:v>
                </c:pt>
                <c:pt idx="722">
                  <c:v>138</c:v>
                </c:pt>
                <c:pt idx="723">
                  <c:v>170</c:v>
                </c:pt>
                <c:pt idx="724">
                  <c:v>104</c:v>
                </c:pt>
                <c:pt idx="725">
                  <c:v>167</c:v>
                </c:pt>
                <c:pt idx="726">
                  <c:v>44</c:v>
                </c:pt>
                <c:pt idx="727">
                  <c:v>122</c:v>
                </c:pt>
                <c:pt idx="728">
                  <c:v>141</c:v>
                </c:pt>
                <c:pt idx="729">
                  <c:v>60</c:v>
                </c:pt>
                <c:pt idx="730">
                  <c:v>130</c:v>
                </c:pt>
                <c:pt idx="731">
                  <c:v>112</c:v>
                </c:pt>
                <c:pt idx="732">
                  <c:v>102</c:v>
                </c:pt>
                <c:pt idx="733">
                  <c:v>47</c:v>
                </c:pt>
                <c:pt idx="734">
                  <c:v>169</c:v>
                </c:pt>
                <c:pt idx="735">
                  <c:v>118</c:v>
                </c:pt>
                <c:pt idx="736">
                  <c:v>41</c:v>
                </c:pt>
                <c:pt idx="737">
                  <c:v>53</c:v>
                </c:pt>
                <c:pt idx="738">
                  <c:v>59</c:v>
                </c:pt>
                <c:pt idx="739">
                  <c:v>67</c:v>
                </c:pt>
                <c:pt idx="740">
                  <c:v>97</c:v>
                </c:pt>
                <c:pt idx="741">
                  <c:v>103</c:v>
                </c:pt>
                <c:pt idx="742">
                  <c:v>161</c:v>
                </c:pt>
                <c:pt idx="743">
                  <c:v>77</c:v>
                </c:pt>
                <c:pt idx="744">
                  <c:v>80</c:v>
                </c:pt>
                <c:pt idx="745">
                  <c:v>39</c:v>
                </c:pt>
                <c:pt idx="746">
                  <c:v>77</c:v>
                </c:pt>
                <c:pt idx="747">
                  <c:v>75</c:v>
                </c:pt>
                <c:pt idx="748">
                  <c:v>130</c:v>
                </c:pt>
                <c:pt idx="749">
                  <c:v>60</c:v>
                </c:pt>
                <c:pt idx="750">
                  <c:v>57</c:v>
                </c:pt>
                <c:pt idx="751">
                  <c:v>102</c:v>
                </c:pt>
                <c:pt idx="752">
                  <c:v>161</c:v>
                </c:pt>
                <c:pt idx="753">
                  <c:v>116</c:v>
                </c:pt>
                <c:pt idx="754">
                  <c:v>31</c:v>
                </c:pt>
                <c:pt idx="755">
                  <c:v>153</c:v>
                </c:pt>
                <c:pt idx="756">
                  <c:v>104</c:v>
                </c:pt>
                <c:pt idx="757">
                  <c:v>62</c:v>
                </c:pt>
                <c:pt idx="758">
                  <c:v>150</c:v>
                </c:pt>
                <c:pt idx="759">
                  <c:v>127</c:v>
                </c:pt>
                <c:pt idx="760">
                  <c:v>174</c:v>
                </c:pt>
                <c:pt idx="761">
                  <c:v>170</c:v>
                </c:pt>
                <c:pt idx="762">
                  <c:v>104</c:v>
                </c:pt>
                <c:pt idx="763">
                  <c:v>47</c:v>
                </c:pt>
                <c:pt idx="764">
                  <c:v>64</c:v>
                </c:pt>
                <c:pt idx="765">
                  <c:v>77</c:v>
                </c:pt>
                <c:pt idx="766">
                  <c:v>53</c:v>
                </c:pt>
                <c:pt idx="767">
                  <c:v>136</c:v>
                </c:pt>
                <c:pt idx="768">
                  <c:v>134</c:v>
                </c:pt>
                <c:pt idx="769">
                  <c:v>142</c:v>
                </c:pt>
                <c:pt idx="770">
                  <c:v>102</c:v>
                </c:pt>
                <c:pt idx="771">
                  <c:v>30</c:v>
                </c:pt>
                <c:pt idx="772">
                  <c:v>108</c:v>
                </c:pt>
                <c:pt idx="773">
                  <c:v>45</c:v>
                </c:pt>
                <c:pt idx="774">
                  <c:v>61</c:v>
                </c:pt>
                <c:pt idx="775">
                  <c:v>152</c:v>
                </c:pt>
                <c:pt idx="776">
                  <c:v>155</c:v>
                </c:pt>
                <c:pt idx="777">
                  <c:v>40</c:v>
                </c:pt>
                <c:pt idx="778">
                  <c:v>36</c:v>
                </c:pt>
                <c:pt idx="779">
                  <c:v>81</c:v>
                </c:pt>
                <c:pt idx="780">
                  <c:v>98</c:v>
                </c:pt>
                <c:pt idx="781">
                  <c:v>179</c:v>
                </c:pt>
                <c:pt idx="782">
                  <c:v>87</c:v>
                </c:pt>
                <c:pt idx="783">
                  <c:v>98</c:v>
                </c:pt>
                <c:pt idx="784">
                  <c:v>84</c:v>
                </c:pt>
                <c:pt idx="785">
                  <c:v>176</c:v>
                </c:pt>
                <c:pt idx="786">
                  <c:v>161</c:v>
                </c:pt>
                <c:pt idx="787">
                  <c:v>51</c:v>
                </c:pt>
                <c:pt idx="788">
                  <c:v>98</c:v>
                </c:pt>
                <c:pt idx="789">
                  <c:v>172</c:v>
                </c:pt>
                <c:pt idx="790">
                  <c:v>139</c:v>
                </c:pt>
                <c:pt idx="791">
                  <c:v>158</c:v>
                </c:pt>
                <c:pt idx="792">
                  <c:v>52</c:v>
                </c:pt>
                <c:pt idx="793">
                  <c:v>95</c:v>
                </c:pt>
                <c:pt idx="794">
                  <c:v>37</c:v>
                </c:pt>
                <c:pt idx="795">
                  <c:v>54</c:v>
                </c:pt>
                <c:pt idx="796">
                  <c:v>93</c:v>
                </c:pt>
                <c:pt idx="797">
                  <c:v>76</c:v>
                </c:pt>
                <c:pt idx="798">
                  <c:v>62</c:v>
                </c:pt>
                <c:pt idx="799">
                  <c:v>100</c:v>
                </c:pt>
                <c:pt idx="800">
                  <c:v>111</c:v>
                </c:pt>
                <c:pt idx="801">
                  <c:v>118</c:v>
                </c:pt>
                <c:pt idx="802">
                  <c:v>110</c:v>
                </c:pt>
                <c:pt idx="803">
                  <c:v>180</c:v>
                </c:pt>
                <c:pt idx="804">
                  <c:v>72</c:v>
                </c:pt>
                <c:pt idx="805">
                  <c:v>172</c:v>
                </c:pt>
                <c:pt idx="806">
                  <c:v>69</c:v>
                </c:pt>
                <c:pt idx="807">
                  <c:v>120</c:v>
                </c:pt>
                <c:pt idx="808">
                  <c:v>114</c:v>
                </c:pt>
                <c:pt idx="809">
                  <c:v>96</c:v>
                </c:pt>
                <c:pt idx="810">
                  <c:v>61</c:v>
                </c:pt>
                <c:pt idx="811">
                  <c:v>94</c:v>
                </c:pt>
                <c:pt idx="812">
                  <c:v>56</c:v>
                </c:pt>
                <c:pt idx="813">
                  <c:v>33</c:v>
                </c:pt>
                <c:pt idx="814">
                  <c:v>78</c:v>
                </c:pt>
                <c:pt idx="815">
                  <c:v>79</c:v>
                </c:pt>
                <c:pt idx="816">
                  <c:v>41</c:v>
                </c:pt>
                <c:pt idx="817">
                  <c:v>132</c:v>
                </c:pt>
                <c:pt idx="818">
                  <c:v>147</c:v>
                </c:pt>
                <c:pt idx="819">
                  <c:v>76</c:v>
                </c:pt>
                <c:pt idx="820">
                  <c:v>50</c:v>
                </c:pt>
                <c:pt idx="821">
                  <c:v>49</c:v>
                </c:pt>
                <c:pt idx="822">
                  <c:v>123</c:v>
                </c:pt>
                <c:pt idx="823">
                  <c:v>132</c:v>
                </c:pt>
                <c:pt idx="824">
                  <c:v>162</c:v>
                </c:pt>
                <c:pt idx="825">
                  <c:v>75</c:v>
                </c:pt>
                <c:pt idx="826">
                  <c:v>110</c:v>
                </c:pt>
                <c:pt idx="827">
                  <c:v>95</c:v>
                </c:pt>
                <c:pt idx="828">
                  <c:v>41</c:v>
                </c:pt>
                <c:pt idx="829">
                  <c:v>99</c:v>
                </c:pt>
                <c:pt idx="830">
                  <c:v>133</c:v>
                </c:pt>
                <c:pt idx="831">
                  <c:v>174</c:v>
                </c:pt>
                <c:pt idx="832">
                  <c:v>114</c:v>
                </c:pt>
                <c:pt idx="833">
                  <c:v>142</c:v>
                </c:pt>
                <c:pt idx="834">
                  <c:v>116</c:v>
                </c:pt>
                <c:pt idx="835">
                  <c:v>32</c:v>
                </c:pt>
                <c:pt idx="836">
                  <c:v>106</c:v>
                </c:pt>
                <c:pt idx="837">
                  <c:v>38</c:v>
                </c:pt>
                <c:pt idx="838">
                  <c:v>152</c:v>
                </c:pt>
                <c:pt idx="839">
                  <c:v>85</c:v>
                </c:pt>
                <c:pt idx="840">
                  <c:v>176</c:v>
                </c:pt>
                <c:pt idx="841">
                  <c:v>128</c:v>
                </c:pt>
                <c:pt idx="842">
                  <c:v>109</c:v>
                </c:pt>
                <c:pt idx="843">
                  <c:v>62</c:v>
                </c:pt>
                <c:pt idx="844">
                  <c:v>176</c:v>
                </c:pt>
                <c:pt idx="845">
                  <c:v>72</c:v>
                </c:pt>
                <c:pt idx="846">
                  <c:v>43</c:v>
                </c:pt>
                <c:pt idx="847">
                  <c:v>154</c:v>
                </c:pt>
                <c:pt idx="848">
                  <c:v>100</c:v>
                </c:pt>
                <c:pt idx="849">
                  <c:v>131</c:v>
                </c:pt>
                <c:pt idx="850">
                  <c:v>52</c:v>
                </c:pt>
                <c:pt idx="851">
                  <c:v>68</c:v>
                </c:pt>
                <c:pt idx="852">
                  <c:v>161</c:v>
                </c:pt>
                <c:pt idx="853">
                  <c:v>107</c:v>
                </c:pt>
                <c:pt idx="854">
                  <c:v>172</c:v>
                </c:pt>
                <c:pt idx="855">
                  <c:v>97</c:v>
                </c:pt>
                <c:pt idx="856">
                  <c:v>50</c:v>
                </c:pt>
                <c:pt idx="857">
                  <c:v>174</c:v>
                </c:pt>
                <c:pt idx="858">
                  <c:v>108</c:v>
                </c:pt>
                <c:pt idx="859">
                  <c:v>124</c:v>
                </c:pt>
                <c:pt idx="860">
                  <c:v>84</c:v>
                </c:pt>
                <c:pt idx="861">
                  <c:v>53</c:v>
                </c:pt>
                <c:pt idx="862">
                  <c:v>36</c:v>
                </c:pt>
                <c:pt idx="863">
                  <c:v>101</c:v>
                </c:pt>
                <c:pt idx="864">
                  <c:v>79</c:v>
                </c:pt>
                <c:pt idx="865">
                  <c:v>126</c:v>
                </c:pt>
                <c:pt idx="866">
                  <c:v>90</c:v>
                </c:pt>
                <c:pt idx="867">
                  <c:v>52</c:v>
                </c:pt>
                <c:pt idx="868">
                  <c:v>39</c:v>
                </c:pt>
                <c:pt idx="869">
                  <c:v>143</c:v>
                </c:pt>
                <c:pt idx="870">
                  <c:v>75</c:v>
                </c:pt>
                <c:pt idx="871">
                  <c:v>44</c:v>
                </c:pt>
                <c:pt idx="872">
                  <c:v>160</c:v>
                </c:pt>
                <c:pt idx="873">
                  <c:v>98</c:v>
                </c:pt>
                <c:pt idx="874">
                  <c:v>34</c:v>
                </c:pt>
                <c:pt idx="875">
                  <c:v>175</c:v>
                </c:pt>
                <c:pt idx="876">
                  <c:v>147</c:v>
                </c:pt>
                <c:pt idx="877">
                  <c:v>115</c:v>
                </c:pt>
                <c:pt idx="878">
                  <c:v>65</c:v>
                </c:pt>
                <c:pt idx="879">
                  <c:v>139</c:v>
                </c:pt>
                <c:pt idx="880">
                  <c:v>174</c:v>
                </c:pt>
                <c:pt idx="881">
                  <c:v>106</c:v>
                </c:pt>
                <c:pt idx="882">
                  <c:v>86</c:v>
                </c:pt>
                <c:pt idx="883">
                  <c:v>34</c:v>
                </c:pt>
                <c:pt idx="884">
                  <c:v>176</c:v>
                </c:pt>
                <c:pt idx="885">
                  <c:v>62</c:v>
                </c:pt>
                <c:pt idx="886">
                  <c:v>64</c:v>
                </c:pt>
                <c:pt idx="887">
                  <c:v>85</c:v>
                </c:pt>
                <c:pt idx="888">
                  <c:v>134</c:v>
                </c:pt>
                <c:pt idx="889">
                  <c:v>168</c:v>
                </c:pt>
                <c:pt idx="890">
                  <c:v>107</c:v>
                </c:pt>
                <c:pt idx="891">
                  <c:v>80</c:v>
                </c:pt>
                <c:pt idx="892">
                  <c:v>134</c:v>
                </c:pt>
                <c:pt idx="893">
                  <c:v>83</c:v>
                </c:pt>
                <c:pt idx="894">
                  <c:v>47</c:v>
                </c:pt>
                <c:pt idx="895">
                  <c:v>156</c:v>
                </c:pt>
                <c:pt idx="896">
                  <c:v>116</c:v>
                </c:pt>
                <c:pt idx="897">
                  <c:v>145</c:v>
                </c:pt>
                <c:pt idx="898">
                  <c:v>154</c:v>
                </c:pt>
                <c:pt idx="899">
                  <c:v>129</c:v>
                </c:pt>
                <c:pt idx="900">
                  <c:v>168</c:v>
                </c:pt>
                <c:pt idx="901">
                  <c:v>126</c:v>
                </c:pt>
                <c:pt idx="902">
                  <c:v>89</c:v>
                </c:pt>
                <c:pt idx="903">
                  <c:v>176</c:v>
                </c:pt>
                <c:pt idx="904">
                  <c:v>134</c:v>
                </c:pt>
                <c:pt idx="905">
                  <c:v>99</c:v>
                </c:pt>
                <c:pt idx="906">
                  <c:v>157</c:v>
                </c:pt>
                <c:pt idx="907">
                  <c:v>157</c:v>
                </c:pt>
                <c:pt idx="908">
                  <c:v>58</c:v>
                </c:pt>
                <c:pt idx="909">
                  <c:v>175</c:v>
                </c:pt>
                <c:pt idx="910">
                  <c:v>134</c:v>
                </c:pt>
                <c:pt idx="911">
                  <c:v>165</c:v>
                </c:pt>
                <c:pt idx="912">
                  <c:v>88</c:v>
                </c:pt>
                <c:pt idx="913">
                  <c:v>141</c:v>
                </c:pt>
                <c:pt idx="914">
                  <c:v>165</c:v>
                </c:pt>
                <c:pt idx="915">
                  <c:v>143</c:v>
                </c:pt>
                <c:pt idx="916">
                  <c:v>166</c:v>
                </c:pt>
                <c:pt idx="917">
                  <c:v>35</c:v>
                </c:pt>
                <c:pt idx="918">
                  <c:v>176</c:v>
                </c:pt>
                <c:pt idx="919">
                  <c:v>166</c:v>
                </c:pt>
                <c:pt idx="920">
                  <c:v>131</c:v>
                </c:pt>
                <c:pt idx="921">
                  <c:v>171</c:v>
                </c:pt>
                <c:pt idx="922">
                  <c:v>56</c:v>
                </c:pt>
                <c:pt idx="923">
                  <c:v>60</c:v>
                </c:pt>
                <c:pt idx="924">
                  <c:v>117</c:v>
                </c:pt>
                <c:pt idx="925">
                  <c:v>32</c:v>
                </c:pt>
                <c:pt idx="926">
                  <c:v>113</c:v>
                </c:pt>
                <c:pt idx="927">
                  <c:v>53</c:v>
                </c:pt>
                <c:pt idx="928">
                  <c:v>73</c:v>
                </c:pt>
                <c:pt idx="929">
                  <c:v>53</c:v>
                </c:pt>
                <c:pt idx="930">
                  <c:v>106</c:v>
                </c:pt>
                <c:pt idx="931">
                  <c:v>163</c:v>
                </c:pt>
                <c:pt idx="932">
                  <c:v>110</c:v>
                </c:pt>
                <c:pt idx="933">
                  <c:v>127</c:v>
                </c:pt>
                <c:pt idx="934">
                  <c:v>117</c:v>
                </c:pt>
                <c:pt idx="935">
                  <c:v>134</c:v>
                </c:pt>
                <c:pt idx="936">
                  <c:v>162</c:v>
                </c:pt>
                <c:pt idx="937">
                  <c:v>165</c:v>
                </c:pt>
                <c:pt idx="938">
                  <c:v>167</c:v>
                </c:pt>
                <c:pt idx="939">
                  <c:v>124</c:v>
                </c:pt>
                <c:pt idx="940">
                  <c:v>61</c:v>
                </c:pt>
                <c:pt idx="941">
                  <c:v>113</c:v>
                </c:pt>
                <c:pt idx="942">
                  <c:v>142</c:v>
                </c:pt>
                <c:pt idx="943">
                  <c:v>145</c:v>
                </c:pt>
                <c:pt idx="944">
                  <c:v>64</c:v>
                </c:pt>
                <c:pt idx="945">
                  <c:v>95</c:v>
                </c:pt>
                <c:pt idx="946">
                  <c:v>78</c:v>
                </c:pt>
                <c:pt idx="947">
                  <c:v>88</c:v>
                </c:pt>
                <c:pt idx="948">
                  <c:v>160</c:v>
                </c:pt>
                <c:pt idx="949">
                  <c:v>57</c:v>
                </c:pt>
                <c:pt idx="950">
                  <c:v>145</c:v>
                </c:pt>
                <c:pt idx="951">
                  <c:v>97</c:v>
                </c:pt>
                <c:pt idx="952">
                  <c:v>99</c:v>
                </c:pt>
                <c:pt idx="953">
                  <c:v>180</c:v>
                </c:pt>
                <c:pt idx="954">
                  <c:v>84</c:v>
                </c:pt>
                <c:pt idx="955">
                  <c:v>73</c:v>
                </c:pt>
                <c:pt idx="956">
                  <c:v>151</c:v>
                </c:pt>
                <c:pt idx="957">
                  <c:v>71</c:v>
                </c:pt>
                <c:pt idx="958">
                  <c:v>156</c:v>
                </c:pt>
                <c:pt idx="959">
                  <c:v>33</c:v>
                </c:pt>
                <c:pt idx="960">
                  <c:v>76</c:v>
                </c:pt>
                <c:pt idx="961">
                  <c:v>57</c:v>
                </c:pt>
                <c:pt idx="962">
                  <c:v>45</c:v>
                </c:pt>
                <c:pt idx="963">
                  <c:v>41</c:v>
                </c:pt>
                <c:pt idx="964">
                  <c:v>87</c:v>
                </c:pt>
                <c:pt idx="965">
                  <c:v>85</c:v>
                </c:pt>
                <c:pt idx="966">
                  <c:v>30</c:v>
                </c:pt>
                <c:pt idx="967">
                  <c:v>96</c:v>
                </c:pt>
                <c:pt idx="968">
                  <c:v>53</c:v>
                </c:pt>
                <c:pt idx="969">
                  <c:v>101</c:v>
                </c:pt>
                <c:pt idx="970">
                  <c:v>65</c:v>
                </c:pt>
                <c:pt idx="971">
                  <c:v>165</c:v>
                </c:pt>
                <c:pt idx="972">
                  <c:v>54</c:v>
                </c:pt>
                <c:pt idx="973">
                  <c:v>74</c:v>
                </c:pt>
                <c:pt idx="974">
                  <c:v>47</c:v>
                </c:pt>
                <c:pt idx="975">
                  <c:v>66</c:v>
                </c:pt>
                <c:pt idx="976">
                  <c:v>119</c:v>
                </c:pt>
                <c:pt idx="977">
                  <c:v>63</c:v>
                </c:pt>
                <c:pt idx="978">
                  <c:v>160</c:v>
                </c:pt>
                <c:pt idx="979">
                  <c:v>94</c:v>
                </c:pt>
                <c:pt idx="980">
                  <c:v>170</c:v>
                </c:pt>
                <c:pt idx="981">
                  <c:v>55</c:v>
                </c:pt>
                <c:pt idx="982">
                  <c:v>66</c:v>
                </c:pt>
                <c:pt idx="983">
                  <c:v>91</c:v>
                </c:pt>
                <c:pt idx="984">
                  <c:v>164</c:v>
                </c:pt>
                <c:pt idx="985">
                  <c:v>150</c:v>
                </c:pt>
                <c:pt idx="986">
                  <c:v>180</c:v>
                </c:pt>
                <c:pt idx="987">
                  <c:v>123</c:v>
                </c:pt>
                <c:pt idx="988">
                  <c:v>171</c:v>
                </c:pt>
                <c:pt idx="989">
                  <c:v>134</c:v>
                </c:pt>
                <c:pt idx="990">
                  <c:v>167</c:v>
                </c:pt>
                <c:pt idx="991">
                  <c:v>55</c:v>
                </c:pt>
                <c:pt idx="992">
                  <c:v>30</c:v>
                </c:pt>
                <c:pt idx="993">
                  <c:v>156</c:v>
                </c:pt>
                <c:pt idx="994">
                  <c:v>34</c:v>
                </c:pt>
                <c:pt idx="995">
                  <c:v>122</c:v>
                </c:pt>
                <c:pt idx="996">
                  <c:v>158</c:v>
                </c:pt>
                <c:pt idx="997">
                  <c:v>94</c:v>
                </c:pt>
                <c:pt idx="998">
                  <c:v>159</c:v>
                </c:pt>
                <c:pt idx="999">
                  <c:v>164</c:v>
                </c:pt>
              </c:numCache>
            </c:numRef>
          </c:xVal>
          <c:yVal>
            <c:numRef>
              <c:f>Clean_Data!$AD$2:$AD$1001</c:f>
              <c:numCache>
                <c:formatCode>General</c:formatCode>
                <c:ptCount val="1000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2</c:v>
                </c:pt>
                <c:pt idx="15">
                  <c:v>1</c:v>
                </c:pt>
                <c:pt idx="16">
                  <c:v>0</c:v>
                </c:pt>
                <c:pt idx="17">
                  <c:v>3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  <c:pt idx="24">
                  <c:v>4</c:v>
                </c:pt>
                <c:pt idx="25">
                  <c:v>4</c:v>
                </c:pt>
                <c:pt idx="26">
                  <c:v>3</c:v>
                </c:pt>
                <c:pt idx="27">
                  <c:v>3</c:v>
                </c:pt>
                <c:pt idx="28">
                  <c:v>2</c:v>
                </c:pt>
                <c:pt idx="29">
                  <c:v>3</c:v>
                </c:pt>
                <c:pt idx="30">
                  <c:v>4</c:v>
                </c:pt>
                <c:pt idx="31">
                  <c:v>0</c:v>
                </c:pt>
                <c:pt idx="32">
                  <c:v>2</c:v>
                </c:pt>
                <c:pt idx="33">
                  <c:v>4</c:v>
                </c:pt>
                <c:pt idx="34">
                  <c:v>0</c:v>
                </c:pt>
                <c:pt idx="35">
                  <c:v>2</c:v>
                </c:pt>
                <c:pt idx="36">
                  <c:v>0</c:v>
                </c:pt>
                <c:pt idx="37">
                  <c:v>2</c:v>
                </c:pt>
                <c:pt idx="38">
                  <c:v>2</c:v>
                </c:pt>
                <c:pt idx="39">
                  <c:v>4</c:v>
                </c:pt>
                <c:pt idx="40">
                  <c:v>2</c:v>
                </c:pt>
                <c:pt idx="41">
                  <c:v>1</c:v>
                </c:pt>
                <c:pt idx="42">
                  <c:v>0</c:v>
                </c:pt>
                <c:pt idx="43">
                  <c:v>1</c:v>
                </c:pt>
                <c:pt idx="44">
                  <c:v>4</c:v>
                </c:pt>
                <c:pt idx="45">
                  <c:v>1</c:v>
                </c:pt>
                <c:pt idx="46">
                  <c:v>1</c:v>
                </c:pt>
                <c:pt idx="47">
                  <c:v>3</c:v>
                </c:pt>
                <c:pt idx="48">
                  <c:v>0</c:v>
                </c:pt>
                <c:pt idx="49">
                  <c:v>4</c:v>
                </c:pt>
                <c:pt idx="50">
                  <c:v>2</c:v>
                </c:pt>
                <c:pt idx="51">
                  <c:v>0</c:v>
                </c:pt>
                <c:pt idx="52">
                  <c:v>3</c:v>
                </c:pt>
                <c:pt idx="53">
                  <c:v>0</c:v>
                </c:pt>
                <c:pt idx="54">
                  <c:v>4</c:v>
                </c:pt>
                <c:pt idx="55">
                  <c:v>0</c:v>
                </c:pt>
                <c:pt idx="56">
                  <c:v>4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1</c:v>
                </c:pt>
                <c:pt idx="61">
                  <c:v>4</c:v>
                </c:pt>
                <c:pt idx="62">
                  <c:v>3</c:v>
                </c:pt>
                <c:pt idx="63">
                  <c:v>4</c:v>
                </c:pt>
                <c:pt idx="64">
                  <c:v>2</c:v>
                </c:pt>
                <c:pt idx="65">
                  <c:v>4</c:v>
                </c:pt>
                <c:pt idx="66">
                  <c:v>4</c:v>
                </c:pt>
                <c:pt idx="67">
                  <c:v>0</c:v>
                </c:pt>
                <c:pt idx="68">
                  <c:v>3</c:v>
                </c:pt>
                <c:pt idx="69">
                  <c:v>1</c:v>
                </c:pt>
                <c:pt idx="70">
                  <c:v>2</c:v>
                </c:pt>
                <c:pt idx="71">
                  <c:v>3</c:v>
                </c:pt>
                <c:pt idx="72">
                  <c:v>1</c:v>
                </c:pt>
                <c:pt idx="73">
                  <c:v>3</c:v>
                </c:pt>
                <c:pt idx="74">
                  <c:v>4</c:v>
                </c:pt>
                <c:pt idx="75">
                  <c:v>4</c:v>
                </c:pt>
                <c:pt idx="76">
                  <c:v>0</c:v>
                </c:pt>
                <c:pt idx="77">
                  <c:v>2</c:v>
                </c:pt>
                <c:pt idx="78">
                  <c:v>0</c:v>
                </c:pt>
                <c:pt idx="79">
                  <c:v>2</c:v>
                </c:pt>
                <c:pt idx="80">
                  <c:v>3</c:v>
                </c:pt>
                <c:pt idx="81">
                  <c:v>2</c:v>
                </c:pt>
                <c:pt idx="82">
                  <c:v>2</c:v>
                </c:pt>
                <c:pt idx="83">
                  <c:v>3</c:v>
                </c:pt>
                <c:pt idx="84">
                  <c:v>4</c:v>
                </c:pt>
                <c:pt idx="85">
                  <c:v>4</c:v>
                </c:pt>
                <c:pt idx="86">
                  <c:v>0</c:v>
                </c:pt>
                <c:pt idx="87">
                  <c:v>3</c:v>
                </c:pt>
                <c:pt idx="88">
                  <c:v>1</c:v>
                </c:pt>
                <c:pt idx="89">
                  <c:v>3</c:v>
                </c:pt>
                <c:pt idx="90">
                  <c:v>3</c:v>
                </c:pt>
                <c:pt idx="91">
                  <c:v>4</c:v>
                </c:pt>
                <c:pt idx="92">
                  <c:v>2</c:v>
                </c:pt>
                <c:pt idx="93">
                  <c:v>2</c:v>
                </c:pt>
                <c:pt idx="94">
                  <c:v>1</c:v>
                </c:pt>
                <c:pt idx="95">
                  <c:v>2</c:v>
                </c:pt>
                <c:pt idx="96">
                  <c:v>1</c:v>
                </c:pt>
                <c:pt idx="97">
                  <c:v>2</c:v>
                </c:pt>
                <c:pt idx="98">
                  <c:v>1</c:v>
                </c:pt>
                <c:pt idx="99">
                  <c:v>4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1</c:v>
                </c:pt>
                <c:pt idx="107">
                  <c:v>4</c:v>
                </c:pt>
                <c:pt idx="108">
                  <c:v>3</c:v>
                </c:pt>
                <c:pt idx="109">
                  <c:v>0</c:v>
                </c:pt>
                <c:pt idx="110">
                  <c:v>1</c:v>
                </c:pt>
                <c:pt idx="111">
                  <c:v>4</c:v>
                </c:pt>
                <c:pt idx="112">
                  <c:v>2</c:v>
                </c:pt>
                <c:pt idx="113">
                  <c:v>1</c:v>
                </c:pt>
                <c:pt idx="114">
                  <c:v>0</c:v>
                </c:pt>
                <c:pt idx="115">
                  <c:v>4</c:v>
                </c:pt>
                <c:pt idx="116">
                  <c:v>2</c:v>
                </c:pt>
                <c:pt idx="117">
                  <c:v>2</c:v>
                </c:pt>
                <c:pt idx="118">
                  <c:v>0</c:v>
                </c:pt>
                <c:pt idx="119">
                  <c:v>2</c:v>
                </c:pt>
                <c:pt idx="120">
                  <c:v>3</c:v>
                </c:pt>
                <c:pt idx="121">
                  <c:v>4</c:v>
                </c:pt>
                <c:pt idx="122">
                  <c:v>3</c:v>
                </c:pt>
                <c:pt idx="123">
                  <c:v>0</c:v>
                </c:pt>
                <c:pt idx="124">
                  <c:v>3</c:v>
                </c:pt>
                <c:pt idx="125">
                  <c:v>3</c:v>
                </c:pt>
                <c:pt idx="126">
                  <c:v>0</c:v>
                </c:pt>
                <c:pt idx="127">
                  <c:v>3</c:v>
                </c:pt>
                <c:pt idx="128">
                  <c:v>1</c:v>
                </c:pt>
                <c:pt idx="129">
                  <c:v>2</c:v>
                </c:pt>
                <c:pt idx="130">
                  <c:v>2</c:v>
                </c:pt>
                <c:pt idx="131">
                  <c:v>4</c:v>
                </c:pt>
                <c:pt idx="132">
                  <c:v>1</c:v>
                </c:pt>
                <c:pt idx="133">
                  <c:v>2</c:v>
                </c:pt>
                <c:pt idx="134">
                  <c:v>2</c:v>
                </c:pt>
                <c:pt idx="135">
                  <c:v>3</c:v>
                </c:pt>
                <c:pt idx="136">
                  <c:v>2</c:v>
                </c:pt>
                <c:pt idx="137">
                  <c:v>1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2</c:v>
                </c:pt>
                <c:pt idx="142">
                  <c:v>0</c:v>
                </c:pt>
                <c:pt idx="143">
                  <c:v>1</c:v>
                </c:pt>
                <c:pt idx="144">
                  <c:v>1</c:v>
                </c:pt>
                <c:pt idx="145">
                  <c:v>0</c:v>
                </c:pt>
                <c:pt idx="146">
                  <c:v>2</c:v>
                </c:pt>
                <c:pt idx="147">
                  <c:v>2</c:v>
                </c:pt>
                <c:pt idx="148">
                  <c:v>4</c:v>
                </c:pt>
                <c:pt idx="149">
                  <c:v>2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3</c:v>
                </c:pt>
                <c:pt idx="155">
                  <c:v>2</c:v>
                </c:pt>
                <c:pt idx="156">
                  <c:v>2</c:v>
                </c:pt>
                <c:pt idx="157">
                  <c:v>0</c:v>
                </c:pt>
                <c:pt idx="158">
                  <c:v>1</c:v>
                </c:pt>
                <c:pt idx="159">
                  <c:v>4</c:v>
                </c:pt>
                <c:pt idx="160">
                  <c:v>0</c:v>
                </c:pt>
                <c:pt idx="161">
                  <c:v>2</c:v>
                </c:pt>
                <c:pt idx="162">
                  <c:v>4</c:v>
                </c:pt>
                <c:pt idx="163">
                  <c:v>4</c:v>
                </c:pt>
                <c:pt idx="164">
                  <c:v>1</c:v>
                </c:pt>
                <c:pt idx="165">
                  <c:v>1</c:v>
                </c:pt>
                <c:pt idx="166">
                  <c:v>4</c:v>
                </c:pt>
                <c:pt idx="167">
                  <c:v>0</c:v>
                </c:pt>
                <c:pt idx="168">
                  <c:v>4</c:v>
                </c:pt>
                <c:pt idx="169">
                  <c:v>3</c:v>
                </c:pt>
                <c:pt idx="170">
                  <c:v>1</c:v>
                </c:pt>
                <c:pt idx="171">
                  <c:v>1</c:v>
                </c:pt>
                <c:pt idx="172">
                  <c:v>0</c:v>
                </c:pt>
                <c:pt idx="173">
                  <c:v>4</c:v>
                </c:pt>
                <c:pt idx="174">
                  <c:v>4</c:v>
                </c:pt>
                <c:pt idx="175">
                  <c:v>1</c:v>
                </c:pt>
                <c:pt idx="176">
                  <c:v>0</c:v>
                </c:pt>
                <c:pt idx="177">
                  <c:v>3</c:v>
                </c:pt>
                <c:pt idx="178">
                  <c:v>1</c:v>
                </c:pt>
                <c:pt idx="179">
                  <c:v>0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3</c:v>
                </c:pt>
                <c:pt idx="185">
                  <c:v>4</c:v>
                </c:pt>
                <c:pt idx="186">
                  <c:v>0</c:v>
                </c:pt>
                <c:pt idx="187">
                  <c:v>3</c:v>
                </c:pt>
                <c:pt idx="188">
                  <c:v>3</c:v>
                </c:pt>
                <c:pt idx="189">
                  <c:v>0</c:v>
                </c:pt>
                <c:pt idx="190">
                  <c:v>1</c:v>
                </c:pt>
                <c:pt idx="191">
                  <c:v>1</c:v>
                </c:pt>
                <c:pt idx="192">
                  <c:v>3</c:v>
                </c:pt>
                <c:pt idx="193">
                  <c:v>2</c:v>
                </c:pt>
                <c:pt idx="194">
                  <c:v>1</c:v>
                </c:pt>
                <c:pt idx="195">
                  <c:v>1</c:v>
                </c:pt>
                <c:pt idx="196">
                  <c:v>4</c:v>
                </c:pt>
                <c:pt idx="197">
                  <c:v>3</c:v>
                </c:pt>
                <c:pt idx="198">
                  <c:v>2</c:v>
                </c:pt>
                <c:pt idx="199">
                  <c:v>4</c:v>
                </c:pt>
                <c:pt idx="200">
                  <c:v>4</c:v>
                </c:pt>
                <c:pt idx="201">
                  <c:v>3</c:v>
                </c:pt>
                <c:pt idx="202">
                  <c:v>0</c:v>
                </c:pt>
                <c:pt idx="203">
                  <c:v>2</c:v>
                </c:pt>
                <c:pt idx="204">
                  <c:v>3</c:v>
                </c:pt>
                <c:pt idx="205">
                  <c:v>1</c:v>
                </c:pt>
                <c:pt idx="206">
                  <c:v>1</c:v>
                </c:pt>
                <c:pt idx="207">
                  <c:v>2</c:v>
                </c:pt>
                <c:pt idx="208">
                  <c:v>1</c:v>
                </c:pt>
                <c:pt idx="209">
                  <c:v>2</c:v>
                </c:pt>
                <c:pt idx="210">
                  <c:v>2</c:v>
                </c:pt>
                <c:pt idx="211">
                  <c:v>3</c:v>
                </c:pt>
                <c:pt idx="212">
                  <c:v>1</c:v>
                </c:pt>
                <c:pt idx="213">
                  <c:v>2</c:v>
                </c:pt>
                <c:pt idx="214">
                  <c:v>1</c:v>
                </c:pt>
                <c:pt idx="215">
                  <c:v>4</c:v>
                </c:pt>
                <c:pt idx="216">
                  <c:v>3</c:v>
                </c:pt>
                <c:pt idx="217">
                  <c:v>2</c:v>
                </c:pt>
                <c:pt idx="218">
                  <c:v>4</c:v>
                </c:pt>
                <c:pt idx="219">
                  <c:v>0</c:v>
                </c:pt>
                <c:pt idx="220">
                  <c:v>0</c:v>
                </c:pt>
                <c:pt idx="221">
                  <c:v>2</c:v>
                </c:pt>
                <c:pt idx="222">
                  <c:v>4</c:v>
                </c:pt>
                <c:pt idx="223">
                  <c:v>1</c:v>
                </c:pt>
                <c:pt idx="224">
                  <c:v>3</c:v>
                </c:pt>
                <c:pt idx="225">
                  <c:v>3</c:v>
                </c:pt>
                <c:pt idx="226">
                  <c:v>0</c:v>
                </c:pt>
                <c:pt idx="227">
                  <c:v>1</c:v>
                </c:pt>
                <c:pt idx="228">
                  <c:v>4</c:v>
                </c:pt>
                <c:pt idx="229">
                  <c:v>0</c:v>
                </c:pt>
                <c:pt idx="230">
                  <c:v>2</c:v>
                </c:pt>
                <c:pt idx="231">
                  <c:v>4</c:v>
                </c:pt>
                <c:pt idx="232">
                  <c:v>1</c:v>
                </c:pt>
                <c:pt idx="233">
                  <c:v>1</c:v>
                </c:pt>
                <c:pt idx="234">
                  <c:v>2</c:v>
                </c:pt>
                <c:pt idx="235">
                  <c:v>1</c:v>
                </c:pt>
                <c:pt idx="236">
                  <c:v>3</c:v>
                </c:pt>
                <c:pt idx="237">
                  <c:v>3</c:v>
                </c:pt>
                <c:pt idx="238">
                  <c:v>0</c:v>
                </c:pt>
                <c:pt idx="239">
                  <c:v>3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2</c:v>
                </c:pt>
                <c:pt idx="247">
                  <c:v>4</c:v>
                </c:pt>
                <c:pt idx="248">
                  <c:v>3</c:v>
                </c:pt>
                <c:pt idx="249">
                  <c:v>4</c:v>
                </c:pt>
                <c:pt idx="250">
                  <c:v>0</c:v>
                </c:pt>
                <c:pt idx="251">
                  <c:v>4</c:v>
                </c:pt>
                <c:pt idx="252">
                  <c:v>3</c:v>
                </c:pt>
                <c:pt idx="253">
                  <c:v>4</c:v>
                </c:pt>
                <c:pt idx="254">
                  <c:v>2</c:v>
                </c:pt>
                <c:pt idx="255">
                  <c:v>2</c:v>
                </c:pt>
                <c:pt idx="256">
                  <c:v>3</c:v>
                </c:pt>
                <c:pt idx="257">
                  <c:v>0</c:v>
                </c:pt>
                <c:pt idx="258">
                  <c:v>0</c:v>
                </c:pt>
                <c:pt idx="259">
                  <c:v>2</c:v>
                </c:pt>
                <c:pt idx="260">
                  <c:v>3</c:v>
                </c:pt>
                <c:pt idx="261">
                  <c:v>4</c:v>
                </c:pt>
                <c:pt idx="262">
                  <c:v>4</c:v>
                </c:pt>
                <c:pt idx="263">
                  <c:v>1</c:v>
                </c:pt>
                <c:pt idx="264">
                  <c:v>3</c:v>
                </c:pt>
                <c:pt idx="265">
                  <c:v>1</c:v>
                </c:pt>
                <c:pt idx="266">
                  <c:v>3</c:v>
                </c:pt>
                <c:pt idx="267">
                  <c:v>1</c:v>
                </c:pt>
                <c:pt idx="268">
                  <c:v>3</c:v>
                </c:pt>
                <c:pt idx="269">
                  <c:v>1</c:v>
                </c:pt>
                <c:pt idx="270">
                  <c:v>3</c:v>
                </c:pt>
                <c:pt idx="271">
                  <c:v>4</c:v>
                </c:pt>
                <c:pt idx="272">
                  <c:v>3</c:v>
                </c:pt>
                <c:pt idx="273">
                  <c:v>2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4</c:v>
                </c:pt>
                <c:pt idx="278">
                  <c:v>2</c:v>
                </c:pt>
                <c:pt idx="279">
                  <c:v>2</c:v>
                </c:pt>
                <c:pt idx="280">
                  <c:v>3</c:v>
                </c:pt>
                <c:pt idx="281">
                  <c:v>0</c:v>
                </c:pt>
                <c:pt idx="282">
                  <c:v>1</c:v>
                </c:pt>
                <c:pt idx="283">
                  <c:v>3</c:v>
                </c:pt>
                <c:pt idx="284">
                  <c:v>1</c:v>
                </c:pt>
                <c:pt idx="285">
                  <c:v>0</c:v>
                </c:pt>
                <c:pt idx="286">
                  <c:v>4</c:v>
                </c:pt>
                <c:pt idx="287">
                  <c:v>3</c:v>
                </c:pt>
                <c:pt idx="288">
                  <c:v>2</c:v>
                </c:pt>
                <c:pt idx="289">
                  <c:v>3</c:v>
                </c:pt>
                <c:pt idx="290">
                  <c:v>2</c:v>
                </c:pt>
                <c:pt idx="291">
                  <c:v>1</c:v>
                </c:pt>
                <c:pt idx="292">
                  <c:v>4</c:v>
                </c:pt>
                <c:pt idx="293">
                  <c:v>0</c:v>
                </c:pt>
                <c:pt idx="294">
                  <c:v>4</c:v>
                </c:pt>
                <c:pt idx="295">
                  <c:v>4</c:v>
                </c:pt>
                <c:pt idx="296">
                  <c:v>3</c:v>
                </c:pt>
                <c:pt idx="297">
                  <c:v>0</c:v>
                </c:pt>
                <c:pt idx="298">
                  <c:v>4</c:v>
                </c:pt>
                <c:pt idx="299">
                  <c:v>1</c:v>
                </c:pt>
                <c:pt idx="300">
                  <c:v>2</c:v>
                </c:pt>
                <c:pt idx="301">
                  <c:v>4</c:v>
                </c:pt>
                <c:pt idx="302">
                  <c:v>1</c:v>
                </c:pt>
                <c:pt idx="303">
                  <c:v>1</c:v>
                </c:pt>
                <c:pt idx="304">
                  <c:v>4</c:v>
                </c:pt>
                <c:pt idx="305">
                  <c:v>1</c:v>
                </c:pt>
                <c:pt idx="306">
                  <c:v>3</c:v>
                </c:pt>
                <c:pt idx="307">
                  <c:v>1</c:v>
                </c:pt>
                <c:pt idx="308">
                  <c:v>4</c:v>
                </c:pt>
                <c:pt idx="309">
                  <c:v>2</c:v>
                </c:pt>
                <c:pt idx="310">
                  <c:v>2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0</c:v>
                </c:pt>
                <c:pt idx="315">
                  <c:v>1</c:v>
                </c:pt>
                <c:pt idx="316">
                  <c:v>4</c:v>
                </c:pt>
                <c:pt idx="317">
                  <c:v>1</c:v>
                </c:pt>
                <c:pt idx="318">
                  <c:v>0</c:v>
                </c:pt>
                <c:pt idx="319">
                  <c:v>2</c:v>
                </c:pt>
                <c:pt idx="320">
                  <c:v>1</c:v>
                </c:pt>
                <c:pt idx="321">
                  <c:v>0</c:v>
                </c:pt>
                <c:pt idx="322">
                  <c:v>1</c:v>
                </c:pt>
                <c:pt idx="323">
                  <c:v>3</c:v>
                </c:pt>
                <c:pt idx="324">
                  <c:v>2</c:v>
                </c:pt>
                <c:pt idx="325">
                  <c:v>2</c:v>
                </c:pt>
                <c:pt idx="326">
                  <c:v>0</c:v>
                </c:pt>
                <c:pt idx="327">
                  <c:v>4</c:v>
                </c:pt>
                <c:pt idx="328">
                  <c:v>1</c:v>
                </c:pt>
                <c:pt idx="329">
                  <c:v>3</c:v>
                </c:pt>
                <c:pt idx="330">
                  <c:v>4</c:v>
                </c:pt>
                <c:pt idx="331">
                  <c:v>2</c:v>
                </c:pt>
                <c:pt idx="332">
                  <c:v>1</c:v>
                </c:pt>
                <c:pt idx="333">
                  <c:v>3</c:v>
                </c:pt>
                <c:pt idx="334">
                  <c:v>0</c:v>
                </c:pt>
                <c:pt idx="335">
                  <c:v>0</c:v>
                </c:pt>
                <c:pt idx="336">
                  <c:v>3</c:v>
                </c:pt>
                <c:pt idx="337">
                  <c:v>2</c:v>
                </c:pt>
                <c:pt idx="338">
                  <c:v>1</c:v>
                </c:pt>
                <c:pt idx="339">
                  <c:v>2</c:v>
                </c:pt>
                <c:pt idx="340">
                  <c:v>4</c:v>
                </c:pt>
                <c:pt idx="341">
                  <c:v>1</c:v>
                </c:pt>
                <c:pt idx="342">
                  <c:v>3</c:v>
                </c:pt>
                <c:pt idx="343">
                  <c:v>2</c:v>
                </c:pt>
                <c:pt idx="344">
                  <c:v>2</c:v>
                </c:pt>
                <c:pt idx="345">
                  <c:v>4</c:v>
                </c:pt>
                <c:pt idx="346">
                  <c:v>4</c:v>
                </c:pt>
                <c:pt idx="347">
                  <c:v>4</c:v>
                </c:pt>
                <c:pt idx="348">
                  <c:v>3</c:v>
                </c:pt>
                <c:pt idx="349">
                  <c:v>2</c:v>
                </c:pt>
                <c:pt idx="350">
                  <c:v>0</c:v>
                </c:pt>
                <c:pt idx="351">
                  <c:v>2</c:v>
                </c:pt>
                <c:pt idx="352">
                  <c:v>2</c:v>
                </c:pt>
                <c:pt idx="353">
                  <c:v>4</c:v>
                </c:pt>
                <c:pt idx="354">
                  <c:v>1</c:v>
                </c:pt>
                <c:pt idx="355">
                  <c:v>4</c:v>
                </c:pt>
                <c:pt idx="356">
                  <c:v>1</c:v>
                </c:pt>
                <c:pt idx="357">
                  <c:v>2</c:v>
                </c:pt>
                <c:pt idx="358">
                  <c:v>2</c:v>
                </c:pt>
                <c:pt idx="359">
                  <c:v>0</c:v>
                </c:pt>
                <c:pt idx="360">
                  <c:v>1</c:v>
                </c:pt>
                <c:pt idx="361">
                  <c:v>2</c:v>
                </c:pt>
                <c:pt idx="362">
                  <c:v>4</c:v>
                </c:pt>
                <c:pt idx="363">
                  <c:v>2</c:v>
                </c:pt>
                <c:pt idx="364">
                  <c:v>2</c:v>
                </c:pt>
                <c:pt idx="365">
                  <c:v>2</c:v>
                </c:pt>
                <c:pt idx="366">
                  <c:v>2</c:v>
                </c:pt>
                <c:pt idx="367">
                  <c:v>0</c:v>
                </c:pt>
                <c:pt idx="368">
                  <c:v>0</c:v>
                </c:pt>
                <c:pt idx="369">
                  <c:v>2</c:v>
                </c:pt>
                <c:pt idx="370">
                  <c:v>1</c:v>
                </c:pt>
                <c:pt idx="371">
                  <c:v>0</c:v>
                </c:pt>
                <c:pt idx="372">
                  <c:v>4</c:v>
                </c:pt>
                <c:pt idx="373">
                  <c:v>3</c:v>
                </c:pt>
                <c:pt idx="374">
                  <c:v>3</c:v>
                </c:pt>
                <c:pt idx="375">
                  <c:v>1</c:v>
                </c:pt>
                <c:pt idx="376">
                  <c:v>2</c:v>
                </c:pt>
                <c:pt idx="377">
                  <c:v>1</c:v>
                </c:pt>
                <c:pt idx="378">
                  <c:v>4</c:v>
                </c:pt>
                <c:pt idx="379">
                  <c:v>4</c:v>
                </c:pt>
                <c:pt idx="380">
                  <c:v>3</c:v>
                </c:pt>
                <c:pt idx="381">
                  <c:v>4</c:v>
                </c:pt>
                <c:pt idx="382">
                  <c:v>0</c:v>
                </c:pt>
                <c:pt idx="383">
                  <c:v>1</c:v>
                </c:pt>
                <c:pt idx="384">
                  <c:v>2</c:v>
                </c:pt>
                <c:pt idx="385">
                  <c:v>3</c:v>
                </c:pt>
                <c:pt idx="386">
                  <c:v>2</c:v>
                </c:pt>
                <c:pt idx="387">
                  <c:v>3</c:v>
                </c:pt>
                <c:pt idx="388">
                  <c:v>4</c:v>
                </c:pt>
                <c:pt idx="389">
                  <c:v>2</c:v>
                </c:pt>
                <c:pt idx="390">
                  <c:v>2</c:v>
                </c:pt>
                <c:pt idx="391">
                  <c:v>3</c:v>
                </c:pt>
                <c:pt idx="392">
                  <c:v>3</c:v>
                </c:pt>
                <c:pt idx="393">
                  <c:v>2</c:v>
                </c:pt>
                <c:pt idx="394">
                  <c:v>3</c:v>
                </c:pt>
                <c:pt idx="395">
                  <c:v>1</c:v>
                </c:pt>
                <c:pt idx="396">
                  <c:v>1</c:v>
                </c:pt>
                <c:pt idx="397">
                  <c:v>0</c:v>
                </c:pt>
                <c:pt idx="398">
                  <c:v>3</c:v>
                </c:pt>
                <c:pt idx="399">
                  <c:v>3</c:v>
                </c:pt>
                <c:pt idx="400">
                  <c:v>0</c:v>
                </c:pt>
                <c:pt idx="401">
                  <c:v>2</c:v>
                </c:pt>
                <c:pt idx="402">
                  <c:v>0</c:v>
                </c:pt>
                <c:pt idx="403">
                  <c:v>0</c:v>
                </c:pt>
                <c:pt idx="404">
                  <c:v>3</c:v>
                </c:pt>
                <c:pt idx="405">
                  <c:v>0</c:v>
                </c:pt>
                <c:pt idx="406">
                  <c:v>4</c:v>
                </c:pt>
                <c:pt idx="407">
                  <c:v>0</c:v>
                </c:pt>
                <c:pt idx="408">
                  <c:v>1</c:v>
                </c:pt>
                <c:pt idx="409">
                  <c:v>2</c:v>
                </c:pt>
                <c:pt idx="410">
                  <c:v>3</c:v>
                </c:pt>
                <c:pt idx="411">
                  <c:v>4</c:v>
                </c:pt>
                <c:pt idx="412">
                  <c:v>0</c:v>
                </c:pt>
                <c:pt idx="413">
                  <c:v>4</c:v>
                </c:pt>
                <c:pt idx="414">
                  <c:v>0</c:v>
                </c:pt>
                <c:pt idx="415">
                  <c:v>3</c:v>
                </c:pt>
                <c:pt idx="416">
                  <c:v>0</c:v>
                </c:pt>
                <c:pt idx="417">
                  <c:v>0</c:v>
                </c:pt>
                <c:pt idx="418">
                  <c:v>3</c:v>
                </c:pt>
                <c:pt idx="419">
                  <c:v>1</c:v>
                </c:pt>
                <c:pt idx="420">
                  <c:v>3</c:v>
                </c:pt>
                <c:pt idx="421">
                  <c:v>4</c:v>
                </c:pt>
                <c:pt idx="422">
                  <c:v>4</c:v>
                </c:pt>
                <c:pt idx="423">
                  <c:v>2</c:v>
                </c:pt>
                <c:pt idx="424">
                  <c:v>3</c:v>
                </c:pt>
                <c:pt idx="425">
                  <c:v>4</c:v>
                </c:pt>
                <c:pt idx="426">
                  <c:v>3</c:v>
                </c:pt>
                <c:pt idx="427">
                  <c:v>0</c:v>
                </c:pt>
                <c:pt idx="428">
                  <c:v>2</c:v>
                </c:pt>
                <c:pt idx="429">
                  <c:v>4</c:v>
                </c:pt>
                <c:pt idx="430">
                  <c:v>4</c:v>
                </c:pt>
                <c:pt idx="431">
                  <c:v>1</c:v>
                </c:pt>
                <c:pt idx="432">
                  <c:v>3</c:v>
                </c:pt>
                <c:pt idx="433">
                  <c:v>4</c:v>
                </c:pt>
                <c:pt idx="434">
                  <c:v>4</c:v>
                </c:pt>
                <c:pt idx="435">
                  <c:v>4</c:v>
                </c:pt>
                <c:pt idx="436">
                  <c:v>2</c:v>
                </c:pt>
                <c:pt idx="437">
                  <c:v>3</c:v>
                </c:pt>
                <c:pt idx="438">
                  <c:v>3</c:v>
                </c:pt>
                <c:pt idx="439">
                  <c:v>2</c:v>
                </c:pt>
                <c:pt idx="440">
                  <c:v>4</c:v>
                </c:pt>
                <c:pt idx="441">
                  <c:v>2</c:v>
                </c:pt>
                <c:pt idx="442">
                  <c:v>0</c:v>
                </c:pt>
                <c:pt idx="443">
                  <c:v>1</c:v>
                </c:pt>
                <c:pt idx="444">
                  <c:v>2</c:v>
                </c:pt>
                <c:pt idx="445">
                  <c:v>3</c:v>
                </c:pt>
                <c:pt idx="446">
                  <c:v>4</c:v>
                </c:pt>
                <c:pt idx="447">
                  <c:v>4</c:v>
                </c:pt>
                <c:pt idx="448">
                  <c:v>4</c:v>
                </c:pt>
                <c:pt idx="449">
                  <c:v>3</c:v>
                </c:pt>
                <c:pt idx="450">
                  <c:v>0</c:v>
                </c:pt>
                <c:pt idx="451">
                  <c:v>1</c:v>
                </c:pt>
                <c:pt idx="452">
                  <c:v>1</c:v>
                </c:pt>
                <c:pt idx="453">
                  <c:v>2</c:v>
                </c:pt>
                <c:pt idx="454">
                  <c:v>2</c:v>
                </c:pt>
                <c:pt idx="455">
                  <c:v>1</c:v>
                </c:pt>
                <c:pt idx="456">
                  <c:v>3</c:v>
                </c:pt>
                <c:pt idx="457">
                  <c:v>2</c:v>
                </c:pt>
                <c:pt idx="458">
                  <c:v>4</c:v>
                </c:pt>
                <c:pt idx="459">
                  <c:v>4</c:v>
                </c:pt>
                <c:pt idx="460">
                  <c:v>3</c:v>
                </c:pt>
                <c:pt idx="461">
                  <c:v>2</c:v>
                </c:pt>
                <c:pt idx="462">
                  <c:v>4</c:v>
                </c:pt>
                <c:pt idx="463">
                  <c:v>4</c:v>
                </c:pt>
                <c:pt idx="464">
                  <c:v>1</c:v>
                </c:pt>
                <c:pt idx="465">
                  <c:v>1</c:v>
                </c:pt>
                <c:pt idx="466">
                  <c:v>4</c:v>
                </c:pt>
                <c:pt idx="467">
                  <c:v>4</c:v>
                </c:pt>
                <c:pt idx="468">
                  <c:v>2</c:v>
                </c:pt>
                <c:pt idx="469">
                  <c:v>3</c:v>
                </c:pt>
                <c:pt idx="470">
                  <c:v>1</c:v>
                </c:pt>
                <c:pt idx="471">
                  <c:v>2</c:v>
                </c:pt>
                <c:pt idx="472">
                  <c:v>2</c:v>
                </c:pt>
                <c:pt idx="473">
                  <c:v>4</c:v>
                </c:pt>
                <c:pt idx="474">
                  <c:v>1</c:v>
                </c:pt>
                <c:pt idx="475">
                  <c:v>3</c:v>
                </c:pt>
                <c:pt idx="476">
                  <c:v>1</c:v>
                </c:pt>
                <c:pt idx="477">
                  <c:v>3</c:v>
                </c:pt>
                <c:pt idx="478">
                  <c:v>1</c:v>
                </c:pt>
                <c:pt idx="479">
                  <c:v>1</c:v>
                </c:pt>
                <c:pt idx="480">
                  <c:v>2</c:v>
                </c:pt>
                <c:pt idx="481">
                  <c:v>4</c:v>
                </c:pt>
                <c:pt idx="482">
                  <c:v>1</c:v>
                </c:pt>
                <c:pt idx="483">
                  <c:v>3</c:v>
                </c:pt>
                <c:pt idx="484">
                  <c:v>3</c:v>
                </c:pt>
                <c:pt idx="485">
                  <c:v>0</c:v>
                </c:pt>
                <c:pt idx="486">
                  <c:v>1</c:v>
                </c:pt>
                <c:pt idx="487">
                  <c:v>3</c:v>
                </c:pt>
                <c:pt idx="488">
                  <c:v>3</c:v>
                </c:pt>
                <c:pt idx="489">
                  <c:v>0</c:v>
                </c:pt>
                <c:pt idx="490">
                  <c:v>1</c:v>
                </c:pt>
                <c:pt idx="491">
                  <c:v>2</c:v>
                </c:pt>
                <c:pt idx="492">
                  <c:v>3</c:v>
                </c:pt>
                <c:pt idx="493">
                  <c:v>0</c:v>
                </c:pt>
                <c:pt idx="494">
                  <c:v>0</c:v>
                </c:pt>
                <c:pt idx="495">
                  <c:v>1</c:v>
                </c:pt>
                <c:pt idx="496">
                  <c:v>1</c:v>
                </c:pt>
                <c:pt idx="497">
                  <c:v>0</c:v>
                </c:pt>
                <c:pt idx="498">
                  <c:v>4</c:v>
                </c:pt>
                <c:pt idx="499">
                  <c:v>0</c:v>
                </c:pt>
                <c:pt idx="500">
                  <c:v>1</c:v>
                </c:pt>
                <c:pt idx="501">
                  <c:v>2</c:v>
                </c:pt>
                <c:pt idx="502">
                  <c:v>0</c:v>
                </c:pt>
                <c:pt idx="503">
                  <c:v>1</c:v>
                </c:pt>
                <c:pt idx="504">
                  <c:v>0</c:v>
                </c:pt>
                <c:pt idx="505">
                  <c:v>1</c:v>
                </c:pt>
                <c:pt idx="506">
                  <c:v>3</c:v>
                </c:pt>
                <c:pt idx="507">
                  <c:v>2</c:v>
                </c:pt>
                <c:pt idx="508">
                  <c:v>1</c:v>
                </c:pt>
                <c:pt idx="509">
                  <c:v>3</c:v>
                </c:pt>
                <c:pt idx="510">
                  <c:v>2</c:v>
                </c:pt>
                <c:pt idx="511">
                  <c:v>4</c:v>
                </c:pt>
                <c:pt idx="512">
                  <c:v>2</c:v>
                </c:pt>
                <c:pt idx="513">
                  <c:v>0</c:v>
                </c:pt>
                <c:pt idx="514">
                  <c:v>3</c:v>
                </c:pt>
                <c:pt idx="515">
                  <c:v>0</c:v>
                </c:pt>
                <c:pt idx="516">
                  <c:v>3</c:v>
                </c:pt>
                <c:pt idx="517">
                  <c:v>3</c:v>
                </c:pt>
                <c:pt idx="518">
                  <c:v>4</c:v>
                </c:pt>
                <c:pt idx="519">
                  <c:v>3</c:v>
                </c:pt>
                <c:pt idx="520">
                  <c:v>1</c:v>
                </c:pt>
                <c:pt idx="521">
                  <c:v>2</c:v>
                </c:pt>
                <c:pt idx="522">
                  <c:v>4</c:v>
                </c:pt>
                <c:pt idx="523">
                  <c:v>4</c:v>
                </c:pt>
                <c:pt idx="524">
                  <c:v>2</c:v>
                </c:pt>
                <c:pt idx="525">
                  <c:v>4</c:v>
                </c:pt>
                <c:pt idx="526">
                  <c:v>0</c:v>
                </c:pt>
                <c:pt idx="527">
                  <c:v>3</c:v>
                </c:pt>
                <c:pt idx="528">
                  <c:v>1</c:v>
                </c:pt>
                <c:pt idx="529">
                  <c:v>2</c:v>
                </c:pt>
                <c:pt idx="530">
                  <c:v>1</c:v>
                </c:pt>
                <c:pt idx="531">
                  <c:v>1</c:v>
                </c:pt>
                <c:pt idx="532">
                  <c:v>0</c:v>
                </c:pt>
                <c:pt idx="533">
                  <c:v>0</c:v>
                </c:pt>
                <c:pt idx="534">
                  <c:v>2</c:v>
                </c:pt>
                <c:pt idx="535">
                  <c:v>3</c:v>
                </c:pt>
                <c:pt idx="536">
                  <c:v>3</c:v>
                </c:pt>
                <c:pt idx="537">
                  <c:v>3</c:v>
                </c:pt>
                <c:pt idx="538">
                  <c:v>1</c:v>
                </c:pt>
                <c:pt idx="539">
                  <c:v>3</c:v>
                </c:pt>
                <c:pt idx="540">
                  <c:v>0</c:v>
                </c:pt>
                <c:pt idx="541">
                  <c:v>2</c:v>
                </c:pt>
                <c:pt idx="542">
                  <c:v>3</c:v>
                </c:pt>
                <c:pt idx="543">
                  <c:v>4</c:v>
                </c:pt>
                <c:pt idx="544">
                  <c:v>3</c:v>
                </c:pt>
                <c:pt idx="545">
                  <c:v>1</c:v>
                </c:pt>
                <c:pt idx="546">
                  <c:v>4</c:v>
                </c:pt>
                <c:pt idx="547">
                  <c:v>4</c:v>
                </c:pt>
                <c:pt idx="548">
                  <c:v>0</c:v>
                </c:pt>
                <c:pt idx="549">
                  <c:v>3</c:v>
                </c:pt>
                <c:pt idx="550">
                  <c:v>1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2</c:v>
                </c:pt>
                <c:pt idx="555">
                  <c:v>1</c:v>
                </c:pt>
                <c:pt idx="556">
                  <c:v>0</c:v>
                </c:pt>
                <c:pt idx="557">
                  <c:v>3</c:v>
                </c:pt>
                <c:pt idx="558">
                  <c:v>1</c:v>
                </c:pt>
                <c:pt idx="559">
                  <c:v>1</c:v>
                </c:pt>
                <c:pt idx="560">
                  <c:v>3</c:v>
                </c:pt>
                <c:pt idx="561">
                  <c:v>1</c:v>
                </c:pt>
                <c:pt idx="562">
                  <c:v>3</c:v>
                </c:pt>
                <c:pt idx="563">
                  <c:v>0</c:v>
                </c:pt>
                <c:pt idx="564">
                  <c:v>3</c:v>
                </c:pt>
                <c:pt idx="565">
                  <c:v>4</c:v>
                </c:pt>
                <c:pt idx="566">
                  <c:v>4</c:v>
                </c:pt>
                <c:pt idx="567">
                  <c:v>1</c:v>
                </c:pt>
                <c:pt idx="568">
                  <c:v>4</c:v>
                </c:pt>
                <c:pt idx="569">
                  <c:v>3</c:v>
                </c:pt>
                <c:pt idx="570">
                  <c:v>3</c:v>
                </c:pt>
                <c:pt idx="571">
                  <c:v>1</c:v>
                </c:pt>
                <c:pt idx="572">
                  <c:v>3</c:v>
                </c:pt>
                <c:pt idx="573">
                  <c:v>4</c:v>
                </c:pt>
                <c:pt idx="574">
                  <c:v>1</c:v>
                </c:pt>
                <c:pt idx="575">
                  <c:v>4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0</c:v>
                </c:pt>
                <c:pt idx="580">
                  <c:v>2</c:v>
                </c:pt>
                <c:pt idx="581">
                  <c:v>2</c:v>
                </c:pt>
                <c:pt idx="582">
                  <c:v>3</c:v>
                </c:pt>
                <c:pt idx="583">
                  <c:v>0</c:v>
                </c:pt>
                <c:pt idx="584">
                  <c:v>4</c:v>
                </c:pt>
                <c:pt idx="585">
                  <c:v>2</c:v>
                </c:pt>
                <c:pt idx="586">
                  <c:v>4</c:v>
                </c:pt>
                <c:pt idx="587">
                  <c:v>4</c:v>
                </c:pt>
                <c:pt idx="588">
                  <c:v>2</c:v>
                </c:pt>
                <c:pt idx="589">
                  <c:v>3</c:v>
                </c:pt>
                <c:pt idx="590">
                  <c:v>0</c:v>
                </c:pt>
                <c:pt idx="591">
                  <c:v>2</c:v>
                </c:pt>
                <c:pt idx="592">
                  <c:v>4</c:v>
                </c:pt>
                <c:pt idx="593">
                  <c:v>2</c:v>
                </c:pt>
                <c:pt idx="594">
                  <c:v>2</c:v>
                </c:pt>
                <c:pt idx="595">
                  <c:v>2</c:v>
                </c:pt>
                <c:pt idx="596">
                  <c:v>3</c:v>
                </c:pt>
                <c:pt idx="597">
                  <c:v>1</c:v>
                </c:pt>
                <c:pt idx="598">
                  <c:v>1</c:v>
                </c:pt>
                <c:pt idx="599">
                  <c:v>4</c:v>
                </c:pt>
                <c:pt idx="600">
                  <c:v>4</c:v>
                </c:pt>
                <c:pt idx="601">
                  <c:v>1</c:v>
                </c:pt>
                <c:pt idx="602">
                  <c:v>0</c:v>
                </c:pt>
                <c:pt idx="603">
                  <c:v>4</c:v>
                </c:pt>
                <c:pt idx="604">
                  <c:v>0</c:v>
                </c:pt>
                <c:pt idx="605">
                  <c:v>2</c:v>
                </c:pt>
                <c:pt idx="606">
                  <c:v>2</c:v>
                </c:pt>
                <c:pt idx="607">
                  <c:v>1</c:v>
                </c:pt>
                <c:pt idx="608">
                  <c:v>2</c:v>
                </c:pt>
                <c:pt idx="609">
                  <c:v>2</c:v>
                </c:pt>
                <c:pt idx="610">
                  <c:v>0</c:v>
                </c:pt>
                <c:pt idx="611">
                  <c:v>2</c:v>
                </c:pt>
                <c:pt idx="612">
                  <c:v>3</c:v>
                </c:pt>
                <c:pt idx="613">
                  <c:v>3</c:v>
                </c:pt>
                <c:pt idx="614">
                  <c:v>2</c:v>
                </c:pt>
                <c:pt idx="615">
                  <c:v>3</c:v>
                </c:pt>
                <c:pt idx="616">
                  <c:v>4</c:v>
                </c:pt>
                <c:pt idx="617">
                  <c:v>2</c:v>
                </c:pt>
                <c:pt idx="618">
                  <c:v>2</c:v>
                </c:pt>
                <c:pt idx="619">
                  <c:v>3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3</c:v>
                </c:pt>
                <c:pt idx="624">
                  <c:v>0</c:v>
                </c:pt>
                <c:pt idx="625">
                  <c:v>0</c:v>
                </c:pt>
                <c:pt idx="626">
                  <c:v>1</c:v>
                </c:pt>
                <c:pt idx="627">
                  <c:v>4</c:v>
                </c:pt>
                <c:pt idx="628">
                  <c:v>3</c:v>
                </c:pt>
                <c:pt idx="629">
                  <c:v>4</c:v>
                </c:pt>
                <c:pt idx="630">
                  <c:v>3</c:v>
                </c:pt>
                <c:pt idx="631">
                  <c:v>4</c:v>
                </c:pt>
                <c:pt idx="632">
                  <c:v>3</c:v>
                </c:pt>
                <c:pt idx="633">
                  <c:v>4</c:v>
                </c:pt>
                <c:pt idx="634">
                  <c:v>4</c:v>
                </c:pt>
                <c:pt idx="635">
                  <c:v>3</c:v>
                </c:pt>
                <c:pt idx="636">
                  <c:v>4</c:v>
                </c:pt>
                <c:pt idx="637">
                  <c:v>2</c:v>
                </c:pt>
                <c:pt idx="638">
                  <c:v>2</c:v>
                </c:pt>
                <c:pt idx="639">
                  <c:v>3</c:v>
                </c:pt>
                <c:pt idx="640">
                  <c:v>3</c:v>
                </c:pt>
                <c:pt idx="641">
                  <c:v>1</c:v>
                </c:pt>
                <c:pt idx="642">
                  <c:v>0</c:v>
                </c:pt>
                <c:pt idx="643">
                  <c:v>2</c:v>
                </c:pt>
                <c:pt idx="644">
                  <c:v>0</c:v>
                </c:pt>
                <c:pt idx="645">
                  <c:v>4</c:v>
                </c:pt>
                <c:pt idx="646">
                  <c:v>4</c:v>
                </c:pt>
                <c:pt idx="647">
                  <c:v>1</c:v>
                </c:pt>
                <c:pt idx="648">
                  <c:v>0</c:v>
                </c:pt>
                <c:pt idx="649">
                  <c:v>2</c:v>
                </c:pt>
                <c:pt idx="650">
                  <c:v>0</c:v>
                </c:pt>
                <c:pt idx="651">
                  <c:v>3</c:v>
                </c:pt>
                <c:pt idx="652">
                  <c:v>2</c:v>
                </c:pt>
                <c:pt idx="653">
                  <c:v>2</c:v>
                </c:pt>
                <c:pt idx="654">
                  <c:v>4</c:v>
                </c:pt>
                <c:pt idx="655">
                  <c:v>2</c:v>
                </c:pt>
                <c:pt idx="656">
                  <c:v>1</c:v>
                </c:pt>
                <c:pt idx="657">
                  <c:v>0</c:v>
                </c:pt>
                <c:pt idx="658">
                  <c:v>4</c:v>
                </c:pt>
                <c:pt idx="659">
                  <c:v>3</c:v>
                </c:pt>
                <c:pt idx="660">
                  <c:v>1</c:v>
                </c:pt>
                <c:pt idx="661">
                  <c:v>3</c:v>
                </c:pt>
                <c:pt idx="662">
                  <c:v>4</c:v>
                </c:pt>
                <c:pt idx="663">
                  <c:v>3</c:v>
                </c:pt>
                <c:pt idx="664">
                  <c:v>0</c:v>
                </c:pt>
                <c:pt idx="665">
                  <c:v>1</c:v>
                </c:pt>
                <c:pt idx="666">
                  <c:v>0</c:v>
                </c:pt>
                <c:pt idx="667">
                  <c:v>4</c:v>
                </c:pt>
                <c:pt idx="668">
                  <c:v>0</c:v>
                </c:pt>
                <c:pt idx="669">
                  <c:v>4</c:v>
                </c:pt>
                <c:pt idx="670">
                  <c:v>3</c:v>
                </c:pt>
                <c:pt idx="671">
                  <c:v>0</c:v>
                </c:pt>
                <c:pt idx="672">
                  <c:v>4</c:v>
                </c:pt>
                <c:pt idx="673">
                  <c:v>2</c:v>
                </c:pt>
                <c:pt idx="674">
                  <c:v>1</c:v>
                </c:pt>
                <c:pt idx="675">
                  <c:v>1</c:v>
                </c:pt>
                <c:pt idx="676">
                  <c:v>4</c:v>
                </c:pt>
                <c:pt idx="677">
                  <c:v>0</c:v>
                </c:pt>
                <c:pt idx="678">
                  <c:v>2</c:v>
                </c:pt>
                <c:pt idx="679">
                  <c:v>0</c:v>
                </c:pt>
                <c:pt idx="680">
                  <c:v>0</c:v>
                </c:pt>
                <c:pt idx="681">
                  <c:v>1</c:v>
                </c:pt>
                <c:pt idx="682">
                  <c:v>1</c:v>
                </c:pt>
                <c:pt idx="683">
                  <c:v>2</c:v>
                </c:pt>
                <c:pt idx="684">
                  <c:v>4</c:v>
                </c:pt>
                <c:pt idx="685">
                  <c:v>1</c:v>
                </c:pt>
                <c:pt idx="686">
                  <c:v>0</c:v>
                </c:pt>
                <c:pt idx="687">
                  <c:v>2</c:v>
                </c:pt>
                <c:pt idx="688">
                  <c:v>2</c:v>
                </c:pt>
                <c:pt idx="689">
                  <c:v>2</c:v>
                </c:pt>
                <c:pt idx="690">
                  <c:v>4</c:v>
                </c:pt>
                <c:pt idx="691">
                  <c:v>0</c:v>
                </c:pt>
                <c:pt idx="692">
                  <c:v>3</c:v>
                </c:pt>
                <c:pt idx="693">
                  <c:v>3</c:v>
                </c:pt>
                <c:pt idx="694">
                  <c:v>1</c:v>
                </c:pt>
                <c:pt idx="695">
                  <c:v>1</c:v>
                </c:pt>
                <c:pt idx="696">
                  <c:v>4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4</c:v>
                </c:pt>
                <c:pt idx="701">
                  <c:v>2</c:v>
                </c:pt>
                <c:pt idx="702">
                  <c:v>0</c:v>
                </c:pt>
                <c:pt idx="703">
                  <c:v>2</c:v>
                </c:pt>
                <c:pt idx="704">
                  <c:v>2</c:v>
                </c:pt>
                <c:pt idx="705">
                  <c:v>0</c:v>
                </c:pt>
                <c:pt idx="706">
                  <c:v>4</c:v>
                </c:pt>
                <c:pt idx="707">
                  <c:v>0</c:v>
                </c:pt>
                <c:pt idx="708">
                  <c:v>0</c:v>
                </c:pt>
                <c:pt idx="709">
                  <c:v>3</c:v>
                </c:pt>
                <c:pt idx="710">
                  <c:v>4</c:v>
                </c:pt>
                <c:pt idx="711">
                  <c:v>2</c:v>
                </c:pt>
                <c:pt idx="712">
                  <c:v>0</c:v>
                </c:pt>
                <c:pt idx="713">
                  <c:v>4</c:v>
                </c:pt>
                <c:pt idx="714">
                  <c:v>4</c:v>
                </c:pt>
                <c:pt idx="715">
                  <c:v>4</c:v>
                </c:pt>
                <c:pt idx="716">
                  <c:v>4</c:v>
                </c:pt>
                <c:pt idx="717">
                  <c:v>2</c:v>
                </c:pt>
                <c:pt idx="718">
                  <c:v>4</c:v>
                </c:pt>
                <c:pt idx="719">
                  <c:v>2</c:v>
                </c:pt>
                <c:pt idx="720">
                  <c:v>2</c:v>
                </c:pt>
                <c:pt idx="721">
                  <c:v>4</c:v>
                </c:pt>
                <c:pt idx="722">
                  <c:v>3</c:v>
                </c:pt>
                <c:pt idx="723">
                  <c:v>3</c:v>
                </c:pt>
                <c:pt idx="724">
                  <c:v>4</c:v>
                </c:pt>
                <c:pt idx="725">
                  <c:v>2</c:v>
                </c:pt>
                <c:pt idx="726">
                  <c:v>1</c:v>
                </c:pt>
                <c:pt idx="727">
                  <c:v>1</c:v>
                </c:pt>
                <c:pt idx="728">
                  <c:v>2</c:v>
                </c:pt>
                <c:pt idx="729">
                  <c:v>0</c:v>
                </c:pt>
                <c:pt idx="730">
                  <c:v>3</c:v>
                </c:pt>
                <c:pt idx="731">
                  <c:v>4</c:v>
                </c:pt>
                <c:pt idx="732">
                  <c:v>1</c:v>
                </c:pt>
                <c:pt idx="733">
                  <c:v>1</c:v>
                </c:pt>
                <c:pt idx="734">
                  <c:v>3</c:v>
                </c:pt>
                <c:pt idx="735">
                  <c:v>1</c:v>
                </c:pt>
                <c:pt idx="736">
                  <c:v>1</c:v>
                </c:pt>
                <c:pt idx="737">
                  <c:v>2</c:v>
                </c:pt>
                <c:pt idx="738">
                  <c:v>2</c:v>
                </c:pt>
                <c:pt idx="739">
                  <c:v>1</c:v>
                </c:pt>
                <c:pt idx="740">
                  <c:v>4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0</c:v>
                </c:pt>
                <c:pt idx="747">
                  <c:v>3</c:v>
                </c:pt>
                <c:pt idx="748">
                  <c:v>1</c:v>
                </c:pt>
                <c:pt idx="749">
                  <c:v>1</c:v>
                </c:pt>
                <c:pt idx="750">
                  <c:v>3</c:v>
                </c:pt>
                <c:pt idx="751">
                  <c:v>4</c:v>
                </c:pt>
                <c:pt idx="752">
                  <c:v>2</c:v>
                </c:pt>
                <c:pt idx="753">
                  <c:v>3</c:v>
                </c:pt>
                <c:pt idx="754">
                  <c:v>2</c:v>
                </c:pt>
                <c:pt idx="755">
                  <c:v>0</c:v>
                </c:pt>
                <c:pt idx="756">
                  <c:v>3</c:v>
                </c:pt>
                <c:pt idx="757">
                  <c:v>4</c:v>
                </c:pt>
                <c:pt idx="758">
                  <c:v>2</c:v>
                </c:pt>
                <c:pt idx="759">
                  <c:v>3</c:v>
                </c:pt>
                <c:pt idx="760">
                  <c:v>2</c:v>
                </c:pt>
                <c:pt idx="761">
                  <c:v>1</c:v>
                </c:pt>
                <c:pt idx="762">
                  <c:v>3</c:v>
                </c:pt>
                <c:pt idx="763">
                  <c:v>3</c:v>
                </c:pt>
                <c:pt idx="764">
                  <c:v>4</c:v>
                </c:pt>
                <c:pt idx="765">
                  <c:v>0</c:v>
                </c:pt>
                <c:pt idx="766">
                  <c:v>1</c:v>
                </c:pt>
                <c:pt idx="767">
                  <c:v>1</c:v>
                </c:pt>
                <c:pt idx="768">
                  <c:v>3</c:v>
                </c:pt>
                <c:pt idx="769">
                  <c:v>1</c:v>
                </c:pt>
                <c:pt idx="770">
                  <c:v>4</c:v>
                </c:pt>
                <c:pt idx="771">
                  <c:v>4</c:v>
                </c:pt>
                <c:pt idx="772">
                  <c:v>3</c:v>
                </c:pt>
                <c:pt idx="773">
                  <c:v>1</c:v>
                </c:pt>
                <c:pt idx="774">
                  <c:v>4</c:v>
                </c:pt>
                <c:pt idx="775">
                  <c:v>0</c:v>
                </c:pt>
                <c:pt idx="776">
                  <c:v>4</c:v>
                </c:pt>
                <c:pt idx="777">
                  <c:v>1</c:v>
                </c:pt>
                <c:pt idx="778">
                  <c:v>2</c:v>
                </c:pt>
                <c:pt idx="779">
                  <c:v>2</c:v>
                </c:pt>
                <c:pt idx="780">
                  <c:v>4</c:v>
                </c:pt>
                <c:pt idx="781">
                  <c:v>0</c:v>
                </c:pt>
                <c:pt idx="782">
                  <c:v>3</c:v>
                </c:pt>
                <c:pt idx="783">
                  <c:v>1</c:v>
                </c:pt>
                <c:pt idx="784">
                  <c:v>4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4</c:v>
                </c:pt>
                <c:pt idx="789">
                  <c:v>1</c:v>
                </c:pt>
                <c:pt idx="790">
                  <c:v>0</c:v>
                </c:pt>
                <c:pt idx="791">
                  <c:v>4</c:v>
                </c:pt>
                <c:pt idx="792">
                  <c:v>4</c:v>
                </c:pt>
                <c:pt idx="793">
                  <c:v>4</c:v>
                </c:pt>
                <c:pt idx="794">
                  <c:v>0</c:v>
                </c:pt>
                <c:pt idx="795">
                  <c:v>2</c:v>
                </c:pt>
                <c:pt idx="796">
                  <c:v>1</c:v>
                </c:pt>
                <c:pt idx="797">
                  <c:v>1</c:v>
                </c:pt>
                <c:pt idx="798">
                  <c:v>3</c:v>
                </c:pt>
                <c:pt idx="799">
                  <c:v>3</c:v>
                </c:pt>
                <c:pt idx="800">
                  <c:v>0</c:v>
                </c:pt>
                <c:pt idx="801">
                  <c:v>0</c:v>
                </c:pt>
                <c:pt idx="802">
                  <c:v>2</c:v>
                </c:pt>
                <c:pt idx="803">
                  <c:v>3</c:v>
                </c:pt>
                <c:pt idx="804">
                  <c:v>4</c:v>
                </c:pt>
                <c:pt idx="805">
                  <c:v>4</c:v>
                </c:pt>
                <c:pt idx="806">
                  <c:v>2</c:v>
                </c:pt>
                <c:pt idx="807">
                  <c:v>3</c:v>
                </c:pt>
                <c:pt idx="808">
                  <c:v>2</c:v>
                </c:pt>
                <c:pt idx="809">
                  <c:v>0</c:v>
                </c:pt>
                <c:pt idx="810">
                  <c:v>1</c:v>
                </c:pt>
                <c:pt idx="811">
                  <c:v>2</c:v>
                </c:pt>
                <c:pt idx="812">
                  <c:v>1</c:v>
                </c:pt>
                <c:pt idx="813">
                  <c:v>4</c:v>
                </c:pt>
                <c:pt idx="814">
                  <c:v>0</c:v>
                </c:pt>
                <c:pt idx="815">
                  <c:v>2</c:v>
                </c:pt>
                <c:pt idx="816">
                  <c:v>4</c:v>
                </c:pt>
                <c:pt idx="817">
                  <c:v>4</c:v>
                </c:pt>
                <c:pt idx="818">
                  <c:v>1</c:v>
                </c:pt>
                <c:pt idx="819">
                  <c:v>3</c:v>
                </c:pt>
                <c:pt idx="820">
                  <c:v>0</c:v>
                </c:pt>
                <c:pt idx="821">
                  <c:v>2</c:v>
                </c:pt>
                <c:pt idx="822">
                  <c:v>0</c:v>
                </c:pt>
                <c:pt idx="823">
                  <c:v>4</c:v>
                </c:pt>
                <c:pt idx="824">
                  <c:v>1</c:v>
                </c:pt>
                <c:pt idx="825">
                  <c:v>4</c:v>
                </c:pt>
                <c:pt idx="826">
                  <c:v>1</c:v>
                </c:pt>
                <c:pt idx="827">
                  <c:v>2</c:v>
                </c:pt>
                <c:pt idx="828">
                  <c:v>0</c:v>
                </c:pt>
                <c:pt idx="829">
                  <c:v>3</c:v>
                </c:pt>
                <c:pt idx="830">
                  <c:v>0</c:v>
                </c:pt>
                <c:pt idx="831">
                  <c:v>2</c:v>
                </c:pt>
                <c:pt idx="832">
                  <c:v>2</c:v>
                </c:pt>
                <c:pt idx="833">
                  <c:v>2</c:v>
                </c:pt>
                <c:pt idx="834">
                  <c:v>1</c:v>
                </c:pt>
                <c:pt idx="835">
                  <c:v>4</c:v>
                </c:pt>
                <c:pt idx="836">
                  <c:v>1</c:v>
                </c:pt>
                <c:pt idx="837">
                  <c:v>4</c:v>
                </c:pt>
                <c:pt idx="838">
                  <c:v>2</c:v>
                </c:pt>
                <c:pt idx="839">
                  <c:v>4</c:v>
                </c:pt>
                <c:pt idx="840">
                  <c:v>2</c:v>
                </c:pt>
                <c:pt idx="841">
                  <c:v>4</c:v>
                </c:pt>
                <c:pt idx="842">
                  <c:v>3</c:v>
                </c:pt>
                <c:pt idx="843">
                  <c:v>4</c:v>
                </c:pt>
                <c:pt idx="844">
                  <c:v>1</c:v>
                </c:pt>
                <c:pt idx="845">
                  <c:v>3</c:v>
                </c:pt>
                <c:pt idx="846">
                  <c:v>0</c:v>
                </c:pt>
                <c:pt idx="847">
                  <c:v>0</c:v>
                </c:pt>
                <c:pt idx="848">
                  <c:v>4</c:v>
                </c:pt>
                <c:pt idx="849">
                  <c:v>0</c:v>
                </c:pt>
                <c:pt idx="850">
                  <c:v>2</c:v>
                </c:pt>
                <c:pt idx="851">
                  <c:v>2</c:v>
                </c:pt>
                <c:pt idx="852">
                  <c:v>1</c:v>
                </c:pt>
                <c:pt idx="853">
                  <c:v>4</c:v>
                </c:pt>
                <c:pt idx="854">
                  <c:v>0</c:v>
                </c:pt>
                <c:pt idx="855">
                  <c:v>3</c:v>
                </c:pt>
                <c:pt idx="856">
                  <c:v>4</c:v>
                </c:pt>
                <c:pt idx="857">
                  <c:v>0</c:v>
                </c:pt>
                <c:pt idx="858">
                  <c:v>1</c:v>
                </c:pt>
                <c:pt idx="859">
                  <c:v>2</c:v>
                </c:pt>
                <c:pt idx="860">
                  <c:v>0</c:v>
                </c:pt>
                <c:pt idx="861">
                  <c:v>3</c:v>
                </c:pt>
                <c:pt idx="862">
                  <c:v>2</c:v>
                </c:pt>
                <c:pt idx="863">
                  <c:v>4</c:v>
                </c:pt>
                <c:pt idx="864">
                  <c:v>3</c:v>
                </c:pt>
                <c:pt idx="865">
                  <c:v>2</c:v>
                </c:pt>
                <c:pt idx="866">
                  <c:v>2</c:v>
                </c:pt>
                <c:pt idx="867">
                  <c:v>3</c:v>
                </c:pt>
                <c:pt idx="868">
                  <c:v>3</c:v>
                </c:pt>
                <c:pt idx="869">
                  <c:v>0</c:v>
                </c:pt>
                <c:pt idx="870">
                  <c:v>2</c:v>
                </c:pt>
                <c:pt idx="871">
                  <c:v>1</c:v>
                </c:pt>
                <c:pt idx="872">
                  <c:v>4</c:v>
                </c:pt>
                <c:pt idx="873">
                  <c:v>3</c:v>
                </c:pt>
                <c:pt idx="874">
                  <c:v>2</c:v>
                </c:pt>
                <c:pt idx="875">
                  <c:v>1</c:v>
                </c:pt>
                <c:pt idx="876">
                  <c:v>4</c:v>
                </c:pt>
                <c:pt idx="877">
                  <c:v>1</c:v>
                </c:pt>
                <c:pt idx="878">
                  <c:v>4</c:v>
                </c:pt>
                <c:pt idx="879">
                  <c:v>0</c:v>
                </c:pt>
                <c:pt idx="880">
                  <c:v>4</c:v>
                </c:pt>
                <c:pt idx="881">
                  <c:v>3</c:v>
                </c:pt>
                <c:pt idx="882">
                  <c:v>0</c:v>
                </c:pt>
                <c:pt idx="883">
                  <c:v>0</c:v>
                </c:pt>
                <c:pt idx="884">
                  <c:v>4</c:v>
                </c:pt>
                <c:pt idx="885">
                  <c:v>2</c:v>
                </c:pt>
                <c:pt idx="886">
                  <c:v>4</c:v>
                </c:pt>
                <c:pt idx="887">
                  <c:v>1</c:v>
                </c:pt>
                <c:pt idx="888">
                  <c:v>2</c:v>
                </c:pt>
                <c:pt idx="889">
                  <c:v>3</c:v>
                </c:pt>
                <c:pt idx="890">
                  <c:v>4</c:v>
                </c:pt>
                <c:pt idx="891">
                  <c:v>2</c:v>
                </c:pt>
                <c:pt idx="892">
                  <c:v>0</c:v>
                </c:pt>
                <c:pt idx="893">
                  <c:v>0</c:v>
                </c:pt>
                <c:pt idx="894">
                  <c:v>3</c:v>
                </c:pt>
                <c:pt idx="895">
                  <c:v>3</c:v>
                </c:pt>
                <c:pt idx="896">
                  <c:v>2</c:v>
                </c:pt>
                <c:pt idx="897">
                  <c:v>2</c:v>
                </c:pt>
                <c:pt idx="898">
                  <c:v>4</c:v>
                </c:pt>
                <c:pt idx="899">
                  <c:v>3</c:v>
                </c:pt>
                <c:pt idx="900">
                  <c:v>4</c:v>
                </c:pt>
                <c:pt idx="901">
                  <c:v>0</c:v>
                </c:pt>
                <c:pt idx="902">
                  <c:v>3</c:v>
                </c:pt>
                <c:pt idx="903">
                  <c:v>0</c:v>
                </c:pt>
                <c:pt idx="904">
                  <c:v>2</c:v>
                </c:pt>
                <c:pt idx="905">
                  <c:v>4</c:v>
                </c:pt>
                <c:pt idx="906">
                  <c:v>1</c:v>
                </c:pt>
                <c:pt idx="907">
                  <c:v>1</c:v>
                </c:pt>
                <c:pt idx="908">
                  <c:v>2</c:v>
                </c:pt>
                <c:pt idx="909">
                  <c:v>1</c:v>
                </c:pt>
                <c:pt idx="910">
                  <c:v>3</c:v>
                </c:pt>
                <c:pt idx="911">
                  <c:v>2</c:v>
                </c:pt>
                <c:pt idx="912">
                  <c:v>2</c:v>
                </c:pt>
                <c:pt idx="913">
                  <c:v>2</c:v>
                </c:pt>
                <c:pt idx="914">
                  <c:v>4</c:v>
                </c:pt>
                <c:pt idx="915">
                  <c:v>3</c:v>
                </c:pt>
                <c:pt idx="916">
                  <c:v>3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4</c:v>
                </c:pt>
                <c:pt idx="921">
                  <c:v>1</c:v>
                </c:pt>
                <c:pt idx="922">
                  <c:v>3</c:v>
                </c:pt>
                <c:pt idx="923">
                  <c:v>4</c:v>
                </c:pt>
                <c:pt idx="924">
                  <c:v>0</c:v>
                </c:pt>
                <c:pt idx="925">
                  <c:v>4</c:v>
                </c:pt>
                <c:pt idx="926">
                  <c:v>3</c:v>
                </c:pt>
                <c:pt idx="927">
                  <c:v>2</c:v>
                </c:pt>
                <c:pt idx="928">
                  <c:v>0</c:v>
                </c:pt>
                <c:pt idx="929">
                  <c:v>1</c:v>
                </c:pt>
                <c:pt idx="930">
                  <c:v>1</c:v>
                </c:pt>
                <c:pt idx="931">
                  <c:v>2</c:v>
                </c:pt>
                <c:pt idx="932">
                  <c:v>2</c:v>
                </c:pt>
                <c:pt idx="933">
                  <c:v>0</c:v>
                </c:pt>
                <c:pt idx="934">
                  <c:v>0</c:v>
                </c:pt>
                <c:pt idx="935">
                  <c:v>1</c:v>
                </c:pt>
                <c:pt idx="936">
                  <c:v>2</c:v>
                </c:pt>
                <c:pt idx="937">
                  <c:v>1</c:v>
                </c:pt>
                <c:pt idx="938">
                  <c:v>3</c:v>
                </c:pt>
                <c:pt idx="939">
                  <c:v>4</c:v>
                </c:pt>
                <c:pt idx="940">
                  <c:v>4</c:v>
                </c:pt>
                <c:pt idx="941">
                  <c:v>1</c:v>
                </c:pt>
                <c:pt idx="942">
                  <c:v>2</c:v>
                </c:pt>
                <c:pt idx="943">
                  <c:v>0</c:v>
                </c:pt>
                <c:pt idx="944">
                  <c:v>4</c:v>
                </c:pt>
                <c:pt idx="945">
                  <c:v>0</c:v>
                </c:pt>
                <c:pt idx="946">
                  <c:v>4</c:v>
                </c:pt>
                <c:pt idx="947">
                  <c:v>1</c:v>
                </c:pt>
                <c:pt idx="948">
                  <c:v>1</c:v>
                </c:pt>
                <c:pt idx="949">
                  <c:v>4</c:v>
                </c:pt>
                <c:pt idx="950">
                  <c:v>3</c:v>
                </c:pt>
                <c:pt idx="951">
                  <c:v>4</c:v>
                </c:pt>
                <c:pt idx="952">
                  <c:v>3</c:v>
                </c:pt>
                <c:pt idx="953">
                  <c:v>4</c:v>
                </c:pt>
                <c:pt idx="954">
                  <c:v>0</c:v>
                </c:pt>
                <c:pt idx="955">
                  <c:v>3</c:v>
                </c:pt>
                <c:pt idx="956">
                  <c:v>3</c:v>
                </c:pt>
                <c:pt idx="957">
                  <c:v>2</c:v>
                </c:pt>
                <c:pt idx="958">
                  <c:v>4</c:v>
                </c:pt>
                <c:pt idx="959">
                  <c:v>3</c:v>
                </c:pt>
                <c:pt idx="960">
                  <c:v>2</c:v>
                </c:pt>
                <c:pt idx="961">
                  <c:v>2</c:v>
                </c:pt>
                <c:pt idx="962">
                  <c:v>3</c:v>
                </c:pt>
                <c:pt idx="963">
                  <c:v>0</c:v>
                </c:pt>
                <c:pt idx="964">
                  <c:v>4</c:v>
                </c:pt>
                <c:pt idx="965">
                  <c:v>2</c:v>
                </c:pt>
                <c:pt idx="966">
                  <c:v>3</c:v>
                </c:pt>
                <c:pt idx="967">
                  <c:v>3</c:v>
                </c:pt>
                <c:pt idx="968">
                  <c:v>0</c:v>
                </c:pt>
                <c:pt idx="969">
                  <c:v>2</c:v>
                </c:pt>
                <c:pt idx="970">
                  <c:v>1</c:v>
                </c:pt>
                <c:pt idx="971">
                  <c:v>4</c:v>
                </c:pt>
                <c:pt idx="972">
                  <c:v>1</c:v>
                </c:pt>
                <c:pt idx="973">
                  <c:v>1</c:v>
                </c:pt>
                <c:pt idx="974">
                  <c:v>3</c:v>
                </c:pt>
                <c:pt idx="975">
                  <c:v>2</c:v>
                </c:pt>
                <c:pt idx="976">
                  <c:v>2</c:v>
                </c:pt>
                <c:pt idx="977">
                  <c:v>2</c:v>
                </c:pt>
                <c:pt idx="978">
                  <c:v>4</c:v>
                </c:pt>
                <c:pt idx="979">
                  <c:v>3</c:v>
                </c:pt>
                <c:pt idx="980">
                  <c:v>1</c:v>
                </c:pt>
                <c:pt idx="981">
                  <c:v>0</c:v>
                </c:pt>
                <c:pt idx="982">
                  <c:v>3</c:v>
                </c:pt>
                <c:pt idx="983">
                  <c:v>4</c:v>
                </c:pt>
                <c:pt idx="984">
                  <c:v>3</c:v>
                </c:pt>
                <c:pt idx="985">
                  <c:v>4</c:v>
                </c:pt>
                <c:pt idx="986">
                  <c:v>1</c:v>
                </c:pt>
                <c:pt idx="987">
                  <c:v>1</c:v>
                </c:pt>
                <c:pt idx="988">
                  <c:v>3</c:v>
                </c:pt>
                <c:pt idx="989">
                  <c:v>4</c:v>
                </c:pt>
                <c:pt idx="990">
                  <c:v>4</c:v>
                </c:pt>
                <c:pt idx="991">
                  <c:v>2</c:v>
                </c:pt>
                <c:pt idx="992">
                  <c:v>4</c:v>
                </c:pt>
                <c:pt idx="993">
                  <c:v>3</c:v>
                </c:pt>
                <c:pt idx="994">
                  <c:v>3</c:v>
                </c:pt>
                <c:pt idx="995">
                  <c:v>4</c:v>
                </c:pt>
                <c:pt idx="996">
                  <c:v>0</c:v>
                </c:pt>
                <c:pt idx="997">
                  <c:v>3</c:v>
                </c:pt>
                <c:pt idx="998">
                  <c:v>3</c:v>
                </c:pt>
                <c:pt idx="99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CE-47A1-BDD1-D95D278A1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1327472"/>
        <c:axId val="1375544496"/>
      </c:scatterChart>
      <c:valAx>
        <c:axId val="127132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Treatment</a:t>
                </a:r>
                <a:r>
                  <a:rPr lang="en-IN" baseline="0"/>
                  <a:t> Duration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544496"/>
        <c:crosses val="autoZero"/>
        <c:crossBetween val="midCat"/>
      </c:valAx>
      <c:valAx>
        <c:axId val="137554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Side</a:t>
                </a:r>
                <a:r>
                  <a:rPr lang="en-IN" baseline="0"/>
                  <a:t> Effects Numeric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327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Survival</a:t>
            </a:r>
            <a:r>
              <a:rPr lang="en-IN" baseline="0"/>
              <a:t> Rate vs. Progression-Free Survival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Clean_Data!$Z$1</c:f>
              <c:strCache>
                <c:ptCount val="1"/>
                <c:pt idx="0">
                  <c:v>Progression_Free_Survival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Clean_Data!$Y$2:$Y$1001</c:f>
              <c:numCache>
                <c:formatCode>General</c:formatCode>
                <c:ptCount val="1000"/>
                <c:pt idx="0">
                  <c:v>20.6</c:v>
                </c:pt>
                <c:pt idx="1">
                  <c:v>23.1</c:v>
                </c:pt>
                <c:pt idx="2">
                  <c:v>21.6</c:v>
                </c:pt>
                <c:pt idx="3">
                  <c:v>23.8</c:v>
                </c:pt>
                <c:pt idx="4">
                  <c:v>21.2</c:v>
                </c:pt>
                <c:pt idx="5">
                  <c:v>7</c:v>
                </c:pt>
                <c:pt idx="6">
                  <c:v>16</c:v>
                </c:pt>
                <c:pt idx="7">
                  <c:v>14.1</c:v>
                </c:pt>
                <c:pt idx="8">
                  <c:v>18.100000000000001</c:v>
                </c:pt>
                <c:pt idx="9">
                  <c:v>15.4</c:v>
                </c:pt>
                <c:pt idx="10">
                  <c:v>16.100000000000001</c:v>
                </c:pt>
                <c:pt idx="11">
                  <c:v>19.600000000000001</c:v>
                </c:pt>
                <c:pt idx="12">
                  <c:v>6.3</c:v>
                </c:pt>
                <c:pt idx="13">
                  <c:v>22.3</c:v>
                </c:pt>
                <c:pt idx="14">
                  <c:v>17.2</c:v>
                </c:pt>
                <c:pt idx="15">
                  <c:v>14.9</c:v>
                </c:pt>
                <c:pt idx="16">
                  <c:v>11.9</c:v>
                </c:pt>
                <c:pt idx="17">
                  <c:v>8.3000000000000007</c:v>
                </c:pt>
                <c:pt idx="18">
                  <c:v>12.2</c:v>
                </c:pt>
                <c:pt idx="19">
                  <c:v>9.5</c:v>
                </c:pt>
                <c:pt idx="20">
                  <c:v>7.6</c:v>
                </c:pt>
                <c:pt idx="21">
                  <c:v>15.1</c:v>
                </c:pt>
                <c:pt idx="22">
                  <c:v>7.5</c:v>
                </c:pt>
                <c:pt idx="23">
                  <c:v>20.5</c:v>
                </c:pt>
                <c:pt idx="24">
                  <c:v>14.7</c:v>
                </c:pt>
                <c:pt idx="25">
                  <c:v>6.7</c:v>
                </c:pt>
                <c:pt idx="26">
                  <c:v>15.6</c:v>
                </c:pt>
                <c:pt idx="27">
                  <c:v>10.8</c:v>
                </c:pt>
                <c:pt idx="28">
                  <c:v>11.9</c:v>
                </c:pt>
                <c:pt idx="29">
                  <c:v>20.2</c:v>
                </c:pt>
                <c:pt idx="30">
                  <c:v>19.399999999999999</c:v>
                </c:pt>
                <c:pt idx="31">
                  <c:v>17.600000000000001</c:v>
                </c:pt>
                <c:pt idx="32">
                  <c:v>10.3</c:v>
                </c:pt>
                <c:pt idx="33">
                  <c:v>9.4</c:v>
                </c:pt>
                <c:pt idx="34">
                  <c:v>15.4</c:v>
                </c:pt>
                <c:pt idx="35">
                  <c:v>23.5</c:v>
                </c:pt>
                <c:pt idx="36">
                  <c:v>18</c:v>
                </c:pt>
                <c:pt idx="37">
                  <c:v>19.899999999999999</c:v>
                </c:pt>
                <c:pt idx="38">
                  <c:v>10.4</c:v>
                </c:pt>
                <c:pt idx="39">
                  <c:v>8.8000000000000007</c:v>
                </c:pt>
                <c:pt idx="40">
                  <c:v>8.4</c:v>
                </c:pt>
                <c:pt idx="41">
                  <c:v>10.6</c:v>
                </c:pt>
                <c:pt idx="42">
                  <c:v>13.4</c:v>
                </c:pt>
                <c:pt idx="43">
                  <c:v>8.1999999999999993</c:v>
                </c:pt>
                <c:pt idx="44">
                  <c:v>19.3</c:v>
                </c:pt>
                <c:pt idx="45">
                  <c:v>9.6</c:v>
                </c:pt>
                <c:pt idx="46">
                  <c:v>15.4</c:v>
                </c:pt>
                <c:pt idx="47">
                  <c:v>13.9</c:v>
                </c:pt>
                <c:pt idx="48">
                  <c:v>15</c:v>
                </c:pt>
                <c:pt idx="49">
                  <c:v>22.3</c:v>
                </c:pt>
                <c:pt idx="50">
                  <c:v>12</c:v>
                </c:pt>
                <c:pt idx="51">
                  <c:v>22.1</c:v>
                </c:pt>
                <c:pt idx="52">
                  <c:v>19.399999999999999</c:v>
                </c:pt>
                <c:pt idx="53">
                  <c:v>12.2</c:v>
                </c:pt>
                <c:pt idx="54">
                  <c:v>13.2</c:v>
                </c:pt>
                <c:pt idx="55">
                  <c:v>19</c:v>
                </c:pt>
                <c:pt idx="56">
                  <c:v>12.2</c:v>
                </c:pt>
                <c:pt idx="57">
                  <c:v>14.3</c:v>
                </c:pt>
                <c:pt idx="58">
                  <c:v>17</c:v>
                </c:pt>
                <c:pt idx="59">
                  <c:v>18.5</c:v>
                </c:pt>
                <c:pt idx="60">
                  <c:v>16.899999999999999</c:v>
                </c:pt>
                <c:pt idx="61">
                  <c:v>14.1</c:v>
                </c:pt>
                <c:pt idx="62">
                  <c:v>22.6</c:v>
                </c:pt>
                <c:pt idx="63">
                  <c:v>7</c:v>
                </c:pt>
                <c:pt idx="64">
                  <c:v>13.2</c:v>
                </c:pt>
                <c:pt idx="65">
                  <c:v>19.3</c:v>
                </c:pt>
                <c:pt idx="66">
                  <c:v>9.1999999999999993</c:v>
                </c:pt>
                <c:pt idx="67">
                  <c:v>16.5</c:v>
                </c:pt>
                <c:pt idx="68">
                  <c:v>23.3</c:v>
                </c:pt>
                <c:pt idx="69">
                  <c:v>15</c:v>
                </c:pt>
                <c:pt idx="70">
                  <c:v>22.2</c:v>
                </c:pt>
                <c:pt idx="71">
                  <c:v>16.2</c:v>
                </c:pt>
                <c:pt idx="72">
                  <c:v>13.9</c:v>
                </c:pt>
                <c:pt idx="73">
                  <c:v>21.5</c:v>
                </c:pt>
                <c:pt idx="74">
                  <c:v>13.4</c:v>
                </c:pt>
                <c:pt idx="75">
                  <c:v>6.5</c:v>
                </c:pt>
                <c:pt idx="76">
                  <c:v>7.9</c:v>
                </c:pt>
                <c:pt idx="77">
                  <c:v>7.8</c:v>
                </c:pt>
                <c:pt idx="78">
                  <c:v>13.1</c:v>
                </c:pt>
                <c:pt idx="79">
                  <c:v>6.2</c:v>
                </c:pt>
                <c:pt idx="80">
                  <c:v>16.5</c:v>
                </c:pt>
                <c:pt idx="81">
                  <c:v>10.7</c:v>
                </c:pt>
                <c:pt idx="82">
                  <c:v>13.4</c:v>
                </c:pt>
                <c:pt idx="83">
                  <c:v>19.7</c:v>
                </c:pt>
                <c:pt idx="84">
                  <c:v>20.399999999999999</c:v>
                </c:pt>
                <c:pt idx="85">
                  <c:v>17.399999999999999</c:v>
                </c:pt>
                <c:pt idx="86">
                  <c:v>15.5</c:v>
                </c:pt>
                <c:pt idx="87">
                  <c:v>8.1</c:v>
                </c:pt>
                <c:pt idx="88">
                  <c:v>20.9</c:v>
                </c:pt>
                <c:pt idx="89">
                  <c:v>21.7</c:v>
                </c:pt>
                <c:pt idx="90">
                  <c:v>22.5</c:v>
                </c:pt>
                <c:pt idx="91">
                  <c:v>9</c:v>
                </c:pt>
                <c:pt idx="92">
                  <c:v>13</c:v>
                </c:pt>
                <c:pt idx="93">
                  <c:v>16.2</c:v>
                </c:pt>
                <c:pt idx="94">
                  <c:v>9.9</c:v>
                </c:pt>
                <c:pt idx="95">
                  <c:v>14.9</c:v>
                </c:pt>
                <c:pt idx="96">
                  <c:v>7.4</c:v>
                </c:pt>
                <c:pt idx="97">
                  <c:v>10.4</c:v>
                </c:pt>
                <c:pt idx="98">
                  <c:v>16.600000000000001</c:v>
                </c:pt>
                <c:pt idx="99">
                  <c:v>23.1</c:v>
                </c:pt>
                <c:pt idx="100">
                  <c:v>19.2</c:v>
                </c:pt>
                <c:pt idx="101">
                  <c:v>10.5</c:v>
                </c:pt>
                <c:pt idx="102">
                  <c:v>6.7</c:v>
                </c:pt>
                <c:pt idx="103">
                  <c:v>22.5</c:v>
                </c:pt>
                <c:pt idx="104">
                  <c:v>23.5</c:v>
                </c:pt>
                <c:pt idx="105">
                  <c:v>11.7</c:v>
                </c:pt>
                <c:pt idx="106">
                  <c:v>8.1999999999999993</c:v>
                </c:pt>
                <c:pt idx="107">
                  <c:v>7.2</c:v>
                </c:pt>
                <c:pt idx="108">
                  <c:v>17.3</c:v>
                </c:pt>
                <c:pt idx="109">
                  <c:v>21.7</c:v>
                </c:pt>
                <c:pt idx="110">
                  <c:v>20.399999999999999</c:v>
                </c:pt>
                <c:pt idx="111">
                  <c:v>14.6</c:v>
                </c:pt>
                <c:pt idx="112">
                  <c:v>13.5</c:v>
                </c:pt>
                <c:pt idx="113">
                  <c:v>12.4</c:v>
                </c:pt>
                <c:pt idx="114">
                  <c:v>6.3</c:v>
                </c:pt>
                <c:pt idx="115">
                  <c:v>9.9</c:v>
                </c:pt>
                <c:pt idx="116">
                  <c:v>21.8</c:v>
                </c:pt>
                <c:pt idx="117">
                  <c:v>23.8</c:v>
                </c:pt>
                <c:pt idx="118">
                  <c:v>15.2</c:v>
                </c:pt>
                <c:pt idx="119">
                  <c:v>20</c:v>
                </c:pt>
                <c:pt idx="120">
                  <c:v>22.7</c:v>
                </c:pt>
                <c:pt idx="121">
                  <c:v>18.5</c:v>
                </c:pt>
                <c:pt idx="122">
                  <c:v>15.7</c:v>
                </c:pt>
                <c:pt idx="123">
                  <c:v>10.8</c:v>
                </c:pt>
                <c:pt idx="124">
                  <c:v>20.6</c:v>
                </c:pt>
                <c:pt idx="125">
                  <c:v>12.7</c:v>
                </c:pt>
                <c:pt idx="126">
                  <c:v>10</c:v>
                </c:pt>
                <c:pt idx="127">
                  <c:v>14.7</c:v>
                </c:pt>
                <c:pt idx="128">
                  <c:v>16.2</c:v>
                </c:pt>
                <c:pt idx="129">
                  <c:v>21.3</c:v>
                </c:pt>
                <c:pt idx="130">
                  <c:v>18.2</c:v>
                </c:pt>
                <c:pt idx="131">
                  <c:v>21.7</c:v>
                </c:pt>
                <c:pt idx="132">
                  <c:v>19.399999999999999</c:v>
                </c:pt>
                <c:pt idx="133">
                  <c:v>6.1</c:v>
                </c:pt>
                <c:pt idx="134">
                  <c:v>10.7</c:v>
                </c:pt>
                <c:pt idx="135">
                  <c:v>19.7</c:v>
                </c:pt>
                <c:pt idx="136">
                  <c:v>22.8</c:v>
                </c:pt>
                <c:pt idx="137">
                  <c:v>11.4</c:v>
                </c:pt>
                <c:pt idx="138">
                  <c:v>17.2</c:v>
                </c:pt>
                <c:pt idx="139">
                  <c:v>19.5</c:v>
                </c:pt>
                <c:pt idx="140">
                  <c:v>11.8</c:v>
                </c:pt>
                <c:pt idx="141">
                  <c:v>10.9</c:v>
                </c:pt>
                <c:pt idx="142">
                  <c:v>20.3</c:v>
                </c:pt>
                <c:pt idx="143">
                  <c:v>17.8</c:v>
                </c:pt>
                <c:pt idx="144">
                  <c:v>23</c:v>
                </c:pt>
                <c:pt idx="145">
                  <c:v>23.7</c:v>
                </c:pt>
                <c:pt idx="146">
                  <c:v>6.6</c:v>
                </c:pt>
                <c:pt idx="147">
                  <c:v>23.4</c:v>
                </c:pt>
                <c:pt idx="148">
                  <c:v>21.2</c:v>
                </c:pt>
                <c:pt idx="149">
                  <c:v>22.6</c:v>
                </c:pt>
                <c:pt idx="150">
                  <c:v>8.3000000000000007</c:v>
                </c:pt>
                <c:pt idx="151">
                  <c:v>7.2</c:v>
                </c:pt>
                <c:pt idx="152">
                  <c:v>14.2</c:v>
                </c:pt>
                <c:pt idx="153">
                  <c:v>16.8</c:v>
                </c:pt>
                <c:pt idx="154">
                  <c:v>6.7</c:v>
                </c:pt>
                <c:pt idx="155">
                  <c:v>8.6</c:v>
                </c:pt>
                <c:pt idx="156">
                  <c:v>6.2</c:v>
                </c:pt>
                <c:pt idx="157">
                  <c:v>6.6</c:v>
                </c:pt>
                <c:pt idx="158">
                  <c:v>18.399999999999999</c:v>
                </c:pt>
                <c:pt idx="159">
                  <c:v>17.5</c:v>
                </c:pt>
                <c:pt idx="160">
                  <c:v>15.7</c:v>
                </c:pt>
                <c:pt idx="161">
                  <c:v>12.1</c:v>
                </c:pt>
                <c:pt idx="162">
                  <c:v>20.7</c:v>
                </c:pt>
                <c:pt idx="163">
                  <c:v>7.5</c:v>
                </c:pt>
                <c:pt idx="164">
                  <c:v>9.9</c:v>
                </c:pt>
                <c:pt idx="165">
                  <c:v>17.899999999999999</c:v>
                </c:pt>
                <c:pt idx="166">
                  <c:v>23.9</c:v>
                </c:pt>
                <c:pt idx="167">
                  <c:v>7.3</c:v>
                </c:pt>
                <c:pt idx="168">
                  <c:v>19.100000000000001</c:v>
                </c:pt>
                <c:pt idx="169">
                  <c:v>23.8</c:v>
                </c:pt>
                <c:pt idx="170">
                  <c:v>19.100000000000001</c:v>
                </c:pt>
                <c:pt idx="171">
                  <c:v>11</c:v>
                </c:pt>
                <c:pt idx="172">
                  <c:v>17.399999999999999</c:v>
                </c:pt>
                <c:pt idx="173">
                  <c:v>9.1999999999999993</c:v>
                </c:pt>
                <c:pt idx="174">
                  <c:v>14.9</c:v>
                </c:pt>
                <c:pt idx="175">
                  <c:v>12.5</c:v>
                </c:pt>
                <c:pt idx="176">
                  <c:v>10.6</c:v>
                </c:pt>
                <c:pt idx="177">
                  <c:v>23.5</c:v>
                </c:pt>
                <c:pt idx="178">
                  <c:v>15.4</c:v>
                </c:pt>
                <c:pt idx="179">
                  <c:v>17.100000000000001</c:v>
                </c:pt>
                <c:pt idx="180">
                  <c:v>19.3</c:v>
                </c:pt>
                <c:pt idx="181">
                  <c:v>16.5</c:v>
                </c:pt>
                <c:pt idx="182">
                  <c:v>7</c:v>
                </c:pt>
                <c:pt idx="183">
                  <c:v>14.1</c:v>
                </c:pt>
                <c:pt idx="184">
                  <c:v>8.6999999999999993</c:v>
                </c:pt>
                <c:pt idx="185">
                  <c:v>17.5</c:v>
                </c:pt>
                <c:pt idx="186">
                  <c:v>18</c:v>
                </c:pt>
                <c:pt idx="187">
                  <c:v>9.6</c:v>
                </c:pt>
                <c:pt idx="188">
                  <c:v>14</c:v>
                </c:pt>
                <c:pt idx="189">
                  <c:v>23</c:v>
                </c:pt>
                <c:pt idx="190">
                  <c:v>16.3</c:v>
                </c:pt>
                <c:pt idx="191">
                  <c:v>9.9</c:v>
                </c:pt>
                <c:pt idx="192">
                  <c:v>17.8</c:v>
                </c:pt>
                <c:pt idx="193">
                  <c:v>21.7</c:v>
                </c:pt>
                <c:pt idx="194">
                  <c:v>13.3</c:v>
                </c:pt>
                <c:pt idx="195">
                  <c:v>20.399999999999999</c:v>
                </c:pt>
                <c:pt idx="196">
                  <c:v>6.1</c:v>
                </c:pt>
                <c:pt idx="197">
                  <c:v>13</c:v>
                </c:pt>
                <c:pt idx="198">
                  <c:v>7.3</c:v>
                </c:pt>
                <c:pt idx="199">
                  <c:v>12.8</c:v>
                </c:pt>
                <c:pt idx="200">
                  <c:v>12.1</c:v>
                </c:pt>
                <c:pt idx="201">
                  <c:v>16.899999999999999</c:v>
                </c:pt>
                <c:pt idx="202">
                  <c:v>6.3</c:v>
                </c:pt>
                <c:pt idx="203">
                  <c:v>10.4</c:v>
                </c:pt>
                <c:pt idx="204">
                  <c:v>7.8</c:v>
                </c:pt>
                <c:pt idx="205">
                  <c:v>20.5</c:v>
                </c:pt>
                <c:pt idx="206">
                  <c:v>10.9</c:v>
                </c:pt>
                <c:pt idx="207">
                  <c:v>9.3000000000000007</c:v>
                </c:pt>
                <c:pt idx="208">
                  <c:v>10.6</c:v>
                </c:pt>
                <c:pt idx="209">
                  <c:v>6.8</c:v>
                </c:pt>
                <c:pt idx="210">
                  <c:v>21.9</c:v>
                </c:pt>
                <c:pt idx="211">
                  <c:v>21.1</c:v>
                </c:pt>
                <c:pt idx="212">
                  <c:v>10.9</c:v>
                </c:pt>
                <c:pt idx="213">
                  <c:v>17.2</c:v>
                </c:pt>
                <c:pt idx="214">
                  <c:v>21.5</c:v>
                </c:pt>
                <c:pt idx="215">
                  <c:v>16.899999999999999</c:v>
                </c:pt>
                <c:pt idx="216">
                  <c:v>14.9</c:v>
                </c:pt>
                <c:pt idx="217">
                  <c:v>13.7</c:v>
                </c:pt>
                <c:pt idx="218">
                  <c:v>7.9</c:v>
                </c:pt>
                <c:pt idx="219">
                  <c:v>7.5</c:v>
                </c:pt>
                <c:pt idx="220">
                  <c:v>12.4</c:v>
                </c:pt>
                <c:pt idx="221">
                  <c:v>10.199999999999999</c:v>
                </c:pt>
                <c:pt idx="222">
                  <c:v>11.8</c:v>
                </c:pt>
                <c:pt idx="223">
                  <c:v>16</c:v>
                </c:pt>
                <c:pt idx="224">
                  <c:v>23.2</c:v>
                </c:pt>
                <c:pt idx="225">
                  <c:v>7.7</c:v>
                </c:pt>
                <c:pt idx="226">
                  <c:v>20.3</c:v>
                </c:pt>
                <c:pt idx="227">
                  <c:v>23.9</c:v>
                </c:pt>
                <c:pt idx="228">
                  <c:v>17.2</c:v>
                </c:pt>
                <c:pt idx="229">
                  <c:v>20.100000000000001</c:v>
                </c:pt>
                <c:pt idx="230">
                  <c:v>12.5</c:v>
                </c:pt>
                <c:pt idx="231">
                  <c:v>13.1</c:v>
                </c:pt>
                <c:pt idx="232">
                  <c:v>14.9</c:v>
                </c:pt>
                <c:pt idx="233">
                  <c:v>8.1</c:v>
                </c:pt>
                <c:pt idx="234">
                  <c:v>20.5</c:v>
                </c:pt>
                <c:pt idx="235">
                  <c:v>9.1</c:v>
                </c:pt>
                <c:pt idx="236">
                  <c:v>20.8</c:v>
                </c:pt>
                <c:pt idx="237">
                  <c:v>16.899999999999999</c:v>
                </c:pt>
                <c:pt idx="238">
                  <c:v>8.6</c:v>
                </c:pt>
                <c:pt idx="239">
                  <c:v>23.3</c:v>
                </c:pt>
                <c:pt idx="240">
                  <c:v>15.1</c:v>
                </c:pt>
                <c:pt idx="241">
                  <c:v>17.2</c:v>
                </c:pt>
                <c:pt idx="242">
                  <c:v>14.3</c:v>
                </c:pt>
                <c:pt idx="243">
                  <c:v>23.7</c:v>
                </c:pt>
                <c:pt idx="244">
                  <c:v>7.8</c:v>
                </c:pt>
                <c:pt idx="245">
                  <c:v>20.7</c:v>
                </c:pt>
                <c:pt idx="246">
                  <c:v>13.7</c:v>
                </c:pt>
                <c:pt idx="247">
                  <c:v>12.6</c:v>
                </c:pt>
                <c:pt idx="248">
                  <c:v>6.2</c:v>
                </c:pt>
                <c:pt idx="249">
                  <c:v>19.7</c:v>
                </c:pt>
                <c:pt idx="250">
                  <c:v>10.3</c:v>
                </c:pt>
                <c:pt idx="251">
                  <c:v>8</c:v>
                </c:pt>
                <c:pt idx="252">
                  <c:v>14.8</c:v>
                </c:pt>
                <c:pt idx="253">
                  <c:v>12.8</c:v>
                </c:pt>
                <c:pt idx="254">
                  <c:v>23.2</c:v>
                </c:pt>
                <c:pt idx="255">
                  <c:v>10.6</c:v>
                </c:pt>
                <c:pt idx="256">
                  <c:v>17.5</c:v>
                </c:pt>
                <c:pt idx="257">
                  <c:v>7.2</c:v>
                </c:pt>
                <c:pt idx="258">
                  <c:v>18.2</c:v>
                </c:pt>
                <c:pt idx="259">
                  <c:v>7.3</c:v>
                </c:pt>
                <c:pt idx="260">
                  <c:v>11.3</c:v>
                </c:pt>
                <c:pt idx="261">
                  <c:v>9.1</c:v>
                </c:pt>
                <c:pt idx="262">
                  <c:v>6.4</c:v>
                </c:pt>
                <c:pt idx="263">
                  <c:v>17.2</c:v>
                </c:pt>
                <c:pt idx="264">
                  <c:v>19.899999999999999</c:v>
                </c:pt>
                <c:pt idx="265">
                  <c:v>20.399999999999999</c:v>
                </c:pt>
                <c:pt idx="266">
                  <c:v>19.5</c:v>
                </c:pt>
                <c:pt idx="267">
                  <c:v>22.7</c:v>
                </c:pt>
                <c:pt idx="268">
                  <c:v>17</c:v>
                </c:pt>
                <c:pt idx="269">
                  <c:v>22</c:v>
                </c:pt>
                <c:pt idx="270">
                  <c:v>21.2</c:v>
                </c:pt>
                <c:pt idx="271">
                  <c:v>21.2</c:v>
                </c:pt>
                <c:pt idx="272">
                  <c:v>15.8</c:v>
                </c:pt>
                <c:pt idx="273">
                  <c:v>8.4</c:v>
                </c:pt>
                <c:pt idx="274">
                  <c:v>21.1</c:v>
                </c:pt>
                <c:pt idx="275">
                  <c:v>11.4</c:v>
                </c:pt>
                <c:pt idx="276">
                  <c:v>19.7</c:v>
                </c:pt>
                <c:pt idx="277">
                  <c:v>19.100000000000001</c:v>
                </c:pt>
                <c:pt idx="278">
                  <c:v>9.6999999999999993</c:v>
                </c:pt>
                <c:pt idx="279">
                  <c:v>12.4</c:v>
                </c:pt>
                <c:pt idx="280">
                  <c:v>6.6</c:v>
                </c:pt>
                <c:pt idx="281">
                  <c:v>11.9</c:v>
                </c:pt>
                <c:pt idx="282">
                  <c:v>12.6</c:v>
                </c:pt>
                <c:pt idx="283">
                  <c:v>13</c:v>
                </c:pt>
                <c:pt idx="284">
                  <c:v>12.4</c:v>
                </c:pt>
                <c:pt idx="285">
                  <c:v>17.600000000000001</c:v>
                </c:pt>
                <c:pt idx="286">
                  <c:v>16.899999999999999</c:v>
                </c:pt>
                <c:pt idx="287">
                  <c:v>15</c:v>
                </c:pt>
                <c:pt idx="288">
                  <c:v>18.7</c:v>
                </c:pt>
                <c:pt idx="289">
                  <c:v>11.9</c:v>
                </c:pt>
                <c:pt idx="290">
                  <c:v>19.2</c:v>
                </c:pt>
                <c:pt idx="291">
                  <c:v>17.5</c:v>
                </c:pt>
                <c:pt idx="292">
                  <c:v>12.9</c:v>
                </c:pt>
                <c:pt idx="293">
                  <c:v>12</c:v>
                </c:pt>
                <c:pt idx="294">
                  <c:v>15.3</c:v>
                </c:pt>
                <c:pt idx="295">
                  <c:v>21.7</c:v>
                </c:pt>
                <c:pt idx="296">
                  <c:v>14.7</c:v>
                </c:pt>
                <c:pt idx="297">
                  <c:v>13.9</c:v>
                </c:pt>
                <c:pt idx="298">
                  <c:v>8.4</c:v>
                </c:pt>
                <c:pt idx="299">
                  <c:v>7</c:v>
                </c:pt>
                <c:pt idx="300">
                  <c:v>10.5</c:v>
                </c:pt>
                <c:pt idx="301">
                  <c:v>7.2</c:v>
                </c:pt>
                <c:pt idx="302">
                  <c:v>8.5</c:v>
                </c:pt>
                <c:pt idx="303">
                  <c:v>6.4</c:v>
                </c:pt>
                <c:pt idx="304">
                  <c:v>6.9</c:v>
                </c:pt>
                <c:pt idx="305">
                  <c:v>10.6</c:v>
                </c:pt>
                <c:pt idx="306">
                  <c:v>23.5</c:v>
                </c:pt>
                <c:pt idx="307">
                  <c:v>10.1</c:v>
                </c:pt>
                <c:pt idx="308">
                  <c:v>8.1</c:v>
                </c:pt>
                <c:pt idx="309">
                  <c:v>15.8</c:v>
                </c:pt>
                <c:pt idx="310">
                  <c:v>23</c:v>
                </c:pt>
                <c:pt idx="311">
                  <c:v>17.7</c:v>
                </c:pt>
                <c:pt idx="312">
                  <c:v>14.3</c:v>
                </c:pt>
                <c:pt idx="313">
                  <c:v>9</c:v>
                </c:pt>
                <c:pt idx="314">
                  <c:v>21.8</c:v>
                </c:pt>
                <c:pt idx="315">
                  <c:v>23.7</c:v>
                </c:pt>
                <c:pt idx="316">
                  <c:v>22.4</c:v>
                </c:pt>
                <c:pt idx="317">
                  <c:v>20.8</c:v>
                </c:pt>
                <c:pt idx="318">
                  <c:v>15.4</c:v>
                </c:pt>
                <c:pt idx="319">
                  <c:v>20.399999999999999</c:v>
                </c:pt>
                <c:pt idx="320">
                  <c:v>18.5</c:v>
                </c:pt>
                <c:pt idx="321">
                  <c:v>11</c:v>
                </c:pt>
                <c:pt idx="322">
                  <c:v>22.1</c:v>
                </c:pt>
                <c:pt idx="323">
                  <c:v>7.5</c:v>
                </c:pt>
                <c:pt idx="324">
                  <c:v>13.5</c:v>
                </c:pt>
                <c:pt idx="325">
                  <c:v>21.9</c:v>
                </c:pt>
                <c:pt idx="326">
                  <c:v>15.5</c:v>
                </c:pt>
                <c:pt idx="327">
                  <c:v>9.4</c:v>
                </c:pt>
                <c:pt idx="328">
                  <c:v>11.7</c:v>
                </c:pt>
                <c:pt idx="329">
                  <c:v>14.9</c:v>
                </c:pt>
                <c:pt idx="330">
                  <c:v>20.9</c:v>
                </c:pt>
                <c:pt idx="331">
                  <c:v>14.1</c:v>
                </c:pt>
                <c:pt idx="332">
                  <c:v>21.1</c:v>
                </c:pt>
                <c:pt idx="333">
                  <c:v>18.2</c:v>
                </c:pt>
                <c:pt idx="334">
                  <c:v>21.4</c:v>
                </c:pt>
                <c:pt idx="335">
                  <c:v>18.5</c:v>
                </c:pt>
                <c:pt idx="336">
                  <c:v>11.5</c:v>
                </c:pt>
                <c:pt idx="337">
                  <c:v>20.2</c:v>
                </c:pt>
                <c:pt idx="338">
                  <c:v>16.100000000000001</c:v>
                </c:pt>
                <c:pt idx="339">
                  <c:v>15.8</c:v>
                </c:pt>
                <c:pt idx="340">
                  <c:v>6.8</c:v>
                </c:pt>
                <c:pt idx="341">
                  <c:v>11.3</c:v>
                </c:pt>
                <c:pt idx="342">
                  <c:v>23.3</c:v>
                </c:pt>
                <c:pt idx="343">
                  <c:v>21.7</c:v>
                </c:pt>
                <c:pt idx="344">
                  <c:v>10.4</c:v>
                </c:pt>
                <c:pt idx="345">
                  <c:v>11.4</c:v>
                </c:pt>
                <c:pt idx="346">
                  <c:v>21.3</c:v>
                </c:pt>
                <c:pt idx="347">
                  <c:v>7.4</c:v>
                </c:pt>
                <c:pt idx="348">
                  <c:v>23.9</c:v>
                </c:pt>
                <c:pt idx="349">
                  <c:v>16.8</c:v>
                </c:pt>
                <c:pt idx="350">
                  <c:v>20.9</c:v>
                </c:pt>
                <c:pt idx="351">
                  <c:v>11.7</c:v>
                </c:pt>
                <c:pt idx="352">
                  <c:v>14</c:v>
                </c:pt>
                <c:pt idx="353">
                  <c:v>10.3</c:v>
                </c:pt>
                <c:pt idx="354">
                  <c:v>17.7</c:v>
                </c:pt>
                <c:pt idx="355">
                  <c:v>17.399999999999999</c:v>
                </c:pt>
                <c:pt idx="356">
                  <c:v>6.8</c:v>
                </c:pt>
                <c:pt idx="357">
                  <c:v>14.7</c:v>
                </c:pt>
                <c:pt idx="358">
                  <c:v>15.3</c:v>
                </c:pt>
                <c:pt idx="359">
                  <c:v>7.9</c:v>
                </c:pt>
                <c:pt idx="360">
                  <c:v>11.3</c:v>
                </c:pt>
                <c:pt idx="361">
                  <c:v>8</c:v>
                </c:pt>
                <c:pt idx="362">
                  <c:v>18.600000000000001</c:v>
                </c:pt>
                <c:pt idx="363">
                  <c:v>13.6</c:v>
                </c:pt>
                <c:pt idx="364">
                  <c:v>11.6</c:v>
                </c:pt>
                <c:pt idx="365">
                  <c:v>17.5</c:v>
                </c:pt>
                <c:pt idx="366">
                  <c:v>18.399999999999999</c:v>
                </c:pt>
                <c:pt idx="367">
                  <c:v>8.1999999999999993</c:v>
                </c:pt>
                <c:pt idx="368">
                  <c:v>12.4</c:v>
                </c:pt>
                <c:pt idx="369">
                  <c:v>16.7</c:v>
                </c:pt>
                <c:pt idx="370">
                  <c:v>21.7</c:v>
                </c:pt>
                <c:pt idx="371">
                  <c:v>15.6</c:v>
                </c:pt>
                <c:pt idx="372">
                  <c:v>14.7</c:v>
                </c:pt>
                <c:pt idx="373">
                  <c:v>12.2</c:v>
                </c:pt>
                <c:pt idx="374">
                  <c:v>13.7</c:v>
                </c:pt>
                <c:pt idx="375">
                  <c:v>14</c:v>
                </c:pt>
                <c:pt idx="376">
                  <c:v>13.8</c:v>
                </c:pt>
                <c:pt idx="377">
                  <c:v>18.7</c:v>
                </c:pt>
                <c:pt idx="378">
                  <c:v>8.6</c:v>
                </c:pt>
                <c:pt idx="379">
                  <c:v>17.600000000000001</c:v>
                </c:pt>
                <c:pt idx="380">
                  <c:v>11.6</c:v>
                </c:pt>
                <c:pt idx="381">
                  <c:v>23.8</c:v>
                </c:pt>
                <c:pt idx="382">
                  <c:v>6.5</c:v>
                </c:pt>
                <c:pt idx="383">
                  <c:v>6.6</c:v>
                </c:pt>
                <c:pt idx="384">
                  <c:v>14.3</c:v>
                </c:pt>
                <c:pt idx="385">
                  <c:v>11.7</c:v>
                </c:pt>
                <c:pt idx="386">
                  <c:v>11.2</c:v>
                </c:pt>
                <c:pt idx="387">
                  <c:v>15.7</c:v>
                </c:pt>
                <c:pt idx="388">
                  <c:v>21</c:v>
                </c:pt>
                <c:pt idx="389">
                  <c:v>7</c:v>
                </c:pt>
                <c:pt idx="390">
                  <c:v>12.3</c:v>
                </c:pt>
                <c:pt idx="391">
                  <c:v>14.8</c:v>
                </c:pt>
                <c:pt idx="392">
                  <c:v>16.2</c:v>
                </c:pt>
                <c:pt idx="393">
                  <c:v>14.6</c:v>
                </c:pt>
                <c:pt idx="394">
                  <c:v>19</c:v>
                </c:pt>
                <c:pt idx="395">
                  <c:v>8.1999999999999993</c:v>
                </c:pt>
                <c:pt idx="396">
                  <c:v>8.6999999999999993</c:v>
                </c:pt>
                <c:pt idx="397">
                  <c:v>16.600000000000001</c:v>
                </c:pt>
                <c:pt idx="398">
                  <c:v>13</c:v>
                </c:pt>
                <c:pt idx="399">
                  <c:v>23.7</c:v>
                </c:pt>
                <c:pt idx="400">
                  <c:v>23.2</c:v>
                </c:pt>
                <c:pt idx="401">
                  <c:v>21.2</c:v>
                </c:pt>
                <c:pt idx="402">
                  <c:v>15.2</c:v>
                </c:pt>
                <c:pt idx="403">
                  <c:v>18.399999999999999</c:v>
                </c:pt>
                <c:pt idx="404">
                  <c:v>12.5</c:v>
                </c:pt>
                <c:pt idx="405">
                  <c:v>6.2</c:v>
                </c:pt>
                <c:pt idx="406">
                  <c:v>6.3</c:v>
                </c:pt>
                <c:pt idx="407">
                  <c:v>19.600000000000001</c:v>
                </c:pt>
                <c:pt idx="408">
                  <c:v>17</c:v>
                </c:pt>
                <c:pt idx="409">
                  <c:v>13.3</c:v>
                </c:pt>
                <c:pt idx="410">
                  <c:v>23.1</c:v>
                </c:pt>
                <c:pt idx="411">
                  <c:v>7.4</c:v>
                </c:pt>
                <c:pt idx="412">
                  <c:v>7.3</c:v>
                </c:pt>
                <c:pt idx="413">
                  <c:v>20.5</c:v>
                </c:pt>
                <c:pt idx="414">
                  <c:v>14.6</c:v>
                </c:pt>
                <c:pt idx="415">
                  <c:v>12.4</c:v>
                </c:pt>
                <c:pt idx="416">
                  <c:v>14.1</c:v>
                </c:pt>
                <c:pt idx="417">
                  <c:v>10.4</c:v>
                </c:pt>
                <c:pt idx="418">
                  <c:v>15.4</c:v>
                </c:pt>
                <c:pt idx="419">
                  <c:v>11.1</c:v>
                </c:pt>
                <c:pt idx="420">
                  <c:v>11.7</c:v>
                </c:pt>
                <c:pt idx="421">
                  <c:v>18.7</c:v>
                </c:pt>
                <c:pt idx="422">
                  <c:v>19.3</c:v>
                </c:pt>
                <c:pt idx="423">
                  <c:v>21.2</c:v>
                </c:pt>
                <c:pt idx="424">
                  <c:v>22.4</c:v>
                </c:pt>
                <c:pt idx="425">
                  <c:v>14.9</c:v>
                </c:pt>
                <c:pt idx="426">
                  <c:v>9</c:v>
                </c:pt>
                <c:pt idx="427">
                  <c:v>23.1</c:v>
                </c:pt>
                <c:pt idx="428">
                  <c:v>17.600000000000001</c:v>
                </c:pt>
                <c:pt idx="429">
                  <c:v>13.8</c:v>
                </c:pt>
                <c:pt idx="430">
                  <c:v>6.9</c:v>
                </c:pt>
                <c:pt idx="431">
                  <c:v>9.8000000000000007</c:v>
                </c:pt>
                <c:pt idx="432">
                  <c:v>18.2</c:v>
                </c:pt>
                <c:pt idx="433">
                  <c:v>19.3</c:v>
                </c:pt>
                <c:pt idx="434">
                  <c:v>9.6</c:v>
                </c:pt>
                <c:pt idx="435">
                  <c:v>8</c:v>
                </c:pt>
                <c:pt idx="436">
                  <c:v>12.8</c:v>
                </c:pt>
                <c:pt idx="437">
                  <c:v>14.9</c:v>
                </c:pt>
                <c:pt idx="438">
                  <c:v>14.4</c:v>
                </c:pt>
                <c:pt idx="439">
                  <c:v>19.899999999999999</c:v>
                </c:pt>
                <c:pt idx="440">
                  <c:v>6.3</c:v>
                </c:pt>
                <c:pt idx="441">
                  <c:v>6.3</c:v>
                </c:pt>
                <c:pt idx="442">
                  <c:v>12.7</c:v>
                </c:pt>
                <c:pt idx="443">
                  <c:v>21.2</c:v>
                </c:pt>
                <c:pt idx="444">
                  <c:v>14.2</c:v>
                </c:pt>
                <c:pt idx="445">
                  <c:v>10.4</c:v>
                </c:pt>
                <c:pt idx="446">
                  <c:v>23.2</c:v>
                </c:pt>
                <c:pt idx="447">
                  <c:v>23.3</c:v>
                </c:pt>
                <c:pt idx="448">
                  <c:v>8.5</c:v>
                </c:pt>
                <c:pt idx="449">
                  <c:v>20.6</c:v>
                </c:pt>
                <c:pt idx="450">
                  <c:v>12.2</c:v>
                </c:pt>
                <c:pt idx="451">
                  <c:v>18.7</c:v>
                </c:pt>
                <c:pt idx="452">
                  <c:v>14.1</c:v>
                </c:pt>
                <c:pt idx="453">
                  <c:v>15</c:v>
                </c:pt>
                <c:pt idx="454">
                  <c:v>14.3</c:v>
                </c:pt>
                <c:pt idx="455">
                  <c:v>14</c:v>
                </c:pt>
                <c:pt idx="456">
                  <c:v>20.3</c:v>
                </c:pt>
                <c:pt idx="457">
                  <c:v>23.1</c:v>
                </c:pt>
                <c:pt idx="458">
                  <c:v>10.7</c:v>
                </c:pt>
                <c:pt idx="459">
                  <c:v>23.7</c:v>
                </c:pt>
                <c:pt idx="460">
                  <c:v>23.3</c:v>
                </c:pt>
                <c:pt idx="461">
                  <c:v>14.6</c:v>
                </c:pt>
                <c:pt idx="462">
                  <c:v>8.9</c:v>
                </c:pt>
                <c:pt idx="463">
                  <c:v>6.2</c:v>
                </c:pt>
                <c:pt idx="464">
                  <c:v>10</c:v>
                </c:pt>
                <c:pt idx="465">
                  <c:v>13.7</c:v>
                </c:pt>
                <c:pt idx="466">
                  <c:v>11.2</c:v>
                </c:pt>
                <c:pt idx="467">
                  <c:v>19.7</c:v>
                </c:pt>
                <c:pt idx="468">
                  <c:v>23.1</c:v>
                </c:pt>
                <c:pt idx="469">
                  <c:v>16.2</c:v>
                </c:pt>
                <c:pt idx="470">
                  <c:v>22.5</c:v>
                </c:pt>
                <c:pt idx="471">
                  <c:v>6.6</c:v>
                </c:pt>
                <c:pt idx="472">
                  <c:v>16.5</c:v>
                </c:pt>
                <c:pt idx="473">
                  <c:v>11.1</c:v>
                </c:pt>
                <c:pt idx="474">
                  <c:v>13.6</c:v>
                </c:pt>
                <c:pt idx="475">
                  <c:v>16.600000000000001</c:v>
                </c:pt>
                <c:pt idx="476">
                  <c:v>7.3</c:v>
                </c:pt>
                <c:pt idx="477">
                  <c:v>20.6</c:v>
                </c:pt>
                <c:pt idx="478">
                  <c:v>17.8</c:v>
                </c:pt>
                <c:pt idx="479">
                  <c:v>13.7</c:v>
                </c:pt>
                <c:pt idx="480">
                  <c:v>13.5</c:v>
                </c:pt>
                <c:pt idx="481">
                  <c:v>11.5</c:v>
                </c:pt>
                <c:pt idx="482">
                  <c:v>23.4</c:v>
                </c:pt>
                <c:pt idx="483">
                  <c:v>13.6</c:v>
                </c:pt>
                <c:pt idx="484">
                  <c:v>9.3000000000000007</c:v>
                </c:pt>
                <c:pt idx="485">
                  <c:v>19.600000000000001</c:v>
                </c:pt>
                <c:pt idx="486">
                  <c:v>15.8</c:v>
                </c:pt>
                <c:pt idx="487">
                  <c:v>23.1</c:v>
                </c:pt>
                <c:pt idx="488">
                  <c:v>18.899999999999999</c:v>
                </c:pt>
                <c:pt idx="489">
                  <c:v>12.6</c:v>
                </c:pt>
                <c:pt idx="490">
                  <c:v>14.3</c:v>
                </c:pt>
                <c:pt idx="491">
                  <c:v>10.9</c:v>
                </c:pt>
                <c:pt idx="492">
                  <c:v>23.6</c:v>
                </c:pt>
                <c:pt idx="493">
                  <c:v>23</c:v>
                </c:pt>
                <c:pt idx="494">
                  <c:v>19.2</c:v>
                </c:pt>
                <c:pt idx="495">
                  <c:v>18.7</c:v>
                </c:pt>
                <c:pt idx="496">
                  <c:v>20.7</c:v>
                </c:pt>
                <c:pt idx="497">
                  <c:v>18.899999999999999</c:v>
                </c:pt>
                <c:pt idx="498">
                  <c:v>13.1</c:v>
                </c:pt>
                <c:pt idx="499">
                  <c:v>11.2</c:v>
                </c:pt>
                <c:pt idx="500">
                  <c:v>17.2</c:v>
                </c:pt>
                <c:pt idx="501">
                  <c:v>18.100000000000001</c:v>
                </c:pt>
                <c:pt idx="502">
                  <c:v>12.4</c:v>
                </c:pt>
                <c:pt idx="503">
                  <c:v>7.2</c:v>
                </c:pt>
                <c:pt idx="504">
                  <c:v>12</c:v>
                </c:pt>
                <c:pt idx="505">
                  <c:v>18.100000000000001</c:v>
                </c:pt>
                <c:pt idx="506">
                  <c:v>7.8</c:v>
                </c:pt>
                <c:pt idx="507">
                  <c:v>7.2</c:v>
                </c:pt>
                <c:pt idx="508">
                  <c:v>13.3</c:v>
                </c:pt>
                <c:pt idx="509">
                  <c:v>13.2</c:v>
                </c:pt>
                <c:pt idx="510">
                  <c:v>11.2</c:v>
                </c:pt>
                <c:pt idx="511">
                  <c:v>7.4</c:v>
                </c:pt>
                <c:pt idx="512">
                  <c:v>17.2</c:v>
                </c:pt>
                <c:pt idx="513">
                  <c:v>10.5</c:v>
                </c:pt>
                <c:pt idx="514">
                  <c:v>10.9</c:v>
                </c:pt>
                <c:pt idx="515">
                  <c:v>8.8000000000000007</c:v>
                </c:pt>
                <c:pt idx="516">
                  <c:v>16.600000000000001</c:v>
                </c:pt>
                <c:pt idx="517">
                  <c:v>16.5</c:v>
                </c:pt>
                <c:pt idx="518">
                  <c:v>21.1</c:v>
                </c:pt>
                <c:pt idx="519">
                  <c:v>6.1</c:v>
                </c:pt>
                <c:pt idx="520">
                  <c:v>13.8</c:v>
                </c:pt>
                <c:pt idx="521">
                  <c:v>16.600000000000001</c:v>
                </c:pt>
                <c:pt idx="522">
                  <c:v>7.6</c:v>
                </c:pt>
                <c:pt idx="523">
                  <c:v>10.5</c:v>
                </c:pt>
                <c:pt idx="524">
                  <c:v>14.3</c:v>
                </c:pt>
                <c:pt idx="525">
                  <c:v>23.1</c:v>
                </c:pt>
                <c:pt idx="526">
                  <c:v>15.8</c:v>
                </c:pt>
                <c:pt idx="527">
                  <c:v>15.4</c:v>
                </c:pt>
                <c:pt idx="528">
                  <c:v>15.7</c:v>
                </c:pt>
                <c:pt idx="529">
                  <c:v>20.2</c:v>
                </c:pt>
                <c:pt idx="530">
                  <c:v>13.7</c:v>
                </c:pt>
                <c:pt idx="531">
                  <c:v>20.8</c:v>
                </c:pt>
                <c:pt idx="532">
                  <c:v>15</c:v>
                </c:pt>
                <c:pt idx="533">
                  <c:v>19.8</c:v>
                </c:pt>
                <c:pt idx="534">
                  <c:v>8.9</c:v>
                </c:pt>
                <c:pt idx="535">
                  <c:v>20.7</c:v>
                </c:pt>
                <c:pt idx="536">
                  <c:v>10.5</c:v>
                </c:pt>
                <c:pt idx="537">
                  <c:v>20.9</c:v>
                </c:pt>
                <c:pt idx="538">
                  <c:v>11.9</c:v>
                </c:pt>
                <c:pt idx="539">
                  <c:v>7.8</c:v>
                </c:pt>
                <c:pt idx="540">
                  <c:v>21.5</c:v>
                </c:pt>
                <c:pt idx="541">
                  <c:v>13.9</c:v>
                </c:pt>
                <c:pt idx="542">
                  <c:v>18.5</c:v>
                </c:pt>
                <c:pt idx="543">
                  <c:v>18.899999999999999</c:v>
                </c:pt>
                <c:pt idx="544">
                  <c:v>6.3</c:v>
                </c:pt>
                <c:pt idx="545">
                  <c:v>7.9</c:v>
                </c:pt>
                <c:pt idx="546">
                  <c:v>7</c:v>
                </c:pt>
                <c:pt idx="547">
                  <c:v>17.100000000000001</c:v>
                </c:pt>
                <c:pt idx="548">
                  <c:v>18.5</c:v>
                </c:pt>
                <c:pt idx="549">
                  <c:v>21.7</c:v>
                </c:pt>
                <c:pt idx="550">
                  <c:v>8.1</c:v>
                </c:pt>
                <c:pt idx="551">
                  <c:v>13.1</c:v>
                </c:pt>
                <c:pt idx="552">
                  <c:v>6.3</c:v>
                </c:pt>
                <c:pt idx="553">
                  <c:v>17.3</c:v>
                </c:pt>
                <c:pt idx="554">
                  <c:v>15.6</c:v>
                </c:pt>
                <c:pt idx="555">
                  <c:v>12</c:v>
                </c:pt>
                <c:pt idx="556">
                  <c:v>21.9</c:v>
                </c:pt>
                <c:pt idx="557">
                  <c:v>22.2</c:v>
                </c:pt>
                <c:pt idx="558">
                  <c:v>15.8</c:v>
                </c:pt>
                <c:pt idx="559">
                  <c:v>12.8</c:v>
                </c:pt>
                <c:pt idx="560">
                  <c:v>11.8</c:v>
                </c:pt>
                <c:pt idx="561">
                  <c:v>12.7</c:v>
                </c:pt>
                <c:pt idx="562">
                  <c:v>6.2</c:v>
                </c:pt>
                <c:pt idx="563">
                  <c:v>20.5</c:v>
                </c:pt>
                <c:pt idx="564">
                  <c:v>16.5</c:v>
                </c:pt>
                <c:pt idx="565">
                  <c:v>8.5</c:v>
                </c:pt>
                <c:pt idx="566">
                  <c:v>9.5</c:v>
                </c:pt>
                <c:pt idx="567">
                  <c:v>16.7</c:v>
                </c:pt>
                <c:pt idx="568">
                  <c:v>8.8000000000000007</c:v>
                </c:pt>
                <c:pt idx="569">
                  <c:v>11.6</c:v>
                </c:pt>
                <c:pt idx="570">
                  <c:v>15.1</c:v>
                </c:pt>
                <c:pt idx="571">
                  <c:v>20.8</c:v>
                </c:pt>
                <c:pt idx="572">
                  <c:v>10.8</c:v>
                </c:pt>
                <c:pt idx="573">
                  <c:v>9.4</c:v>
                </c:pt>
                <c:pt idx="574">
                  <c:v>17.899999999999999</c:v>
                </c:pt>
                <c:pt idx="575">
                  <c:v>7.6</c:v>
                </c:pt>
                <c:pt idx="576">
                  <c:v>10.7</c:v>
                </c:pt>
                <c:pt idx="577">
                  <c:v>6.7</c:v>
                </c:pt>
                <c:pt idx="578">
                  <c:v>11.9</c:v>
                </c:pt>
                <c:pt idx="579">
                  <c:v>10.5</c:v>
                </c:pt>
                <c:pt idx="580">
                  <c:v>11.9</c:v>
                </c:pt>
                <c:pt idx="581">
                  <c:v>10.3</c:v>
                </c:pt>
                <c:pt idx="582">
                  <c:v>12.5</c:v>
                </c:pt>
                <c:pt idx="583">
                  <c:v>10.199999999999999</c:v>
                </c:pt>
                <c:pt idx="584">
                  <c:v>6.7</c:v>
                </c:pt>
                <c:pt idx="585">
                  <c:v>21.6</c:v>
                </c:pt>
                <c:pt idx="586">
                  <c:v>14</c:v>
                </c:pt>
                <c:pt idx="587">
                  <c:v>22.7</c:v>
                </c:pt>
                <c:pt idx="588">
                  <c:v>23.9</c:v>
                </c:pt>
                <c:pt idx="589">
                  <c:v>16.7</c:v>
                </c:pt>
                <c:pt idx="590">
                  <c:v>12.7</c:v>
                </c:pt>
                <c:pt idx="591">
                  <c:v>18.5</c:v>
                </c:pt>
                <c:pt idx="592">
                  <c:v>16.8</c:v>
                </c:pt>
                <c:pt idx="593">
                  <c:v>21.1</c:v>
                </c:pt>
                <c:pt idx="594">
                  <c:v>18.600000000000001</c:v>
                </c:pt>
                <c:pt idx="595">
                  <c:v>14.8</c:v>
                </c:pt>
                <c:pt idx="596">
                  <c:v>22.6</c:v>
                </c:pt>
                <c:pt idx="597">
                  <c:v>6.6</c:v>
                </c:pt>
                <c:pt idx="598">
                  <c:v>21.9</c:v>
                </c:pt>
                <c:pt idx="599">
                  <c:v>9.5</c:v>
                </c:pt>
                <c:pt idx="600">
                  <c:v>6.5</c:v>
                </c:pt>
                <c:pt idx="601">
                  <c:v>21.3</c:v>
                </c:pt>
                <c:pt idx="602">
                  <c:v>20.7</c:v>
                </c:pt>
                <c:pt idx="603">
                  <c:v>7.3</c:v>
                </c:pt>
                <c:pt idx="604">
                  <c:v>7.8</c:v>
                </c:pt>
                <c:pt idx="605">
                  <c:v>23.4</c:v>
                </c:pt>
                <c:pt idx="606">
                  <c:v>11.4</c:v>
                </c:pt>
                <c:pt idx="607">
                  <c:v>18.100000000000001</c:v>
                </c:pt>
                <c:pt idx="608">
                  <c:v>12.2</c:v>
                </c:pt>
                <c:pt idx="609">
                  <c:v>11.4</c:v>
                </c:pt>
                <c:pt idx="610">
                  <c:v>15.1</c:v>
                </c:pt>
                <c:pt idx="611">
                  <c:v>7.5</c:v>
                </c:pt>
                <c:pt idx="612">
                  <c:v>13.5</c:v>
                </c:pt>
                <c:pt idx="613">
                  <c:v>20</c:v>
                </c:pt>
                <c:pt idx="614">
                  <c:v>23.8</c:v>
                </c:pt>
                <c:pt idx="615">
                  <c:v>19.3</c:v>
                </c:pt>
                <c:pt idx="616">
                  <c:v>21.5</c:v>
                </c:pt>
                <c:pt idx="617">
                  <c:v>8.3000000000000007</c:v>
                </c:pt>
                <c:pt idx="618">
                  <c:v>16.399999999999999</c:v>
                </c:pt>
                <c:pt idx="619">
                  <c:v>12.7</c:v>
                </c:pt>
                <c:pt idx="620">
                  <c:v>11</c:v>
                </c:pt>
                <c:pt idx="621">
                  <c:v>22.7</c:v>
                </c:pt>
                <c:pt idx="622">
                  <c:v>20.399999999999999</c:v>
                </c:pt>
                <c:pt idx="623">
                  <c:v>20.3</c:v>
                </c:pt>
                <c:pt idx="624">
                  <c:v>21.7</c:v>
                </c:pt>
                <c:pt idx="625">
                  <c:v>20.3</c:v>
                </c:pt>
                <c:pt idx="626">
                  <c:v>12.3</c:v>
                </c:pt>
                <c:pt idx="627">
                  <c:v>11.2</c:v>
                </c:pt>
                <c:pt idx="628">
                  <c:v>14.4</c:v>
                </c:pt>
                <c:pt idx="629">
                  <c:v>16.7</c:v>
                </c:pt>
                <c:pt idx="630">
                  <c:v>9.1</c:v>
                </c:pt>
                <c:pt idx="631">
                  <c:v>17.100000000000001</c:v>
                </c:pt>
                <c:pt idx="632">
                  <c:v>6.6</c:v>
                </c:pt>
                <c:pt idx="633">
                  <c:v>6.4</c:v>
                </c:pt>
                <c:pt idx="634">
                  <c:v>8</c:v>
                </c:pt>
                <c:pt idx="635">
                  <c:v>20.399999999999999</c:v>
                </c:pt>
                <c:pt idx="636">
                  <c:v>10.3</c:v>
                </c:pt>
                <c:pt idx="637">
                  <c:v>7.2</c:v>
                </c:pt>
                <c:pt idx="638">
                  <c:v>10.199999999999999</c:v>
                </c:pt>
                <c:pt idx="639">
                  <c:v>22.8</c:v>
                </c:pt>
                <c:pt idx="640">
                  <c:v>21.3</c:v>
                </c:pt>
                <c:pt idx="641">
                  <c:v>11.1</c:v>
                </c:pt>
                <c:pt idx="642">
                  <c:v>17.2</c:v>
                </c:pt>
                <c:pt idx="643">
                  <c:v>14</c:v>
                </c:pt>
                <c:pt idx="644">
                  <c:v>9.3000000000000007</c:v>
                </c:pt>
                <c:pt idx="645">
                  <c:v>8.9</c:v>
                </c:pt>
                <c:pt idx="646">
                  <c:v>15</c:v>
                </c:pt>
                <c:pt idx="647">
                  <c:v>19.600000000000001</c:v>
                </c:pt>
                <c:pt idx="648">
                  <c:v>7</c:v>
                </c:pt>
                <c:pt idx="649">
                  <c:v>13.2</c:v>
                </c:pt>
                <c:pt idx="650">
                  <c:v>18.399999999999999</c:v>
                </c:pt>
                <c:pt idx="651">
                  <c:v>13.7</c:v>
                </c:pt>
                <c:pt idx="652">
                  <c:v>11.2</c:v>
                </c:pt>
                <c:pt idx="653">
                  <c:v>9</c:v>
                </c:pt>
                <c:pt idx="654">
                  <c:v>19.2</c:v>
                </c:pt>
                <c:pt idx="655">
                  <c:v>17.8</c:v>
                </c:pt>
                <c:pt idx="656">
                  <c:v>20.9</c:v>
                </c:pt>
                <c:pt idx="657">
                  <c:v>8.1</c:v>
                </c:pt>
                <c:pt idx="658">
                  <c:v>19.3</c:v>
                </c:pt>
                <c:pt idx="659">
                  <c:v>9.1</c:v>
                </c:pt>
                <c:pt idx="660">
                  <c:v>23.7</c:v>
                </c:pt>
                <c:pt idx="661">
                  <c:v>6.9</c:v>
                </c:pt>
                <c:pt idx="662">
                  <c:v>17.100000000000001</c:v>
                </c:pt>
                <c:pt idx="663">
                  <c:v>20.8</c:v>
                </c:pt>
                <c:pt idx="664">
                  <c:v>11.9</c:v>
                </c:pt>
                <c:pt idx="665">
                  <c:v>21.1</c:v>
                </c:pt>
                <c:pt idx="666">
                  <c:v>12.9</c:v>
                </c:pt>
                <c:pt idx="667">
                  <c:v>22.8</c:v>
                </c:pt>
                <c:pt idx="668">
                  <c:v>13.3</c:v>
                </c:pt>
                <c:pt idx="669">
                  <c:v>18.899999999999999</c:v>
                </c:pt>
                <c:pt idx="670">
                  <c:v>22.9</c:v>
                </c:pt>
                <c:pt idx="671">
                  <c:v>13.3</c:v>
                </c:pt>
                <c:pt idx="672">
                  <c:v>10.6</c:v>
                </c:pt>
                <c:pt idx="673">
                  <c:v>17.8</c:v>
                </c:pt>
                <c:pt idx="674">
                  <c:v>20.9</c:v>
                </c:pt>
                <c:pt idx="675">
                  <c:v>16</c:v>
                </c:pt>
                <c:pt idx="676">
                  <c:v>10</c:v>
                </c:pt>
                <c:pt idx="677">
                  <c:v>17.3</c:v>
                </c:pt>
                <c:pt idx="678">
                  <c:v>13.7</c:v>
                </c:pt>
                <c:pt idx="679">
                  <c:v>15.7</c:v>
                </c:pt>
                <c:pt idx="680">
                  <c:v>10.5</c:v>
                </c:pt>
                <c:pt idx="681">
                  <c:v>16.3</c:v>
                </c:pt>
                <c:pt idx="682">
                  <c:v>23.6</c:v>
                </c:pt>
                <c:pt idx="683">
                  <c:v>18.100000000000001</c:v>
                </c:pt>
                <c:pt idx="684">
                  <c:v>10.8</c:v>
                </c:pt>
                <c:pt idx="685">
                  <c:v>18.399999999999999</c:v>
                </c:pt>
                <c:pt idx="686">
                  <c:v>10</c:v>
                </c:pt>
                <c:pt idx="687">
                  <c:v>9.1</c:v>
                </c:pt>
                <c:pt idx="688">
                  <c:v>13.1</c:v>
                </c:pt>
                <c:pt idx="689">
                  <c:v>8.9</c:v>
                </c:pt>
                <c:pt idx="690">
                  <c:v>8.4</c:v>
                </c:pt>
                <c:pt idx="691">
                  <c:v>6.9</c:v>
                </c:pt>
                <c:pt idx="692">
                  <c:v>16.5</c:v>
                </c:pt>
                <c:pt idx="693">
                  <c:v>16.600000000000001</c:v>
                </c:pt>
                <c:pt idx="694">
                  <c:v>18.8</c:v>
                </c:pt>
                <c:pt idx="695">
                  <c:v>6.9</c:v>
                </c:pt>
                <c:pt idx="696">
                  <c:v>10.1</c:v>
                </c:pt>
                <c:pt idx="697">
                  <c:v>12.1</c:v>
                </c:pt>
                <c:pt idx="698">
                  <c:v>6.9</c:v>
                </c:pt>
                <c:pt idx="699">
                  <c:v>15.5</c:v>
                </c:pt>
                <c:pt idx="700">
                  <c:v>8.8000000000000007</c:v>
                </c:pt>
                <c:pt idx="701">
                  <c:v>18.2</c:v>
                </c:pt>
                <c:pt idx="702">
                  <c:v>9.5</c:v>
                </c:pt>
                <c:pt idx="703">
                  <c:v>11.4</c:v>
                </c:pt>
                <c:pt idx="704">
                  <c:v>20.9</c:v>
                </c:pt>
                <c:pt idx="705">
                  <c:v>19.3</c:v>
                </c:pt>
                <c:pt idx="706">
                  <c:v>23.9</c:v>
                </c:pt>
                <c:pt idx="707">
                  <c:v>17.899999999999999</c:v>
                </c:pt>
                <c:pt idx="708">
                  <c:v>17.100000000000001</c:v>
                </c:pt>
                <c:pt idx="709">
                  <c:v>21.3</c:v>
                </c:pt>
                <c:pt idx="710">
                  <c:v>16</c:v>
                </c:pt>
                <c:pt idx="711">
                  <c:v>22</c:v>
                </c:pt>
                <c:pt idx="712">
                  <c:v>10.6</c:v>
                </c:pt>
                <c:pt idx="713">
                  <c:v>18.100000000000001</c:v>
                </c:pt>
                <c:pt idx="714">
                  <c:v>16.899999999999999</c:v>
                </c:pt>
                <c:pt idx="715">
                  <c:v>19.8</c:v>
                </c:pt>
                <c:pt idx="716">
                  <c:v>19.399999999999999</c:v>
                </c:pt>
                <c:pt idx="717">
                  <c:v>21.3</c:v>
                </c:pt>
                <c:pt idx="718">
                  <c:v>22.7</c:v>
                </c:pt>
                <c:pt idx="719">
                  <c:v>10.7</c:v>
                </c:pt>
                <c:pt idx="720">
                  <c:v>9.1</c:v>
                </c:pt>
                <c:pt idx="721">
                  <c:v>22</c:v>
                </c:pt>
                <c:pt idx="722">
                  <c:v>7.6</c:v>
                </c:pt>
                <c:pt idx="723">
                  <c:v>8.6</c:v>
                </c:pt>
                <c:pt idx="724">
                  <c:v>22.2</c:v>
                </c:pt>
                <c:pt idx="725">
                  <c:v>11.3</c:v>
                </c:pt>
                <c:pt idx="726">
                  <c:v>17.399999999999999</c:v>
                </c:pt>
                <c:pt idx="727">
                  <c:v>18</c:v>
                </c:pt>
                <c:pt idx="728">
                  <c:v>21</c:v>
                </c:pt>
                <c:pt idx="729">
                  <c:v>19.100000000000001</c:v>
                </c:pt>
                <c:pt idx="730">
                  <c:v>12.4</c:v>
                </c:pt>
                <c:pt idx="731">
                  <c:v>23.2</c:v>
                </c:pt>
                <c:pt idx="732">
                  <c:v>12.8</c:v>
                </c:pt>
                <c:pt idx="733">
                  <c:v>11.7</c:v>
                </c:pt>
                <c:pt idx="734">
                  <c:v>15.6</c:v>
                </c:pt>
                <c:pt idx="735">
                  <c:v>11.9</c:v>
                </c:pt>
                <c:pt idx="736">
                  <c:v>11.7</c:v>
                </c:pt>
                <c:pt idx="737">
                  <c:v>18.5</c:v>
                </c:pt>
                <c:pt idx="738">
                  <c:v>19.100000000000001</c:v>
                </c:pt>
                <c:pt idx="739">
                  <c:v>14</c:v>
                </c:pt>
                <c:pt idx="740">
                  <c:v>23.3</c:v>
                </c:pt>
                <c:pt idx="741">
                  <c:v>7.5</c:v>
                </c:pt>
                <c:pt idx="742">
                  <c:v>10.199999999999999</c:v>
                </c:pt>
                <c:pt idx="743">
                  <c:v>18.399999999999999</c:v>
                </c:pt>
                <c:pt idx="744">
                  <c:v>20.6</c:v>
                </c:pt>
                <c:pt idx="745">
                  <c:v>14.4</c:v>
                </c:pt>
                <c:pt idx="746">
                  <c:v>22.4</c:v>
                </c:pt>
                <c:pt idx="747">
                  <c:v>18.600000000000001</c:v>
                </c:pt>
                <c:pt idx="748">
                  <c:v>14.2</c:v>
                </c:pt>
                <c:pt idx="749">
                  <c:v>16.5</c:v>
                </c:pt>
                <c:pt idx="750">
                  <c:v>15.1</c:v>
                </c:pt>
                <c:pt idx="751">
                  <c:v>12.4</c:v>
                </c:pt>
                <c:pt idx="752">
                  <c:v>13</c:v>
                </c:pt>
                <c:pt idx="753">
                  <c:v>20.6</c:v>
                </c:pt>
                <c:pt idx="754">
                  <c:v>14.6</c:v>
                </c:pt>
                <c:pt idx="755">
                  <c:v>8.3000000000000007</c:v>
                </c:pt>
                <c:pt idx="756">
                  <c:v>7.1</c:v>
                </c:pt>
                <c:pt idx="757">
                  <c:v>12.2</c:v>
                </c:pt>
                <c:pt idx="758">
                  <c:v>22.3</c:v>
                </c:pt>
                <c:pt idx="759">
                  <c:v>13.8</c:v>
                </c:pt>
                <c:pt idx="760">
                  <c:v>16.600000000000001</c:v>
                </c:pt>
                <c:pt idx="761">
                  <c:v>20.9</c:v>
                </c:pt>
                <c:pt idx="762">
                  <c:v>21.8</c:v>
                </c:pt>
                <c:pt idx="763">
                  <c:v>13.3</c:v>
                </c:pt>
                <c:pt idx="764">
                  <c:v>14.7</c:v>
                </c:pt>
                <c:pt idx="765">
                  <c:v>7.6</c:v>
                </c:pt>
                <c:pt idx="766">
                  <c:v>17.600000000000001</c:v>
                </c:pt>
                <c:pt idx="767">
                  <c:v>12.9</c:v>
                </c:pt>
                <c:pt idx="768">
                  <c:v>20.9</c:v>
                </c:pt>
                <c:pt idx="769">
                  <c:v>20.9</c:v>
                </c:pt>
                <c:pt idx="770">
                  <c:v>23.2</c:v>
                </c:pt>
                <c:pt idx="771">
                  <c:v>16.3</c:v>
                </c:pt>
                <c:pt idx="772">
                  <c:v>15.4</c:v>
                </c:pt>
                <c:pt idx="773">
                  <c:v>8.9</c:v>
                </c:pt>
                <c:pt idx="774">
                  <c:v>13.2</c:v>
                </c:pt>
                <c:pt idx="775">
                  <c:v>8.6</c:v>
                </c:pt>
                <c:pt idx="776">
                  <c:v>16.2</c:v>
                </c:pt>
                <c:pt idx="777">
                  <c:v>7.8</c:v>
                </c:pt>
                <c:pt idx="778">
                  <c:v>6.8</c:v>
                </c:pt>
                <c:pt idx="779">
                  <c:v>9.1</c:v>
                </c:pt>
                <c:pt idx="780">
                  <c:v>12.4</c:v>
                </c:pt>
                <c:pt idx="781">
                  <c:v>12.9</c:v>
                </c:pt>
                <c:pt idx="782">
                  <c:v>17.600000000000001</c:v>
                </c:pt>
                <c:pt idx="783">
                  <c:v>12</c:v>
                </c:pt>
                <c:pt idx="784">
                  <c:v>19.100000000000001</c:v>
                </c:pt>
                <c:pt idx="785">
                  <c:v>9.1999999999999993</c:v>
                </c:pt>
                <c:pt idx="786">
                  <c:v>22.6</c:v>
                </c:pt>
                <c:pt idx="787">
                  <c:v>23.9</c:v>
                </c:pt>
                <c:pt idx="788">
                  <c:v>13.2</c:v>
                </c:pt>
                <c:pt idx="789">
                  <c:v>12</c:v>
                </c:pt>
                <c:pt idx="790">
                  <c:v>20.5</c:v>
                </c:pt>
                <c:pt idx="791">
                  <c:v>13.5</c:v>
                </c:pt>
                <c:pt idx="792">
                  <c:v>8.4</c:v>
                </c:pt>
                <c:pt idx="793">
                  <c:v>23.1</c:v>
                </c:pt>
                <c:pt idx="794">
                  <c:v>12.4</c:v>
                </c:pt>
                <c:pt idx="795">
                  <c:v>16.7</c:v>
                </c:pt>
                <c:pt idx="796">
                  <c:v>16.3</c:v>
                </c:pt>
                <c:pt idx="797">
                  <c:v>20</c:v>
                </c:pt>
                <c:pt idx="798">
                  <c:v>20.3</c:v>
                </c:pt>
                <c:pt idx="799">
                  <c:v>10.7</c:v>
                </c:pt>
                <c:pt idx="800">
                  <c:v>6.1</c:v>
                </c:pt>
                <c:pt idx="801">
                  <c:v>16.5</c:v>
                </c:pt>
                <c:pt idx="802">
                  <c:v>17.3</c:v>
                </c:pt>
                <c:pt idx="803">
                  <c:v>9.5</c:v>
                </c:pt>
                <c:pt idx="804">
                  <c:v>16.7</c:v>
                </c:pt>
                <c:pt idx="805">
                  <c:v>16.3</c:v>
                </c:pt>
                <c:pt idx="806">
                  <c:v>11.5</c:v>
                </c:pt>
                <c:pt idx="807">
                  <c:v>7.5</c:v>
                </c:pt>
                <c:pt idx="808">
                  <c:v>11.1</c:v>
                </c:pt>
                <c:pt idx="809">
                  <c:v>18</c:v>
                </c:pt>
                <c:pt idx="810">
                  <c:v>22</c:v>
                </c:pt>
                <c:pt idx="811">
                  <c:v>22.8</c:v>
                </c:pt>
                <c:pt idx="812">
                  <c:v>6.9</c:v>
                </c:pt>
                <c:pt idx="813">
                  <c:v>8.5</c:v>
                </c:pt>
                <c:pt idx="814">
                  <c:v>19.600000000000001</c:v>
                </c:pt>
                <c:pt idx="815">
                  <c:v>23.6</c:v>
                </c:pt>
                <c:pt idx="816">
                  <c:v>19.8</c:v>
                </c:pt>
                <c:pt idx="817">
                  <c:v>18.100000000000001</c:v>
                </c:pt>
                <c:pt idx="818">
                  <c:v>11.6</c:v>
                </c:pt>
                <c:pt idx="819">
                  <c:v>13.3</c:v>
                </c:pt>
                <c:pt idx="820">
                  <c:v>12.7</c:v>
                </c:pt>
                <c:pt idx="821">
                  <c:v>23.2</c:v>
                </c:pt>
                <c:pt idx="822">
                  <c:v>8</c:v>
                </c:pt>
                <c:pt idx="823">
                  <c:v>11.4</c:v>
                </c:pt>
                <c:pt idx="824">
                  <c:v>18.399999999999999</c:v>
                </c:pt>
                <c:pt idx="825">
                  <c:v>17.600000000000001</c:v>
                </c:pt>
                <c:pt idx="826">
                  <c:v>21.5</c:v>
                </c:pt>
                <c:pt idx="827">
                  <c:v>19.5</c:v>
                </c:pt>
                <c:pt idx="828">
                  <c:v>8.4</c:v>
                </c:pt>
                <c:pt idx="829">
                  <c:v>21.7</c:v>
                </c:pt>
                <c:pt idx="830">
                  <c:v>21.3</c:v>
                </c:pt>
                <c:pt idx="831">
                  <c:v>9.4</c:v>
                </c:pt>
                <c:pt idx="832">
                  <c:v>20.9</c:v>
                </c:pt>
                <c:pt idx="833">
                  <c:v>18.100000000000001</c:v>
                </c:pt>
                <c:pt idx="834">
                  <c:v>8</c:v>
                </c:pt>
                <c:pt idx="835">
                  <c:v>18.2</c:v>
                </c:pt>
                <c:pt idx="836">
                  <c:v>11.4</c:v>
                </c:pt>
                <c:pt idx="837">
                  <c:v>15.8</c:v>
                </c:pt>
                <c:pt idx="838">
                  <c:v>15.4</c:v>
                </c:pt>
                <c:pt idx="839">
                  <c:v>8.5</c:v>
                </c:pt>
                <c:pt idx="840">
                  <c:v>16.7</c:v>
                </c:pt>
                <c:pt idx="841">
                  <c:v>20.8</c:v>
                </c:pt>
                <c:pt idx="842">
                  <c:v>19.5</c:v>
                </c:pt>
                <c:pt idx="843">
                  <c:v>13.8</c:v>
                </c:pt>
                <c:pt idx="844">
                  <c:v>13.5</c:v>
                </c:pt>
                <c:pt idx="845">
                  <c:v>19.399999999999999</c:v>
                </c:pt>
                <c:pt idx="846">
                  <c:v>22.7</c:v>
                </c:pt>
                <c:pt idx="847">
                  <c:v>12.7</c:v>
                </c:pt>
                <c:pt idx="848">
                  <c:v>23.9</c:v>
                </c:pt>
                <c:pt idx="849">
                  <c:v>13.1</c:v>
                </c:pt>
                <c:pt idx="850">
                  <c:v>15.2</c:v>
                </c:pt>
                <c:pt idx="851">
                  <c:v>14.3</c:v>
                </c:pt>
                <c:pt idx="852">
                  <c:v>10.5</c:v>
                </c:pt>
                <c:pt idx="853">
                  <c:v>18.7</c:v>
                </c:pt>
                <c:pt idx="854">
                  <c:v>20.7</c:v>
                </c:pt>
                <c:pt idx="855">
                  <c:v>10.3</c:v>
                </c:pt>
                <c:pt idx="856">
                  <c:v>11.2</c:v>
                </c:pt>
                <c:pt idx="857">
                  <c:v>14.9</c:v>
                </c:pt>
                <c:pt idx="858">
                  <c:v>11.4</c:v>
                </c:pt>
                <c:pt idx="859">
                  <c:v>8.1999999999999993</c:v>
                </c:pt>
                <c:pt idx="860">
                  <c:v>9.4</c:v>
                </c:pt>
                <c:pt idx="861">
                  <c:v>10.4</c:v>
                </c:pt>
                <c:pt idx="862">
                  <c:v>15.2</c:v>
                </c:pt>
                <c:pt idx="863">
                  <c:v>22</c:v>
                </c:pt>
                <c:pt idx="864">
                  <c:v>13.1</c:v>
                </c:pt>
                <c:pt idx="865">
                  <c:v>11.6</c:v>
                </c:pt>
                <c:pt idx="866">
                  <c:v>8.8000000000000007</c:v>
                </c:pt>
                <c:pt idx="867">
                  <c:v>6.7</c:v>
                </c:pt>
                <c:pt idx="868">
                  <c:v>6.8</c:v>
                </c:pt>
                <c:pt idx="869">
                  <c:v>19.7</c:v>
                </c:pt>
                <c:pt idx="870">
                  <c:v>12.2</c:v>
                </c:pt>
                <c:pt idx="871">
                  <c:v>22.5</c:v>
                </c:pt>
                <c:pt idx="872">
                  <c:v>12</c:v>
                </c:pt>
                <c:pt idx="873">
                  <c:v>16.7</c:v>
                </c:pt>
                <c:pt idx="874">
                  <c:v>10.3</c:v>
                </c:pt>
                <c:pt idx="875">
                  <c:v>12.5</c:v>
                </c:pt>
                <c:pt idx="876">
                  <c:v>9.1999999999999993</c:v>
                </c:pt>
                <c:pt idx="877">
                  <c:v>6.5</c:v>
                </c:pt>
                <c:pt idx="878">
                  <c:v>10.3</c:v>
                </c:pt>
                <c:pt idx="879">
                  <c:v>7.6</c:v>
                </c:pt>
                <c:pt idx="880">
                  <c:v>11.5</c:v>
                </c:pt>
                <c:pt idx="881">
                  <c:v>19.3</c:v>
                </c:pt>
                <c:pt idx="882">
                  <c:v>9.5</c:v>
                </c:pt>
                <c:pt idx="883">
                  <c:v>19.7</c:v>
                </c:pt>
                <c:pt idx="884">
                  <c:v>21.9</c:v>
                </c:pt>
                <c:pt idx="885">
                  <c:v>19.399999999999999</c:v>
                </c:pt>
                <c:pt idx="886">
                  <c:v>14</c:v>
                </c:pt>
                <c:pt idx="887">
                  <c:v>19.7</c:v>
                </c:pt>
                <c:pt idx="888">
                  <c:v>12.5</c:v>
                </c:pt>
                <c:pt idx="889">
                  <c:v>20.5</c:v>
                </c:pt>
                <c:pt idx="890">
                  <c:v>18.100000000000001</c:v>
                </c:pt>
                <c:pt idx="891">
                  <c:v>9.4</c:v>
                </c:pt>
                <c:pt idx="892">
                  <c:v>19.5</c:v>
                </c:pt>
                <c:pt idx="893">
                  <c:v>23.2</c:v>
                </c:pt>
                <c:pt idx="894">
                  <c:v>18.7</c:v>
                </c:pt>
                <c:pt idx="895">
                  <c:v>6</c:v>
                </c:pt>
                <c:pt idx="896">
                  <c:v>21.1</c:v>
                </c:pt>
                <c:pt idx="897">
                  <c:v>19.2</c:v>
                </c:pt>
                <c:pt idx="898">
                  <c:v>17.7</c:v>
                </c:pt>
                <c:pt idx="899">
                  <c:v>20.7</c:v>
                </c:pt>
                <c:pt idx="900">
                  <c:v>12.1</c:v>
                </c:pt>
                <c:pt idx="901">
                  <c:v>9.3000000000000007</c:v>
                </c:pt>
                <c:pt idx="902">
                  <c:v>17.399999999999999</c:v>
                </c:pt>
                <c:pt idx="903">
                  <c:v>16.100000000000001</c:v>
                </c:pt>
                <c:pt idx="904">
                  <c:v>18.899999999999999</c:v>
                </c:pt>
                <c:pt idx="905">
                  <c:v>19.100000000000001</c:v>
                </c:pt>
                <c:pt idx="906">
                  <c:v>16.8</c:v>
                </c:pt>
                <c:pt idx="907">
                  <c:v>19.100000000000001</c:v>
                </c:pt>
                <c:pt idx="908">
                  <c:v>18</c:v>
                </c:pt>
                <c:pt idx="909">
                  <c:v>12</c:v>
                </c:pt>
                <c:pt idx="910">
                  <c:v>7.5</c:v>
                </c:pt>
                <c:pt idx="911">
                  <c:v>16</c:v>
                </c:pt>
                <c:pt idx="912">
                  <c:v>11.9</c:v>
                </c:pt>
                <c:pt idx="913">
                  <c:v>22.6</c:v>
                </c:pt>
                <c:pt idx="914">
                  <c:v>7.5</c:v>
                </c:pt>
                <c:pt idx="915">
                  <c:v>14.7</c:v>
                </c:pt>
                <c:pt idx="916">
                  <c:v>10.3</c:v>
                </c:pt>
                <c:pt idx="917">
                  <c:v>16.399999999999999</c:v>
                </c:pt>
                <c:pt idx="918">
                  <c:v>8.1</c:v>
                </c:pt>
                <c:pt idx="919">
                  <c:v>13.6</c:v>
                </c:pt>
                <c:pt idx="920">
                  <c:v>12</c:v>
                </c:pt>
                <c:pt idx="921">
                  <c:v>19.8</c:v>
                </c:pt>
                <c:pt idx="922">
                  <c:v>18.600000000000001</c:v>
                </c:pt>
                <c:pt idx="923">
                  <c:v>19.600000000000001</c:v>
                </c:pt>
                <c:pt idx="924">
                  <c:v>14.7</c:v>
                </c:pt>
                <c:pt idx="925">
                  <c:v>12.2</c:v>
                </c:pt>
                <c:pt idx="926">
                  <c:v>6.3</c:v>
                </c:pt>
                <c:pt idx="927">
                  <c:v>18.3</c:v>
                </c:pt>
                <c:pt idx="928">
                  <c:v>19.8</c:v>
                </c:pt>
                <c:pt idx="929">
                  <c:v>17.2</c:v>
                </c:pt>
                <c:pt idx="930">
                  <c:v>19.7</c:v>
                </c:pt>
                <c:pt idx="931">
                  <c:v>14.5</c:v>
                </c:pt>
                <c:pt idx="932">
                  <c:v>14.4</c:v>
                </c:pt>
                <c:pt idx="933">
                  <c:v>9.6999999999999993</c:v>
                </c:pt>
                <c:pt idx="934">
                  <c:v>6.6</c:v>
                </c:pt>
                <c:pt idx="935">
                  <c:v>15.7</c:v>
                </c:pt>
                <c:pt idx="936">
                  <c:v>22.8</c:v>
                </c:pt>
                <c:pt idx="937">
                  <c:v>22.9</c:v>
                </c:pt>
                <c:pt idx="938">
                  <c:v>22.7</c:v>
                </c:pt>
                <c:pt idx="939">
                  <c:v>13</c:v>
                </c:pt>
                <c:pt idx="940">
                  <c:v>18.899999999999999</c:v>
                </c:pt>
                <c:pt idx="941">
                  <c:v>21.7</c:v>
                </c:pt>
                <c:pt idx="942">
                  <c:v>19.600000000000001</c:v>
                </c:pt>
                <c:pt idx="943">
                  <c:v>10.1</c:v>
                </c:pt>
                <c:pt idx="944">
                  <c:v>12.4</c:v>
                </c:pt>
                <c:pt idx="945">
                  <c:v>8.6999999999999993</c:v>
                </c:pt>
                <c:pt idx="946">
                  <c:v>13.4</c:v>
                </c:pt>
                <c:pt idx="947">
                  <c:v>6.7</c:v>
                </c:pt>
                <c:pt idx="948">
                  <c:v>22.4</c:v>
                </c:pt>
                <c:pt idx="949">
                  <c:v>14.2</c:v>
                </c:pt>
                <c:pt idx="950">
                  <c:v>7.5</c:v>
                </c:pt>
                <c:pt idx="951">
                  <c:v>13.5</c:v>
                </c:pt>
                <c:pt idx="952">
                  <c:v>7</c:v>
                </c:pt>
                <c:pt idx="953">
                  <c:v>21.4</c:v>
                </c:pt>
                <c:pt idx="954">
                  <c:v>20</c:v>
                </c:pt>
                <c:pt idx="955">
                  <c:v>22.9</c:v>
                </c:pt>
                <c:pt idx="956">
                  <c:v>22</c:v>
                </c:pt>
                <c:pt idx="957">
                  <c:v>7.7</c:v>
                </c:pt>
                <c:pt idx="958">
                  <c:v>6.4</c:v>
                </c:pt>
                <c:pt idx="959">
                  <c:v>13.7</c:v>
                </c:pt>
                <c:pt idx="960">
                  <c:v>22.1</c:v>
                </c:pt>
                <c:pt idx="961">
                  <c:v>22</c:v>
                </c:pt>
                <c:pt idx="962">
                  <c:v>23.3</c:v>
                </c:pt>
                <c:pt idx="963">
                  <c:v>8.6</c:v>
                </c:pt>
                <c:pt idx="964">
                  <c:v>24</c:v>
                </c:pt>
                <c:pt idx="965">
                  <c:v>13.9</c:v>
                </c:pt>
                <c:pt idx="966">
                  <c:v>11.5</c:v>
                </c:pt>
                <c:pt idx="967">
                  <c:v>22.4</c:v>
                </c:pt>
                <c:pt idx="968">
                  <c:v>8.9</c:v>
                </c:pt>
                <c:pt idx="969">
                  <c:v>14.1</c:v>
                </c:pt>
                <c:pt idx="970">
                  <c:v>15.7</c:v>
                </c:pt>
                <c:pt idx="971">
                  <c:v>21.4</c:v>
                </c:pt>
                <c:pt idx="972">
                  <c:v>18.5</c:v>
                </c:pt>
                <c:pt idx="973">
                  <c:v>19.899999999999999</c:v>
                </c:pt>
                <c:pt idx="974">
                  <c:v>20.100000000000001</c:v>
                </c:pt>
                <c:pt idx="975">
                  <c:v>20.6</c:v>
                </c:pt>
                <c:pt idx="976">
                  <c:v>6.2</c:v>
                </c:pt>
                <c:pt idx="977">
                  <c:v>16.3</c:v>
                </c:pt>
                <c:pt idx="978">
                  <c:v>16.5</c:v>
                </c:pt>
                <c:pt idx="979">
                  <c:v>13.1</c:v>
                </c:pt>
                <c:pt idx="980">
                  <c:v>10.5</c:v>
                </c:pt>
                <c:pt idx="981">
                  <c:v>11.8</c:v>
                </c:pt>
                <c:pt idx="982">
                  <c:v>6.9</c:v>
                </c:pt>
                <c:pt idx="983">
                  <c:v>14.8</c:v>
                </c:pt>
                <c:pt idx="984">
                  <c:v>13.4</c:v>
                </c:pt>
                <c:pt idx="985">
                  <c:v>18.3</c:v>
                </c:pt>
                <c:pt idx="986">
                  <c:v>7.2</c:v>
                </c:pt>
                <c:pt idx="987">
                  <c:v>6.5</c:v>
                </c:pt>
                <c:pt idx="988">
                  <c:v>23.2</c:v>
                </c:pt>
                <c:pt idx="989">
                  <c:v>15.8</c:v>
                </c:pt>
                <c:pt idx="990">
                  <c:v>13.4</c:v>
                </c:pt>
                <c:pt idx="991">
                  <c:v>23.6</c:v>
                </c:pt>
                <c:pt idx="992">
                  <c:v>11.7</c:v>
                </c:pt>
                <c:pt idx="993">
                  <c:v>21.2</c:v>
                </c:pt>
                <c:pt idx="994">
                  <c:v>18.600000000000001</c:v>
                </c:pt>
                <c:pt idx="995">
                  <c:v>19.8</c:v>
                </c:pt>
                <c:pt idx="996">
                  <c:v>19.100000000000001</c:v>
                </c:pt>
                <c:pt idx="997">
                  <c:v>17</c:v>
                </c:pt>
                <c:pt idx="998">
                  <c:v>10.9</c:v>
                </c:pt>
                <c:pt idx="999">
                  <c:v>16.2</c:v>
                </c:pt>
              </c:numCache>
            </c:numRef>
          </c:xVal>
          <c:yVal>
            <c:numRef>
              <c:f>Clean_Data!$Z$2:$Z$1001</c:f>
              <c:numCache>
                <c:formatCode>General</c:formatCode>
                <c:ptCount val="1000"/>
                <c:pt idx="0">
                  <c:v>14.6</c:v>
                </c:pt>
                <c:pt idx="1">
                  <c:v>15.3</c:v>
                </c:pt>
                <c:pt idx="2">
                  <c:v>3.8</c:v>
                </c:pt>
                <c:pt idx="3">
                  <c:v>5.6</c:v>
                </c:pt>
                <c:pt idx="4">
                  <c:v>17.3</c:v>
                </c:pt>
                <c:pt idx="5">
                  <c:v>17.7</c:v>
                </c:pt>
                <c:pt idx="6">
                  <c:v>16.100000000000001</c:v>
                </c:pt>
                <c:pt idx="7">
                  <c:v>5.2</c:v>
                </c:pt>
                <c:pt idx="8">
                  <c:v>13.5</c:v>
                </c:pt>
                <c:pt idx="9">
                  <c:v>16.100000000000001</c:v>
                </c:pt>
                <c:pt idx="10">
                  <c:v>17.899999999999999</c:v>
                </c:pt>
                <c:pt idx="11">
                  <c:v>13.5</c:v>
                </c:pt>
                <c:pt idx="12">
                  <c:v>9</c:v>
                </c:pt>
                <c:pt idx="13">
                  <c:v>8.9</c:v>
                </c:pt>
                <c:pt idx="14">
                  <c:v>17.7</c:v>
                </c:pt>
                <c:pt idx="15">
                  <c:v>7.4</c:v>
                </c:pt>
                <c:pt idx="16">
                  <c:v>13.8</c:v>
                </c:pt>
                <c:pt idx="17">
                  <c:v>5.6</c:v>
                </c:pt>
                <c:pt idx="18">
                  <c:v>18.2</c:v>
                </c:pt>
                <c:pt idx="19">
                  <c:v>3.7</c:v>
                </c:pt>
                <c:pt idx="20">
                  <c:v>5.0999999999999996</c:v>
                </c:pt>
                <c:pt idx="21">
                  <c:v>14.7</c:v>
                </c:pt>
                <c:pt idx="22">
                  <c:v>17.899999999999999</c:v>
                </c:pt>
                <c:pt idx="23">
                  <c:v>15.7</c:v>
                </c:pt>
                <c:pt idx="24">
                  <c:v>13.5</c:v>
                </c:pt>
                <c:pt idx="25">
                  <c:v>7.3</c:v>
                </c:pt>
                <c:pt idx="26">
                  <c:v>4.8</c:v>
                </c:pt>
                <c:pt idx="27">
                  <c:v>9.4</c:v>
                </c:pt>
                <c:pt idx="28">
                  <c:v>5</c:v>
                </c:pt>
                <c:pt idx="29">
                  <c:v>11.5</c:v>
                </c:pt>
                <c:pt idx="30">
                  <c:v>10.3</c:v>
                </c:pt>
                <c:pt idx="31">
                  <c:v>12.7</c:v>
                </c:pt>
                <c:pt idx="32">
                  <c:v>4.7</c:v>
                </c:pt>
                <c:pt idx="33">
                  <c:v>7.8</c:v>
                </c:pt>
                <c:pt idx="34">
                  <c:v>10</c:v>
                </c:pt>
                <c:pt idx="35">
                  <c:v>17.7</c:v>
                </c:pt>
                <c:pt idx="36">
                  <c:v>18.8</c:v>
                </c:pt>
                <c:pt idx="37">
                  <c:v>6.2</c:v>
                </c:pt>
                <c:pt idx="38">
                  <c:v>5</c:v>
                </c:pt>
                <c:pt idx="39">
                  <c:v>11.2</c:v>
                </c:pt>
                <c:pt idx="40">
                  <c:v>4.0999999999999996</c:v>
                </c:pt>
                <c:pt idx="41">
                  <c:v>14.6</c:v>
                </c:pt>
                <c:pt idx="42">
                  <c:v>8.9</c:v>
                </c:pt>
                <c:pt idx="43">
                  <c:v>15.4</c:v>
                </c:pt>
                <c:pt idx="44">
                  <c:v>12.8</c:v>
                </c:pt>
                <c:pt idx="45">
                  <c:v>5.8</c:v>
                </c:pt>
                <c:pt idx="46">
                  <c:v>9.1</c:v>
                </c:pt>
                <c:pt idx="47">
                  <c:v>9.4</c:v>
                </c:pt>
                <c:pt idx="48">
                  <c:v>6.9</c:v>
                </c:pt>
                <c:pt idx="49">
                  <c:v>13.6</c:v>
                </c:pt>
                <c:pt idx="50">
                  <c:v>5.4</c:v>
                </c:pt>
                <c:pt idx="51">
                  <c:v>16.399999999999999</c:v>
                </c:pt>
                <c:pt idx="52">
                  <c:v>3.6</c:v>
                </c:pt>
                <c:pt idx="53">
                  <c:v>17</c:v>
                </c:pt>
                <c:pt idx="54">
                  <c:v>16.600000000000001</c:v>
                </c:pt>
                <c:pt idx="55">
                  <c:v>13.9</c:v>
                </c:pt>
                <c:pt idx="56">
                  <c:v>6.1</c:v>
                </c:pt>
                <c:pt idx="57">
                  <c:v>19.100000000000001</c:v>
                </c:pt>
                <c:pt idx="58">
                  <c:v>3.3</c:v>
                </c:pt>
                <c:pt idx="59">
                  <c:v>18.7</c:v>
                </c:pt>
                <c:pt idx="60">
                  <c:v>10.199999999999999</c:v>
                </c:pt>
                <c:pt idx="61">
                  <c:v>4.9000000000000004</c:v>
                </c:pt>
                <c:pt idx="62">
                  <c:v>17.8</c:v>
                </c:pt>
                <c:pt idx="63">
                  <c:v>8.6999999999999993</c:v>
                </c:pt>
                <c:pt idx="64">
                  <c:v>12.1</c:v>
                </c:pt>
                <c:pt idx="65">
                  <c:v>10.7</c:v>
                </c:pt>
                <c:pt idx="66">
                  <c:v>11.5</c:v>
                </c:pt>
                <c:pt idx="67">
                  <c:v>13.7</c:v>
                </c:pt>
                <c:pt idx="68">
                  <c:v>5.5</c:v>
                </c:pt>
                <c:pt idx="69">
                  <c:v>13.1</c:v>
                </c:pt>
                <c:pt idx="70">
                  <c:v>6.5</c:v>
                </c:pt>
                <c:pt idx="71">
                  <c:v>4.0999999999999996</c:v>
                </c:pt>
                <c:pt idx="72">
                  <c:v>9.8000000000000007</c:v>
                </c:pt>
                <c:pt idx="73">
                  <c:v>19.100000000000001</c:v>
                </c:pt>
                <c:pt idx="74">
                  <c:v>3.4</c:v>
                </c:pt>
                <c:pt idx="75">
                  <c:v>6.8</c:v>
                </c:pt>
                <c:pt idx="76">
                  <c:v>16.600000000000001</c:v>
                </c:pt>
                <c:pt idx="77">
                  <c:v>7.1</c:v>
                </c:pt>
                <c:pt idx="78">
                  <c:v>14.4</c:v>
                </c:pt>
                <c:pt idx="79">
                  <c:v>4.5</c:v>
                </c:pt>
                <c:pt idx="80">
                  <c:v>10.199999999999999</c:v>
                </c:pt>
                <c:pt idx="81">
                  <c:v>9.5</c:v>
                </c:pt>
                <c:pt idx="82">
                  <c:v>12.4</c:v>
                </c:pt>
                <c:pt idx="83">
                  <c:v>5.4</c:v>
                </c:pt>
                <c:pt idx="84">
                  <c:v>10.199999999999999</c:v>
                </c:pt>
                <c:pt idx="85">
                  <c:v>7.4</c:v>
                </c:pt>
                <c:pt idx="86">
                  <c:v>5.9</c:v>
                </c:pt>
                <c:pt idx="87">
                  <c:v>12.8</c:v>
                </c:pt>
                <c:pt idx="88">
                  <c:v>6.5</c:v>
                </c:pt>
                <c:pt idx="89">
                  <c:v>13.2</c:v>
                </c:pt>
                <c:pt idx="90">
                  <c:v>10.1</c:v>
                </c:pt>
                <c:pt idx="91">
                  <c:v>15.5</c:v>
                </c:pt>
                <c:pt idx="92">
                  <c:v>7.9</c:v>
                </c:pt>
                <c:pt idx="93">
                  <c:v>11.1</c:v>
                </c:pt>
                <c:pt idx="94">
                  <c:v>3.5</c:v>
                </c:pt>
                <c:pt idx="95">
                  <c:v>13.1</c:v>
                </c:pt>
                <c:pt idx="96">
                  <c:v>15.4</c:v>
                </c:pt>
                <c:pt idx="97">
                  <c:v>16.899999999999999</c:v>
                </c:pt>
                <c:pt idx="98">
                  <c:v>9.1</c:v>
                </c:pt>
                <c:pt idx="99">
                  <c:v>10.6</c:v>
                </c:pt>
                <c:pt idx="100">
                  <c:v>16.7</c:v>
                </c:pt>
                <c:pt idx="101">
                  <c:v>11.3</c:v>
                </c:pt>
                <c:pt idx="102">
                  <c:v>15</c:v>
                </c:pt>
                <c:pt idx="103">
                  <c:v>3.6</c:v>
                </c:pt>
                <c:pt idx="104">
                  <c:v>19.100000000000001</c:v>
                </c:pt>
                <c:pt idx="105">
                  <c:v>17.100000000000001</c:v>
                </c:pt>
                <c:pt idx="106">
                  <c:v>4.3</c:v>
                </c:pt>
                <c:pt idx="107">
                  <c:v>8.4</c:v>
                </c:pt>
                <c:pt idx="108">
                  <c:v>18.100000000000001</c:v>
                </c:pt>
                <c:pt idx="109">
                  <c:v>3.4</c:v>
                </c:pt>
                <c:pt idx="110">
                  <c:v>20</c:v>
                </c:pt>
                <c:pt idx="111">
                  <c:v>13.7</c:v>
                </c:pt>
                <c:pt idx="112">
                  <c:v>10.199999999999999</c:v>
                </c:pt>
                <c:pt idx="113">
                  <c:v>7.9</c:v>
                </c:pt>
                <c:pt idx="114">
                  <c:v>19.8</c:v>
                </c:pt>
                <c:pt idx="115">
                  <c:v>19.100000000000001</c:v>
                </c:pt>
                <c:pt idx="116">
                  <c:v>19.100000000000001</c:v>
                </c:pt>
                <c:pt idx="117">
                  <c:v>6.9</c:v>
                </c:pt>
                <c:pt idx="118">
                  <c:v>6.9</c:v>
                </c:pt>
                <c:pt idx="119">
                  <c:v>9</c:v>
                </c:pt>
                <c:pt idx="120">
                  <c:v>19.899999999999999</c:v>
                </c:pt>
                <c:pt idx="121">
                  <c:v>5.6</c:v>
                </c:pt>
                <c:pt idx="122">
                  <c:v>13.1</c:v>
                </c:pt>
                <c:pt idx="123">
                  <c:v>5.2</c:v>
                </c:pt>
                <c:pt idx="124">
                  <c:v>14.1</c:v>
                </c:pt>
                <c:pt idx="125">
                  <c:v>7.4</c:v>
                </c:pt>
                <c:pt idx="126">
                  <c:v>14.6</c:v>
                </c:pt>
                <c:pt idx="127">
                  <c:v>13.1</c:v>
                </c:pt>
                <c:pt idx="128">
                  <c:v>7.5</c:v>
                </c:pt>
                <c:pt idx="129">
                  <c:v>17.7</c:v>
                </c:pt>
                <c:pt idx="130">
                  <c:v>13.5</c:v>
                </c:pt>
                <c:pt idx="131">
                  <c:v>3.5</c:v>
                </c:pt>
                <c:pt idx="132">
                  <c:v>5.7</c:v>
                </c:pt>
                <c:pt idx="133">
                  <c:v>7.9</c:v>
                </c:pt>
                <c:pt idx="134">
                  <c:v>13.8</c:v>
                </c:pt>
                <c:pt idx="135">
                  <c:v>12.2</c:v>
                </c:pt>
                <c:pt idx="136">
                  <c:v>4.7</c:v>
                </c:pt>
                <c:pt idx="137">
                  <c:v>15</c:v>
                </c:pt>
                <c:pt idx="138">
                  <c:v>3.8</c:v>
                </c:pt>
                <c:pt idx="139">
                  <c:v>5.2</c:v>
                </c:pt>
                <c:pt idx="140">
                  <c:v>11.3</c:v>
                </c:pt>
                <c:pt idx="141">
                  <c:v>20</c:v>
                </c:pt>
                <c:pt idx="142">
                  <c:v>14.8</c:v>
                </c:pt>
                <c:pt idx="143">
                  <c:v>7.6</c:v>
                </c:pt>
                <c:pt idx="144">
                  <c:v>10.1</c:v>
                </c:pt>
                <c:pt idx="145">
                  <c:v>10</c:v>
                </c:pt>
                <c:pt idx="146">
                  <c:v>14.1</c:v>
                </c:pt>
                <c:pt idx="147">
                  <c:v>6.2</c:v>
                </c:pt>
                <c:pt idx="148">
                  <c:v>15.9</c:v>
                </c:pt>
                <c:pt idx="149">
                  <c:v>13.5</c:v>
                </c:pt>
                <c:pt idx="150">
                  <c:v>14.7</c:v>
                </c:pt>
                <c:pt idx="151">
                  <c:v>12.9</c:v>
                </c:pt>
                <c:pt idx="152">
                  <c:v>3.2</c:v>
                </c:pt>
                <c:pt idx="153">
                  <c:v>8</c:v>
                </c:pt>
                <c:pt idx="154">
                  <c:v>11.2</c:v>
                </c:pt>
                <c:pt idx="155">
                  <c:v>11.5</c:v>
                </c:pt>
                <c:pt idx="156">
                  <c:v>8.5</c:v>
                </c:pt>
                <c:pt idx="157">
                  <c:v>4.3</c:v>
                </c:pt>
                <c:pt idx="158">
                  <c:v>16.600000000000001</c:v>
                </c:pt>
                <c:pt idx="159">
                  <c:v>15</c:v>
                </c:pt>
                <c:pt idx="160">
                  <c:v>15.1</c:v>
                </c:pt>
                <c:pt idx="161">
                  <c:v>16.899999999999999</c:v>
                </c:pt>
                <c:pt idx="162">
                  <c:v>10.7</c:v>
                </c:pt>
                <c:pt idx="163">
                  <c:v>4</c:v>
                </c:pt>
                <c:pt idx="164">
                  <c:v>19.600000000000001</c:v>
                </c:pt>
                <c:pt idx="165">
                  <c:v>11.5</c:v>
                </c:pt>
                <c:pt idx="166">
                  <c:v>19.600000000000001</c:v>
                </c:pt>
                <c:pt idx="167">
                  <c:v>3.5</c:v>
                </c:pt>
                <c:pt idx="168">
                  <c:v>15.6</c:v>
                </c:pt>
                <c:pt idx="169">
                  <c:v>3.7</c:v>
                </c:pt>
                <c:pt idx="170">
                  <c:v>11.3</c:v>
                </c:pt>
                <c:pt idx="171">
                  <c:v>13.1</c:v>
                </c:pt>
                <c:pt idx="172">
                  <c:v>15.5</c:v>
                </c:pt>
                <c:pt idx="173">
                  <c:v>7</c:v>
                </c:pt>
                <c:pt idx="174">
                  <c:v>7.2</c:v>
                </c:pt>
                <c:pt idx="175">
                  <c:v>13.1</c:v>
                </c:pt>
                <c:pt idx="176">
                  <c:v>14.2</c:v>
                </c:pt>
                <c:pt idx="177">
                  <c:v>10.7</c:v>
                </c:pt>
                <c:pt idx="178">
                  <c:v>8.6999999999999993</c:v>
                </c:pt>
                <c:pt idx="179">
                  <c:v>15</c:v>
                </c:pt>
                <c:pt idx="180">
                  <c:v>14.3</c:v>
                </c:pt>
                <c:pt idx="181">
                  <c:v>17.8</c:v>
                </c:pt>
                <c:pt idx="182">
                  <c:v>12</c:v>
                </c:pt>
                <c:pt idx="183">
                  <c:v>18.899999999999999</c:v>
                </c:pt>
                <c:pt idx="184">
                  <c:v>19.8</c:v>
                </c:pt>
                <c:pt idx="185">
                  <c:v>17.8</c:v>
                </c:pt>
                <c:pt idx="186">
                  <c:v>5.4</c:v>
                </c:pt>
                <c:pt idx="187">
                  <c:v>14.4</c:v>
                </c:pt>
                <c:pt idx="188">
                  <c:v>17.8</c:v>
                </c:pt>
                <c:pt idx="189">
                  <c:v>14.6</c:v>
                </c:pt>
                <c:pt idx="190">
                  <c:v>3.5</c:v>
                </c:pt>
                <c:pt idx="191">
                  <c:v>14.2</c:v>
                </c:pt>
                <c:pt idx="192">
                  <c:v>20</c:v>
                </c:pt>
                <c:pt idx="193">
                  <c:v>16.3</c:v>
                </c:pt>
                <c:pt idx="194">
                  <c:v>8.6</c:v>
                </c:pt>
                <c:pt idx="195">
                  <c:v>10.4</c:v>
                </c:pt>
                <c:pt idx="196">
                  <c:v>8.5</c:v>
                </c:pt>
                <c:pt idx="197">
                  <c:v>10.6</c:v>
                </c:pt>
                <c:pt idx="198">
                  <c:v>13.3</c:v>
                </c:pt>
                <c:pt idx="199">
                  <c:v>17.7</c:v>
                </c:pt>
                <c:pt idx="200">
                  <c:v>9.5</c:v>
                </c:pt>
                <c:pt idx="201">
                  <c:v>16</c:v>
                </c:pt>
                <c:pt idx="202">
                  <c:v>6.3</c:v>
                </c:pt>
                <c:pt idx="203">
                  <c:v>18.8</c:v>
                </c:pt>
                <c:pt idx="204">
                  <c:v>11.3</c:v>
                </c:pt>
                <c:pt idx="205">
                  <c:v>12.2</c:v>
                </c:pt>
                <c:pt idx="206">
                  <c:v>10</c:v>
                </c:pt>
                <c:pt idx="207">
                  <c:v>11.9</c:v>
                </c:pt>
                <c:pt idx="208">
                  <c:v>19.399999999999999</c:v>
                </c:pt>
                <c:pt idx="209">
                  <c:v>13.8</c:v>
                </c:pt>
                <c:pt idx="210">
                  <c:v>6.9</c:v>
                </c:pt>
                <c:pt idx="211">
                  <c:v>18.3</c:v>
                </c:pt>
                <c:pt idx="212">
                  <c:v>17</c:v>
                </c:pt>
                <c:pt idx="213">
                  <c:v>10.7</c:v>
                </c:pt>
                <c:pt idx="214">
                  <c:v>6.7</c:v>
                </c:pt>
                <c:pt idx="215">
                  <c:v>12.3</c:v>
                </c:pt>
                <c:pt idx="216">
                  <c:v>19.8</c:v>
                </c:pt>
                <c:pt idx="217">
                  <c:v>15.2</c:v>
                </c:pt>
                <c:pt idx="218">
                  <c:v>15.3</c:v>
                </c:pt>
                <c:pt idx="219">
                  <c:v>18.2</c:v>
                </c:pt>
                <c:pt idx="220">
                  <c:v>4.2</c:v>
                </c:pt>
                <c:pt idx="221">
                  <c:v>12.2</c:v>
                </c:pt>
                <c:pt idx="222">
                  <c:v>8.6999999999999993</c:v>
                </c:pt>
                <c:pt idx="223">
                  <c:v>15.4</c:v>
                </c:pt>
                <c:pt idx="224">
                  <c:v>6</c:v>
                </c:pt>
                <c:pt idx="225">
                  <c:v>10.7</c:v>
                </c:pt>
                <c:pt idx="226">
                  <c:v>18.8</c:v>
                </c:pt>
                <c:pt idx="227">
                  <c:v>18.8</c:v>
                </c:pt>
                <c:pt idx="228">
                  <c:v>4.5</c:v>
                </c:pt>
                <c:pt idx="229">
                  <c:v>15</c:v>
                </c:pt>
                <c:pt idx="230">
                  <c:v>4.5</c:v>
                </c:pt>
                <c:pt idx="231">
                  <c:v>10.6</c:v>
                </c:pt>
                <c:pt idx="232">
                  <c:v>19.899999999999999</c:v>
                </c:pt>
                <c:pt idx="233">
                  <c:v>16.899999999999999</c:v>
                </c:pt>
                <c:pt idx="234">
                  <c:v>16.399999999999999</c:v>
                </c:pt>
                <c:pt idx="235">
                  <c:v>14.8</c:v>
                </c:pt>
                <c:pt idx="236">
                  <c:v>5.3</c:v>
                </c:pt>
                <c:pt idx="237">
                  <c:v>16</c:v>
                </c:pt>
                <c:pt idx="238">
                  <c:v>9.1999999999999993</c:v>
                </c:pt>
                <c:pt idx="239">
                  <c:v>12.3</c:v>
                </c:pt>
                <c:pt idx="240">
                  <c:v>10.5</c:v>
                </c:pt>
                <c:pt idx="241">
                  <c:v>14.1</c:v>
                </c:pt>
                <c:pt idx="242">
                  <c:v>4</c:v>
                </c:pt>
                <c:pt idx="243">
                  <c:v>7.1</c:v>
                </c:pt>
                <c:pt idx="244">
                  <c:v>14.8</c:v>
                </c:pt>
                <c:pt idx="245">
                  <c:v>13.5</c:v>
                </c:pt>
                <c:pt idx="246">
                  <c:v>5.2</c:v>
                </c:pt>
                <c:pt idx="247">
                  <c:v>10</c:v>
                </c:pt>
                <c:pt idx="248">
                  <c:v>10.1</c:v>
                </c:pt>
                <c:pt idx="249">
                  <c:v>5.3</c:v>
                </c:pt>
                <c:pt idx="250">
                  <c:v>19.600000000000001</c:v>
                </c:pt>
                <c:pt idx="251">
                  <c:v>12.3</c:v>
                </c:pt>
                <c:pt idx="252">
                  <c:v>5.6</c:v>
                </c:pt>
                <c:pt idx="253">
                  <c:v>9.6999999999999993</c:v>
                </c:pt>
                <c:pt idx="254">
                  <c:v>16.399999999999999</c:v>
                </c:pt>
                <c:pt idx="255">
                  <c:v>17.3</c:v>
                </c:pt>
                <c:pt idx="256">
                  <c:v>14.2</c:v>
                </c:pt>
                <c:pt idx="257">
                  <c:v>11.8</c:v>
                </c:pt>
                <c:pt idx="258">
                  <c:v>3.7</c:v>
                </c:pt>
                <c:pt idx="259">
                  <c:v>3.2</c:v>
                </c:pt>
                <c:pt idx="260">
                  <c:v>8.9</c:v>
                </c:pt>
                <c:pt idx="261">
                  <c:v>4.7</c:v>
                </c:pt>
                <c:pt idx="262">
                  <c:v>4.4000000000000004</c:v>
                </c:pt>
                <c:pt idx="263">
                  <c:v>9.5</c:v>
                </c:pt>
                <c:pt idx="264">
                  <c:v>13.9</c:v>
                </c:pt>
                <c:pt idx="265">
                  <c:v>8</c:v>
                </c:pt>
                <c:pt idx="266">
                  <c:v>16.8</c:v>
                </c:pt>
                <c:pt idx="267">
                  <c:v>6.8</c:v>
                </c:pt>
                <c:pt idx="268">
                  <c:v>19</c:v>
                </c:pt>
                <c:pt idx="269">
                  <c:v>14</c:v>
                </c:pt>
                <c:pt idx="270">
                  <c:v>18.600000000000001</c:v>
                </c:pt>
                <c:pt idx="271">
                  <c:v>15.4</c:v>
                </c:pt>
                <c:pt idx="272">
                  <c:v>19.7</c:v>
                </c:pt>
                <c:pt idx="273">
                  <c:v>15.3</c:v>
                </c:pt>
                <c:pt idx="274">
                  <c:v>15.5</c:v>
                </c:pt>
                <c:pt idx="275">
                  <c:v>12.6</c:v>
                </c:pt>
                <c:pt idx="276">
                  <c:v>5.7</c:v>
                </c:pt>
                <c:pt idx="277">
                  <c:v>19.899999999999999</c:v>
                </c:pt>
                <c:pt idx="278">
                  <c:v>12.4</c:v>
                </c:pt>
                <c:pt idx="279">
                  <c:v>16.3</c:v>
                </c:pt>
                <c:pt idx="280">
                  <c:v>15.7</c:v>
                </c:pt>
                <c:pt idx="281">
                  <c:v>5.5</c:v>
                </c:pt>
                <c:pt idx="282">
                  <c:v>10.6</c:v>
                </c:pt>
                <c:pt idx="283">
                  <c:v>10</c:v>
                </c:pt>
                <c:pt idx="284">
                  <c:v>16.5</c:v>
                </c:pt>
                <c:pt idx="285">
                  <c:v>4.0999999999999996</c:v>
                </c:pt>
                <c:pt idx="286">
                  <c:v>14.5</c:v>
                </c:pt>
                <c:pt idx="287">
                  <c:v>4.3</c:v>
                </c:pt>
                <c:pt idx="288">
                  <c:v>16.399999999999999</c:v>
                </c:pt>
                <c:pt idx="289">
                  <c:v>10.4</c:v>
                </c:pt>
                <c:pt idx="290">
                  <c:v>20</c:v>
                </c:pt>
                <c:pt idx="291">
                  <c:v>16.399999999999999</c:v>
                </c:pt>
                <c:pt idx="292">
                  <c:v>12.7</c:v>
                </c:pt>
                <c:pt idx="293">
                  <c:v>3.4</c:v>
                </c:pt>
                <c:pt idx="294">
                  <c:v>8.1</c:v>
                </c:pt>
                <c:pt idx="295">
                  <c:v>17.3</c:v>
                </c:pt>
                <c:pt idx="296">
                  <c:v>5.3</c:v>
                </c:pt>
                <c:pt idx="297">
                  <c:v>15.4</c:v>
                </c:pt>
                <c:pt idx="298">
                  <c:v>15.8</c:v>
                </c:pt>
                <c:pt idx="299">
                  <c:v>7.8</c:v>
                </c:pt>
                <c:pt idx="300">
                  <c:v>7.6</c:v>
                </c:pt>
                <c:pt idx="301">
                  <c:v>11.3</c:v>
                </c:pt>
                <c:pt idx="302">
                  <c:v>12.1</c:v>
                </c:pt>
                <c:pt idx="303">
                  <c:v>14.3</c:v>
                </c:pt>
                <c:pt idx="304">
                  <c:v>10.1</c:v>
                </c:pt>
                <c:pt idx="305">
                  <c:v>14.1</c:v>
                </c:pt>
                <c:pt idx="306">
                  <c:v>13.3</c:v>
                </c:pt>
                <c:pt idx="307">
                  <c:v>7.3</c:v>
                </c:pt>
                <c:pt idx="308">
                  <c:v>17.600000000000001</c:v>
                </c:pt>
                <c:pt idx="309">
                  <c:v>4.4000000000000004</c:v>
                </c:pt>
                <c:pt idx="310">
                  <c:v>17.399999999999999</c:v>
                </c:pt>
                <c:pt idx="311">
                  <c:v>12.3</c:v>
                </c:pt>
                <c:pt idx="312">
                  <c:v>3.9</c:v>
                </c:pt>
                <c:pt idx="313">
                  <c:v>8.6</c:v>
                </c:pt>
                <c:pt idx="314">
                  <c:v>18</c:v>
                </c:pt>
                <c:pt idx="315">
                  <c:v>16.100000000000001</c:v>
                </c:pt>
                <c:pt idx="316">
                  <c:v>12.2</c:v>
                </c:pt>
                <c:pt idx="317">
                  <c:v>9.5</c:v>
                </c:pt>
                <c:pt idx="318">
                  <c:v>7.9</c:v>
                </c:pt>
                <c:pt idx="319">
                  <c:v>9.6999999999999993</c:v>
                </c:pt>
                <c:pt idx="320">
                  <c:v>16.5</c:v>
                </c:pt>
                <c:pt idx="321">
                  <c:v>19.7</c:v>
                </c:pt>
                <c:pt idx="322">
                  <c:v>14.1</c:v>
                </c:pt>
                <c:pt idx="323">
                  <c:v>18</c:v>
                </c:pt>
                <c:pt idx="324">
                  <c:v>19.7</c:v>
                </c:pt>
                <c:pt idx="325">
                  <c:v>10.3</c:v>
                </c:pt>
                <c:pt idx="326">
                  <c:v>15.2</c:v>
                </c:pt>
                <c:pt idx="327">
                  <c:v>17.600000000000001</c:v>
                </c:pt>
                <c:pt idx="328">
                  <c:v>11</c:v>
                </c:pt>
                <c:pt idx="329">
                  <c:v>17.100000000000001</c:v>
                </c:pt>
                <c:pt idx="330">
                  <c:v>4.7</c:v>
                </c:pt>
                <c:pt idx="331">
                  <c:v>15.7</c:v>
                </c:pt>
                <c:pt idx="332">
                  <c:v>11</c:v>
                </c:pt>
                <c:pt idx="333">
                  <c:v>8.5</c:v>
                </c:pt>
                <c:pt idx="334">
                  <c:v>6.9</c:v>
                </c:pt>
                <c:pt idx="335">
                  <c:v>11.7</c:v>
                </c:pt>
                <c:pt idx="336">
                  <c:v>14.1</c:v>
                </c:pt>
                <c:pt idx="337">
                  <c:v>14.3</c:v>
                </c:pt>
                <c:pt idx="338">
                  <c:v>4.9000000000000004</c:v>
                </c:pt>
                <c:pt idx="339">
                  <c:v>9.5</c:v>
                </c:pt>
                <c:pt idx="340">
                  <c:v>15.6</c:v>
                </c:pt>
                <c:pt idx="341">
                  <c:v>18.5</c:v>
                </c:pt>
                <c:pt idx="342">
                  <c:v>15.4</c:v>
                </c:pt>
                <c:pt idx="343">
                  <c:v>4.9000000000000004</c:v>
                </c:pt>
                <c:pt idx="344">
                  <c:v>3.2</c:v>
                </c:pt>
                <c:pt idx="345">
                  <c:v>8.1</c:v>
                </c:pt>
                <c:pt idx="346">
                  <c:v>14.4</c:v>
                </c:pt>
                <c:pt idx="347">
                  <c:v>7.1</c:v>
                </c:pt>
                <c:pt idx="348">
                  <c:v>17.5</c:v>
                </c:pt>
                <c:pt idx="349">
                  <c:v>5</c:v>
                </c:pt>
                <c:pt idx="350">
                  <c:v>17.899999999999999</c:v>
                </c:pt>
                <c:pt idx="351">
                  <c:v>10.4</c:v>
                </c:pt>
                <c:pt idx="352">
                  <c:v>13.3</c:v>
                </c:pt>
                <c:pt idx="353">
                  <c:v>11.7</c:v>
                </c:pt>
                <c:pt idx="354">
                  <c:v>19.2</c:v>
                </c:pt>
                <c:pt idx="355">
                  <c:v>4.2</c:v>
                </c:pt>
                <c:pt idx="356">
                  <c:v>5.4</c:v>
                </c:pt>
                <c:pt idx="357">
                  <c:v>6.3</c:v>
                </c:pt>
                <c:pt idx="358">
                  <c:v>3.1</c:v>
                </c:pt>
                <c:pt idx="359">
                  <c:v>8.8000000000000007</c:v>
                </c:pt>
                <c:pt idx="360">
                  <c:v>18.8</c:v>
                </c:pt>
                <c:pt idx="361">
                  <c:v>8.9</c:v>
                </c:pt>
                <c:pt idx="362">
                  <c:v>19.899999999999999</c:v>
                </c:pt>
                <c:pt idx="363">
                  <c:v>10</c:v>
                </c:pt>
                <c:pt idx="364">
                  <c:v>17</c:v>
                </c:pt>
                <c:pt idx="365">
                  <c:v>3.9</c:v>
                </c:pt>
                <c:pt idx="366">
                  <c:v>4.9000000000000004</c:v>
                </c:pt>
                <c:pt idx="367">
                  <c:v>10.1</c:v>
                </c:pt>
                <c:pt idx="368">
                  <c:v>19</c:v>
                </c:pt>
                <c:pt idx="369">
                  <c:v>3.2</c:v>
                </c:pt>
                <c:pt idx="370">
                  <c:v>15.3</c:v>
                </c:pt>
                <c:pt idx="371">
                  <c:v>5.4</c:v>
                </c:pt>
                <c:pt idx="372">
                  <c:v>12.8</c:v>
                </c:pt>
                <c:pt idx="373">
                  <c:v>15.4</c:v>
                </c:pt>
                <c:pt idx="374">
                  <c:v>14.4</c:v>
                </c:pt>
                <c:pt idx="375">
                  <c:v>16.600000000000001</c:v>
                </c:pt>
                <c:pt idx="376">
                  <c:v>8.4</c:v>
                </c:pt>
                <c:pt idx="377">
                  <c:v>14.7</c:v>
                </c:pt>
                <c:pt idx="378">
                  <c:v>18.100000000000001</c:v>
                </c:pt>
                <c:pt idx="379">
                  <c:v>13.8</c:v>
                </c:pt>
                <c:pt idx="380">
                  <c:v>14.5</c:v>
                </c:pt>
                <c:pt idx="381">
                  <c:v>10.7</c:v>
                </c:pt>
                <c:pt idx="382">
                  <c:v>11.6</c:v>
                </c:pt>
                <c:pt idx="383">
                  <c:v>9.6</c:v>
                </c:pt>
                <c:pt idx="384">
                  <c:v>7.9</c:v>
                </c:pt>
                <c:pt idx="385">
                  <c:v>18.100000000000001</c:v>
                </c:pt>
                <c:pt idx="386">
                  <c:v>19.3</c:v>
                </c:pt>
                <c:pt idx="387">
                  <c:v>5.6</c:v>
                </c:pt>
                <c:pt idx="388">
                  <c:v>10.5</c:v>
                </c:pt>
                <c:pt idx="389">
                  <c:v>8.8000000000000007</c:v>
                </c:pt>
                <c:pt idx="390">
                  <c:v>12.9</c:v>
                </c:pt>
                <c:pt idx="391">
                  <c:v>9.8000000000000007</c:v>
                </c:pt>
                <c:pt idx="392">
                  <c:v>13.6</c:v>
                </c:pt>
                <c:pt idx="393">
                  <c:v>12.2</c:v>
                </c:pt>
                <c:pt idx="394">
                  <c:v>12.1</c:v>
                </c:pt>
                <c:pt idx="395">
                  <c:v>16.5</c:v>
                </c:pt>
                <c:pt idx="396">
                  <c:v>10.9</c:v>
                </c:pt>
                <c:pt idx="397">
                  <c:v>9.4</c:v>
                </c:pt>
                <c:pt idx="398">
                  <c:v>11.7</c:v>
                </c:pt>
                <c:pt idx="399">
                  <c:v>9.9</c:v>
                </c:pt>
                <c:pt idx="400">
                  <c:v>6.4</c:v>
                </c:pt>
                <c:pt idx="401">
                  <c:v>18.2</c:v>
                </c:pt>
                <c:pt idx="402">
                  <c:v>13.7</c:v>
                </c:pt>
                <c:pt idx="403">
                  <c:v>15.3</c:v>
                </c:pt>
                <c:pt idx="404">
                  <c:v>16.7</c:v>
                </c:pt>
                <c:pt idx="405">
                  <c:v>20</c:v>
                </c:pt>
                <c:pt idx="406">
                  <c:v>15.5</c:v>
                </c:pt>
                <c:pt idx="407">
                  <c:v>16.100000000000001</c:v>
                </c:pt>
                <c:pt idx="408">
                  <c:v>4.5</c:v>
                </c:pt>
                <c:pt idx="409">
                  <c:v>4.0999999999999996</c:v>
                </c:pt>
                <c:pt idx="410">
                  <c:v>4.2</c:v>
                </c:pt>
                <c:pt idx="411">
                  <c:v>11.5</c:v>
                </c:pt>
                <c:pt idx="412">
                  <c:v>9.8000000000000007</c:v>
                </c:pt>
                <c:pt idx="413">
                  <c:v>18.8</c:v>
                </c:pt>
                <c:pt idx="414">
                  <c:v>6.8</c:v>
                </c:pt>
                <c:pt idx="415">
                  <c:v>14</c:v>
                </c:pt>
                <c:pt idx="416">
                  <c:v>13</c:v>
                </c:pt>
                <c:pt idx="417">
                  <c:v>15.1</c:v>
                </c:pt>
                <c:pt idx="418">
                  <c:v>5.4</c:v>
                </c:pt>
                <c:pt idx="419">
                  <c:v>5.3</c:v>
                </c:pt>
                <c:pt idx="420">
                  <c:v>3</c:v>
                </c:pt>
                <c:pt idx="421">
                  <c:v>4.0999999999999996</c:v>
                </c:pt>
                <c:pt idx="422">
                  <c:v>8.4</c:v>
                </c:pt>
                <c:pt idx="423">
                  <c:v>8.3000000000000007</c:v>
                </c:pt>
                <c:pt idx="424">
                  <c:v>9.4</c:v>
                </c:pt>
                <c:pt idx="425">
                  <c:v>9.6</c:v>
                </c:pt>
                <c:pt idx="426">
                  <c:v>15.1</c:v>
                </c:pt>
                <c:pt idx="427">
                  <c:v>14.9</c:v>
                </c:pt>
                <c:pt idx="428">
                  <c:v>3.8</c:v>
                </c:pt>
                <c:pt idx="429">
                  <c:v>10.8</c:v>
                </c:pt>
                <c:pt idx="430">
                  <c:v>16</c:v>
                </c:pt>
                <c:pt idx="431">
                  <c:v>14.2</c:v>
                </c:pt>
                <c:pt idx="432">
                  <c:v>13.3</c:v>
                </c:pt>
                <c:pt idx="433">
                  <c:v>8.4</c:v>
                </c:pt>
                <c:pt idx="434">
                  <c:v>18.100000000000001</c:v>
                </c:pt>
                <c:pt idx="435">
                  <c:v>11.8</c:v>
                </c:pt>
                <c:pt idx="436">
                  <c:v>8.6999999999999993</c:v>
                </c:pt>
                <c:pt idx="437">
                  <c:v>9.9</c:v>
                </c:pt>
                <c:pt idx="438">
                  <c:v>19.399999999999999</c:v>
                </c:pt>
                <c:pt idx="439">
                  <c:v>16.100000000000001</c:v>
                </c:pt>
                <c:pt idx="440">
                  <c:v>16.100000000000001</c:v>
                </c:pt>
                <c:pt idx="441">
                  <c:v>8</c:v>
                </c:pt>
                <c:pt idx="442">
                  <c:v>3</c:v>
                </c:pt>
                <c:pt idx="443">
                  <c:v>3.4</c:v>
                </c:pt>
                <c:pt idx="444">
                  <c:v>9.8000000000000007</c:v>
                </c:pt>
                <c:pt idx="445">
                  <c:v>11.2</c:v>
                </c:pt>
                <c:pt idx="446">
                  <c:v>19</c:v>
                </c:pt>
                <c:pt idx="447">
                  <c:v>4.3</c:v>
                </c:pt>
                <c:pt idx="448">
                  <c:v>13.6</c:v>
                </c:pt>
                <c:pt idx="449">
                  <c:v>13.8</c:v>
                </c:pt>
                <c:pt idx="450">
                  <c:v>18.600000000000001</c:v>
                </c:pt>
                <c:pt idx="451">
                  <c:v>4.0999999999999996</c:v>
                </c:pt>
                <c:pt idx="452">
                  <c:v>5.3</c:v>
                </c:pt>
                <c:pt idx="453">
                  <c:v>14.6</c:v>
                </c:pt>
                <c:pt idx="454">
                  <c:v>12.3</c:v>
                </c:pt>
                <c:pt idx="455">
                  <c:v>6.6</c:v>
                </c:pt>
                <c:pt idx="456">
                  <c:v>17.5</c:v>
                </c:pt>
                <c:pt idx="457">
                  <c:v>19.899999999999999</c:v>
                </c:pt>
                <c:pt idx="458">
                  <c:v>10.4</c:v>
                </c:pt>
                <c:pt idx="459">
                  <c:v>6.2</c:v>
                </c:pt>
                <c:pt idx="460">
                  <c:v>11.9</c:v>
                </c:pt>
                <c:pt idx="461">
                  <c:v>15.2</c:v>
                </c:pt>
                <c:pt idx="462">
                  <c:v>12.6</c:v>
                </c:pt>
                <c:pt idx="463">
                  <c:v>9.1</c:v>
                </c:pt>
                <c:pt idx="464">
                  <c:v>8.5</c:v>
                </c:pt>
                <c:pt idx="465">
                  <c:v>3.5</c:v>
                </c:pt>
                <c:pt idx="466">
                  <c:v>9.8000000000000007</c:v>
                </c:pt>
                <c:pt idx="467">
                  <c:v>9.3000000000000007</c:v>
                </c:pt>
                <c:pt idx="468">
                  <c:v>12.8</c:v>
                </c:pt>
                <c:pt idx="469">
                  <c:v>9.1</c:v>
                </c:pt>
                <c:pt idx="470">
                  <c:v>4.7</c:v>
                </c:pt>
                <c:pt idx="471">
                  <c:v>6</c:v>
                </c:pt>
                <c:pt idx="472">
                  <c:v>10.4</c:v>
                </c:pt>
                <c:pt idx="473">
                  <c:v>9</c:v>
                </c:pt>
                <c:pt idx="474">
                  <c:v>16.3</c:v>
                </c:pt>
                <c:pt idx="475">
                  <c:v>6.2</c:v>
                </c:pt>
                <c:pt idx="476">
                  <c:v>4.2</c:v>
                </c:pt>
                <c:pt idx="477">
                  <c:v>17.2</c:v>
                </c:pt>
                <c:pt idx="478">
                  <c:v>5.6</c:v>
                </c:pt>
                <c:pt idx="479">
                  <c:v>3.6</c:v>
                </c:pt>
                <c:pt idx="480">
                  <c:v>11.9</c:v>
                </c:pt>
                <c:pt idx="481">
                  <c:v>8.1999999999999993</c:v>
                </c:pt>
                <c:pt idx="482">
                  <c:v>6.8</c:v>
                </c:pt>
                <c:pt idx="483">
                  <c:v>8.1</c:v>
                </c:pt>
                <c:pt idx="484">
                  <c:v>9.3000000000000007</c:v>
                </c:pt>
                <c:pt idx="485">
                  <c:v>9.6999999999999993</c:v>
                </c:pt>
                <c:pt idx="486">
                  <c:v>15.1</c:v>
                </c:pt>
                <c:pt idx="487">
                  <c:v>3.7</c:v>
                </c:pt>
                <c:pt idx="488">
                  <c:v>15.9</c:v>
                </c:pt>
                <c:pt idx="489">
                  <c:v>18.899999999999999</c:v>
                </c:pt>
                <c:pt idx="490">
                  <c:v>18.7</c:v>
                </c:pt>
                <c:pt idx="491">
                  <c:v>16.7</c:v>
                </c:pt>
                <c:pt idx="492">
                  <c:v>17.600000000000001</c:v>
                </c:pt>
                <c:pt idx="493">
                  <c:v>11.4</c:v>
                </c:pt>
                <c:pt idx="494">
                  <c:v>9.5</c:v>
                </c:pt>
                <c:pt idx="495">
                  <c:v>19.5</c:v>
                </c:pt>
                <c:pt idx="496">
                  <c:v>12.3</c:v>
                </c:pt>
                <c:pt idx="497">
                  <c:v>17.7</c:v>
                </c:pt>
                <c:pt idx="498">
                  <c:v>5.2</c:v>
                </c:pt>
                <c:pt idx="499">
                  <c:v>17.8</c:v>
                </c:pt>
                <c:pt idx="500">
                  <c:v>12.7</c:v>
                </c:pt>
                <c:pt idx="501">
                  <c:v>3.9</c:v>
                </c:pt>
                <c:pt idx="502">
                  <c:v>13.6</c:v>
                </c:pt>
                <c:pt idx="503">
                  <c:v>16.3</c:v>
                </c:pt>
                <c:pt idx="504">
                  <c:v>4</c:v>
                </c:pt>
                <c:pt idx="505">
                  <c:v>13.7</c:v>
                </c:pt>
                <c:pt idx="506">
                  <c:v>7.7</c:v>
                </c:pt>
                <c:pt idx="507">
                  <c:v>11.8</c:v>
                </c:pt>
                <c:pt idx="508">
                  <c:v>15.5</c:v>
                </c:pt>
                <c:pt idx="509">
                  <c:v>7.5</c:v>
                </c:pt>
                <c:pt idx="510">
                  <c:v>14.2</c:v>
                </c:pt>
                <c:pt idx="511">
                  <c:v>19.2</c:v>
                </c:pt>
                <c:pt idx="512">
                  <c:v>14</c:v>
                </c:pt>
                <c:pt idx="513">
                  <c:v>14.5</c:v>
                </c:pt>
                <c:pt idx="514">
                  <c:v>13.2</c:v>
                </c:pt>
                <c:pt idx="515">
                  <c:v>19.100000000000001</c:v>
                </c:pt>
                <c:pt idx="516">
                  <c:v>14.9</c:v>
                </c:pt>
                <c:pt idx="517">
                  <c:v>7.3</c:v>
                </c:pt>
                <c:pt idx="518">
                  <c:v>6.2</c:v>
                </c:pt>
                <c:pt idx="519">
                  <c:v>10.4</c:v>
                </c:pt>
                <c:pt idx="520">
                  <c:v>7.4</c:v>
                </c:pt>
                <c:pt idx="521">
                  <c:v>13.4</c:v>
                </c:pt>
                <c:pt idx="522">
                  <c:v>6.4</c:v>
                </c:pt>
                <c:pt idx="523">
                  <c:v>6.6</c:v>
                </c:pt>
                <c:pt idx="524">
                  <c:v>15.5</c:v>
                </c:pt>
                <c:pt idx="525">
                  <c:v>17.3</c:v>
                </c:pt>
                <c:pt idx="526">
                  <c:v>6.4</c:v>
                </c:pt>
                <c:pt idx="527">
                  <c:v>4.2</c:v>
                </c:pt>
                <c:pt idx="528">
                  <c:v>7.6</c:v>
                </c:pt>
                <c:pt idx="529">
                  <c:v>10.7</c:v>
                </c:pt>
                <c:pt idx="530">
                  <c:v>10.5</c:v>
                </c:pt>
                <c:pt idx="531">
                  <c:v>8</c:v>
                </c:pt>
                <c:pt idx="532">
                  <c:v>4</c:v>
                </c:pt>
                <c:pt idx="533">
                  <c:v>10</c:v>
                </c:pt>
                <c:pt idx="534">
                  <c:v>4.2</c:v>
                </c:pt>
                <c:pt idx="535">
                  <c:v>14.6</c:v>
                </c:pt>
                <c:pt idx="536">
                  <c:v>11.8</c:v>
                </c:pt>
                <c:pt idx="537">
                  <c:v>16.399999999999999</c:v>
                </c:pt>
                <c:pt idx="538">
                  <c:v>9</c:v>
                </c:pt>
                <c:pt idx="539">
                  <c:v>9.6999999999999993</c:v>
                </c:pt>
                <c:pt idx="540">
                  <c:v>14.5</c:v>
                </c:pt>
                <c:pt idx="541">
                  <c:v>13.4</c:v>
                </c:pt>
                <c:pt idx="542">
                  <c:v>6.9</c:v>
                </c:pt>
                <c:pt idx="543">
                  <c:v>15.5</c:v>
                </c:pt>
                <c:pt idx="544">
                  <c:v>5.8</c:v>
                </c:pt>
                <c:pt idx="545">
                  <c:v>6.8</c:v>
                </c:pt>
                <c:pt idx="546">
                  <c:v>9.6</c:v>
                </c:pt>
                <c:pt idx="547">
                  <c:v>12.5</c:v>
                </c:pt>
                <c:pt idx="548">
                  <c:v>14.9</c:v>
                </c:pt>
                <c:pt idx="549">
                  <c:v>13.7</c:v>
                </c:pt>
                <c:pt idx="550">
                  <c:v>8.6999999999999993</c:v>
                </c:pt>
                <c:pt idx="551">
                  <c:v>18.2</c:v>
                </c:pt>
                <c:pt idx="552">
                  <c:v>16.5</c:v>
                </c:pt>
                <c:pt idx="553">
                  <c:v>14.7</c:v>
                </c:pt>
                <c:pt idx="554">
                  <c:v>17.2</c:v>
                </c:pt>
                <c:pt idx="555">
                  <c:v>16.5</c:v>
                </c:pt>
                <c:pt idx="556">
                  <c:v>10.9</c:v>
                </c:pt>
                <c:pt idx="557">
                  <c:v>6.5</c:v>
                </c:pt>
                <c:pt idx="558">
                  <c:v>19.5</c:v>
                </c:pt>
                <c:pt idx="559">
                  <c:v>16.7</c:v>
                </c:pt>
                <c:pt idx="560">
                  <c:v>6.7</c:v>
                </c:pt>
                <c:pt idx="561">
                  <c:v>10.9</c:v>
                </c:pt>
                <c:pt idx="562">
                  <c:v>6.7</c:v>
                </c:pt>
                <c:pt idx="563">
                  <c:v>16.100000000000001</c:v>
                </c:pt>
                <c:pt idx="564">
                  <c:v>16.3</c:v>
                </c:pt>
                <c:pt idx="565">
                  <c:v>14.4</c:v>
                </c:pt>
                <c:pt idx="566">
                  <c:v>18.100000000000001</c:v>
                </c:pt>
                <c:pt idx="567">
                  <c:v>14.1</c:v>
                </c:pt>
                <c:pt idx="568">
                  <c:v>11.1</c:v>
                </c:pt>
                <c:pt idx="569">
                  <c:v>7.1</c:v>
                </c:pt>
                <c:pt idx="570">
                  <c:v>6.2</c:v>
                </c:pt>
                <c:pt idx="571">
                  <c:v>14.2</c:v>
                </c:pt>
                <c:pt idx="572">
                  <c:v>19</c:v>
                </c:pt>
                <c:pt idx="573">
                  <c:v>14.8</c:v>
                </c:pt>
                <c:pt idx="574">
                  <c:v>16.899999999999999</c:v>
                </c:pt>
                <c:pt idx="575">
                  <c:v>14.9</c:v>
                </c:pt>
                <c:pt idx="576">
                  <c:v>3.6</c:v>
                </c:pt>
                <c:pt idx="577">
                  <c:v>14.3</c:v>
                </c:pt>
                <c:pt idx="578">
                  <c:v>18.3</c:v>
                </c:pt>
                <c:pt idx="579">
                  <c:v>12.8</c:v>
                </c:pt>
                <c:pt idx="580">
                  <c:v>15.7</c:v>
                </c:pt>
                <c:pt idx="581">
                  <c:v>3.7</c:v>
                </c:pt>
                <c:pt idx="582">
                  <c:v>16.3</c:v>
                </c:pt>
                <c:pt idx="583">
                  <c:v>3.2</c:v>
                </c:pt>
                <c:pt idx="584">
                  <c:v>17.2</c:v>
                </c:pt>
                <c:pt idx="585">
                  <c:v>13</c:v>
                </c:pt>
                <c:pt idx="586">
                  <c:v>15</c:v>
                </c:pt>
                <c:pt idx="587">
                  <c:v>18.8</c:v>
                </c:pt>
                <c:pt idx="588">
                  <c:v>19.7</c:v>
                </c:pt>
                <c:pt idx="589">
                  <c:v>3.9</c:v>
                </c:pt>
                <c:pt idx="590">
                  <c:v>19</c:v>
                </c:pt>
                <c:pt idx="591">
                  <c:v>14</c:v>
                </c:pt>
                <c:pt idx="592">
                  <c:v>6</c:v>
                </c:pt>
                <c:pt idx="593">
                  <c:v>5.9</c:v>
                </c:pt>
                <c:pt idx="594">
                  <c:v>17.2</c:v>
                </c:pt>
                <c:pt idx="595">
                  <c:v>9.8000000000000007</c:v>
                </c:pt>
                <c:pt idx="596">
                  <c:v>12.9</c:v>
                </c:pt>
                <c:pt idx="597">
                  <c:v>10.199999999999999</c:v>
                </c:pt>
                <c:pt idx="598">
                  <c:v>14.2</c:v>
                </c:pt>
                <c:pt idx="599">
                  <c:v>15.5</c:v>
                </c:pt>
                <c:pt idx="600">
                  <c:v>18.3</c:v>
                </c:pt>
                <c:pt idx="601">
                  <c:v>4.0999999999999996</c:v>
                </c:pt>
                <c:pt idx="602">
                  <c:v>17.5</c:v>
                </c:pt>
                <c:pt idx="603">
                  <c:v>6.6</c:v>
                </c:pt>
                <c:pt idx="604">
                  <c:v>5.8</c:v>
                </c:pt>
                <c:pt idx="605">
                  <c:v>10.5</c:v>
                </c:pt>
                <c:pt idx="606">
                  <c:v>7</c:v>
                </c:pt>
                <c:pt idx="607">
                  <c:v>4.0999999999999996</c:v>
                </c:pt>
                <c:pt idx="608">
                  <c:v>17.7</c:v>
                </c:pt>
                <c:pt idx="609">
                  <c:v>12.6</c:v>
                </c:pt>
                <c:pt idx="610">
                  <c:v>5.4</c:v>
                </c:pt>
                <c:pt idx="611">
                  <c:v>10.8</c:v>
                </c:pt>
                <c:pt idx="612">
                  <c:v>10.8</c:v>
                </c:pt>
                <c:pt idx="613">
                  <c:v>17.7</c:v>
                </c:pt>
                <c:pt idx="614">
                  <c:v>18.100000000000001</c:v>
                </c:pt>
                <c:pt idx="615">
                  <c:v>11.4</c:v>
                </c:pt>
                <c:pt idx="616">
                  <c:v>9.9</c:v>
                </c:pt>
                <c:pt idx="617">
                  <c:v>6.3</c:v>
                </c:pt>
                <c:pt idx="618">
                  <c:v>11.3</c:v>
                </c:pt>
                <c:pt idx="619">
                  <c:v>14.2</c:v>
                </c:pt>
                <c:pt idx="620">
                  <c:v>6.7</c:v>
                </c:pt>
                <c:pt idx="621">
                  <c:v>19.5</c:v>
                </c:pt>
                <c:pt idx="622">
                  <c:v>9.1999999999999993</c:v>
                </c:pt>
                <c:pt idx="623">
                  <c:v>6</c:v>
                </c:pt>
                <c:pt idx="624">
                  <c:v>7.2</c:v>
                </c:pt>
                <c:pt idx="625">
                  <c:v>13.7</c:v>
                </c:pt>
                <c:pt idx="626">
                  <c:v>4.5999999999999996</c:v>
                </c:pt>
                <c:pt idx="627">
                  <c:v>6.5</c:v>
                </c:pt>
                <c:pt idx="628">
                  <c:v>15.9</c:v>
                </c:pt>
                <c:pt idx="629">
                  <c:v>20</c:v>
                </c:pt>
                <c:pt idx="630">
                  <c:v>3.5</c:v>
                </c:pt>
                <c:pt idx="631">
                  <c:v>18.5</c:v>
                </c:pt>
                <c:pt idx="632">
                  <c:v>12.4</c:v>
                </c:pt>
                <c:pt idx="633">
                  <c:v>10.6</c:v>
                </c:pt>
                <c:pt idx="634">
                  <c:v>13.3</c:v>
                </c:pt>
                <c:pt idx="635">
                  <c:v>9.6999999999999993</c:v>
                </c:pt>
                <c:pt idx="636">
                  <c:v>14.5</c:v>
                </c:pt>
                <c:pt idx="637">
                  <c:v>3.3</c:v>
                </c:pt>
                <c:pt idx="638">
                  <c:v>8.9</c:v>
                </c:pt>
                <c:pt idx="639">
                  <c:v>7.5</c:v>
                </c:pt>
                <c:pt idx="640">
                  <c:v>19.100000000000001</c:v>
                </c:pt>
                <c:pt idx="641">
                  <c:v>19.399999999999999</c:v>
                </c:pt>
                <c:pt idx="642">
                  <c:v>19.8</c:v>
                </c:pt>
                <c:pt idx="643">
                  <c:v>7.4</c:v>
                </c:pt>
                <c:pt idx="644">
                  <c:v>9.3000000000000007</c:v>
                </c:pt>
                <c:pt idx="645">
                  <c:v>13.1</c:v>
                </c:pt>
                <c:pt idx="646">
                  <c:v>7.2</c:v>
                </c:pt>
                <c:pt idx="647">
                  <c:v>12.8</c:v>
                </c:pt>
                <c:pt idx="648">
                  <c:v>3.1</c:v>
                </c:pt>
                <c:pt idx="649">
                  <c:v>18</c:v>
                </c:pt>
                <c:pt idx="650">
                  <c:v>7.6</c:v>
                </c:pt>
                <c:pt idx="651">
                  <c:v>17.100000000000001</c:v>
                </c:pt>
                <c:pt idx="652">
                  <c:v>11.4</c:v>
                </c:pt>
                <c:pt idx="653">
                  <c:v>5</c:v>
                </c:pt>
                <c:pt idx="654">
                  <c:v>14.2</c:v>
                </c:pt>
                <c:pt idx="655">
                  <c:v>18.3</c:v>
                </c:pt>
                <c:pt idx="656">
                  <c:v>16.600000000000001</c:v>
                </c:pt>
                <c:pt idx="657">
                  <c:v>19.7</c:v>
                </c:pt>
                <c:pt idx="658">
                  <c:v>3.6</c:v>
                </c:pt>
                <c:pt idx="659">
                  <c:v>12.7</c:v>
                </c:pt>
                <c:pt idx="660">
                  <c:v>7.4</c:v>
                </c:pt>
                <c:pt idx="661">
                  <c:v>3.9</c:v>
                </c:pt>
                <c:pt idx="662">
                  <c:v>7.3</c:v>
                </c:pt>
                <c:pt idx="663">
                  <c:v>11.1</c:v>
                </c:pt>
                <c:pt idx="664">
                  <c:v>6.6</c:v>
                </c:pt>
                <c:pt idx="665">
                  <c:v>6.8</c:v>
                </c:pt>
                <c:pt idx="666">
                  <c:v>10.8</c:v>
                </c:pt>
                <c:pt idx="667">
                  <c:v>14.6</c:v>
                </c:pt>
                <c:pt idx="668">
                  <c:v>5.7</c:v>
                </c:pt>
                <c:pt idx="669">
                  <c:v>4.2</c:v>
                </c:pt>
                <c:pt idx="670">
                  <c:v>14.3</c:v>
                </c:pt>
                <c:pt idx="671">
                  <c:v>17.2</c:v>
                </c:pt>
                <c:pt idx="672">
                  <c:v>4.8</c:v>
                </c:pt>
                <c:pt idx="673">
                  <c:v>4.2</c:v>
                </c:pt>
                <c:pt idx="674">
                  <c:v>3.7</c:v>
                </c:pt>
                <c:pt idx="675">
                  <c:v>6.9</c:v>
                </c:pt>
                <c:pt idx="676">
                  <c:v>18.100000000000001</c:v>
                </c:pt>
                <c:pt idx="677">
                  <c:v>9.9</c:v>
                </c:pt>
                <c:pt idx="678">
                  <c:v>15.4</c:v>
                </c:pt>
                <c:pt idx="679">
                  <c:v>17.399999999999999</c:v>
                </c:pt>
                <c:pt idx="680">
                  <c:v>17.399999999999999</c:v>
                </c:pt>
                <c:pt idx="681">
                  <c:v>8.5</c:v>
                </c:pt>
                <c:pt idx="682">
                  <c:v>19.399999999999999</c:v>
                </c:pt>
                <c:pt idx="683">
                  <c:v>16.7</c:v>
                </c:pt>
                <c:pt idx="684">
                  <c:v>19.8</c:v>
                </c:pt>
                <c:pt idx="685">
                  <c:v>5</c:v>
                </c:pt>
                <c:pt idx="686">
                  <c:v>8.1999999999999993</c:v>
                </c:pt>
                <c:pt idx="687">
                  <c:v>10.1</c:v>
                </c:pt>
                <c:pt idx="688">
                  <c:v>4.7</c:v>
                </c:pt>
                <c:pt idx="689">
                  <c:v>7</c:v>
                </c:pt>
                <c:pt idx="690">
                  <c:v>6.9</c:v>
                </c:pt>
                <c:pt idx="691">
                  <c:v>3.7</c:v>
                </c:pt>
                <c:pt idx="692">
                  <c:v>3.2</c:v>
                </c:pt>
                <c:pt idx="693">
                  <c:v>9.8000000000000007</c:v>
                </c:pt>
                <c:pt idx="694">
                  <c:v>7.6</c:v>
                </c:pt>
                <c:pt idx="695">
                  <c:v>10.199999999999999</c:v>
                </c:pt>
                <c:pt idx="696">
                  <c:v>16.899999999999999</c:v>
                </c:pt>
                <c:pt idx="697">
                  <c:v>17.8</c:v>
                </c:pt>
                <c:pt idx="698">
                  <c:v>11.4</c:v>
                </c:pt>
                <c:pt idx="699">
                  <c:v>5.7</c:v>
                </c:pt>
                <c:pt idx="700">
                  <c:v>5.5</c:v>
                </c:pt>
                <c:pt idx="701">
                  <c:v>4</c:v>
                </c:pt>
                <c:pt idx="702">
                  <c:v>13.9</c:v>
                </c:pt>
                <c:pt idx="703">
                  <c:v>6.9</c:v>
                </c:pt>
                <c:pt idx="704">
                  <c:v>14.4</c:v>
                </c:pt>
                <c:pt idx="705">
                  <c:v>9.1</c:v>
                </c:pt>
                <c:pt idx="706">
                  <c:v>5.7</c:v>
                </c:pt>
                <c:pt idx="707">
                  <c:v>12.8</c:v>
                </c:pt>
                <c:pt idx="708">
                  <c:v>10</c:v>
                </c:pt>
                <c:pt idx="709">
                  <c:v>6.4</c:v>
                </c:pt>
                <c:pt idx="710">
                  <c:v>16.3</c:v>
                </c:pt>
                <c:pt idx="711">
                  <c:v>19.899999999999999</c:v>
                </c:pt>
                <c:pt idx="712">
                  <c:v>17.7</c:v>
                </c:pt>
                <c:pt idx="713">
                  <c:v>17.399999999999999</c:v>
                </c:pt>
                <c:pt idx="714">
                  <c:v>14.6</c:v>
                </c:pt>
                <c:pt idx="715">
                  <c:v>6.8</c:v>
                </c:pt>
                <c:pt idx="716">
                  <c:v>6.7</c:v>
                </c:pt>
                <c:pt idx="717">
                  <c:v>3.8</c:v>
                </c:pt>
                <c:pt idx="718">
                  <c:v>8.6</c:v>
                </c:pt>
                <c:pt idx="719">
                  <c:v>3.5</c:v>
                </c:pt>
                <c:pt idx="720">
                  <c:v>8</c:v>
                </c:pt>
                <c:pt idx="721">
                  <c:v>12.8</c:v>
                </c:pt>
                <c:pt idx="722">
                  <c:v>13.2</c:v>
                </c:pt>
                <c:pt idx="723">
                  <c:v>15.2</c:v>
                </c:pt>
                <c:pt idx="724">
                  <c:v>16.5</c:v>
                </c:pt>
                <c:pt idx="725">
                  <c:v>3</c:v>
                </c:pt>
                <c:pt idx="726">
                  <c:v>13.1</c:v>
                </c:pt>
                <c:pt idx="727">
                  <c:v>12.5</c:v>
                </c:pt>
                <c:pt idx="728">
                  <c:v>18.600000000000001</c:v>
                </c:pt>
                <c:pt idx="729">
                  <c:v>16.3</c:v>
                </c:pt>
                <c:pt idx="730">
                  <c:v>7.3</c:v>
                </c:pt>
                <c:pt idx="731">
                  <c:v>12.6</c:v>
                </c:pt>
                <c:pt idx="732">
                  <c:v>13.3</c:v>
                </c:pt>
                <c:pt idx="733">
                  <c:v>4.5999999999999996</c:v>
                </c:pt>
                <c:pt idx="734">
                  <c:v>17.899999999999999</c:v>
                </c:pt>
                <c:pt idx="735">
                  <c:v>8.1999999999999993</c:v>
                </c:pt>
                <c:pt idx="736">
                  <c:v>5.3</c:v>
                </c:pt>
                <c:pt idx="737">
                  <c:v>14.9</c:v>
                </c:pt>
                <c:pt idx="738">
                  <c:v>13.5</c:v>
                </c:pt>
                <c:pt idx="739">
                  <c:v>13.5</c:v>
                </c:pt>
                <c:pt idx="740">
                  <c:v>4.8</c:v>
                </c:pt>
                <c:pt idx="741">
                  <c:v>4</c:v>
                </c:pt>
                <c:pt idx="742">
                  <c:v>13.8</c:v>
                </c:pt>
                <c:pt idx="743">
                  <c:v>7.3</c:v>
                </c:pt>
                <c:pt idx="744">
                  <c:v>12.9</c:v>
                </c:pt>
                <c:pt idx="745">
                  <c:v>6.2</c:v>
                </c:pt>
                <c:pt idx="746">
                  <c:v>3.4</c:v>
                </c:pt>
                <c:pt idx="747">
                  <c:v>8.6</c:v>
                </c:pt>
                <c:pt idx="748">
                  <c:v>10</c:v>
                </c:pt>
                <c:pt idx="749">
                  <c:v>19.5</c:v>
                </c:pt>
                <c:pt idx="750">
                  <c:v>5.8</c:v>
                </c:pt>
                <c:pt idx="751">
                  <c:v>9.8000000000000007</c:v>
                </c:pt>
                <c:pt idx="752">
                  <c:v>14.2</c:v>
                </c:pt>
                <c:pt idx="753">
                  <c:v>19</c:v>
                </c:pt>
                <c:pt idx="754">
                  <c:v>13.2</c:v>
                </c:pt>
                <c:pt idx="755">
                  <c:v>9.6999999999999993</c:v>
                </c:pt>
                <c:pt idx="756">
                  <c:v>12.4</c:v>
                </c:pt>
                <c:pt idx="757">
                  <c:v>16.7</c:v>
                </c:pt>
                <c:pt idx="758">
                  <c:v>9.6999999999999993</c:v>
                </c:pt>
                <c:pt idx="759">
                  <c:v>13.1</c:v>
                </c:pt>
                <c:pt idx="760">
                  <c:v>17.100000000000001</c:v>
                </c:pt>
                <c:pt idx="761">
                  <c:v>16.3</c:v>
                </c:pt>
                <c:pt idx="762">
                  <c:v>19.5</c:v>
                </c:pt>
                <c:pt idx="763">
                  <c:v>11.8</c:v>
                </c:pt>
                <c:pt idx="764">
                  <c:v>16.8</c:v>
                </c:pt>
                <c:pt idx="765">
                  <c:v>16.8</c:v>
                </c:pt>
                <c:pt idx="766">
                  <c:v>9.5</c:v>
                </c:pt>
                <c:pt idx="767">
                  <c:v>6.7</c:v>
                </c:pt>
                <c:pt idx="768">
                  <c:v>13</c:v>
                </c:pt>
                <c:pt idx="769">
                  <c:v>13.7</c:v>
                </c:pt>
                <c:pt idx="770">
                  <c:v>12.2</c:v>
                </c:pt>
                <c:pt idx="771">
                  <c:v>6.1</c:v>
                </c:pt>
                <c:pt idx="772">
                  <c:v>6.9</c:v>
                </c:pt>
                <c:pt idx="773">
                  <c:v>6.1</c:v>
                </c:pt>
                <c:pt idx="774">
                  <c:v>11.7</c:v>
                </c:pt>
                <c:pt idx="775">
                  <c:v>11.6</c:v>
                </c:pt>
                <c:pt idx="776">
                  <c:v>17.899999999999999</c:v>
                </c:pt>
                <c:pt idx="777">
                  <c:v>3.7</c:v>
                </c:pt>
                <c:pt idx="778">
                  <c:v>19.100000000000001</c:v>
                </c:pt>
                <c:pt idx="779">
                  <c:v>5.2</c:v>
                </c:pt>
                <c:pt idx="780">
                  <c:v>19.8</c:v>
                </c:pt>
                <c:pt idx="781">
                  <c:v>12.4</c:v>
                </c:pt>
                <c:pt idx="782">
                  <c:v>10</c:v>
                </c:pt>
                <c:pt idx="783">
                  <c:v>6</c:v>
                </c:pt>
                <c:pt idx="784">
                  <c:v>8.4</c:v>
                </c:pt>
                <c:pt idx="785">
                  <c:v>16.600000000000001</c:v>
                </c:pt>
                <c:pt idx="786">
                  <c:v>4.2</c:v>
                </c:pt>
                <c:pt idx="787">
                  <c:v>7.1</c:v>
                </c:pt>
                <c:pt idx="788">
                  <c:v>10</c:v>
                </c:pt>
                <c:pt idx="789">
                  <c:v>15.4</c:v>
                </c:pt>
                <c:pt idx="790">
                  <c:v>17.7</c:v>
                </c:pt>
                <c:pt idx="791">
                  <c:v>12.3</c:v>
                </c:pt>
                <c:pt idx="792">
                  <c:v>14.5</c:v>
                </c:pt>
                <c:pt idx="793">
                  <c:v>18</c:v>
                </c:pt>
                <c:pt idx="794">
                  <c:v>14.4</c:v>
                </c:pt>
                <c:pt idx="795">
                  <c:v>12.8</c:v>
                </c:pt>
                <c:pt idx="796">
                  <c:v>6.6</c:v>
                </c:pt>
                <c:pt idx="797">
                  <c:v>12.6</c:v>
                </c:pt>
                <c:pt idx="798">
                  <c:v>15.5</c:v>
                </c:pt>
                <c:pt idx="799">
                  <c:v>10.1</c:v>
                </c:pt>
                <c:pt idx="800">
                  <c:v>11.4</c:v>
                </c:pt>
                <c:pt idx="801">
                  <c:v>19</c:v>
                </c:pt>
                <c:pt idx="802">
                  <c:v>12.4</c:v>
                </c:pt>
                <c:pt idx="803">
                  <c:v>3.4</c:v>
                </c:pt>
                <c:pt idx="804">
                  <c:v>16.8</c:v>
                </c:pt>
                <c:pt idx="805">
                  <c:v>6.1</c:v>
                </c:pt>
                <c:pt idx="806">
                  <c:v>12.4</c:v>
                </c:pt>
                <c:pt idx="807">
                  <c:v>4.5</c:v>
                </c:pt>
                <c:pt idx="808">
                  <c:v>9.8000000000000007</c:v>
                </c:pt>
                <c:pt idx="809">
                  <c:v>16.600000000000001</c:v>
                </c:pt>
                <c:pt idx="810">
                  <c:v>10.8</c:v>
                </c:pt>
                <c:pt idx="811">
                  <c:v>19.899999999999999</c:v>
                </c:pt>
                <c:pt idx="812">
                  <c:v>6.9</c:v>
                </c:pt>
                <c:pt idx="813">
                  <c:v>17.600000000000001</c:v>
                </c:pt>
                <c:pt idx="814">
                  <c:v>15.9</c:v>
                </c:pt>
                <c:pt idx="815">
                  <c:v>14</c:v>
                </c:pt>
                <c:pt idx="816">
                  <c:v>14.8</c:v>
                </c:pt>
                <c:pt idx="817">
                  <c:v>15.4</c:v>
                </c:pt>
                <c:pt idx="818">
                  <c:v>10.3</c:v>
                </c:pt>
                <c:pt idx="819">
                  <c:v>7.6</c:v>
                </c:pt>
                <c:pt idx="820">
                  <c:v>15.8</c:v>
                </c:pt>
                <c:pt idx="821">
                  <c:v>9.4</c:v>
                </c:pt>
                <c:pt idx="822">
                  <c:v>7.2</c:v>
                </c:pt>
                <c:pt idx="823">
                  <c:v>17.600000000000001</c:v>
                </c:pt>
                <c:pt idx="824">
                  <c:v>19.100000000000001</c:v>
                </c:pt>
                <c:pt idx="825">
                  <c:v>11.7</c:v>
                </c:pt>
                <c:pt idx="826">
                  <c:v>5.3</c:v>
                </c:pt>
                <c:pt idx="827">
                  <c:v>16.8</c:v>
                </c:pt>
                <c:pt idx="828">
                  <c:v>15</c:v>
                </c:pt>
                <c:pt idx="829">
                  <c:v>5.9</c:v>
                </c:pt>
                <c:pt idx="830">
                  <c:v>9.5</c:v>
                </c:pt>
                <c:pt idx="831">
                  <c:v>15.2</c:v>
                </c:pt>
                <c:pt idx="832">
                  <c:v>17.100000000000001</c:v>
                </c:pt>
                <c:pt idx="833">
                  <c:v>14.8</c:v>
                </c:pt>
                <c:pt idx="834">
                  <c:v>9.9</c:v>
                </c:pt>
                <c:pt idx="835">
                  <c:v>13.7</c:v>
                </c:pt>
                <c:pt idx="836">
                  <c:v>16.2</c:v>
                </c:pt>
                <c:pt idx="837">
                  <c:v>19.600000000000001</c:v>
                </c:pt>
                <c:pt idx="838">
                  <c:v>10.5</c:v>
                </c:pt>
                <c:pt idx="839">
                  <c:v>19.7</c:v>
                </c:pt>
                <c:pt idx="840">
                  <c:v>10.1</c:v>
                </c:pt>
                <c:pt idx="841">
                  <c:v>14</c:v>
                </c:pt>
                <c:pt idx="842">
                  <c:v>11.7</c:v>
                </c:pt>
                <c:pt idx="843">
                  <c:v>18.7</c:v>
                </c:pt>
                <c:pt idx="844">
                  <c:v>6.7</c:v>
                </c:pt>
                <c:pt idx="845">
                  <c:v>5.9</c:v>
                </c:pt>
                <c:pt idx="846">
                  <c:v>10.3</c:v>
                </c:pt>
                <c:pt idx="847">
                  <c:v>13.6</c:v>
                </c:pt>
                <c:pt idx="848">
                  <c:v>7</c:v>
                </c:pt>
                <c:pt idx="849">
                  <c:v>16.600000000000001</c:v>
                </c:pt>
                <c:pt idx="850">
                  <c:v>17.600000000000001</c:v>
                </c:pt>
                <c:pt idx="851">
                  <c:v>19.8</c:v>
                </c:pt>
                <c:pt idx="852">
                  <c:v>12.2</c:v>
                </c:pt>
                <c:pt idx="853">
                  <c:v>8.9</c:v>
                </c:pt>
                <c:pt idx="854">
                  <c:v>8.6999999999999993</c:v>
                </c:pt>
                <c:pt idx="855">
                  <c:v>7</c:v>
                </c:pt>
                <c:pt idx="856">
                  <c:v>10.1</c:v>
                </c:pt>
                <c:pt idx="857">
                  <c:v>8.6</c:v>
                </c:pt>
                <c:pt idx="858">
                  <c:v>8.1</c:v>
                </c:pt>
                <c:pt idx="859">
                  <c:v>13.8</c:v>
                </c:pt>
                <c:pt idx="860">
                  <c:v>17</c:v>
                </c:pt>
                <c:pt idx="861">
                  <c:v>17.600000000000001</c:v>
                </c:pt>
                <c:pt idx="862">
                  <c:v>16.100000000000001</c:v>
                </c:pt>
                <c:pt idx="863">
                  <c:v>6.4</c:v>
                </c:pt>
                <c:pt idx="864">
                  <c:v>12.3</c:v>
                </c:pt>
                <c:pt idx="865">
                  <c:v>11.6</c:v>
                </c:pt>
                <c:pt idx="866">
                  <c:v>12.3</c:v>
                </c:pt>
                <c:pt idx="867">
                  <c:v>7.7</c:v>
                </c:pt>
                <c:pt idx="868">
                  <c:v>6</c:v>
                </c:pt>
                <c:pt idx="869">
                  <c:v>4.8</c:v>
                </c:pt>
                <c:pt idx="870">
                  <c:v>13.7</c:v>
                </c:pt>
                <c:pt idx="871">
                  <c:v>18.100000000000001</c:v>
                </c:pt>
                <c:pt idx="872">
                  <c:v>8.3000000000000007</c:v>
                </c:pt>
                <c:pt idx="873">
                  <c:v>16.8</c:v>
                </c:pt>
                <c:pt idx="874">
                  <c:v>8.1</c:v>
                </c:pt>
                <c:pt idx="875">
                  <c:v>17</c:v>
                </c:pt>
                <c:pt idx="876">
                  <c:v>4.9000000000000004</c:v>
                </c:pt>
                <c:pt idx="877">
                  <c:v>14.7</c:v>
                </c:pt>
                <c:pt idx="878">
                  <c:v>9.6</c:v>
                </c:pt>
                <c:pt idx="879">
                  <c:v>18.5</c:v>
                </c:pt>
                <c:pt idx="880">
                  <c:v>18.7</c:v>
                </c:pt>
                <c:pt idx="881">
                  <c:v>12.3</c:v>
                </c:pt>
                <c:pt idx="882">
                  <c:v>5.8</c:v>
                </c:pt>
                <c:pt idx="883">
                  <c:v>8.8000000000000007</c:v>
                </c:pt>
                <c:pt idx="884">
                  <c:v>3.8</c:v>
                </c:pt>
                <c:pt idx="885">
                  <c:v>18.600000000000001</c:v>
                </c:pt>
                <c:pt idx="886">
                  <c:v>11.3</c:v>
                </c:pt>
                <c:pt idx="887">
                  <c:v>16.8</c:v>
                </c:pt>
                <c:pt idx="888">
                  <c:v>16.5</c:v>
                </c:pt>
                <c:pt idx="889">
                  <c:v>17.399999999999999</c:v>
                </c:pt>
                <c:pt idx="890">
                  <c:v>10.7</c:v>
                </c:pt>
                <c:pt idx="891">
                  <c:v>15.7</c:v>
                </c:pt>
                <c:pt idx="892">
                  <c:v>11.2</c:v>
                </c:pt>
                <c:pt idx="893">
                  <c:v>10.3</c:v>
                </c:pt>
                <c:pt idx="894">
                  <c:v>7.3</c:v>
                </c:pt>
                <c:pt idx="895">
                  <c:v>3.7</c:v>
                </c:pt>
                <c:pt idx="896">
                  <c:v>12.4</c:v>
                </c:pt>
                <c:pt idx="897">
                  <c:v>16.100000000000001</c:v>
                </c:pt>
                <c:pt idx="898">
                  <c:v>4.2</c:v>
                </c:pt>
                <c:pt idx="899">
                  <c:v>13.2</c:v>
                </c:pt>
                <c:pt idx="900">
                  <c:v>17.8</c:v>
                </c:pt>
                <c:pt idx="901">
                  <c:v>10.3</c:v>
                </c:pt>
                <c:pt idx="902">
                  <c:v>6.3</c:v>
                </c:pt>
                <c:pt idx="903">
                  <c:v>17.600000000000001</c:v>
                </c:pt>
                <c:pt idx="904">
                  <c:v>18.8</c:v>
                </c:pt>
                <c:pt idx="905">
                  <c:v>5.0999999999999996</c:v>
                </c:pt>
                <c:pt idx="906">
                  <c:v>5.8</c:v>
                </c:pt>
                <c:pt idx="907">
                  <c:v>18.7</c:v>
                </c:pt>
                <c:pt idx="908">
                  <c:v>13.6</c:v>
                </c:pt>
                <c:pt idx="909">
                  <c:v>11.8</c:v>
                </c:pt>
                <c:pt idx="910">
                  <c:v>10.4</c:v>
                </c:pt>
                <c:pt idx="911">
                  <c:v>8.9</c:v>
                </c:pt>
                <c:pt idx="912">
                  <c:v>15.5</c:v>
                </c:pt>
                <c:pt idx="913">
                  <c:v>3.2</c:v>
                </c:pt>
                <c:pt idx="914">
                  <c:v>19.5</c:v>
                </c:pt>
                <c:pt idx="915">
                  <c:v>10.3</c:v>
                </c:pt>
                <c:pt idx="916">
                  <c:v>6.3</c:v>
                </c:pt>
                <c:pt idx="917">
                  <c:v>5</c:v>
                </c:pt>
                <c:pt idx="918">
                  <c:v>3.8</c:v>
                </c:pt>
                <c:pt idx="919">
                  <c:v>3.7</c:v>
                </c:pt>
                <c:pt idx="920">
                  <c:v>8.4</c:v>
                </c:pt>
                <c:pt idx="921">
                  <c:v>19.399999999999999</c:v>
                </c:pt>
                <c:pt idx="922">
                  <c:v>7.8</c:v>
                </c:pt>
                <c:pt idx="923">
                  <c:v>7.8</c:v>
                </c:pt>
                <c:pt idx="924">
                  <c:v>18.5</c:v>
                </c:pt>
                <c:pt idx="925">
                  <c:v>17.5</c:v>
                </c:pt>
                <c:pt idx="926">
                  <c:v>19.399999999999999</c:v>
                </c:pt>
                <c:pt idx="927">
                  <c:v>18.899999999999999</c:v>
                </c:pt>
                <c:pt idx="928">
                  <c:v>9.9</c:v>
                </c:pt>
                <c:pt idx="929">
                  <c:v>5.2</c:v>
                </c:pt>
                <c:pt idx="930">
                  <c:v>14.5</c:v>
                </c:pt>
                <c:pt idx="931">
                  <c:v>6.8</c:v>
                </c:pt>
                <c:pt idx="932">
                  <c:v>5.5</c:v>
                </c:pt>
                <c:pt idx="933">
                  <c:v>16.100000000000001</c:v>
                </c:pt>
                <c:pt idx="934">
                  <c:v>10.6</c:v>
                </c:pt>
                <c:pt idx="935">
                  <c:v>18.5</c:v>
                </c:pt>
                <c:pt idx="936">
                  <c:v>15.8</c:v>
                </c:pt>
                <c:pt idx="937">
                  <c:v>7.7</c:v>
                </c:pt>
                <c:pt idx="938">
                  <c:v>6.5</c:v>
                </c:pt>
                <c:pt idx="939">
                  <c:v>7.8</c:v>
                </c:pt>
                <c:pt idx="940">
                  <c:v>19.600000000000001</c:v>
                </c:pt>
                <c:pt idx="941">
                  <c:v>6.1</c:v>
                </c:pt>
                <c:pt idx="942">
                  <c:v>9.6999999999999993</c:v>
                </c:pt>
                <c:pt idx="943">
                  <c:v>4</c:v>
                </c:pt>
                <c:pt idx="944">
                  <c:v>9.8000000000000007</c:v>
                </c:pt>
                <c:pt idx="945">
                  <c:v>13.2</c:v>
                </c:pt>
                <c:pt idx="946">
                  <c:v>11.6</c:v>
                </c:pt>
                <c:pt idx="947">
                  <c:v>9.3000000000000007</c:v>
                </c:pt>
                <c:pt idx="948">
                  <c:v>15.2</c:v>
                </c:pt>
                <c:pt idx="949">
                  <c:v>11.1</c:v>
                </c:pt>
                <c:pt idx="950">
                  <c:v>17.7</c:v>
                </c:pt>
                <c:pt idx="951">
                  <c:v>17.899999999999999</c:v>
                </c:pt>
                <c:pt idx="952">
                  <c:v>19.5</c:v>
                </c:pt>
                <c:pt idx="953">
                  <c:v>8.1999999999999993</c:v>
                </c:pt>
                <c:pt idx="954">
                  <c:v>11</c:v>
                </c:pt>
                <c:pt idx="955">
                  <c:v>8.8000000000000007</c:v>
                </c:pt>
                <c:pt idx="956">
                  <c:v>10.8</c:v>
                </c:pt>
                <c:pt idx="957">
                  <c:v>15.2</c:v>
                </c:pt>
                <c:pt idx="958">
                  <c:v>16.2</c:v>
                </c:pt>
                <c:pt idx="959">
                  <c:v>3.5</c:v>
                </c:pt>
                <c:pt idx="960">
                  <c:v>10.4</c:v>
                </c:pt>
                <c:pt idx="961">
                  <c:v>18.2</c:v>
                </c:pt>
                <c:pt idx="962">
                  <c:v>11.7</c:v>
                </c:pt>
                <c:pt idx="963">
                  <c:v>12.9</c:v>
                </c:pt>
                <c:pt idx="964">
                  <c:v>3.9</c:v>
                </c:pt>
                <c:pt idx="965">
                  <c:v>11.7</c:v>
                </c:pt>
                <c:pt idx="966">
                  <c:v>19.399999999999999</c:v>
                </c:pt>
                <c:pt idx="967">
                  <c:v>3.1</c:v>
                </c:pt>
                <c:pt idx="968">
                  <c:v>19.3</c:v>
                </c:pt>
                <c:pt idx="969">
                  <c:v>14.8</c:v>
                </c:pt>
                <c:pt idx="970">
                  <c:v>12.1</c:v>
                </c:pt>
                <c:pt idx="971">
                  <c:v>11.5</c:v>
                </c:pt>
                <c:pt idx="972">
                  <c:v>11.8</c:v>
                </c:pt>
                <c:pt idx="973">
                  <c:v>5.9</c:v>
                </c:pt>
                <c:pt idx="974">
                  <c:v>11.2</c:v>
                </c:pt>
                <c:pt idx="975">
                  <c:v>7.1</c:v>
                </c:pt>
                <c:pt idx="976">
                  <c:v>14</c:v>
                </c:pt>
                <c:pt idx="977">
                  <c:v>17.7</c:v>
                </c:pt>
                <c:pt idx="978">
                  <c:v>15.2</c:v>
                </c:pt>
                <c:pt idx="979">
                  <c:v>17.7</c:v>
                </c:pt>
                <c:pt idx="980">
                  <c:v>8.9</c:v>
                </c:pt>
                <c:pt idx="981">
                  <c:v>11.9</c:v>
                </c:pt>
                <c:pt idx="982">
                  <c:v>3.8</c:v>
                </c:pt>
                <c:pt idx="983">
                  <c:v>8.5</c:v>
                </c:pt>
                <c:pt idx="984">
                  <c:v>10.6</c:v>
                </c:pt>
                <c:pt idx="985">
                  <c:v>15.2</c:v>
                </c:pt>
                <c:pt idx="986">
                  <c:v>13.1</c:v>
                </c:pt>
                <c:pt idx="987">
                  <c:v>17.3</c:v>
                </c:pt>
                <c:pt idx="988">
                  <c:v>4.2</c:v>
                </c:pt>
                <c:pt idx="989">
                  <c:v>5.0999999999999996</c:v>
                </c:pt>
                <c:pt idx="990">
                  <c:v>15</c:v>
                </c:pt>
                <c:pt idx="991">
                  <c:v>19.2</c:v>
                </c:pt>
                <c:pt idx="992">
                  <c:v>7.5</c:v>
                </c:pt>
                <c:pt idx="993">
                  <c:v>9.1</c:v>
                </c:pt>
                <c:pt idx="994">
                  <c:v>3.2</c:v>
                </c:pt>
                <c:pt idx="995">
                  <c:v>8.1999999999999993</c:v>
                </c:pt>
                <c:pt idx="996">
                  <c:v>14.8</c:v>
                </c:pt>
                <c:pt idx="997">
                  <c:v>18.600000000000001</c:v>
                </c:pt>
                <c:pt idx="998">
                  <c:v>11.1</c:v>
                </c:pt>
                <c:pt idx="999">
                  <c:v>13.7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8D-4DEA-B01A-299E466600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240816"/>
        <c:axId val="1375507056"/>
      </c:scatterChart>
      <c:valAx>
        <c:axId val="127024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Progression-Free</a:t>
                </a:r>
                <a:r>
                  <a:rPr lang="en-IN" baseline="0"/>
                  <a:t> Survival (months)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507056"/>
        <c:crosses val="autoZero"/>
        <c:crossBetween val="midCat"/>
      </c:valAx>
      <c:valAx>
        <c:axId val="137550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Survival</a:t>
                </a:r>
                <a:r>
                  <a:rPr lang="en-IN" baseline="0"/>
                  <a:t> Rate (months)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240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 Project.xlsx]Pivot_Analysis!PivotTable22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Breakdown of Patients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.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. 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Pivot_Analysis!$B$206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EA-49B3-B028-A55814E477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5EA-49B3-B028-A55814E477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5EA-49B3-B028-A55814E477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.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Pivot_Analysis!$A$207:$A$210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Pivot_Analysis!$B$207:$B$210</c:f>
              <c:numCache>
                <c:formatCode>General</c:formatCode>
                <c:ptCount val="3"/>
                <c:pt idx="0">
                  <c:v>311</c:v>
                </c:pt>
                <c:pt idx="1">
                  <c:v>353</c:v>
                </c:pt>
                <c:pt idx="2">
                  <c:v>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EA-49B3-B028-A55814E477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 Project.xlsx]Pivot_Analysis!PivotTable2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Drug</a:t>
            </a:r>
            <a:r>
              <a:rPr lang="en-IN" baseline="0"/>
              <a:t> Distribution by Trial Phase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Pivot_Analysis!$B$12:$B$13</c:f>
              <c:strCache>
                <c:ptCount val="1"/>
                <c:pt idx="0">
                  <c:v>Phase 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Pivot_Analysis!$A$14:$A$18</c:f>
              <c:strCache>
                <c:ptCount val="4"/>
                <c:pt idx="0">
                  <c:v>DrugA</c:v>
                </c:pt>
                <c:pt idx="1">
                  <c:v>DrugB</c:v>
                </c:pt>
                <c:pt idx="2">
                  <c:v>DrugC</c:v>
                </c:pt>
                <c:pt idx="3">
                  <c:v>DrugD</c:v>
                </c:pt>
              </c:strCache>
            </c:strRef>
          </c:cat>
          <c:val>
            <c:numRef>
              <c:f>Pivot_Analysis!$B$14:$B$18</c:f>
              <c:numCache>
                <c:formatCode>General</c:formatCode>
                <c:ptCount val="4"/>
                <c:pt idx="0">
                  <c:v>64</c:v>
                </c:pt>
                <c:pt idx="1">
                  <c:v>58</c:v>
                </c:pt>
                <c:pt idx="2">
                  <c:v>69</c:v>
                </c:pt>
                <c:pt idx="3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AF-4BDD-A64D-C321776F7B76}"/>
            </c:ext>
          </c:extLst>
        </c:ser>
        <c:ser>
          <c:idx val="1"/>
          <c:order val="1"/>
          <c:tx>
            <c:strRef>
              <c:f>Pivot_Analysis!$C$12:$C$13</c:f>
              <c:strCache>
                <c:ptCount val="1"/>
                <c:pt idx="0">
                  <c:v>Phase II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Pivot_Analysis!$A$14:$A$18</c:f>
              <c:strCache>
                <c:ptCount val="4"/>
                <c:pt idx="0">
                  <c:v>DrugA</c:v>
                </c:pt>
                <c:pt idx="1">
                  <c:v>DrugB</c:v>
                </c:pt>
                <c:pt idx="2">
                  <c:v>DrugC</c:v>
                </c:pt>
                <c:pt idx="3">
                  <c:v>DrugD</c:v>
                </c:pt>
              </c:strCache>
            </c:strRef>
          </c:cat>
          <c:val>
            <c:numRef>
              <c:f>Pivot_Analysis!$C$14:$C$18</c:f>
              <c:numCache>
                <c:formatCode>General</c:formatCode>
                <c:ptCount val="4"/>
                <c:pt idx="0">
                  <c:v>63</c:v>
                </c:pt>
                <c:pt idx="1">
                  <c:v>55</c:v>
                </c:pt>
                <c:pt idx="2">
                  <c:v>68</c:v>
                </c:pt>
                <c:pt idx="3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AF-4BDD-A64D-C321776F7B76}"/>
            </c:ext>
          </c:extLst>
        </c:ser>
        <c:ser>
          <c:idx val="2"/>
          <c:order val="2"/>
          <c:tx>
            <c:strRef>
              <c:f>Pivot_Analysis!$D$12:$D$13</c:f>
              <c:strCache>
                <c:ptCount val="1"/>
                <c:pt idx="0">
                  <c:v>Phase III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Pivot_Analysis!$A$14:$A$18</c:f>
              <c:strCache>
                <c:ptCount val="4"/>
                <c:pt idx="0">
                  <c:v>DrugA</c:v>
                </c:pt>
                <c:pt idx="1">
                  <c:v>DrugB</c:v>
                </c:pt>
                <c:pt idx="2">
                  <c:v>DrugC</c:v>
                </c:pt>
                <c:pt idx="3">
                  <c:v>DrugD</c:v>
                </c:pt>
              </c:strCache>
            </c:strRef>
          </c:cat>
          <c:val>
            <c:numRef>
              <c:f>Pivot_Analysis!$D$14:$D$18</c:f>
              <c:numCache>
                <c:formatCode>General</c:formatCode>
                <c:ptCount val="4"/>
                <c:pt idx="0">
                  <c:v>55</c:v>
                </c:pt>
                <c:pt idx="1">
                  <c:v>67</c:v>
                </c:pt>
                <c:pt idx="2">
                  <c:v>69</c:v>
                </c:pt>
                <c:pt idx="3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AF-4BDD-A64D-C321776F7B76}"/>
            </c:ext>
          </c:extLst>
        </c:ser>
        <c:ser>
          <c:idx val="3"/>
          <c:order val="3"/>
          <c:tx>
            <c:strRef>
              <c:f>Pivot_Analysis!$E$12:$E$13</c:f>
              <c:strCache>
                <c:ptCount val="1"/>
                <c:pt idx="0">
                  <c:v>Phase IV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Pivot_Analysis!$A$14:$A$18</c:f>
              <c:strCache>
                <c:ptCount val="4"/>
                <c:pt idx="0">
                  <c:v>DrugA</c:v>
                </c:pt>
                <c:pt idx="1">
                  <c:v>DrugB</c:v>
                </c:pt>
                <c:pt idx="2">
                  <c:v>DrugC</c:v>
                </c:pt>
                <c:pt idx="3">
                  <c:v>DrugD</c:v>
                </c:pt>
              </c:strCache>
            </c:strRef>
          </c:cat>
          <c:val>
            <c:numRef>
              <c:f>Pivot_Analysis!$E$14:$E$18</c:f>
              <c:numCache>
                <c:formatCode>General</c:formatCode>
                <c:ptCount val="4"/>
                <c:pt idx="0">
                  <c:v>62</c:v>
                </c:pt>
                <c:pt idx="1">
                  <c:v>55</c:v>
                </c:pt>
                <c:pt idx="2">
                  <c:v>64</c:v>
                </c:pt>
                <c:pt idx="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AF-4BDD-A64D-C321776F7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6287024"/>
        <c:axId val="1375607856"/>
      </c:barChart>
      <c:catAx>
        <c:axId val="13062870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Drug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607856"/>
        <c:crosses val="autoZero"/>
        <c:auto val="1"/>
        <c:lblAlgn val="ctr"/>
        <c:lblOffset val="100"/>
        <c:noMultiLvlLbl val="0"/>
      </c:catAx>
      <c:valAx>
        <c:axId val="137560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Patients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28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 Project.xlsx]Pivot_Analysis!PivotTable11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Efficacy</a:t>
            </a:r>
            <a:r>
              <a:rPr lang="en-US" baseline="0"/>
              <a:t> Score by Drug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Pivot_Analysis!$B$96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Pivot_Analysis!$A$97:$A$101</c:f>
              <c:strCache>
                <c:ptCount val="4"/>
                <c:pt idx="0">
                  <c:v>DrugA</c:v>
                </c:pt>
                <c:pt idx="1">
                  <c:v>DrugB</c:v>
                </c:pt>
                <c:pt idx="2">
                  <c:v>DrugC</c:v>
                </c:pt>
                <c:pt idx="3">
                  <c:v>DrugD</c:v>
                </c:pt>
              </c:strCache>
            </c:strRef>
          </c:cat>
          <c:val>
            <c:numRef>
              <c:f>Pivot_Analysis!$B$97:$B$101</c:f>
              <c:numCache>
                <c:formatCode>0.00</c:formatCode>
                <c:ptCount val="4"/>
                <c:pt idx="0">
                  <c:v>5.5081967213114735</c:v>
                </c:pt>
                <c:pt idx="1">
                  <c:v>5.2663829787234029</c:v>
                </c:pt>
                <c:pt idx="2">
                  <c:v>5.2748148148148131</c:v>
                </c:pt>
                <c:pt idx="3">
                  <c:v>5.5565737051792814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0-4191-B434-326776379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6386784"/>
        <c:axId val="1575847952"/>
      </c:barChart>
      <c:catAx>
        <c:axId val="1306386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Drug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847952"/>
        <c:crosses val="autoZero"/>
        <c:auto val="1"/>
        <c:lblAlgn val="ctr"/>
        <c:lblOffset val="100"/>
        <c:noMultiLvlLbl val="0"/>
      </c:catAx>
      <c:valAx>
        <c:axId val="157584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</a:t>
                </a:r>
                <a:r>
                  <a:rPr lang="en-IN" baseline="0"/>
                  <a:t> Efficacy Score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38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 Project.xlsx]Pivot_Analysis!PivotTable5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Side</a:t>
            </a:r>
            <a:r>
              <a:rPr lang="en-IN" baseline="0"/>
              <a:t> Effects by Drug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Pivot_Analysis!$B$32:$B$33</c:f>
              <c:strCache>
                <c:ptCount val="1"/>
                <c:pt idx="0">
                  <c:v>DrugA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Pivot_Analysis!$A$34:$A$39</c:f>
              <c:strCache>
                <c:ptCount val="5"/>
                <c:pt idx="0">
                  <c:v>Dizziness</c:v>
                </c:pt>
                <c:pt idx="1">
                  <c:v>Fatigue</c:v>
                </c:pt>
                <c:pt idx="2">
                  <c:v>Headache</c:v>
                </c:pt>
                <c:pt idx="3">
                  <c:v>Nausea</c:v>
                </c:pt>
                <c:pt idx="4">
                  <c:v>Not Reported</c:v>
                </c:pt>
              </c:strCache>
            </c:strRef>
          </c:cat>
          <c:val>
            <c:numRef>
              <c:f>Pivot_Analysis!$B$34:$B$39</c:f>
              <c:numCache>
                <c:formatCode>General</c:formatCode>
                <c:ptCount val="5"/>
                <c:pt idx="0">
                  <c:v>52</c:v>
                </c:pt>
                <c:pt idx="1">
                  <c:v>55</c:v>
                </c:pt>
                <c:pt idx="2">
                  <c:v>45</c:v>
                </c:pt>
                <c:pt idx="3">
                  <c:v>57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28-4518-B16C-0D13FF356656}"/>
            </c:ext>
          </c:extLst>
        </c:ser>
        <c:ser>
          <c:idx val="1"/>
          <c:order val="1"/>
          <c:tx>
            <c:strRef>
              <c:f>Pivot_Analysis!$C$32:$C$33</c:f>
              <c:strCache>
                <c:ptCount val="1"/>
                <c:pt idx="0">
                  <c:v>DrugB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Pivot_Analysis!$A$34:$A$39</c:f>
              <c:strCache>
                <c:ptCount val="5"/>
                <c:pt idx="0">
                  <c:v>Dizziness</c:v>
                </c:pt>
                <c:pt idx="1">
                  <c:v>Fatigue</c:v>
                </c:pt>
                <c:pt idx="2">
                  <c:v>Headache</c:v>
                </c:pt>
                <c:pt idx="3">
                  <c:v>Nausea</c:v>
                </c:pt>
                <c:pt idx="4">
                  <c:v>Not Reported</c:v>
                </c:pt>
              </c:strCache>
            </c:strRef>
          </c:cat>
          <c:val>
            <c:numRef>
              <c:f>Pivot_Analysis!$C$34:$C$39</c:f>
              <c:numCache>
                <c:formatCode>General</c:formatCode>
                <c:ptCount val="5"/>
                <c:pt idx="0">
                  <c:v>38</c:v>
                </c:pt>
                <c:pt idx="1">
                  <c:v>51</c:v>
                </c:pt>
                <c:pt idx="2">
                  <c:v>45</c:v>
                </c:pt>
                <c:pt idx="3">
                  <c:v>56</c:v>
                </c:pt>
                <c:pt idx="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28-4518-B16C-0D13FF356656}"/>
            </c:ext>
          </c:extLst>
        </c:ser>
        <c:ser>
          <c:idx val="2"/>
          <c:order val="2"/>
          <c:tx>
            <c:strRef>
              <c:f>Pivot_Analysis!$D$32:$D$33</c:f>
              <c:strCache>
                <c:ptCount val="1"/>
                <c:pt idx="0">
                  <c:v>DrugC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Pivot_Analysis!$A$34:$A$39</c:f>
              <c:strCache>
                <c:ptCount val="5"/>
                <c:pt idx="0">
                  <c:v>Dizziness</c:v>
                </c:pt>
                <c:pt idx="1">
                  <c:v>Fatigue</c:v>
                </c:pt>
                <c:pt idx="2">
                  <c:v>Headache</c:v>
                </c:pt>
                <c:pt idx="3">
                  <c:v>Nausea</c:v>
                </c:pt>
                <c:pt idx="4">
                  <c:v>Not Reported</c:v>
                </c:pt>
              </c:strCache>
            </c:strRef>
          </c:cat>
          <c:val>
            <c:numRef>
              <c:f>Pivot_Analysis!$D$34:$D$39</c:f>
              <c:numCache>
                <c:formatCode>General</c:formatCode>
                <c:ptCount val="5"/>
                <c:pt idx="0">
                  <c:v>57</c:v>
                </c:pt>
                <c:pt idx="1">
                  <c:v>48</c:v>
                </c:pt>
                <c:pt idx="2">
                  <c:v>60</c:v>
                </c:pt>
                <c:pt idx="3">
                  <c:v>58</c:v>
                </c:pt>
                <c:pt idx="4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28-4518-B16C-0D13FF356656}"/>
            </c:ext>
          </c:extLst>
        </c:ser>
        <c:ser>
          <c:idx val="3"/>
          <c:order val="3"/>
          <c:tx>
            <c:strRef>
              <c:f>Pivot_Analysis!$E$32:$E$33</c:f>
              <c:strCache>
                <c:ptCount val="1"/>
                <c:pt idx="0">
                  <c:v>DrugD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Pivot_Analysis!$A$34:$A$39</c:f>
              <c:strCache>
                <c:ptCount val="5"/>
                <c:pt idx="0">
                  <c:v>Dizziness</c:v>
                </c:pt>
                <c:pt idx="1">
                  <c:v>Fatigue</c:v>
                </c:pt>
                <c:pt idx="2">
                  <c:v>Headache</c:v>
                </c:pt>
                <c:pt idx="3">
                  <c:v>Nausea</c:v>
                </c:pt>
                <c:pt idx="4">
                  <c:v>Not Reported</c:v>
                </c:pt>
              </c:strCache>
            </c:strRef>
          </c:cat>
          <c:val>
            <c:numRef>
              <c:f>Pivot_Analysis!$E$34:$E$39</c:f>
              <c:numCache>
                <c:formatCode>General</c:formatCode>
                <c:ptCount val="5"/>
                <c:pt idx="0">
                  <c:v>62</c:v>
                </c:pt>
                <c:pt idx="1">
                  <c:v>51</c:v>
                </c:pt>
                <c:pt idx="2">
                  <c:v>56</c:v>
                </c:pt>
                <c:pt idx="3">
                  <c:v>42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28-4518-B16C-0D13FF356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1326592"/>
        <c:axId val="783658864"/>
      </c:barChart>
      <c:catAx>
        <c:axId val="1481326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Side</a:t>
                </a:r>
                <a:r>
                  <a:rPr lang="en-IN" baseline="0"/>
                  <a:t> Effect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658864"/>
        <c:crosses val="autoZero"/>
        <c:auto val="1"/>
        <c:lblAlgn val="ctr"/>
        <c:lblOffset val="100"/>
        <c:noMultiLvlLbl val="0"/>
      </c:catAx>
      <c:valAx>
        <c:axId val="78365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Patients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1326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 Project.xlsx]Pivot_Analysis!PivotTable12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Survival</a:t>
            </a:r>
            <a:r>
              <a:rPr lang="en-US" baseline="0"/>
              <a:t> Rate by Drug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Pivot_Analysis!$B$105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Pivot_Analysis!$A$106:$A$110</c:f>
              <c:strCache>
                <c:ptCount val="4"/>
                <c:pt idx="0">
                  <c:v>DrugA</c:v>
                </c:pt>
                <c:pt idx="1">
                  <c:v>DrugB</c:v>
                </c:pt>
                <c:pt idx="2">
                  <c:v>DrugC</c:v>
                </c:pt>
                <c:pt idx="3">
                  <c:v>DrugD</c:v>
                </c:pt>
              </c:strCache>
            </c:strRef>
          </c:cat>
          <c:val>
            <c:numRef>
              <c:f>Pivot_Analysis!$B$106:$B$110</c:f>
              <c:numCache>
                <c:formatCode>0.00</c:formatCode>
                <c:ptCount val="4"/>
                <c:pt idx="0">
                  <c:v>11.952868852459009</c:v>
                </c:pt>
                <c:pt idx="1">
                  <c:v>11.571489361702131</c:v>
                </c:pt>
                <c:pt idx="2">
                  <c:v>11.596296296296291</c:v>
                </c:pt>
                <c:pt idx="3">
                  <c:v>11.25697211155379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3D-4959-BB71-E749C1758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540095"/>
        <c:axId val="1575882032"/>
      </c:lineChart>
      <c:catAx>
        <c:axId val="171540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Drug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882032"/>
        <c:crosses val="autoZero"/>
        <c:auto val="1"/>
        <c:lblAlgn val="ctr"/>
        <c:lblOffset val="100"/>
        <c:noMultiLvlLbl val="0"/>
      </c:catAx>
      <c:valAx>
        <c:axId val="157588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Survival</a:t>
                </a:r>
                <a:r>
                  <a:rPr lang="en-IN" baseline="0"/>
                  <a:t> Rate (months)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4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 Project.xlsx]Pivot_Analysis!PivotTable23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Success</a:t>
            </a:r>
            <a:r>
              <a:rPr lang="en-US" baseline="0"/>
              <a:t> Rate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Pivot_Analysis!$B$214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Pivot_Analysis!$A$215:$A$218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</c:strCache>
            </c:strRef>
          </c:cat>
          <c:val>
            <c:numRef>
              <c:f>Pivot_Analysis!$B$215:$B$218</c:f>
              <c:numCache>
                <c:formatCode>0.00</c:formatCode>
                <c:ptCount val="3"/>
                <c:pt idx="0">
                  <c:v>0.38585209003215432</c:v>
                </c:pt>
                <c:pt idx="1">
                  <c:v>0.33711048158640228</c:v>
                </c:pt>
                <c:pt idx="2">
                  <c:v>0.32142857142857145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9D-4D27-BA6A-29F390AC3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4164719"/>
        <c:axId val="1575866672"/>
      </c:barChart>
      <c:catAx>
        <c:axId val="254164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866672"/>
        <c:crosses val="autoZero"/>
        <c:auto val="1"/>
        <c:lblAlgn val="ctr"/>
        <c:lblOffset val="100"/>
        <c:noMultiLvlLbl val="0"/>
      </c:catAx>
      <c:valAx>
        <c:axId val="157586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Success</a:t>
                </a:r>
                <a:r>
                  <a:rPr lang="en-IN" baseline="0"/>
                  <a:t> Rate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16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Side</a:t>
            </a:r>
            <a:r>
              <a:rPr lang="en-IN" baseline="0"/>
              <a:t> Effects vs. Treatment Outcome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Clean_Data!$AE$1</c:f>
              <c:strCache>
                <c:ptCount val="1"/>
                <c:pt idx="0">
                  <c:v>Treatment_Outcome_Numeric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Clean_Data!$AD$2:$AD$1001</c:f>
              <c:numCache>
                <c:formatCode>General</c:formatCode>
                <c:ptCount val="1000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2</c:v>
                </c:pt>
                <c:pt idx="15">
                  <c:v>1</c:v>
                </c:pt>
                <c:pt idx="16">
                  <c:v>0</c:v>
                </c:pt>
                <c:pt idx="17">
                  <c:v>3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2</c:v>
                </c:pt>
                <c:pt idx="24">
                  <c:v>4</c:v>
                </c:pt>
                <c:pt idx="25">
                  <c:v>4</c:v>
                </c:pt>
                <c:pt idx="26">
                  <c:v>3</c:v>
                </c:pt>
                <c:pt idx="27">
                  <c:v>3</c:v>
                </c:pt>
                <c:pt idx="28">
                  <c:v>2</c:v>
                </c:pt>
                <c:pt idx="29">
                  <c:v>3</c:v>
                </c:pt>
                <c:pt idx="30">
                  <c:v>4</c:v>
                </c:pt>
                <c:pt idx="31">
                  <c:v>0</c:v>
                </c:pt>
                <c:pt idx="32">
                  <c:v>2</c:v>
                </c:pt>
                <c:pt idx="33">
                  <c:v>4</c:v>
                </c:pt>
                <c:pt idx="34">
                  <c:v>0</c:v>
                </c:pt>
                <c:pt idx="35">
                  <c:v>2</c:v>
                </c:pt>
                <c:pt idx="36">
                  <c:v>0</c:v>
                </c:pt>
                <c:pt idx="37">
                  <c:v>2</c:v>
                </c:pt>
                <c:pt idx="38">
                  <c:v>2</c:v>
                </c:pt>
                <c:pt idx="39">
                  <c:v>4</c:v>
                </c:pt>
                <c:pt idx="40">
                  <c:v>2</c:v>
                </c:pt>
                <c:pt idx="41">
                  <c:v>1</c:v>
                </c:pt>
                <c:pt idx="42">
                  <c:v>0</c:v>
                </c:pt>
                <c:pt idx="43">
                  <c:v>1</c:v>
                </c:pt>
                <c:pt idx="44">
                  <c:v>4</c:v>
                </c:pt>
                <c:pt idx="45">
                  <c:v>1</c:v>
                </c:pt>
                <c:pt idx="46">
                  <c:v>1</c:v>
                </c:pt>
                <c:pt idx="47">
                  <c:v>3</c:v>
                </c:pt>
                <c:pt idx="48">
                  <c:v>0</c:v>
                </c:pt>
                <c:pt idx="49">
                  <c:v>4</c:v>
                </c:pt>
                <c:pt idx="50">
                  <c:v>2</c:v>
                </c:pt>
                <c:pt idx="51">
                  <c:v>0</c:v>
                </c:pt>
                <c:pt idx="52">
                  <c:v>3</c:v>
                </c:pt>
                <c:pt idx="53">
                  <c:v>0</c:v>
                </c:pt>
                <c:pt idx="54">
                  <c:v>4</c:v>
                </c:pt>
                <c:pt idx="55">
                  <c:v>0</c:v>
                </c:pt>
                <c:pt idx="56">
                  <c:v>4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1</c:v>
                </c:pt>
                <c:pt idx="61">
                  <c:v>4</c:v>
                </c:pt>
                <c:pt idx="62">
                  <c:v>3</c:v>
                </c:pt>
                <c:pt idx="63">
                  <c:v>4</c:v>
                </c:pt>
                <c:pt idx="64">
                  <c:v>2</c:v>
                </c:pt>
                <c:pt idx="65">
                  <c:v>4</c:v>
                </c:pt>
                <c:pt idx="66">
                  <c:v>4</c:v>
                </c:pt>
                <c:pt idx="67">
                  <c:v>0</c:v>
                </c:pt>
                <c:pt idx="68">
                  <c:v>3</c:v>
                </c:pt>
                <c:pt idx="69">
                  <c:v>1</c:v>
                </c:pt>
                <c:pt idx="70">
                  <c:v>2</c:v>
                </c:pt>
                <c:pt idx="71">
                  <c:v>3</c:v>
                </c:pt>
                <c:pt idx="72">
                  <c:v>1</c:v>
                </c:pt>
                <c:pt idx="73">
                  <c:v>3</c:v>
                </c:pt>
                <c:pt idx="74">
                  <c:v>4</c:v>
                </c:pt>
                <c:pt idx="75">
                  <c:v>4</c:v>
                </c:pt>
                <c:pt idx="76">
                  <c:v>0</c:v>
                </c:pt>
                <c:pt idx="77">
                  <c:v>2</c:v>
                </c:pt>
                <c:pt idx="78">
                  <c:v>0</c:v>
                </c:pt>
                <c:pt idx="79">
                  <c:v>2</c:v>
                </c:pt>
                <c:pt idx="80">
                  <c:v>3</c:v>
                </c:pt>
                <c:pt idx="81">
                  <c:v>2</c:v>
                </c:pt>
                <c:pt idx="82">
                  <c:v>2</c:v>
                </c:pt>
                <c:pt idx="83">
                  <c:v>3</c:v>
                </c:pt>
                <c:pt idx="84">
                  <c:v>4</c:v>
                </c:pt>
                <c:pt idx="85">
                  <c:v>4</c:v>
                </c:pt>
                <c:pt idx="86">
                  <c:v>0</c:v>
                </c:pt>
                <c:pt idx="87">
                  <c:v>3</c:v>
                </c:pt>
                <c:pt idx="88">
                  <c:v>1</c:v>
                </c:pt>
                <c:pt idx="89">
                  <c:v>3</c:v>
                </c:pt>
                <c:pt idx="90">
                  <c:v>3</c:v>
                </c:pt>
                <c:pt idx="91">
                  <c:v>4</c:v>
                </c:pt>
                <c:pt idx="92">
                  <c:v>2</c:v>
                </c:pt>
                <c:pt idx="93">
                  <c:v>2</c:v>
                </c:pt>
                <c:pt idx="94">
                  <c:v>1</c:v>
                </c:pt>
                <c:pt idx="95">
                  <c:v>2</c:v>
                </c:pt>
                <c:pt idx="96">
                  <c:v>1</c:v>
                </c:pt>
                <c:pt idx="97">
                  <c:v>2</c:v>
                </c:pt>
                <c:pt idx="98">
                  <c:v>1</c:v>
                </c:pt>
                <c:pt idx="99">
                  <c:v>4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3</c:v>
                </c:pt>
                <c:pt idx="104">
                  <c:v>3</c:v>
                </c:pt>
                <c:pt idx="105">
                  <c:v>4</c:v>
                </c:pt>
                <c:pt idx="106">
                  <c:v>1</c:v>
                </c:pt>
                <c:pt idx="107">
                  <c:v>4</c:v>
                </c:pt>
                <c:pt idx="108">
                  <c:v>3</c:v>
                </c:pt>
                <c:pt idx="109">
                  <c:v>0</c:v>
                </c:pt>
                <c:pt idx="110">
                  <c:v>1</c:v>
                </c:pt>
                <c:pt idx="111">
                  <c:v>4</c:v>
                </c:pt>
                <c:pt idx="112">
                  <c:v>2</c:v>
                </c:pt>
                <c:pt idx="113">
                  <c:v>1</c:v>
                </c:pt>
                <c:pt idx="114">
                  <c:v>0</c:v>
                </c:pt>
                <c:pt idx="115">
                  <c:v>4</c:v>
                </c:pt>
                <c:pt idx="116">
                  <c:v>2</c:v>
                </c:pt>
                <c:pt idx="117">
                  <c:v>2</c:v>
                </c:pt>
                <c:pt idx="118">
                  <c:v>0</c:v>
                </c:pt>
                <c:pt idx="119">
                  <c:v>2</c:v>
                </c:pt>
                <c:pt idx="120">
                  <c:v>3</c:v>
                </c:pt>
                <c:pt idx="121">
                  <c:v>4</c:v>
                </c:pt>
                <c:pt idx="122">
                  <c:v>3</c:v>
                </c:pt>
                <c:pt idx="123">
                  <c:v>0</c:v>
                </c:pt>
                <c:pt idx="124">
                  <c:v>3</c:v>
                </c:pt>
                <c:pt idx="125">
                  <c:v>3</c:v>
                </c:pt>
                <c:pt idx="126">
                  <c:v>0</c:v>
                </c:pt>
                <c:pt idx="127">
                  <c:v>3</c:v>
                </c:pt>
                <c:pt idx="128">
                  <c:v>1</c:v>
                </c:pt>
                <c:pt idx="129">
                  <c:v>2</c:v>
                </c:pt>
                <c:pt idx="130">
                  <c:v>2</c:v>
                </c:pt>
                <c:pt idx="131">
                  <c:v>4</c:v>
                </c:pt>
                <c:pt idx="132">
                  <c:v>1</c:v>
                </c:pt>
                <c:pt idx="133">
                  <c:v>2</c:v>
                </c:pt>
                <c:pt idx="134">
                  <c:v>2</c:v>
                </c:pt>
                <c:pt idx="135">
                  <c:v>3</c:v>
                </c:pt>
                <c:pt idx="136">
                  <c:v>2</c:v>
                </c:pt>
                <c:pt idx="137">
                  <c:v>1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2</c:v>
                </c:pt>
                <c:pt idx="142">
                  <c:v>0</c:v>
                </c:pt>
                <c:pt idx="143">
                  <c:v>1</c:v>
                </c:pt>
                <c:pt idx="144">
                  <c:v>1</c:v>
                </c:pt>
                <c:pt idx="145">
                  <c:v>0</c:v>
                </c:pt>
                <c:pt idx="146">
                  <c:v>2</c:v>
                </c:pt>
                <c:pt idx="147">
                  <c:v>2</c:v>
                </c:pt>
                <c:pt idx="148">
                  <c:v>4</c:v>
                </c:pt>
                <c:pt idx="149">
                  <c:v>2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3</c:v>
                </c:pt>
                <c:pt idx="155">
                  <c:v>2</c:v>
                </c:pt>
                <c:pt idx="156">
                  <c:v>2</c:v>
                </c:pt>
                <c:pt idx="157">
                  <c:v>0</c:v>
                </c:pt>
                <c:pt idx="158">
                  <c:v>1</c:v>
                </c:pt>
                <c:pt idx="159">
                  <c:v>4</c:v>
                </c:pt>
                <c:pt idx="160">
                  <c:v>0</c:v>
                </c:pt>
                <c:pt idx="161">
                  <c:v>2</c:v>
                </c:pt>
                <c:pt idx="162">
                  <c:v>4</c:v>
                </c:pt>
                <c:pt idx="163">
                  <c:v>4</c:v>
                </c:pt>
                <c:pt idx="164">
                  <c:v>1</c:v>
                </c:pt>
                <c:pt idx="165">
                  <c:v>1</c:v>
                </c:pt>
                <c:pt idx="166">
                  <c:v>4</c:v>
                </c:pt>
                <c:pt idx="167">
                  <c:v>0</c:v>
                </c:pt>
                <c:pt idx="168">
                  <c:v>4</c:v>
                </c:pt>
                <c:pt idx="169">
                  <c:v>3</c:v>
                </c:pt>
                <c:pt idx="170">
                  <c:v>1</c:v>
                </c:pt>
                <c:pt idx="171">
                  <c:v>1</c:v>
                </c:pt>
                <c:pt idx="172">
                  <c:v>0</c:v>
                </c:pt>
                <c:pt idx="173">
                  <c:v>4</c:v>
                </c:pt>
                <c:pt idx="174">
                  <c:v>4</c:v>
                </c:pt>
                <c:pt idx="175">
                  <c:v>1</c:v>
                </c:pt>
                <c:pt idx="176">
                  <c:v>0</c:v>
                </c:pt>
                <c:pt idx="177">
                  <c:v>3</c:v>
                </c:pt>
                <c:pt idx="178">
                  <c:v>1</c:v>
                </c:pt>
                <c:pt idx="179">
                  <c:v>0</c:v>
                </c:pt>
                <c:pt idx="180">
                  <c:v>4</c:v>
                </c:pt>
                <c:pt idx="181">
                  <c:v>3</c:v>
                </c:pt>
                <c:pt idx="182">
                  <c:v>4</c:v>
                </c:pt>
                <c:pt idx="183">
                  <c:v>3</c:v>
                </c:pt>
                <c:pt idx="184">
                  <c:v>3</c:v>
                </c:pt>
                <c:pt idx="185">
                  <c:v>4</c:v>
                </c:pt>
                <c:pt idx="186">
                  <c:v>0</c:v>
                </c:pt>
                <c:pt idx="187">
                  <c:v>3</c:v>
                </c:pt>
                <c:pt idx="188">
                  <c:v>3</c:v>
                </c:pt>
                <c:pt idx="189">
                  <c:v>0</c:v>
                </c:pt>
                <c:pt idx="190">
                  <c:v>1</c:v>
                </c:pt>
                <c:pt idx="191">
                  <c:v>1</c:v>
                </c:pt>
                <c:pt idx="192">
                  <c:v>3</c:v>
                </c:pt>
                <c:pt idx="193">
                  <c:v>2</c:v>
                </c:pt>
                <c:pt idx="194">
                  <c:v>1</c:v>
                </c:pt>
                <c:pt idx="195">
                  <c:v>1</c:v>
                </c:pt>
                <c:pt idx="196">
                  <c:v>4</c:v>
                </c:pt>
                <c:pt idx="197">
                  <c:v>3</c:v>
                </c:pt>
                <c:pt idx="198">
                  <c:v>2</c:v>
                </c:pt>
                <c:pt idx="199">
                  <c:v>4</c:v>
                </c:pt>
                <c:pt idx="200">
                  <c:v>4</c:v>
                </c:pt>
                <c:pt idx="201">
                  <c:v>3</c:v>
                </c:pt>
                <c:pt idx="202">
                  <c:v>0</c:v>
                </c:pt>
                <c:pt idx="203">
                  <c:v>2</c:v>
                </c:pt>
                <c:pt idx="204">
                  <c:v>3</c:v>
                </c:pt>
                <c:pt idx="205">
                  <c:v>1</c:v>
                </c:pt>
                <c:pt idx="206">
                  <c:v>1</c:v>
                </c:pt>
                <c:pt idx="207">
                  <c:v>2</c:v>
                </c:pt>
                <c:pt idx="208">
                  <c:v>1</c:v>
                </c:pt>
                <c:pt idx="209">
                  <c:v>2</c:v>
                </c:pt>
                <c:pt idx="210">
                  <c:v>2</c:v>
                </c:pt>
                <c:pt idx="211">
                  <c:v>3</c:v>
                </c:pt>
                <c:pt idx="212">
                  <c:v>1</c:v>
                </c:pt>
                <c:pt idx="213">
                  <c:v>2</c:v>
                </c:pt>
                <c:pt idx="214">
                  <c:v>1</c:v>
                </c:pt>
                <c:pt idx="215">
                  <c:v>4</c:v>
                </c:pt>
                <c:pt idx="216">
                  <c:v>3</c:v>
                </c:pt>
                <c:pt idx="217">
                  <c:v>2</c:v>
                </c:pt>
                <c:pt idx="218">
                  <c:v>4</c:v>
                </c:pt>
                <c:pt idx="219">
                  <c:v>0</c:v>
                </c:pt>
                <c:pt idx="220">
                  <c:v>0</c:v>
                </c:pt>
                <c:pt idx="221">
                  <c:v>2</c:v>
                </c:pt>
                <c:pt idx="222">
                  <c:v>4</c:v>
                </c:pt>
                <c:pt idx="223">
                  <c:v>1</c:v>
                </c:pt>
                <c:pt idx="224">
                  <c:v>3</c:v>
                </c:pt>
                <c:pt idx="225">
                  <c:v>3</c:v>
                </c:pt>
                <c:pt idx="226">
                  <c:v>0</c:v>
                </c:pt>
                <c:pt idx="227">
                  <c:v>1</c:v>
                </c:pt>
                <c:pt idx="228">
                  <c:v>4</c:v>
                </c:pt>
                <c:pt idx="229">
                  <c:v>0</c:v>
                </c:pt>
                <c:pt idx="230">
                  <c:v>2</c:v>
                </c:pt>
                <c:pt idx="231">
                  <c:v>4</c:v>
                </c:pt>
                <c:pt idx="232">
                  <c:v>1</c:v>
                </c:pt>
                <c:pt idx="233">
                  <c:v>1</c:v>
                </c:pt>
                <c:pt idx="234">
                  <c:v>2</c:v>
                </c:pt>
                <c:pt idx="235">
                  <c:v>1</c:v>
                </c:pt>
                <c:pt idx="236">
                  <c:v>3</c:v>
                </c:pt>
                <c:pt idx="237">
                  <c:v>3</c:v>
                </c:pt>
                <c:pt idx="238">
                  <c:v>0</c:v>
                </c:pt>
                <c:pt idx="239">
                  <c:v>3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2</c:v>
                </c:pt>
                <c:pt idx="247">
                  <c:v>4</c:v>
                </c:pt>
                <c:pt idx="248">
                  <c:v>3</c:v>
                </c:pt>
                <c:pt idx="249">
                  <c:v>4</c:v>
                </c:pt>
                <c:pt idx="250">
                  <c:v>0</c:v>
                </c:pt>
                <c:pt idx="251">
                  <c:v>4</c:v>
                </c:pt>
                <c:pt idx="252">
                  <c:v>3</c:v>
                </c:pt>
                <c:pt idx="253">
                  <c:v>4</c:v>
                </c:pt>
                <c:pt idx="254">
                  <c:v>2</c:v>
                </c:pt>
                <c:pt idx="255">
                  <c:v>2</c:v>
                </c:pt>
                <c:pt idx="256">
                  <c:v>3</c:v>
                </c:pt>
                <c:pt idx="257">
                  <c:v>0</c:v>
                </c:pt>
                <c:pt idx="258">
                  <c:v>0</c:v>
                </c:pt>
                <c:pt idx="259">
                  <c:v>2</c:v>
                </c:pt>
                <c:pt idx="260">
                  <c:v>3</c:v>
                </c:pt>
                <c:pt idx="261">
                  <c:v>4</c:v>
                </c:pt>
                <c:pt idx="262">
                  <c:v>4</c:v>
                </c:pt>
                <c:pt idx="263">
                  <c:v>1</c:v>
                </c:pt>
                <c:pt idx="264">
                  <c:v>3</c:v>
                </c:pt>
                <c:pt idx="265">
                  <c:v>1</c:v>
                </c:pt>
                <c:pt idx="266">
                  <c:v>3</c:v>
                </c:pt>
                <c:pt idx="267">
                  <c:v>1</c:v>
                </c:pt>
                <c:pt idx="268">
                  <c:v>3</c:v>
                </c:pt>
                <c:pt idx="269">
                  <c:v>1</c:v>
                </c:pt>
                <c:pt idx="270">
                  <c:v>3</c:v>
                </c:pt>
                <c:pt idx="271">
                  <c:v>4</c:v>
                </c:pt>
                <c:pt idx="272">
                  <c:v>3</c:v>
                </c:pt>
                <c:pt idx="273">
                  <c:v>2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4</c:v>
                </c:pt>
                <c:pt idx="278">
                  <c:v>2</c:v>
                </c:pt>
                <c:pt idx="279">
                  <c:v>2</c:v>
                </c:pt>
                <c:pt idx="280">
                  <c:v>3</c:v>
                </c:pt>
                <c:pt idx="281">
                  <c:v>0</c:v>
                </c:pt>
                <c:pt idx="282">
                  <c:v>1</c:v>
                </c:pt>
                <c:pt idx="283">
                  <c:v>3</c:v>
                </c:pt>
                <c:pt idx="284">
                  <c:v>1</c:v>
                </c:pt>
                <c:pt idx="285">
                  <c:v>0</c:v>
                </c:pt>
                <c:pt idx="286">
                  <c:v>4</c:v>
                </c:pt>
                <c:pt idx="287">
                  <c:v>3</c:v>
                </c:pt>
                <c:pt idx="288">
                  <c:v>2</c:v>
                </c:pt>
                <c:pt idx="289">
                  <c:v>3</c:v>
                </c:pt>
                <c:pt idx="290">
                  <c:v>2</c:v>
                </c:pt>
                <c:pt idx="291">
                  <c:v>1</c:v>
                </c:pt>
                <c:pt idx="292">
                  <c:v>4</c:v>
                </c:pt>
                <c:pt idx="293">
                  <c:v>0</c:v>
                </c:pt>
                <c:pt idx="294">
                  <c:v>4</c:v>
                </c:pt>
                <c:pt idx="295">
                  <c:v>4</c:v>
                </c:pt>
                <c:pt idx="296">
                  <c:v>3</c:v>
                </c:pt>
                <c:pt idx="297">
                  <c:v>0</c:v>
                </c:pt>
                <c:pt idx="298">
                  <c:v>4</c:v>
                </c:pt>
                <c:pt idx="299">
                  <c:v>1</c:v>
                </c:pt>
                <c:pt idx="300">
                  <c:v>2</c:v>
                </c:pt>
                <c:pt idx="301">
                  <c:v>4</c:v>
                </c:pt>
                <c:pt idx="302">
                  <c:v>1</c:v>
                </c:pt>
                <c:pt idx="303">
                  <c:v>1</c:v>
                </c:pt>
                <c:pt idx="304">
                  <c:v>4</c:v>
                </c:pt>
                <c:pt idx="305">
                  <c:v>1</c:v>
                </c:pt>
                <c:pt idx="306">
                  <c:v>3</c:v>
                </c:pt>
                <c:pt idx="307">
                  <c:v>1</c:v>
                </c:pt>
                <c:pt idx="308">
                  <c:v>4</c:v>
                </c:pt>
                <c:pt idx="309">
                  <c:v>2</c:v>
                </c:pt>
                <c:pt idx="310">
                  <c:v>2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0</c:v>
                </c:pt>
                <c:pt idx="315">
                  <c:v>1</c:v>
                </c:pt>
                <c:pt idx="316">
                  <c:v>4</c:v>
                </c:pt>
                <c:pt idx="317">
                  <c:v>1</c:v>
                </c:pt>
                <c:pt idx="318">
                  <c:v>0</c:v>
                </c:pt>
                <c:pt idx="319">
                  <c:v>2</c:v>
                </c:pt>
                <c:pt idx="320">
                  <c:v>1</c:v>
                </c:pt>
                <c:pt idx="321">
                  <c:v>0</c:v>
                </c:pt>
                <c:pt idx="322">
                  <c:v>1</c:v>
                </c:pt>
                <c:pt idx="323">
                  <c:v>3</c:v>
                </c:pt>
                <c:pt idx="324">
                  <c:v>2</c:v>
                </c:pt>
                <c:pt idx="325">
                  <c:v>2</c:v>
                </c:pt>
                <c:pt idx="326">
                  <c:v>0</c:v>
                </c:pt>
                <c:pt idx="327">
                  <c:v>4</c:v>
                </c:pt>
                <c:pt idx="328">
                  <c:v>1</c:v>
                </c:pt>
                <c:pt idx="329">
                  <c:v>3</c:v>
                </c:pt>
                <c:pt idx="330">
                  <c:v>4</c:v>
                </c:pt>
                <c:pt idx="331">
                  <c:v>2</c:v>
                </c:pt>
                <c:pt idx="332">
                  <c:v>1</c:v>
                </c:pt>
                <c:pt idx="333">
                  <c:v>3</c:v>
                </c:pt>
                <c:pt idx="334">
                  <c:v>0</c:v>
                </c:pt>
                <c:pt idx="335">
                  <c:v>0</c:v>
                </c:pt>
                <c:pt idx="336">
                  <c:v>3</c:v>
                </c:pt>
                <c:pt idx="337">
                  <c:v>2</c:v>
                </c:pt>
                <c:pt idx="338">
                  <c:v>1</c:v>
                </c:pt>
                <c:pt idx="339">
                  <c:v>2</c:v>
                </c:pt>
                <c:pt idx="340">
                  <c:v>4</c:v>
                </c:pt>
                <c:pt idx="341">
                  <c:v>1</c:v>
                </c:pt>
                <c:pt idx="342">
                  <c:v>3</c:v>
                </c:pt>
                <c:pt idx="343">
                  <c:v>2</c:v>
                </c:pt>
                <c:pt idx="344">
                  <c:v>2</c:v>
                </c:pt>
                <c:pt idx="345">
                  <c:v>4</c:v>
                </c:pt>
                <c:pt idx="346">
                  <c:v>4</c:v>
                </c:pt>
                <c:pt idx="347">
                  <c:v>4</c:v>
                </c:pt>
                <c:pt idx="348">
                  <c:v>3</c:v>
                </c:pt>
                <c:pt idx="349">
                  <c:v>2</c:v>
                </c:pt>
                <c:pt idx="350">
                  <c:v>0</c:v>
                </c:pt>
                <c:pt idx="351">
                  <c:v>2</c:v>
                </c:pt>
                <c:pt idx="352">
                  <c:v>2</c:v>
                </c:pt>
                <c:pt idx="353">
                  <c:v>4</c:v>
                </c:pt>
                <c:pt idx="354">
                  <c:v>1</c:v>
                </c:pt>
                <c:pt idx="355">
                  <c:v>4</c:v>
                </c:pt>
                <c:pt idx="356">
                  <c:v>1</c:v>
                </c:pt>
                <c:pt idx="357">
                  <c:v>2</c:v>
                </c:pt>
                <c:pt idx="358">
                  <c:v>2</c:v>
                </c:pt>
                <c:pt idx="359">
                  <c:v>0</c:v>
                </c:pt>
                <c:pt idx="360">
                  <c:v>1</c:v>
                </c:pt>
                <c:pt idx="361">
                  <c:v>2</c:v>
                </c:pt>
                <c:pt idx="362">
                  <c:v>4</c:v>
                </c:pt>
                <c:pt idx="363">
                  <c:v>2</c:v>
                </c:pt>
                <c:pt idx="364">
                  <c:v>2</c:v>
                </c:pt>
                <c:pt idx="365">
                  <c:v>2</c:v>
                </c:pt>
                <c:pt idx="366">
                  <c:v>2</c:v>
                </c:pt>
                <c:pt idx="367">
                  <c:v>0</c:v>
                </c:pt>
                <c:pt idx="368">
                  <c:v>0</c:v>
                </c:pt>
                <c:pt idx="369">
                  <c:v>2</c:v>
                </c:pt>
                <c:pt idx="370">
                  <c:v>1</c:v>
                </c:pt>
                <c:pt idx="371">
                  <c:v>0</c:v>
                </c:pt>
                <c:pt idx="372">
                  <c:v>4</c:v>
                </c:pt>
                <c:pt idx="373">
                  <c:v>3</c:v>
                </c:pt>
                <c:pt idx="374">
                  <c:v>3</c:v>
                </c:pt>
                <c:pt idx="375">
                  <c:v>1</c:v>
                </c:pt>
                <c:pt idx="376">
                  <c:v>2</c:v>
                </c:pt>
                <c:pt idx="377">
                  <c:v>1</c:v>
                </c:pt>
                <c:pt idx="378">
                  <c:v>4</c:v>
                </c:pt>
                <c:pt idx="379">
                  <c:v>4</c:v>
                </c:pt>
                <c:pt idx="380">
                  <c:v>3</c:v>
                </c:pt>
                <c:pt idx="381">
                  <c:v>4</c:v>
                </c:pt>
                <c:pt idx="382">
                  <c:v>0</c:v>
                </c:pt>
                <c:pt idx="383">
                  <c:v>1</c:v>
                </c:pt>
                <c:pt idx="384">
                  <c:v>2</c:v>
                </c:pt>
                <c:pt idx="385">
                  <c:v>3</c:v>
                </c:pt>
                <c:pt idx="386">
                  <c:v>2</c:v>
                </c:pt>
                <c:pt idx="387">
                  <c:v>3</c:v>
                </c:pt>
                <c:pt idx="388">
                  <c:v>4</c:v>
                </c:pt>
                <c:pt idx="389">
                  <c:v>2</c:v>
                </c:pt>
                <c:pt idx="390">
                  <c:v>2</c:v>
                </c:pt>
                <c:pt idx="391">
                  <c:v>3</c:v>
                </c:pt>
                <c:pt idx="392">
                  <c:v>3</c:v>
                </c:pt>
                <c:pt idx="393">
                  <c:v>2</c:v>
                </c:pt>
                <c:pt idx="394">
                  <c:v>3</c:v>
                </c:pt>
                <c:pt idx="395">
                  <c:v>1</c:v>
                </c:pt>
                <c:pt idx="396">
                  <c:v>1</c:v>
                </c:pt>
                <c:pt idx="397">
                  <c:v>0</c:v>
                </c:pt>
                <c:pt idx="398">
                  <c:v>3</c:v>
                </c:pt>
                <c:pt idx="399">
                  <c:v>3</c:v>
                </c:pt>
                <c:pt idx="400">
                  <c:v>0</c:v>
                </c:pt>
                <c:pt idx="401">
                  <c:v>2</c:v>
                </c:pt>
                <c:pt idx="402">
                  <c:v>0</c:v>
                </c:pt>
                <c:pt idx="403">
                  <c:v>0</c:v>
                </c:pt>
                <c:pt idx="404">
                  <c:v>3</c:v>
                </c:pt>
                <c:pt idx="405">
                  <c:v>0</c:v>
                </c:pt>
                <c:pt idx="406">
                  <c:v>4</c:v>
                </c:pt>
                <c:pt idx="407">
                  <c:v>0</c:v>
                </c:pt>
                <c:pt idx="408">
                  <c:v>1</c:v>
                </c:pt>
                <c:pt idx="409">
                  <c:v>2</c:v>
                </c:pt>
                <c:pt idx="410">
                  <c:v>3</c:v>
                </c:pt>
                <c:pt idx="411">
                  <c:v>4</c:v>
                </c:pt>
                <c:pt idx="412">
                  <c:v>0</c:v>
                </c:pt>
                <c:pt idx="413">
                  <c:v>4</c:v>
                </c:pt>
                <c:pt idx="414">
                  <c:v>0</c:v>
                </c:pt>
                <c:pt idx="415">
                  <c:v>3</c:v>
                </c:pt>
                <c:pt idx="416">
                  <c:v>0</c:v>
                </c:pt>
                <c:pt idx="417">
                  <c:v>0</c:v>
                </c:pt>
                <c:pt idx="418">
                  <c:v>3</c:v>
                </c:pt>
                <c:pt idx="419">
                  <c:v>1</c:v>
                </c:pt>
                <c:pt idx="420">
                  <c:v>3</c:v>
                </c:pt>
                <c:pt idx="421">
                  <c:v>4</c:v>
                </c:pt>
                <c:pt idx="422">
                  <c:v>4</c:v>
                </c:pt>
                <c:pt idx="423">
                  <c:v>2</c:v>
                </c:pt>
                <c:pt idx="424">
                  <c:v>3</c:v>
                </c:pt>
                <c:pt idx="425">
                  <c:v>4</c:v>
                </c:pt>
                <c:pt idx="426">
                  <c:v>3</c:v>
                </c:pt>
                <c:pt idx="427">
                  <c:v>0</c:v>
                </c:pt>
                <c:pt idx="428">
                  <c:v>2</c:v>
                </c:pt>
                <c:pt idx="429">
                  <c:v>4</c:v>
                </c:pt>
                <c:pt idx="430">
                  <c:v>4</c:v>
                </c:pt>
                <c:pt idx="431">
                  <c:v>1</c:v>
                </c:pt>
                <c:pt idx="432">
                  <c:v>3</c:v>
                </c:pt>
                <c:pt idx="433">
                  <c:v>4</c:v>
                </c:pt>
                <c:pt idx="434">
                  <c:v>4</c:v>
                </c:pt>
                <c:pt idx="435">
                  <c:v>4</c:v>
                </c:pt>
                <c:pt idx="436">
                  <c:v>2</c:v>
                </c:pt>
                <c:pt idx="437">
                  <c:v>3</c:v>
                </c:pt>
                <c:pt idx="438">
                  <c:v>3</c:v>
                </c:pt>
                <c:pt idx="439">
                  <c:v>2</c:v>
                </c:pt>
                <c:pt idx="440">
                  <c:v>4</c:v>
                </c:pt>
                <c:pt idx="441">
                  <c:v>2</c:v>
                </c:pt>
                <c:pt idx="442">
                  <c:v>0</c:v>
                </c:pt>
                <c:pt idx="443">
                  <c:v>1</c:v>
                </c:pt>
                <c:pt idx="444">
                  <c:v>2</c:v>
                </c:pt>
                <c:pt idx="445">
                  <c:v>3</c:v>
                </c:pt>
                <c:pt idx="446">
                  <c:v>4</c:v>
                </c:pt>
                <c:pt idx="447">
                  <c:v>4</c:v>
                </c:pt>
                <c:pt idx="448">
                  <c:v>4</c:v>
                </c:pt>
                <c:pt idx="449">
                  <c:v>3</c:v>
                </c:pt>
                <c:pt idx="450">
                  <c:v>0</c:v>
                </c:pt>
                <c:pt idx="451">
                  <c:v>1</c:v>
                </c:pt>
                <c:pt idx="452">
                  <c:v>1</c:v>
                </c:pt>
                <c:pt idx="453">
                  <c:v>2</c:v>
                </c:pt>
                <c:pt idx="454">
                  <c:v>2</c:v>
                </c:pt>
                <c:pt idx="455">
                  <c:v>1</c:v>
                </c:pt>
                <c:pt idx="456">
                  <c:v>3</c:v>
                </c:pt>
                <c:pt idx="457">
                  <c:v>2</c:v>
                </c:pt>
                <c:pt idx="458">
                  <c:v>4</c:v>
                </c:pt>
                <c:pt idx="459">
                  <c:v>4</c:v>
                </c:pt>
                <c:pt idx="460">
                  <c:v>3</c:v>
                </c:pt>
                <c:pt idx="461">
                  <c:v>2</c:v>
                </c:pt>
                <c:pt idx="462">
                  <c:v>4</c:v>
                </c:pt>
                <c:pt idx="463">
                  <c:v>4</c:v>
                </c:pt>
                <c:pt idx="464">
                  <c:v>1</c:v>
                </c:pt>
                <c:pt idx="465">
                  <c:v>1</c:v>
                </c:pt>
                <c:pt idx="466">
                  <c:v>4</c:v>
                </c:pt>
                <c:pt idx="467">
                  <c:v>4</c:v>
                </c:pt>
                <c:pt idx="468">
                  <c:v>2</c:v>
                </c:pt>
                <c:pt idx="469">
                  <c:v>3</c:v>
                </c:pt>
                <c:pt idx="470">
                  <c:v>1</c:v>
                </c:pt>
                <c:pt idx="471">
                  <c:v>2</c:v>
                </c:pt>
                <c:pt idx="472">
                  <c:v>2</c:v>
                </c:pt>
                <c:pt idx="473">
                  <c:v>4</c:v>
                </c:pt>
                <c:pt idx="474">
                  <c:v>1</c:v>
                </c:pt>
                <c:pt idx="475">
                  <c:v>3</c:v>
                </c:pt>
                <c:pt idx="476">
                  <c:v>1</c:v>
                </c:pt>
                <c:pt idx="477">
                  <c:v>3</c:v>
                </c:pt>
                <c:pt idx="478">
                  <c:v>1</c:v>
                </c:pt>
                <c:pt idx="479">
                  <c:v>1</c:v>
                </c:pt>
                <c:pt idx="480">
                  <c:v>2</c:v>
                </c:pt>
                <c:pt idx="481">
                  <c:v>4</c:v>
                </c:pt>
                <c:pt idx="482">
                  <c:v>1</c:v>
                </c:pt>
                <c:pt idx="483">
                  <c:v>3</c:v>
                </c:pt>
                <c:pt idx="484">
                  <c:v>3</c:v>
                </c:pt>
                <c:pt idx="485">
                  <c:v>0</c:v>
                </c:pt>
                <c:pt idx="486">
                  <c:v>1</c:v>
                </c:pt>
                <c:pt idx="487">
                  <c:v>3</c:v>
                </c:pt>
                <c:pt idx="488">
                  <c:v>3</c:v>
                </c:pt>
                <c:pt idx="489">
                  <c:v>0</c:v>
                </c:pt>
                <c:pt idx="490">
                  <c:v>1</c:v>
                </c:pt>
                <c:pt idx="491">
                  <c:v>2</c:v>
                </c:pt>
                <c:pt idx="492">
                  <c:v>3</c:v>
                </c:pt>
                <c:pt idx="493">
                  <c:v>0</c:v>
                </c:pt>
                <c:pt idx="494">
                  <c:v>0</c:v>
                </c:pt>
                <c:pt idx="495">
                  <c:v>1</c:v>
                </c:pt>
                <c:pt idx="496">
                  <c:v>1</c:v>
                </c:pt>
                <c:pt idx="497">
                  <c:v>0</c:v>
                </c:pt>
                <c:pt idx="498">
                  <c:v>4</c:v>
                </c:pt>
                <c:pt idx="499">
                  <c:v>0</c:v>
                </c:pt>
                <c:pt idx="500">
                  <c:v>1</c:v>
                </c:pt>
                <c:pt idx="501">
                  <c:v>2</c:v>
                </c:pt>
                <c:pt idx="502">
                  <c:v>0</c:v>
                </c:pt>
                <c:pt idx="503">
                  <c:v>1</c:v>
                </c:pt>
                <c:pt idx="504">
                  <c:v>0</c:v>
                </c:pt>
                <c:pt idx="505">
                  <c:v>1</c:v>
                </c:pt>
                <c:pt idx="506">
                  <c:v>3</c:v>
                </c:pt>
                <c:pt idx="507">
                  <c:v>2</c:v>
                </c:pt>
                <c:pt idx="508">
                  <c:v>1</c:v>
                </c:pt>
                <c:pt idx="509">
                  <c:v>3</c:v>
                </c:pt>
                <c:pt idx="510">
                  <c:v>2</c:v>
                </c:pt>
                <c:pt idx="511">
                  <c:v>4</c:v>
                </c:pt>
                <c:pt idx="512">
                  <c:v>2</c:v>
                </c:pt>
                <c:pt idx="513">
                  <c:v>0</c:v>
                </c:pt>
                <c:pt idx="514">
                  <c:v>3</c:v>
                </c:pt>
                <c:pt idx="515">
                  <c:v>0</c:v>
                </c:pt>
                <c:pt idx="516">
                  <c:v>3</c:v>
                </c:pt>
                <c:pt idx="517">
                  <c:v>3</c:v>
                </c:pt>
                <c:pt idx="518">
                  <c:v>4</c:v>
                </c:pt>
                <c:pt idx="519">
                  <c:v>3</c:v>
                </c:pt>
                <c:pt idx="520">
                  <c:v>1</c:v>
                </c:pt>
                <c:pt idx="521">
                  <c:v>2</c:v>
                </c:pt>
                <c:pt idx="522">
                  <c:v>4</c:v>
                </c:pt>
                <c:pt idx="523">
                  <c:v>4</c:v>
                </c:pt>
                <c:pt idx="524">
                  <c:v>2</c:v>
                </c:pt>
                <c:pt idx="525">
                  <c:v>4</c:v>
                </c:pt>
                <c:pt idx="526">
                  <c:v>0</c:v>
                </c:pt>
                <c:pt idx="527">
                  <c:v>3</c:v>
                </c:pt>
                <c:pt idx="528">
                  <c:v>1</c:v>
                </c:pt>
                <c:pt idx="529">
                  <c:v>2</c:v>
                </c:pt>
                <c:pt idx="530">
                  <c:v>1</c:v>
                </c:pt>
                <c:pt idx="531">
                  <c:v>1</c:v>
                </c:pt>
                <c:pt idx="532">
                  <c:v>0</c:v>
                </c:pt>
                <c:pt idx="533">
                  <c:v>0</c:v>
                </c:pt>
                <c:pt idx="534">
                  <c:v>2</c:v>
                </c:pt>
                <c:pt idx="535">
                  <c:v>3</c:v>
                </c:pt>
                <c:pt idx="536">
                  <c:v>3</c:v>
                </c:pt>
                <c:pt idx="537">
                  <c:v>3</c:v>
                </c:pt>
                <c:pt idx="538">
                  <c:v>1</c:v>
                </c:pt>
                <c:pt idx="539">
                  <c:v>3</c:v>
                </c:pt>
                <c:pt idx="540">
                  <c:v>0</c:v>
                </c:pt>
                <c:pt idx="541">
                  <c:v>2</c:v>
                </c:pt>
                <c:pt idx="542">
                  <c:v>3</c:v>
                </c:pt>
                <c:pt idx="543">
                  <c:v>4</c:v>
                </c:pt>
                <c:pt idx="544">
                  <c:v>3</c:v>
                </c:pt>
                <c:pt idx="545">
                  <c:v>1</c:v>
                </c:pt>
                <c:pt idx="546">
                  <c:v>4</c:v>
                </c:pt>
                <c:pt idx="547">
                  <c:v>4</c:v>
                </c:pt>
                <c:pt idx="548">
                  <c:v>0</c:v>
                </c:pt>
                <c:pt idx="549">
                  <c:v>3</c:v>
                </c:pt>
                <c:pt idx="550">
                  <c:v>1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2</c:v>
                </c:pt>
                <c:pt idx="555">
                  <c:v>1</c:v>
                </c:pt>
                <c:pt idx="556">
                  <c:v>0</c:v>
                </c:pt>
                <c:pt idx="557">
                  <c:v>3</c:v>
                </c:pt>
                <c:pt idx="558">
                  <c:v>1</c:v>
                </c:pt>
                <c:pt idx="559">
                  <c:v>1</c:v>
                </c:pt>
                <c:pt idx="560">
                  <c:v>3</c:v>
                </c:pt>
                <c:pt idx="561">
                  <c:v>1</c:v>
                </c:pt>
                <c:pt idx="562">
                  <c:v>3</c:v>
                </c:pt>
                <c:pt idx="563">
                  <c:v>0</c:v>
                </c:pt>
                <c:pt idx="564">
                  <c:v>3</c:v>
                </c:pt>
                <c:pt idx="565">
                  <c:v>4</c:v>
                </c:pt>
                <c:pt idx="566">
                  <c:v>4</c:v>
                </c:pt>
                <c:pt idx="567">
                  <c:v>1</c:v>
                </c:pt>
                <c:pt idx="568">
                  <c:v>4</c:v>
                </c:pt>
                <c:pt idx="569">
                  <c:v>3</c:v>
                </c:pt>
                <c:pt idx="570">
                  <c:v>3</c:v>
                </c:pt>
                <c:pt idx="571">
                  <c:v>1</c:v>
                </c:pt>
                <c:pt idx="572">
                  <c:v>3</c:v>
                </c:pt>
                <c:pt idx="573">
                  <c:v>4</c:v>
                </c:pt>
                <c:pt idx="574">
                  <c:v>1</c:v>
                </c:pt>
                <c:pt idx="575">
                  <c:v>4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0</c:v>
                </c:pt>
                <c:pt idx="580">
                  <c:v>2</c:v>
                </c:pt>
                <c:pt idx="581">
                  <c:v>2</c:v>
                </c:pt>
                <c:pt idx="582">
                  <c:v>3</c:v>
                </c:pt>
                <c:pt idx="583">
                  <c:v>0</c:v>
                </c:pt>
                <c:pt idx="584">
                  <c:v>4</c:v>
                </c:pt>
                <c:pt idx="585">
                  <c:v>2</c:v>
                </c:pt>
                <c:pt idx="586">
                  <c:v>4</c:v>
                </c:pt>
                <c:pt idx="587">
                  <c:v>4</c:v>
                </c:pt>
                <c:pt idx="588">
                  <c:v>2</c:v>
                </c:pt>
                <c:pt idx="589">
                  <c:v>3</c:v>
                </c:pt>
                <c:pt idx="590">
                  <c:v>0</c:v>
                </c:pt>
                <c:pt idx="591">
                  <c:v>2</c:v>
                </c:pt>
                <c:pt idx="592">
                  <c:v>4</c:v>
                </c:pt>
                <c:pt idx="593">
                  <c:v>2</c:v>
                </c:pt>
                <c:pt idx="594">
                  <c:v>2</c:v>
                </c:pt>
                <c:pt idx="595">
                  <c:v>2</c:v>
                </c:pt>
                <c:pt idx="596">
                  <c:v>3</c:v>
                </c:pt>
                <c:pt idx="597">
                  <c:v>1</c:v>
                </c:pt>
                <c:pt idx="598">
                  <c:v>1</c:v>
                </c:pt>
                <c:pt idx="599">
                  <c:v>4</c:v>
                </c:pt>
                <c:pt idx="600">
                  <c:v>4</c:v>
                </c:pt>
                <c:pt idx="601">
                  <c:v>1</c:v>
                </c:pt>
                <c:pt idx="602">
                  <c:v>0</c:v>
                </c:pt>
                <c:pt idx="603">
                  <c:v>4</c:v>
                </c:pt>
                <c:pt idx="604">
                  <c:v>0</c:v>
                </c:pt>
                <c:pt idx="605">
                  <c:v>2</c:v>
                </c:pt>
                <c:pt idx="606">
                  <c:v>2</c:v>
                </c:pt>
                <c:pt idx="607">
                  <c:v>1</c:v>
                </c:pt>
                <c:pt idx="608">
                  <c:v>2</c:v>
                </c:pt>
                <c:pt idx="609">
                  <c:v>2</c:v>
                </c:pt>
                <c:pt idx="610">
                  <c:v>0</c:v>
                </c:pt>
                <c:pt idx="611">
                  <c:v>2</c:v>
                </c:pt>
                <c:pt idx="612">
                  <c:v>3</c:v>
                </c:pt>
                <c:pt idx="613">
                  <c:v>3</c:v>
                </c:pt>
                <c:pt idx="614">
                  <c:v>2</c:v>
                </c:pt>
                <c:pt idx="615">
                  <c:v>3</c:v>
                </c:pt>
                <c:pt idx="616">
                  <c:v>4</c:v>
                </c:pt>
                <c:pt idx="617">
                  <c:v>2</c:v>
                </c:pt>
                <c:pt idx="618">
                  <c:v>2</c:v>
                </c:pt>
                <c:pt idx="619">
                  <c:v>3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3</c:v>
                </c:pt>
                <c:pt idx="624">
                  <c:v>0</c:v>
                </c:pt>
                <c:pt idx="625">
                  <c:v>0</c:v>
                </c:pt>
                <c:pt idx="626">
                  <c:v>1</c:v>
                </c:pt>
                <c:pt idx="627">
                  <c:v>4</c:v>
                </c:pt>
                <c:pt idx="628">
                  <c:v>3</c:v>
                </c:pt>
                <c:pt idx="629">
                  <c:v>4</c:v>
                </c:pt>
                <c:pt idx="630">
                  <c:v>3</c:v>
                </c:pt>
                <c:pt idx="631">
                  <c:v>4</c:v>
                </c:pt>
                <c:pt idx="632">
                  <c:v>3</c:v>
                </c:pt>
                <c:pt idx="633">
                  <c:v>4</c:v>
                </c:pt>
                <c:pt idx="634">
                  <c:v>4</c:v>
                </c:pt>
                <c:pt idx="635">
                  <c:v>3</c:v>
                </c:pt>
                <c:pt idx="636">
                  <c:v>4</c:v>
                </c:pt>
                <c:pt idx="637">
                  <c:v>2</c:v>
                </c:pt>
                <c:pt idx="638">
                  <c:v>2</c:v>
                </c:pt>
                <c:pt idx="639">
                  <c:v>3</c:v>
                </c:pt>
                <c:pt idx="640">
                  <c:v>3</c:v>
                </c:pt>
                <c:pt idx="641">
                  <c:v>1</c:v>
                </c:pt>
                <c:pt idx="642">
                  <c:v>0</c:v>
                </c:pt>
                <c:pt idx="643">
                  <c:v>2</c:v>
                </c:pt>
                <c:pt idx="644">
                  <c:v>0</c:v>
                </c:pt>
                <c:pt idx="645">
                  <c:v>4</c:v>
                </c:pt>
                <c:pt idx="646">
                  <c:v>4</c:v>
                </c:pt>
                <c:pt idx="647">
                  <c:v>1</c:v>
                </c:pt>
                <c:pt idx="648">
                  <c:v>0</c:v>
                </c:pt>
                <c:pt idx="649">
                  <c:v>2</c:v>
                </c:pt>
                <c:pt idx="650">
                  <c:v>0</c:v>
                </c:pt>
                <c:pt idx="651">
                  <c:v>3</c:v>
                </c:pt>
                <c:pt idx="652">
                  <c:v>2</c:v>
                </c:pt>
                <c:pt idx="653">
                  <c:v>2</c:v>
                </c:pt>
                <c:pt idx="654">
                  <c:v>4</c:v>
                </c:pt>
                <c:pt idx="655">
                  <c:v>2</c:v>
                </c:pt>
                <c:pt idx="656">
                  <c:v>1</c:v>
                </c:pt>
                <c:pt idx="657">
                  <c:v>0</c:v>
                </c:pt>
                <c:pt idx="658">
                  <c:v>4</c:v>
                </c:pt>
                <c:pt idx="659">
                  <c:v>3</c:v>
                </c:pt>
                <c:pt idx="660">
                  <c:v>1</c:v>
                </c:pt>
                <c:pt idx="661">
                  <c:v>3</c:v>
                </c:pt>
                <c:pt idx="662">
                  <c:v>4</c:v>
                </c:pt>
                <c:pt idx="663">
                  <c:v>3</c:v>
                </c:pt>
                <c:pt idx="664">
                  <c:v>0</c:v>
                </c:pt>
                <c:pt idx="665">
                  <c:v>1</c:v>
                </c:pt>
                <c:pt idx="666">
                  <c:v>0</c:v>
                </c:pt>
                <c:pt idx="667">
                  <c:v>4</c:v>
                </c:pt>
                <c:pt idx="668">
                  <c:v>0</c:v>
                </c:pt>
                <c:pt idx="669">
                  <c:v>4</c:v>
                </c:pt>
                <c:pt idx="670">
                  <c:v>3</c:v>
                </c:pt>
                <c:pt idx="671">
                  <c:v>0</c:v>
                </c:pt>
                <c:pt idx="672">
                  <c:v>4</c:v>
                </c:pt>
                <c:pt idx="673">
                  <c:v>2</c:v>
                </c:pt>
                <c:pt idx="674">
                  <c:v>1</c:v>
                </c:pt>
                <c:pt idx="675">
                  <c:v>1</c:v>
                </c:pt>
                <c:pt idx="676">
                  <c:v>4</c:v>
                </c:pt>
                <c:pt idx="677">
                  <c:v>0</c:v>
                </c:pt>
                <c:pt idx="678">
                  <c:v>2</c:v>
                </c:pt>
                <c:pt idx="679">
                  <c:v>0</c:v>
                </c:pt>
                <c:pt idx="680">
                  <c:v>0</c:v>
                </c:pt>
                <c:pt idx="681">
                  <c:v>1</c:v>
                </c:pt>
                <c:pt idx="682">
                  <c:v>1</c:v>
                </c:pt>
                <c:pt idx="683">
                  <c:v>2</c:v>
                </c:pt>
                <c:pt idx="684">
                  <c:v>4</c:v>
                </c:pt>
                <c:pt idx="685">
                  <c:v>1</c:v>
                </c:pt>
                <c:pt idx="686">
                  <c:v>0</c:v>
                </c:pt>
                <c:pt idx="687">
                  <c:v>2</c:v>
                </c:pt>
                <c:pt idx="688">
                  <c:v>2</c:v>
                </c:pt>
                <c:pt idx="689">
                  <c:v>2</c:v>
                </c:pt>
                <c:pt idx="690">
                  <c:v>4</c:v>
                </c:pt>
                <c:pt idx="691">
                  <c:v>0</c:v>
                </c:pt>
                <c:pt idx="692">
                  <c:v>3</c:v>
                </c:pt>
                <c:pt idx="693">
                  <c:v>3</c:v>
                </c:pt>
                <c:pt idx="694">
                  <c:v>1</c:v>
                </c:pt>
                <c:pt idx="695">
                  <c:v>1</c:v>
                </c:pt>
                <c:pt idx="696">
                  <c:v>4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4</c:v>
                </c:pt>
                <c:pt idx="701">
                  <c:v>2</c:v>
                </c:pt>
                <c:pt idx="702">
                  <c:v>0</c:v>
                </c:pt>
                <c:pt idx="703">
                  <c:v>2</c:v>
                </c:pt>
                <c:pt idx="704">
                  <c:v>2</c:v>
                </c:pt>
                <c:pt idx="705">
                  <c:v>0</c:v>
                </c:pt>
                <c:pt idx="706">
                  <c:v>4</c:v>
                </c:pt>
                <c:pt idx="707">
                  <c:v>0</c:v>
                </c:pt>
                <c:pt idx="708">
                  <c:v>0</c:v>
                </c:pt>
                <c:pt idx="709">
                  <c:v>3</c:v>
                </c:pt>
                <c:pt idx="710">
                  <c:v>4</c:v>
                </c:pt>
                <c:pt idx="711">
                  <c:v>2</c:v>
                </c:pt>
                <c:pt idx="712">
                  <c:v>0</c:v>
                </c:pt>
                <c:pt idx="713">
                  <c:v>4</c:v>
                </c:pt>
                <c:pt idx="714">
                  <c:v>4</c:v>
                </c:pt>
                <c:pt idx="715">
                  <c:v>4</c:v>
                </c:pt>
                <c:pt idx="716">
                  <c:v>4</c:v>
                </c:pt>
                <c:pt idx="717">
                  <c:v>2</c:v>
                </c:pt>
                <c:pt idx="718">
                  <c:v>4</c:v>
                </c:pt>
                <c:pt idx="719">
                  <c:v>2</c:v>
                </c:pt>
                <c:pt idx="720">
                  <c:v>2</c:v>
                </c:pt>
                <c:pt idx="721">
                  <c:v>4</c:v>
                </c:pt>
                <c:pt idx="722">
                  <c:v>3</c:v>
                </c:pt>
                <c:pt idx="723">
                  <c:v>3</c:v>
                </c:pt>
                <c:pt idx="724">
                  <c:v>4</c:v>
                </c:pt>
                <c:pt idx="725">
                  <c:v>2</c:v>
                </c:pt>
                <c:pt idx="726">
                  <c:v>1</c:v>
                </c:pt>
                <c:pt idx="727">
                  <c:v>1</c:v>
                </c:pt>
                <c:pt idx="728">
                  <c:v>2</c:v>
                </c:pt>
                <c:pt idx="729">
                  <c:v>0</c:v>
                </c:pt>
                <c:pt idx="730">
                  <c:v>3</c:v>
                </c:pt>
                <c:pt idx="731">
                  <c:v>4</c:v>
                </c:pt>
                <c:pt idx="732">
                  <c:v>1</c:v>
                </c:pt>
                <c:pt idx="733">
                  <c:v>1</c:v>
                </c:pt>
                <c:pt idx="734">
                  <c:v>3</c:v>
                </c:pt>
                <c:pt idx="735">
                  <c:v>1</c:v>
                </c:pt>
                <c:pt idx="736">
                  <c:v>1</c:v>
                </c:pt>
                <c:pt idx="737">
                  <c:v>2</c:v>
                </c:pt>
                <c:pt idx="738">
                  <c:v>2</c:v>
                </c:pt>
                <c:pt idx="739">
                  <c:v>1</c:v>
                </c:pt>
                <c:pt idx="740">
                  <c:v>4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0</c:v>
                </c:pt>
                <c:pt idx="747">
                  <c:v>3</c:v>
                </c:pt>
                <c:pt idx="748">
                  <c:v>1</c:v>
                </c:pt>
                <c:pt idx="749">
                  <c:v>1</c:v>
                </c:pt>
                <c:pt idx="750">
                  <c:v>3</c:v>
                </c:pt>
                <c:pt idx="751">
                  <c:v>4</c:v>
                </c:pt>
                <c:pt idx="752">
                  <c:v>2</c:v>
                </c:pt>
                <c:pt idx="753">
                  <c:v>3</c:v>
                </c:pt>
                <c:pt idx="754">
                  <c:v>2</c:v>
                </c:pt>
                <c:pt idx="755">
                  <c:v>0</c:v>
                </c:pt>
                <c:pt idx="756">
                  <c:v>3</c:v>
                </c:pt>
                <c:pt idx="757">
                  <c:v>4</c:v>
                </c:pt>
                <c:pt idx="758">
                  <c:v>2</c:v>
                </c:pt>
                <c:pt idx="759">
                  <c:v>3</c:v>
                </c:pt>
                <c:pt idx="760">
                  <c:v>2</c:v>
                </c:pt>
                <c:pt idx="761">
                  <c:v>1</c:v>
                </c:pt>
                <c:pt idx="762">
                  <c:v>3</c:v>
                </c:pt>
                <c:pt idx="763">
                  <c:v>3</c:v>
                </c:pt>
                <c:pt idx="764">
                  <c:v>4</c:v>
                </c:pt>
                <c:pt idx="765">
                  <c:v>0</c:v>
                </c:pt>
                <c:pt idx="766">
                  <c:v>1</c:v>
                </c:pt>
                <c:pt idx="767">
                  <c:v>1</c:v>
                </c:pt>
                <c:pt idx="768">
                  <c:v>3</c:v>
                </c:pt>
                <c:pt idx="769">
                  <c:v>1</c:v>
                </c:pt>
                <c:pt idx="770">
                  <c:v>4</c:v>
                </c:pt>
                <c:pt idx="771">
                  <c:v>4</c:v>
                </c:pt>
                <c:pt idx="772">
                  <c:v>3</c:v>
                </c:pt>
                <c:pt idx="773">
                  <c:v>1</c:v>
                </c:pt>
                <c:pt idx="774">
                  <c:v>4</c:v>
                </c:pt>
                <c:pt idx="775">
                  <c:v>0</c:v>
                </c:pt>
                <c:pt idx="776">
                  <c:v>4</c:v>
                </c:pt>
                <c:pt idx="777">
                  <c:v>1</c:v>
                </c:pt>
                <c:pt idx="778">
                  <c:v>2</c:v>
                </c:pt>
                <c:pt idx="779">
                  <c:v>2</c:v>
                </c:pt>
                <c:pt idx="780">
                  <c:v>4</c:v>
                </c:pt>
                <c:pt idx="781">
                  <c:v>0</c:v>
                </c:pt>
                <c:pt idx="782">
                  <c:v>3</c:v>
                </c:pt>
                <c:pt idx="783">
                  <c:v>1</c:v>
                </c:pt>
                <c:pt idx="784">
                  <c:v>4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4</c:v>
                </c:pt>
                <c:pt idx="789">
                  <c:v>1</c:v>
                </c:pt>
                <c:pt idx="790">
                  <c:v>0</c:v>
                </c:pt>
                <c:pt idx="791">
                  <c:v>4</c:v>
                </c:pt>
                <c:pt idx="792">
                  <c:v>4</c:v>
                </c:pt>
                <c:pt idx="793">
                  <c:v>4</c:v>
                </c:pt>
                <c:pt idx="794">
                  <c:v>0</c:v>
                </c:pt>
                <c:pt idx="795">
                  <c:v>2</c:v>
                </c:pt>
                <c:pt idx="796">
                  <c:v>1</c:v>
                </c:pt>
                <c:pt idx="797">
                  <c:v>1</c:v>
                </c:pt>
                <c:pt idx="798">
                  <c:v>3</c:v>
                </c:pt>
                <c:pt idx="799">
                  <c:v>3</c:v>
                </c:pt>
                <c:pt idx="800">
                  <c:v>0</c:v>
                </c:pt>
                <c:pt idx="801">
                  <c:v>0</c:v>
                </c:pt>
                <c:pt idx="802">
                  <c:v>2</c:v>
                </c:pt>
                <c:pt idx="803">
                  <c:v>3</c:v>
                </c:pt>
                <c:pt idx="804">
                  <c:v>4</c:v>
                </c:pt>
                <c:pt idx="805">
                  <c:v>4</c:v>
                </c:pt>
                <c:pt idx="806">
                  <c:v>2</c:v>
                </c:pt>
                <c:pt idx="807">
                  <c:v>3</c:v>
                </c:pt>
                <c:pt idx="808">
                  <c:v>2</c:v>
                </c:pt>
                <c:pt idx="809">
                  <c:v>0</c:v>
                </c:pt>
                <c:pt idx="810">
                  <c:v>1</c:v>
                </c:pt>
                <c:pt idx="811">
                  <c:v>2</c:v>
                </c:pt>
                <c:pt idx="812">
                  <c:v>1</c:v>
                </c:pt>
                <c:pt idx="813">
                  <c:v>4</c:v>
                </c:pt>
                <c:pt idx="814">
                  <c:v>0</c:v>
                </c:pt>
                <c:pt idx="815">
                  <c:v>2</c:v>
                </c:pt>
                <c:pt idx="816">
                  <c:v>4</c:v>
                </c:pt>
                <c:pt idx="817">
                  <c:v>4</c:v>
                </c:pt>
                <c:pt idx="818">
                  <c:v>1</c:v>
                </c:pt>
                <c:pt idx="819">
                  <c:v>3</c:v>
                </c:pt>
                <c:pt idx="820">
                  <c:v>0</c:v>
                </c:pt>
                <c:pt idx="821">
                  <c:v>2</c:v>
                </c:pt>
                <c:pt idx="822">
                  <c:v>0</c:v>
                </c:pt>
                <c:pt idx="823">
                  <c:v>4</c:v>
                </c:pt>
                <c:pt idx="824">
                  <c:v>1</c:v>
                </c:pt>
                <c:pt idx="825">
                  <c:v>4</c:v>
                </c:pt>
                <c:pt idx="826">
                  <c:v>1</c:v>
                </c:pt>
                <c:pt idx="827">
                  <c:v>2</c:v>
                </c:pt>
                <c:pt idx="828">
                  <c:v>0</c:v>
                </c:pt>
                <c:pt idx="829">
                  <c:v>3</c:v>
                </c:pt>
                <c:pt idx="830">
                  <c:v>0</c:v>
                </c:pt>
                <c:pt idx="831">
                  <c:v>2</c:v>
                </c:pt>
                <c:pt idx="832">
                  <c:v>2</c:v>
                </c:pt>
                <c:pt idx="833">
                  <c:v>2</c:v>
                </c:pt>
                <c:pt idx="834">
                  <c:v>1</c:v>
                </c:pt>
                <c:pt idx="835">
                  <c:v>4</c:v>
                </c:pt>
                <c:pt idx="836">
                  <c:v>1</c:v>
                </c:pt>
                <c:pt idx="837">
                  <c:v>4</c:v>
                </c:pt>
                <c:pt idx="838">
                  <c:v>2</c:v>
                </c:pt>
                <c:pt idx="839">
                  <c:v>4</c:v>
                </c:pt>
                <c:pt idx="840">
                  <c:v>2</c:v>
                </c:pt>
                <c:pt idx="841">
                  <c:v>4</c:v>
                </c:pt>
                <c:pt idx="842">
                  <c:v>3</c:v>
                </c:pt>
                <c:pt idx="843">
                  <c:v>4</c:v>
                </c:pt>
                <c:pt idx="844">
                  <c:v>1</c:v>
                </c:pt>
                <c:pt idx="845">
                  <c:v>3</c:v>
                </c:pt>
                <c:pt idx="846">
                  <c:v>0</c:v>
                </c:pt>
                <c:pt idx="847">
                  <c:v>0</c:v>
                </c:pt>
                <c:pt idx="848">
                  <c:v>4</c:v>
                </c:pt>
                <c:pt idx="849">
                  <c:v>0</c:v>
                </c:pt>
                <c:pt idx="850">
                  <c:v>2</c:v>
                </c:pt>
                <c:pt idx="851">
                  <c:v>2</c:v>
                </c:pt>
                <c:pt idx="852">
                  <c:v>1</c:v>
                </c:pt>
                <c:pt idx="853">
                  <c:v>4</c:v>
                </c:pt>
                <c:pt idx="854">
                  <c:v>0</c:v>
                </c:pt>
                <c:pt idx="855">
                  <c:v>3</c:v>
                </c:pt>
                <c:pt idx="856">
                  <c:v>4</c:v>
                </c:pt>
                <c:pt idx="857">
                  <c:v>0</c:v>
                </c:pt>
                <c:pt idx="858">
                  <c:v>1</c:v>
                </c:pt>
                <c:pt idx="859">
                  <c:v>2</c:v>
                </c:pt>
                <c:pt idx="860">
                  <c:v>0</c:v>
                </c:pt>
                <c:pt idx="861">
                  <c:v>3</c:v>
                </c:pt>
                <c:pt idx="862">
                  <c:v>2</c:v>
                </c:pt>
                <c:pt idx="863">
                  <c:v>4</c:v>
                </c:pt>
                <c:pt idx="864">
                  <c:v>3</c:v>
                </c:pt>
                <c:pt idx="865">
                  <c:v>2</c:v>
                </c:pt>
                <c:pt idx="866">
                  <c:v>2</c:v>
                </c:pt>
                <c:pt idx="867">
                  <c:v>3</c:v>
                </c:pt>
                <c:pt idx="868">
                  <c:v>3</c:v>
                </c:pt>
                <c:pt idx="869">
                  <c:v>0</c:v>
                </c:pt>
                <c:pt idx="870">
                  <c:v>2</c:v>
                </c:pt>
                <c:pt idx="871">
                  <c:v>1</c:v>
                </c:pt>
                <c:pt idx="872">
                  <c:v>4</c:v>
                </c:pt>
                <c:pt idx="873">
                  <c:v>3</c:v>
                </c:pt>
                <c:pt idx="874">
                  <c:v>2</c:v>
                </c:pt>
                <c:pt idx="875">
                  <c:v>1</c:v>
                </c:pt>
                <c:pt idx="876">
                  <c:v>4</c:v>
                </c:pt>
                <c:pt idx="877">
                  <c:v>1</c:v>
                </c:pt>
                <c:pt idx="878">
                  <c:v>4</c:v>
                </c:pt>
                <c:pt idx="879">
                  <c:v>0</c:v>
                </c:pt>
                <c:pt idx="880">
                  <c:v>4</c:v>
                </c:pt>
                <c:pt idx="881">
                  <c:v>3</c:v>
                </c:pt>
                <c:pt idx="882">
                  <c:v>0</c:v>
                </c:pt>
                <c:pt idx="883">
                  <c:v>0</c:v>
                </c:pt>
                <c:pt idx="884">
                  <c:v>4</c:v>
                </c:pt>
                <c:pt idx="885">
                  <c:v>2</c:v>
                </c:pt>
                <c:pt idx="886">
                  <c:v>4</c:v>
                </c:pt>
                <c:pt idx="887">
                  <c:v>1</c:v>
                </c:pt>
                <c:pt idx="888">
                  <c:v>2</c:v>
                </c:pt>
                <c:pt idx="889">
                  <c:v>3</c:v>
                </c:pt>
                <c:pt idx="890">
                  <c:v>4</c:v>
                </c:pt>
                <c:pt idx="891">
                  <c:v>2</c:v>
                </c:pt>
                <c:pt idx="892">
                  <c:v>0</c:v>
                </c:pt>
                <c:pt idx="893">
                  <c:v>0</c:v>
                </c:pt>
                <c:pt idx="894">
                  <c:v>3</c:v>
                </c:pt>
                <c:pt idx="895">
                  <c:v>3</c:v>
                </c:pt>
                <c:pt idx="896">
                  <c:v>2</c:v>
                </c:pt>
                <c:pt idx="897">
                  <c:v>2</c:v>
                </c:pt>
                <c:pt idx="898">
                  <c:v>4</c:v>
                </c:pt>
                <c:pt idx="899">
                  <c:v>3</c:v>
                </c:pt>
                <c:pt idx="900">
                  <c:v>4</c:v>
                </c:pt>
                <c:pt idx="901">
                  <c:v>0</c:v>
                </c:pt>
                <c:pt idx="902">
                  <c:v>3</c:v>
                </c:pt>
                <c:pt idx="903">
                  <c:v>0</c:v>
                </c:pt>
                <c:pt idx="904">
                  <c:v>2</c:v>
                </c:pt>
                <c:pt idx="905">
                  <c:v>4</c:v>
                </c:pt>
                <c:pt idx="906">
                  <c:v>1</c:v>
                </c:pt>
                <c:pt idx="907">
                  <c:v>1</c:v>
                </c:pt>
                <c:pt idx="908">
                  <c:v>2</c:v>
                </c:pt>
                <c:pt idx="909">
                  <c:v>1</c:v>
                </c:pt>
                <c:pt idx="910">
                  <c:v>3</c:v>
                </c:pt>
                <c:pt idx="911">
                  <c:v>2</c:v>
                </c:pt>
                <c:pt idx="912">
                  <c:v>2</c:v>
                </c:pt>
                <c:pt idx="913">
                  <c:v>2</c:v>
                </c:pt>
                <c:pt idx="914">
                  <c:v>4</c:v>
                </c:pt>
                <c:pt idx="915">
                  <c:v>3</c:v>
                </c:pt>
                <c:pt idx="916">
                  <c:v>3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4</c:v>
                </c:pt>
                <c:pt idx="921">
                  <c:v>1</c:v>
                </c:pt>
                <c:pt idx="922">
                  <c:v>3</c:v>
                </c:pt>
                <c:pt idx="923">
                  <c:v>4</c:v>
                </c:pt>
                <c:pt idx="924">
                  <c:v>0</c:v>
                </c:pt>
                <c:pt idx="925">
                  <c:v>4</c:v>
                </c:pt>
                <c:pt idx="926">
                  <c:v>3</c:v>
                </c:pt>
                <c:pt idx="927">
                  <c:v>2</c:v>
                </c:pt>
                <c:pt idx="928">
                  <c:v>0</c:v>
                </c:pt>
                <c:pt idx="929">
                  <c:v>1</c:v>
                </c:pt>
                <c:pt idx="930">
                  <c:v>1</c:v>
                </c:pt>
                <c:pt idx="931">
                  <c:v>2</c:v>
                </c:pt>
                <c:pt idx="932">
                  <c:v>2</c:v>
                </c:pt>
                <c:pt idx="933">
                  <c:v>0</c:v>
                </c:pt>
                <c:pt idx="934">
                  <c:v>0</c:v>
                </c:pt>
                <c:pt idx="935">
                  <c:v>1</c:v>
                </c:pt>
                <c:pt idx="936">
                  <c:v>2</c:v>
                </c:pt>
                <c:pt idx="937">
                  <c:v>1</c:v>
                </c:pt>
                <c:pt idx="938">
                  <c:v>3</c:v>
                </c:pt>
                <c:pt idx="939">
                  <c:v>4</c:v>
                </c:pt>
                <c:pt idx="940">
                  <c:v>4</c:v>
                </c:pt>
                <c:pt idx="941">
                  <c:v>1</c:v>
                </c:pt>
                <c:pt idx="942">
                  <c:v>2</c:v>
                </c:pt>
                <c:pt idx="943">
                  <c:v>0</c:v>
                </c:pt>
                <c:pt idx="944">
                  <c:v>4</c:v>
                </c:pt>
                <c:pt idx="945">
                  <c:v>0</c:v>
                </c:pt>
                <c:pt idx="946">
                  <c:v>4</c:v>
                </c:pt>
                <c:pt idx="947">
                  <c:v>1</c:v>
                </c:pt>
                <c:pt idx="948">
                  <c:v>1</c:v>
                </c:pt>
                <c:pt idx="949">
                  <c:v>4</c:v>
                </c:pt>
                <c:pt idx="950">
                  <c:v>3</c:v>
                </c:pt>
                <c:pt idx="951">
                  <c:v>4</c:v>
                </c:pt>
                <c:pt idx="952">
                  <c:v>3</c:v>
                </c:pt>
                <c:pt idx="953">
                  <c:v>4</c:v>
                </c:pt>
                <c:pt idx="954">
                  <c:v>0</c:v>
                </c:pt>
                <c:pt idx="955">
                  <c:v>3</c:v>
                </c:pt>
                <c:pt idx="956">
                  <c:v>3</c:v>
                </c:pt>
                <c:pt idx="957">
                  <c:v>2</c:v>
                </c:pt>
                <c:pt idx="958">
                  <c:v>4</c:v>
                </c:pt>
                <c:pt idx="959">
                  <c:v>3</c:v>
                </c:pt>
                <c:pt idx="960">
                  <c:v>2</c:v>
                </c:pt>
                <c:pt idx="961">
                  <c:v>2</c:v>
                </c:pt>
                <c:pt idx="962">
                  <c:v>3</c:v>
                </c:pt>
                <c:pt idx="963">
                  <c:v>0</c:v>
                </c:pt>
                <c:pt idx="964">
                  <c:v>4</c:v>
                </c:pt>
                <c:pt idx="965">
                  <c:v>2</c:v>
                </c:pt>
                <c:pt idx="966">
                  <c:v>3</c:v>
                </c:pt>
                <c:pt idx="967">
                  <c:v>3</c:v>
                </c:pt>
                <c:pt idx="968">
                  <c:v>0</c:v>
                </c:pt>
                <c:pt idx="969">
                  <c:v>2</c:v>
                </c:pt>
                <c:pt idx="970">
                  <c:v>1</c:v>
                </c:pt>
                <c:pt idx="971">
                  <c:v>4</c:v>
                </c:pt>
                <c:pt idx="972">
                  <c:v>1</c:v>
                </c:pt>
                <c:pt idx="973">
                  <c:v>1</c:v>
                </c:pt>
                <c:pt idx="974">
                  <c:v>3</c:v>
                </c:pt>
                <c:pt idx="975">
                  <c:v>2</c:v>
                </c:pt>
                <c:pt idx="976">
                  <c:v>2</c:v>
                </c:pt>
                <c:pt idx="977">
                  <c:v>2</c:v>
                </c:pt>
                <c:pt idx="978">
                  <c:v>4</c:v>
                </c:pt>
                <c:pt idx="979">
                  <c:v>3</c:v>
                </c:pt>
                <c:pt idx="980">
                  <c:v>1</c:v>
                </c:pt>
                <c:pt idx="981">
                  <c:v>0</c:v>
                </c:pt>
                <c:pt idx="982">
                  <c:v>3</c:v>
                </c:pt>
                <c:pt idx="983">
                  <c:v>4</c:v>
                </c:pt>
                <c:pt idx="984">
                  <c:v>3</c:v>
                </c:pt>
                <c:pt idx="985">
                  <c:v>4</c:v>
                </c:pt>
                <c:pt idx="986">
                  <c:v>1</c:v>
                </c:pt>
                <c:pt idx="987">
                  <c:v>1</c:v>
                </c:pt>
                <c:pt idx="988">
                  <c:v>3</c:v>
                </c:pt>
                <c:pt idx="989">
                  <c:v>4</c:v>
                </c:pt>
                <c:pt idx="990">
                  <c:v>4</c:v>
                </c:pt>
                <c:pt idx="991">
                  <c:v>2</c:v>
                </c:pt>
                <c:pt idx="992">
                  <c:v>4</c:v>
                </c:pt>
                <c:pt idx="993">
                  <c:v>3</c:v>
                </c:pt>
                <c:pt idx="994">
                  <c:v>3</c:v>
                </c:pt>
                <c:pt idx="995">
                  <c:v>4</c:v>
                </c:pt>
                <c:pt idx="996">
                  <c:v>0</c:v>
                </c:pt>
                <c:pt idx="997">
                  <c:v>3</c:v>
                </c:pt>
                <c:pt idx="998">
                  <c:v>3</c:v>
                </c:pt>
                <c:pt idx="999">
                  <c:v>4</c:v>
                </c:pt>
              </c:numCache>
            </c:numRef>
          </c:xVal>
          <c:yVal>
            <c:numRef>
              <c:f>Clean_Data!$AE$2:$AE$1001</c:f>
              <c:numCache>
                <c:formatCode>General</c:formatCode>
                <c:ptCount val="1000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3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1</c:v>
                </c:pt>
                <c:pt idx="25">
                  <c:v>1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3</c:v>
                </c:pt>
                <c:pt idx="30">
                  <c:v>2</c:v>
                </c:pt>
                <c:pt idx="31">
                  <c:v>3</c:v>
                </c:pt>
                <c:pt idx="32">
                  <c:v>3</c:v>
                </c:pt>
                <c:pt idx="33">
                  <c:v>2</c:v>
                </c:pt>
                <c:pt idx="34">
                  <c:v>1</c:v>
                </c:pt>
                <c:pt idx="35">
                  <c:v>2</c:v>
                </c:pt>
                <c:pt idx="36">
                  <c:v>1</c:v>
                </c:pt>
                <c:pt idx="37">
                  <c:v>3</c:v>
                </c:pt>
                <c:pt idx="38">
                  <c:v>2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2</c:v>
                </c:pt>
                <c:pt idx="47">
                  <c:v>1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1</c:v>
                </c:pt>
                <c:pt idx="52">
                  <c:v>3</c:v>
                </c:pt>
                <c:pt idx="53">
                  <c:v>2</c:v>
                </c:pt>
                <c:pt idx="54">
                  <c:v>3</c:v>
                </c:pt>
                <c:pt idx="55">
                  <c:v>3</c:v>
                </c:pt>
                <c:pt idx="56">
                  <c:v>1</c:v>
                </c:pt>
                <c:pt idx="57">
                  <c:v>2</c:v>
                </c:pt>
                <c:pt idx="58">
                  <c:v>2</c:v>
                </c:pt>
                <c:pt idx="59">
                  <c:v>3</c:v>
                </c:pt>
                <c:pt idx="60">
                  <c:v>3</c:v>
                </c:pt>
                <c:pt idx="61">
                  <c:v>2</c:v>
                </c:pt>
                <c:pt idx="62">
                  <c:v>1</c:v>
                </c:pt>
                <c:pt idx="63">
                  <c:v>3</c:v>
                </c:pt>
                <c:pt idx="64">
                  <c:v>2</c:v>
                </c:pt>
                <c:pt idx="65">
                  <c:v>3</c:v>
                </c:pt>
                <c:pt idx="66">
                  <c:v>2</c:v>
                </c:pt>
                <c:pt idx="67">
                  <c:v>2</c:v>
                </c:pt>
                <c:pt idx="68">
                  <c:v>3</c:v>
                </c:pt>
                <c:pt idx="69">
                  <c:v>3</c:v>
                </c:pt>
                <c:pt idx="70">
                  <c:v>2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3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3</c:v>
                </c:pt>
                <c:pt idx="80">
                  <c:v>1</c:v>
                </c:pt>
                <c:pt idx="81">
                  <c:v>2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1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3</c:v>
                </c:pt>
                <c:pt idx="94">
                  <c:v>2</c:v>
                </c:pt>
                <c:pt idx="95">
                  <c:v>2</c:v>
                </c:pt>
                <c:pt idx="96">
                  <c:v>1</c:v>
                </c:pt>
                <c:pt idx="97">
                  <c:v>2</c:v>
                </c:pt>
                <c:pt idx="98">
                  <c:v>2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3</c:v>
                </c:pt>
                <c:pt idx="105">
                  <c:v>1</c:v>
                </c:pt>
                <c:pt idx="106">
                  <c:v>2</c:v>
                </c:pt>
                <c:pt idx="107">
                  <c:v>1</c:v>
                </c:pt>
                <c:pt idx="108">
                  <c:v>2</c:v>
                </c:pt>
                <c:pt idx="109">
                  <c:v>1</c:v>
                </c:pt>
                <c:pt idx="110">
                  <c:v>3</c:v>
                </c:pt>
                <c:pt idx="111">
                  <c:v>1</c:v>
                </c:pt>
                <c:pt idx="112">
                  <c:v>2</c:v>
                </c:pt>
                <c:pt idx="113">
                  <c:v>3</c:v>
                </c:pt>
                <c:pt idx="114">
                  <c:v>3</c:v>
                </c:pt>
                <c:pt idx="115">
                  <c:v>1</c:v>
                </c:pt>
                <c:pt idx="116">
                  <c:v>1</c:v>
                </c:pt>
                <c:pt idx="117">
                  <c:v>3</c:v>
                </c:pt>
                <c:pt idx="118">
                  <c:v>2</c:v>
                </c:pt>
                <c:pt idx="119">
                  <c:v>2</c:v>
                </c:pt>
                <c:pt idx="120">
                  <c:v>1</c:v>
                </c:pt>
                <c:pt idx="121">
                  <c:v>1</c:v>
                </c:pt>
                <c:pt idx="122">
                  <c:v>2</c:v>
                </c:pt>
                <c:pt idx="123">
                  <c:v>2</c:v>
                </c:pt>
                <c:pt idx="124">
                  <c:v>3</c:v>
                </c:pt>
                <c:pt idx="125">
                  <c:v>3</c:v>
                </c:pt>
                <c:pt idx="126">
                  <c:v>2</c:v>
                </c:pt>
                <c:pt idx="127">
                  <c:v>3</c:v>
                </c:pt>
                <c:pt idx="128">
                  <c:v>2</c:v>
                </c:pt>
                <c:pt idx="129">
                  <c:v>2</c:v>
                </c:pt>
                <c:pt idx="130">
                  <c:v>1</c:v>
                </c:pt>
                <c:pt idx="131">
                  <c:v>1</c:v>
                </c:pt>
                <c:pt idx="132">
                  <c:v>2</c:v>
                </c:pt>
                <c:pt idx="133">
                  <c:v>3</c:v>
                </c:pt>
                <c:pt idx="134">
                  <c:v>3</c:v>
                </c:pt>
                <c:pt idx="135">
                  <c:v>1</c:v>
                </c:pt>
                <c:pt idx="136">
                  <c:v>1</c:v>
                </c:pt>
                <c:pt idx="137">
                  <c:v>3</c:v>
                </c:pt>
                <c:pt idx="138">
                  <c:v>2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2</c:v>
                </c:pt>
                <c:pt idx="143">
                  <c:v>3</c:v>
                </c:pt>
                <c:pt idx="144">
                  <c:v>2</c:v>
                </c:pt>
                <c:pt idx="145">
                  <c:v>1</c:v>
                </c:pt>
                <c:pt idx="146">
                  <c:v>1</c:v>
                </c:pt>
                <c:pt idx="147">
                  <c:v>3</c:v>
                </c:pt>
                <c:pt idx="148">
                  <c:v>2</c:v>
                </c:pt>
                <c:pt idx="149">
                  <c:v>1</c:v>
                </c:pt>
                <c:pt idx="150">
                  <c:v>1</c:v>
                </c:pt>
                <c:pt idx="151">
                  <c:v>3</c:v>
                </c:pt>
                <c:pt idx="152">
                  <c:v>2</c:v>
                </c:pt>
                <c:pt idx="153">
                  <c:v>2</c:v>
                </c:pt>
                <c:pt idx="154">
                  <c:v>3</c:v>
                </c:pt>
                <c:pt idx="155">
                  <c:v>1</c:v>
                </c:pt>
                <c:pt idx="156">
                  <c:v>2</c:v>
                </c:pt>
                <c:pt idx="157">
                  <c:v>3</c:v>
                </c:pt>
                <c:pt idx="158">
                  <c:v>3</c:v>
                </c:pt>
                <c:pt idx="159">
                  <c:v>1</c:v>
                </c:pt>
                <c:pt idx="160">
                  <c:v>3</c:v>
                </c:pt>
                <c:pt idx="161">
                  <c:v>1</c:v>
                </c:pt>
                <c:pt idx="162">
                  <c:v>1</c:v>
                </c:pt>
                <c:pt idx="163">
                  <c:v>2</c:v>
                </c:pt>
                <c:pt idx="164">
                  <c:v>2</c:v>
                </c:pt>
                <c:pt idx="165">
                  <c:v>3</c:v>
                </c:pt>
                <c:pt idx="166">
                  <c:v>2</c:v>
                </c:pt>
                <c:pt idx="167">
                  <c:v>2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2</c:v>
                </c:pt>
                <c:pt idx="172">
                  <c:v>1</c:v>
                </c:pt>
                <c:pt idx="173">
                  <c:v>2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  <c:pt idx="180">
                  <c:v>2</c:v>
                </c:pt>
                <c:pt idx="181">
                  <c:v>1</c:v>
                </c:pt>
                <c:pt idx="182">
                  <c:v>2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3</c:v>
                </c:pt>
                <c:pt idx="187">
                  <c:v>1</c:v>
                </c:pt>
                <c:pt idx="188">
                  <c:v>3</c:v>
                </c:pt>
                <c:pt idx="189">
                  <c:v>2</c:v>
                </c:pt>
                <c:pt idx="190">
                  <c:v>2</c:v>
                </c:pt>
                <c:pt idx="191">
                  <c:v>3</c:v>
                </c:pt>
                <c:pt idx="192">
                  <c:v>3</c:v>
                </c:pt>
                <c:pt idx="193">
                  <c:v>1</c:v>
                </c:pt>
                <c:pt idx="194">
                  <c:v>3</c:v>
                </c:pt>
                <c:pt idx="195">
                  <c:v>1</c:v>
                </c:pt>
                <c:pt idx="196">
                  <c:v>3</c:v>
                </c:pt>
                <c:pt idx="197">
                  <c:v>2</c:v>
                </c:pt>
                <c:pt idx="198">
                  <c:v>2</c:v>
                </c:pt>
                <c:pt idx="199">
                  <c:v>1</c:v>
                </c:pt>
                <c:pt idx="200">
                  <c:v>2</c:v>
                </c:pt>
                <c:pt idx="201">
                  <c:v>2</c:v>
                </c:pt>
                <c:pt idx="202">
                  <c:v>3</c:v>
                </c:pt>
                <c:pt idx="203">
                  <c:v>1</c:v>
                </c:pt>
                <c:pt idx="204">
                  <c:v>2</c:v>
                </c:pt>
                <c:pt idx="205">
                  <c:v>3</c:v>
                </c:pt>
                <c:pt idx="206">
                  <c:v>3</c:v>
                </c:pt>
                <c:pt idx="207">
                  <c:v>1</c:v>
                </c:pt>
                <c:pt idx="208">
                  <c:v>3</c:v>
                </c:pt>
                <c:pt idx="209">
                  <c:v>3</c:v>
                </c:pt>
                <c:pt idx="210">
                  <c:v>2</c:v>
                </c:pt>
                <c:pt idx="211">
                  <c:v>1</c:v>
                </c:pt>
                <c:pt idx="212">
                  <c:v>2</c:v>
                </c:pt>
                <c:pt idx="213">
                  <c:v>2</c:v>
                </c:pt>
                <c:pt idx="214">
                  <c:v>1</c:v>
                </c:pt>
                <c:pt idx="215">
                  <c:v>1</c:v>
                </c:pt>
                <c:pt idx="216">
                  <c:v>2</c:v>
                </c:pt>
                <c:pt idx="217">
                  <c:v>3</c:v>
                </c:pt>
                <c:pt idx="218">
                  <c:v>3</c:v>
                </c:pt>
                <c:pt idx="219">
                  <c:v>2</c:v>
                </c:pt>
                <c:pt idx="220">
                  <c:v>3</c:v>
                </c:pt>
                <c:pt idx="221">
                  <c:v>2</c:v>
                </c:pt>
                <c:pt idx="222">
                  <c:v>1</c:v>
                </c:pt>
                <c:pt idx="223">
                  <c:v>2</c:v>
                </c:pt>
                <c:pt idx="224">
                  <c:v>2</c:v>
                </c:pt>
                <c:pt idx="225">
                  <c:v>2</c:v>
                </c:pt>
                <c:pt idx="226">
                  <c:v>2</c:v>
                </c:pt>
                <c:pt idx="227">
                  <c:v>1</c:v>
                </c:pt>
                <c:pt idx="228">
                  <c:v>1</c:v>
                </c:pt>
                <c:pt idx="229">
                  <c:v>2</c:v>
                </c:pt>
                <c:pt idx="230">
                  <c:v>2</c:v>
                </c:pt>
                <c:pt idx="231">
                  <c:v>2</c:v>
                </c:pt>
                <c:pt idx="232">
                  <c:v>3</c:v>
                </c:pt>
                <c:pt idx="233">
                  <c:v>3</c:v>
                </c:pt>
                <c:pt idx="234">
                  <c:v>2</c:v>
                </c:pt>
                <c:pt idx="235">
                  <c:v>2</c:v>
                </c:pt>
                <c:pt idx="236">
                  <c:v>3</c:v>
                </c:pt>
                <c:pt idx="237">
                  <c:v>1</c:v>
                </c:pt>
                <c:pt idx="238">
                  <c:v>1</c:v>
                </c:pt>
                <c:pt idx="239">
                  <c:v>3</c:v>
                </c:pt>
                <c:pt idx="240">
                  <c:v>2</c:v>
                </c:pt>
                <c:pt idx="241">
                  <c:v>1</c:v>
                </c:pt>
                <c:pt idx="242">
                  <c:v>3</c:v>
                </c:pt>
                <c:pt idx="243">
                  <c:v>2</c:v>
                </c:pt>
                <c:pt idx="244">
                  <c:v>3</c:v>
                </c:pt>
                <c:pt idx="245">
                  <c:v>2</c:v>
                </c:pt>
                <c:pt idx="246">
                  <c:v>3</c:v>
                </c:pt>
                <c:pt idx="247">
                  <c:v>3</c:v>
                </c:pt>
                <c:pt idx="248">
                  <c:v>1</c:v>
                </c:pt>
                <c:pt idx="249">
                  <c:v>1</c:v>
                </c:pt>
                <c:pt idx="250">
                  <c:v>2</c:v>
                </c:pt>
                <c:pt idx="251">
                  <c:v>1</c:v>
                </c:pt>
                <c:pt idx="252">
                  <c:v>3</c:v>
                </c:pt>
                <c:pt idx="253">
                  <c:v>1</c:v>
                </c:pt>
                <c:pt idx="254">
                  <c:v>1</c:v>
                </c:pt>
                <c:pt idx="255">
                  <c:v>2</c:v>
                </c:pt>
                <c:pt idx="256">
                  <c:v>1</c:v>
                </c:pt>
                <c:pt idx="257">
                  <c:v>3</c:v>
                </c:pt>
                <c:pt idx="258">
                  <c:v>3</c:v>
                </c:pt>
                <c:pt idx="259">
                  <c:v>2</c:v>
                </c:pt>
                <c:pt idx="260">
                  <c:v>1</c:v>
                </c:pt>
                <c:pt idx="261">
                  <c:v>2</c:v>
                </c:pt>
                <c:pt idx="262">
                  <c:v>2</c:v>
                </c:pt>
                <c:pt idx="263">
                  <c:v>3</c:v>
                </c:pt>
                <c:pt idx="264">
                  <c:v>3</c:v>
                </c:pt>
                <c:pt idx="265">
                  <c:v>1</c:v>
                </c:pt>
                <c:pt idx="266">
                  <c:v>2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2</c:v>
                </c:pt>
                <c:pt idx="271">
                  <c:v>2</c:v>
                </c:pt>
                <c:pt idx="272">
                  <c:v>3</c:v>
                </c:pt>
                <c:pt idx="273">
                  <c:v>1</c:v>
                </c:pt>
                <c:pt idx="274">
                  <c:v>3</c:v>
                </c:pt>
                <c:pt idx="275">
                  <c:v>3</c:v>
                </c:pt>
                <c:pt idx="276">
                  <c:v>1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2</c:v>
                </c:pt>
                <c:pt idx="281">
                  <c:v>1</c:v>
                </c:pt>
                <c:pt idx="282">
                  <c:v>1</c:v>
                </c:pt>
                <c:pt idx="283">
                  <c:v>2</c:v>
                </c:pt>
                <c:pt idx="284">
                  <c:v>3</c:v>
                </c:pt>
                <c:pt idx="285">
                  <c:v>1</c:v>
                </c:pt>
                <c:pt idx="286">
                  <c:v>2</c:v>
                </c:pt>
                <c:pt idx="287">
                  <c:v>2</c:v>
                </c:pt>
                <c:pt idx="288">
                  <c:v>3</c:v>
                </c:pt>
                <c:pt idx="289">
                  <c:v>2</c:v>
                </c:pt>
                <c:pt idx="290">
                  <c:v>3</c:v>
                </c:pt>
                <c:pt idx="291">
                  <c:v>3</c:v>
                </c:pt>
                <c:pt idx="292">
                  <c:v>1</c:v>
                </c:pt>
                <c:pt idx="293">
                  <c:v>1</c:v>
                </c:pt>
                <c:pt idx="294">
                  <c:v>2</c:v>
                </c:pt>
                <c:pt idx="295">
                  <c:v>2</c:v>
                </c:pt>
                <c:pt idx="296">
                  <c:v>2</c:v>
                </c:pt>
                <c:pt idx="297">
                  <c:v>3</c:v>
                </c:pt>
                <c:pt idx="298">
                  <c:v>1</c:v>
                </c:pt>
                <c:pt idx="299">
                  <c:v>3</c:v>
                </c:pt>
                <c:pt idx="300">
                  <c:v>3</c:v>
                </c:pt>
                <c:pt idx="301">
                  <c:v>3</c:v>
                </c:pt>
                <c:pt idx="302">
                  <c:v>3</c:v>
                </c:pt>
                <c:pt idx="303">
                  <c:v>2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3</c:v>
                </c:pt>
                <c:pt idx="308">
                  <c:v>3</c:v>
                </c:pt>
                <c:pt idx="309">
                  <c:v>3</c:v>
                </c:pt>
                <c:pt idx="310">
                  <c:v>2</c:v>
                </c:pt>
                <c:pt idx="311">
                  <c:v>2</c:v>
                </c:pt>
                <c:pt idx="312">
                  <c:v>2</c:v>
                </c:pt>
                <c:pt idx="313">
                  <c:v>2</c:v>
                </c:pt>
                <c:pt idx="314">
                  <c:v>3</c:v>
                </c:pt>
                <c:pt idx="315">
                  <c:v>1</c:v>
                </c:pt>
                <c:pt idx="316">
                  <c:v>1</c:v>
                </c:pt>
                <c:pt idx="317">
                  <c:v>3</c:v>
                </c:pt>
                <c:pt idx="318">
                  <c:v>2</c:v>
                </c:pt>
                <c:pt idx="319">
                  <c:v>3</c:v>
                </c:pt>
                <c:pt idx="320">
                  <c:v>2</c:v>
                </c:pt>
                <c:pt idx="321">
                  <c:v>2</c:v>
                </c:pt>
                <c:pt idx="322">
                  <c:v>1</c:v>
                </c:pt>
                <c:pt idx="323">
                  <c:v>1</c:v>
                </c:pt>
                <c:pt idx="324">
                  <c:v>3</c:v>
                </c:pt>
                <c:pt idx="325">
                  <c:v>1</c:v>
                </c:pt>
                <c:pt idx="326">
                  <c:v>3</c:v>
                </c:pt>
                <c:pt idx="327">
                  <c:v>3</c:v>
                </c:pt>
                <c:pt idx="328">
                  <c:v>1</c:v>
                </c:pt>
                <c:pt idx="329">
                  <c:v>2</c:v>
                </c:pt>
                <c:pt idx="330">
                  <c:v>1</c:v>
                </c:pt>
                <c:pt idx="331">
                  <c:v>3</c:v>
                </c:pt>
                <c:pt idx="332">
                  <c:v>1</c:v>
                </c:pt>
                <c:pt idx="333">
                  <c:v>2</c:v>
                </c:pt>
                <c:pt idx="334">
                  <c:v>3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3</c:v>
                </c:pt>
                <c:pt idx="339">
                  <c:v>2</c:v>
                </c:pt>
                <c:pt idx="340">
                  <c:v>1</c:v>
                </c:pt>
                <c:pt idx="341">
                  <c:v>3</c:v>
                </c:pt>
                <c:pt idx="342">
                  <c:v>1</c:v>
                </c:pt>
                <c:pt idx="343">
                  <c:v>2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2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2</c:v>
                </c:pt>
                <c:pt idx="353">
                  <c:v>3</c:v>
                </c:pt>
                <c:pt idx="354">
                  <c:v>1</c:v>
                </c:pt>
                <c:pt idx="355">
                  <c:v>2</c:v>
                </c:pt>
                <c:pt idx="356">
                  <c:v>3</c:v>
                </c:pt>
                <c:pt idx="357">
                  <c:v>1</c:v>
                </c:pt>
                <c:pt idx="358">
                  <c:v>2</c:v>
                </c:pt>
                <c:pt idx="359">
                  <c:v>3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2</c:v>
                </c:pt>
                <c:pt idx="366">
                  <c:v>2</c:v>
                </c:pt>
                <c:pt idx="367">
                  <c:v>2</c:v>
                </c:pt>
                <c:pt idx="368">
                  <c:v>1</c:v>
                </c:pt>
                <c:pt idx="369">
                  <c:v>3</c:v>
                </c:pt>
                <c:pt idx="370">
                  <c:v>1</c:v>
                </c:pt>
                <c:pt idx="371">
                  <c:v>3</c:v>
                </c:pt>
                <c:pt idx="372">
                  <c:v>1</c:v>
                </c:pt>
                <c:pt idx="373">
                  <c:v>3</c:v>
                </c:pt>
                <c:pt idx="374">
                  <c:v>1</c:v>
                </c:pt>
                <c:pt idx="375">
                  <c:v>2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2</c:v>
                </c:pt>
                <c:pt idx="380">
                  <c:v>1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2</c:v>
                </c:pt>
                <c:pt idx="385">
                  <c:v>3</c:v>
                </c:pt>
                <c:pt idx="386">
                  <c:v>1</c:v>
                </c:pt>
                <c:pt idx="387">
                  <c:v>2</c:v>
                </c:pt>
                <c:pt idx="388">
                  <c:v>3</c:v>
                </c:pt>
                <c:pt idx="389">
                  <c:v>1</c:v>
                </c:pt>
                <c:pt idx="390">
                  <c:v>3</c:v>
                </c:pt>
                <c:pt idx="391">
                  <c:v>1</c:v>
                </c:pt>
                <c:pt idx="392">
                  <c:v>2</c:v>
                </c:pt>
                <c:pt idx="393">
                  <c:v>3</c:v>
                </c:pt>
                <c:pt idx="394">
                  <c:v>2</c:v>
                </c:pt>
                <c:pt idx="395">
                  <c:v>2</c:v>
                </c:pt>
                <c:pt idx="396">
                  <c:v>2</c:v>
                </c:pt>
                <c:pt idx="397">
                  <c:v>3</c:v>
                </c:pt>
                <c:pt idx="398">
                  <c:v>2</c:v>
                </c:pt>
                <c:pt idx="399">
                  <c:v>2</c:v>
                </c:pt>
                <c:pt idx="400">
                  <c:v>2</c:v>
                </c:pt>
                <c:pt idx="401">
                  <c:v>2</c:v>
                </c:pt>
                <c:pt idx="402">
                  <c:v>2</c:v>
                </c:pt>
                <c:pt idx="403">
                  <c:v>3</c:v>
                </c:pt>
                <c:pt idx="404">
                  <c:v>3</c:v>
                </c:pt>
                <c:pt idx="405">
                  <c:v>2</c:v>
                </c:pt>
                <c:pt idx="406">
                  <c:v>3</c:v>
                </c:pt>
                <c:pt idx="407">
                  <c:v>3</c:v>
                </c:pt>
                <c:pt idx="408">
                  <c:v>1</c:v>
                </c:pt>
                <c:pt idx="409">
                  <c:v>1</c:v>
                </c:pt>
                <c:pt idx="410">
                  <c:v>3</c:v>
                </c:pt>
                <c:pt idx="411">
                  <c:v>1</c:v>
                </c:pt>
                <c:pt idx="412">
                  <c:v>2</c:v>
                </c:pt>
                <c:pt idx="413">
                  <c:v>2</c:v>
                </c:pt>
                <c:pt idx="414">
                  <c:v>3</c:v>
                </c:pt>
                <c:pt idx="415">
                  <c:v>2</c:v>
                </c:pt>
                <c:pt idx="416">
                  <c:v>1</c:v>
                </c:pt>
                <c:pt idx="417">
                  <c:v>1</c:v>
                </c:pt>
                <c:pt idx="418">
                  <c:v>3</c:v>
                </c:pt>
                <c:pt idx="419">
                  <c:v>3</c:v>
                </c:pt>
                <c:pt idx="420">
                  <c:v>2</c:v>
                </c:pt>
                <c:pt idx="421">
                  <c:v>2</c:v>
                </c:pt>
                <c:pt idx="422">
                  <c:v>2</c:v>
                </c:pt>
                <c:pt idx="423">
                  <c:v>3</c:v>
                </c:pt>
                <c:pt idx="424">
                  <c:v>2</c:v>
                </c:pt>
                <c:pt idx="425">
                  <c:v>2</c:v>
                </c:pt>
                <c:pt idx="426">
                  <c:v>3</c:v>
                </c:pt>
                <c:pt idx="427">
                  <c:v>1</c:v>
                </c:pt>
                <c:pt idx="428">
                  <c:v>3</c:v>
                </c:pt>
                <c:pt idx="429">
                  <c:v>2</c:v>
                </c:pt>
                <c:pt idx="430">
                  <c:v>3</c:v>
                </c:pt>
                <c:pt idx="431">
                  <c:v>1</c:v>
                </c:pt>
                <c:pt idx="432">
                  <c:v>1</c:v>
                </c:pt>
                <c:pt idx="433">
                  <c:v>3</c:v>
                </c:pt>
                <c:pt idx="434">
                  <c:v>1</c:v>
                </c:pt>
                <c:pt idx="435">
                  <c:v>3</c:v>
                </c:pt>
                <c:pt idx="436">
                  <c:v>1</c:v>
                </c:pt>
                <c:pt idx="437">
                  <c:v>2</c:v>
                </c:pt>
                <c:pt idx="438">
                  <c:v>3</c:v>
                </c:pt>
                <c:pt idx="439">
                  <c:v>2</c:v>
                </c:pt>
                <c:pt idx="440">
                  <c:v>2</c:v>
                </c:pt>
                <c:pt idx="441">
                  <c:v>1</c:v>
                </c:pt>
                <c:pt idx="442">
                  <c:v>3</c:v>
                </c:pt>
                <c:pt idx="443">
                  <c:v>1</c:v>
                </c:pt>
                <c:pt idx="444">
                  <c:v>1</c:v>
                </c:pt>
                <c:pt idx="445">
                  <c:v>3</c:v>
                </c:pt>
                <c:pt idx="446">
                  <c:v>2</c:v>
                </c:pt>
                <c:pt idx="447">
                  <c:v>1</c:v>
                </c:pt>
                <c:pt idx="448">
                  <c:v>3</c:v>
                </c:pt>
                <c:pt idx="449">
                  <c:v>2</c:v>
                </c:pt>
                <c:pt idx="450">
                  <c:v>3</c:v>
                </c:pt>
                <c:pt idx="451">
                  <c:v>1</c:v>
                </c:pt>
                <c:pt idx="452">
                  <c:v>3</c:v>
                </c:pt>
                <c:pt idx="453">
                  <c:v>3</c:v>
                </c:pt>
                <c:pt idx="454">
                  <c:v>1</c:v>
                </c:pt>
                <c:pt idx="455">
                  <c:v>2</c:v>
                </c:pt>
                <c:pt idx="456">
                  <c:v>2</c:v>
                </c:pt>
                <c:pt idx="457">
                  <c:v>2</c:v>
                </c:pt>
                <c:pt idx="458">
                  <c:v>1</c:v>
                </c:pt>
                <c:pt idx="459">
                  <c:v>2</c:v>
                </c:pt>
                <c:pt idx="460">
                  <c:v>3</c:v>
                </c:pt>
                <c:pt idx="461">
                  <c:v>1</c:v>
                </c:pt>
                <c:pt idx="462">
                  <c:v>1</c:v>
                </c:pt>
                <c:pt idx="463">
                  <c:v>3</c:v>
                </c:pt>
                <c:pt idx="464">
                  <c:v>2</c:v>
                </c:pt>
                <c:pt idx="465">
                  <c:v>1</c:v>
                </c:pt>
                <c:pt idx="466">
                  <c:v>2</c:v>
                </c:pt>
                <c:pt idx="467">
                  <c:v>3</c:v>
                </c:pt>
                <c:pt idx="468">
                  <c:v>3</c:v>
                </c:pt>
                <c:pt idx="469">
                  <c:v>2</c:v>
                </c:pt>
                <c:pt idx="470">
                  <c:v>1</c:v>
                </c:pt>
                <c:pt idx="471">
                  <c:v>1</c:v>
                </c:pt>
                <c:pt idx="472">
                  <c:v>3</c:v>
                </c:pt>
                <c:pt idx="473">
                  <c:v>3</c:v>
                </c:pt>
                <c:pt idx="474">
                  <c:v>1</c:v>
                </c:pt>
                <c:pt idx="475">
                  <c:v>3</c:v>
                </c:pt>
                <c:pt idx="476">
                  <c:v>2</c:v>
                </c:pt>
                <c:pt idx="477">
                  <c:v>1</c:v>
                </c:pt>
                <c:pt idx="478">
                  <c:v>3</c:v>
                </c:pt>
                <c:pt idx="479">
                  <c:v>3</c:v>
                </c:pt>
                <c:pt idx="480">
                  <c:v>3</c:v>
                </c:pt>
                <c:pt idx="481">
                  <c:v>2</c:v>
                </c:pt>
                <c:pt idx="482">
                  <c:v>1</c:v>
                </c:pt>
                <c:pt idx="483">
                  <c:v>3</c:v>
                </c:pt>
                <c:pt idx="484">
                  <c:v>2</c:v>
                </c:pt>
                <c:pt idx="485">
                  <c:v>2</c:v>
                </c:pt>
                <c:pt idx="486">
                  <c:v>2</c:v>
                </c:pt>
                <c:pt idx="487">
                  <c:v>1</c:v>
                </c:pt>
                <c:pt idx="488">
                  <c:v>2</c:v>
                </c:pt>
                <c:pt idx="489">
                  <c:v>2</c:v>
                </c:pt>
                <c:pt idx="490">
                  <c:v>1</c:v>
                </c:pt>
                <c:pt idx="491">
                  <c:v>3</c:v>
                </c:pt>
                <c:pt idx="492">
                  <c:v>2</c:v>
                </c:pt>
                <c:pt idx="493">
                  <c:v>1</c:v>
                </c:pt>
                <c:pt idx="494">
                  <c:v>1</c:v>
                </c:pt>
                <c:pt idx="495">
                  <c:v>2</c:v>
                </c:pt>
                <c:pt idx="496">
                  <c:v>1</c:v>
                </c:pt>
                <c:pt idx="497">
                  <c:v>3</c:v>
                </c:pt>
                <c:pt idx="498">
                  <c:v>3</c:v>
                </c:pt>
                <c:pt idx="499">
                  <c:v>1</c:v>
                </c:pt>
                <c:pt idx="500">
                  <c:v>3</c:v>
                </c:pt>
                <c:pt idx="501">
                  <c:v>1</c:v>
                </c:pt>
                <c:pt idx="502">
                  <c:v>2</c:v>
                </c:pt>
                <c:pt idx="503">
                  <c:v>3</c:v>
                </c:pt>
                <c:pt idx="504">
                  <c:v>3</c:v>
                </c:pt>
                <c:pt idx="505">
                  <c:v>1</c:v>
                </c:pt>
                <c:pt idx="506">
                  <c:v>3</c:v>
                </c:pt>
                <c:pt idx="507">
                  <c:v>3</c:v>
                </c:pt>
                <c:pt idx="508">
                  <c:v>2</c:v>
                </c:pt>
                <c:pt idx="509">
                  <c:v>1</c:v>
                </c:pt>
                <c:pt idx="510">
                  <c:v>3</c:v>
                </c:pt>
                <c:pt idx="511">
                  <c:v>2</c:v>
                </c:pt>
                <c:pt idx="512">
                  <c:v>3</c:v>
                </c:pt>
                <c:pt idx="513">
                  <c:v>3</c:v>
                </c:pt>
                <c:pt idx="514">
                  <c:v>3</c:v>
                </c:pt>
                <c:pt idx="515">
                  <c:v>1</c:v>
                </c:pt>
                <c:pt idx="516">
                  <c:v>2</c:v>
                </c:pt>
                <c:pt idx="517">
                  <c:v>1</c:v>
                </c:pt>
                <c:pt idx="518">
                  <c:v>3</c:v>
                </c:pt>
                <c:pt idx="519">
                  <c:v>2</c:v>
                </c:pt>
                <c:pt idx="520">
                  <c:v>3</c:v>
                </c:pt>
                <c:pt idx="521">
                  <c:v>2</c:v>
                </c:pt>
                <c:pt idx="522">
                  <c:v>1</c:v>
                </c:pt>
                <c:pt idx="523">
                  <c:v>1</c:v>
                </c:pt>
                <c:pt idx="524">
                  <c:v>2</c:v>
                </c:pt>
                <c:pt idx="525">
                  <c:v>2</c:v>
                </c:pt>
                <c:pt idx="526">
                  <c:v>2</c:v>
                </c:pt>
                <c:pt idx="527">
                  <c:v>2</c:v>
                </c:pt>
                <c:pt idx="528">
                  <c:v>2</c:v>
                </c:pt>
                <c:pt idx="529">
                  <c:v>1</c:v>
                </c:pt>
                <c:pt idx="530">
                  <c:v>3</c:v>
                </c:pt>
                <c:pt idx="531">
                  <c:v>3</c:v>
                </c:pt>
                <c:pt idx="532">
                  <c:v>1</c:v>
                </c:pt>
                <c:pt idx="533">
                  <c:v>2</c:v>
                </c:pt>
                <c:pt idx="534">
                  <c:v>2</c:v>
                </c:pt>
                <c:pt idx="535">
                  <c:v>2</c:v>
                </c:pt>
                <c:pt idx="536">
                  <c:v>2</c:v>
                </c:pt>
                <c:pt idx="537">
                  <c:v>1</c:v>
                </c:pt>
                <c:pt idx="538">
                  <c:v>2</c:v>
                </c:pt>
                <c:pt idx="539">
                  <c:v>2</c:v>
                </c:pt>
                <c:pt idx="540">
                  <c:v>1</c:v>
                </c:pt>
                <c:pt idx="541">
                  <c:v>1</c:v>
                </c:pt>
                <c:pt idx="542">
                  <c:v>2</c:v>
                </c:pt>
                <c:pt idx="543">
                  <c:v>1</c:v>
                </c:pt>
                <c:pt idx="544">
                  <c:v>3</c:v>
                </c:pt>
                <c:pt idx="545">
                  <c:v>2</c:v>
                </c:pt>
                <c:pt idx="546">
                  <c:v>2</c:v>
                </c:pt>
                <c:pt idx="547">
                  <c:v>3</c:v>
                </c:pt>
                <c:pt idx="548">
                  <c:v>1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2</c:v>
                </c:pt>
                <c:pt idx="553">
                  <c:v>1</c:v>
                </c:pt>
                <c:pt idx="554">
                  <c:v>3</c:v>
                </c:pt>
                <c:pt idx="555">
                  <c:v>3</c:v>
                </c:pt>
                <c:pt idx="556">
                  <c:v>1</c:v>
                </c:pt>
                <c:pt idx="557">
                  <c:v>3</c:v>
                </c:pt>
                <c:pt idx="558">
                  <c:v>3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2</c:v>
                </c:pt>
                <c:pt idx="563">
                  <c:v>1</c:v>
                </c:pt>
                <c:pt idx="564">
                  <c:v>3</c:v>
                </c:pt>
                <c:pt idx="565">
                  <c:v>1</c:v>
                </c:pt>
                <c:pt idx="566">
                  <c:v>2</c:v>
                </c:pt>
                <c:pt idx="567">
                  <c:v>3</c:v>
                </c:pt>
                <c:pt idx="568">
                  <c:v>2</c:v>
                </c:pt>
                <c:pt idx="569">
                  <c:v>1</c:v>
                </c:pt>
                <c:pt idx="570">
                  <c:v>3</c:v>
                </c:pt>
                <c:pt idx="571">
                  <c:v>3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3</c:v>
                </c:pt>
                <c:pt idx="577">
                  <c:v>1</c:v>
                </c:pt>
                <c:pt idx="578">
                  <c:v>2</c:v>
                </c:pt>
                <c:pt idx="579">
                  <c:v>3</c:v>
                </c:pt>
                <c:pt idx="580">
                  <c:v>2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2</c:v>
                </c:pt>
                <c:pt idx="586">
                  <c:v>3</c:v>
                </c:pt>
                <c:pt idx="587">
                  <c:v>1</c:v>
                </c:pt>
                <c:pt idx="588">
                  <c:v>1</c:v>
                </c:pt>
                <c:pt idx="589">
                  <c:v>2</c:v>
                </c:pt>
                <c:pt idx="590">
                  <c:v>2</c:v>
                </c:pt>
                <c:pt idx="591">
                  <c:v>3</c:v>
                </c:pt>
                <c:pt idx="592">
                  <c:v>3</c:v>
                </c:pt>
                <c:pt idx="593">
                  <c:v>1</c:v>
                </c:pt>
                <c:pt idx="594">
                  <c:v>3</c:v>
                </c:pt>
                <c:pt idx="595">
                  <c:v>3</c:v>
                </c:pt>
                <c:pt idx="596">
                  <c:v>3</c:v>
                </c:pt>
                <c:pt idx="597">
                  <c:v>1</c:v>
                </c:pt>
                <c:pt idx="598">
                  <c:v>2</c:v>
                </c:pt>
                <c:pt idx="599">
                  <c:v>3</c:v>
                </c:pt>
                <c:pt idx="600">
                  <c:v>3</c:v>
                </c:pt>
                <c:pt idx="601">
                  <c:v>3</c:v>
                </c:pt>
                <c:pt idx="602">
                  <c:v>1</c:v>
                </c:pt>
                <c:pt idx="603">
                  <c:v>2</c:v>
                </c:pt>
                <c:pt idx="604">
                  <c:v>2</c:v>
                </c:pt>
                <c:pt idx="605">
                  <c:v>2</c:v>
                </c:pt>
                <c:pt idx="606">
                  <c:v>2</c:v>
                </c:pt>
                <c:pt idx="607">
                  <c:v>2</c:v>
                </c:pt>
                <c:pt idx="608">
                  <c:v>1</c:v>
                </c:pt>
                <c:pt idx="609">
                  <c:v>1</c:v>
                </c:pt>
                <c:pt idx="610">
                  <c:v>3</c:v>
                </c:pt>
                <c:pt idx="611">
                  <c:v>3</c:v>
                </c:pt>
                <c:pt idx="612">
                  <c:v>3</c:v>
                </c:pt>
                <c:pt idx="613">
                  <c:v>1</c:v>
                </c:pt>
                <c:pt idx="614">
                  <c:v>1</c:v>
                </c:pt>
                <c:pt idx="615">
                  <c:v>2</c:v>
                </c:pt>
                <c:pt idx="616">
                  <c:v>3</c:v>
                </c:pt>
                <c:pt idx="617">
                  <c:v>3</c:v>
                </c:pt>
                <c:pt idx="618">
                  <c:v>2</c:v>
                </c:pt>
                <c:pt idx="619">
                  <c:v>3</c:v>
                </c:pt>
                <c:pt idx="620">
                  <c:v>3</c:v>
                </c:pt>
                <c:pt idx="621">
                  <c:v>3</c:v>
                </c:pt>
                <c:pt idx="622">
                  <c:v>3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3</c:v>
                </c:pt>
                <c:pt idx="627">
                  <c:v>2</c:v>
                </c:pt>
                <c:pt idx="628">
                  <c:v>2</c:v>
                </c:pt>
                <c:pt idx="629">
                  <c:v>1</c:v>
                </c:pt>
                <c:pt idx="630">
                  <c:v>2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3</c:v>
                </c:pt>
                <c:pt idx="635">
                  <c:v>2</c:v>
                </c:pt>
                <c:pt idx="636">
                  <c:v>3</c:v>
                </c:pt>
                <c:pt idx="637">
                  <c:v>2</c:v>
                </c:pt>
                <c:pt idx="638">
                  <c:v>2</c:v>
                </c:pt>
                <c:pt idx="639">
                  <c:v>3</c:v>
                </c:pt>
                <c:pt idx="640">
                  <c:v>3</c:v>
                </c:pt>
                <c:pt idx="641">
                  <c:v>1</c:v>
                </c:pt>
                <c:pt idx="642">
                  <c:v>3</c:v>
                </c:pt>
                <c:pt idx="643">
                  <c:v>1</c:v>
                </c:pt>
                <c:pt idx="644">
                  <c:v>3</c:v>
                </c:pt>
                <c:pt idx="645">
                  <c:v>2</c:v>
                </c:pt>
                <c:pt idx="646">
                  <c:v>3</c:v>
                </c:pt>
                <c:pt idx="647">
                  <c:v>3</c:v>
                </c:pt>
                <c:pt idx="648">
                  <c:v>1</c:v>
                </c:pt>
                <c:pt idx="649">
                  <c:v>2</c:v>
                </c:pt>
                <c:pt idx="650">
                  <c:v>3</c:v>
                </c:pt>
                <c:pt idx="651">
                  <c:v>2</c:v>
                </c:pt>
                <c:pt idx="652">
                  <c:v>3</c:v>
                </c:pt>
                <c:pt idx="653">
                  <c:v>3</c:v>
                </c:pt>
                <c:pt idx="654">
                  <c:v>1</c:v>
                </c:pt>
                <c:pt idx="655">
                  <c:v>2</c:v>
                </c:pt>
                <c:pt idx="656">
                  <c:v>2</c:v>
                </c:pt>
                <c:pt idx="657">
                  <c:v>1</c:v>
                </c:pt>
                <c:pt idx="658">
                  <c:v>3</c:v>
                </c:pt>
                <c:pt idx="659">
                  <c:v>2</c:v>
                </c:pt>
                <c:pt idx="660">
                  <c:v>1</c:v>
                </c:pt>
                <c:pt idx="661">
                  <c:v>2</c:v>
                </c:pt>
                <c:pt idx="662">
                  <c:v>2</c:v>
                </c:pt>
                <c:pt idx="663">
                  <c:v>3</c:v>
                </c:pt>
                <c:pt idx="664">
                  <c:v>2</c:v>
                </c:pt>
                <c:pt idx="665">
                  <c:v>3</c:v>
                </c:pt>
                <c:pt idx="666">
                  <c:v>3</c:v>
                </c:pt>
                <c:pt idx="667">
                  <c:v>2</c:v>
                </c:pt>
                <c:pt idx="668">
                  <c:v>3</c:v>
                </c:pt>
                <c:pt idx="669">
                  <c:v>3</c:v>
                </c:pt>
                <c:pt idx="670">
                  <c:v>1</c:v>
                </c:pt>
                <c:pt idx="671">
                  <c:v>3</c:v>
                </c:pt>
                <c:pt idx="672">
                  <c:v>3</c:v>
                </c:pt>
                <c:pt idx="673">
                  <c:v>3</c:v>
                </c:pt>
                <c:pt idx="674">
                  <c:v>1</c:v>
                </c:pt>
                <c:pt idx="675">
                  <c:v>1</c:v>
                </c:pt>
                <c:pt idx="676">
                  <c:v>2</c:v>
                </c:pt>
                <c:pt idx="677">
                  <c:v>1</c:v>
                </c:pt>
                <c:pt idx="678">
                  <c:v>2</c:v>
                </c:pt>
                <c:pt idx="679">
                  <c:v>2</c:v>
                </c:pt>
                <c:pt idx="680">
                  <c:v>3</c:v>
                </c:pt>
                <c:pt idx="681">
                  <c:v>2</c:v>
                </c:pt>
                <c:pt idx="682">
                  <c:v>3</c:v>
                </c:pt>
                <c:pt idx="683">
                  <c:v>2</c:v>
                </c:pt>
                <c:pt idx="684">
                  <c:v>3</c:v>
                </c:pt>
                <c:pt idx="685">
                  <c:v>2</c:v>
                </c:pt>
                <c:pt idx="686">
                  <c:v>2</c:v>
                </c:pt>
                <c:pt idx="687">
                  <c:v>1</c:v>
                </c:pt>
                <c:pt idx="688">
                  <c:v>2</c:v>
                </c:pt>
                <c:pt idx="689">
                  <c:v>1</c:v>
                </c:pt>
                <c:pt idx="690">
                  <c:v>2</c:v>
                </c:pt>
                <c:pt idx="691">
                  <c:v>2</c:v>
                </c:pt>
                <c:pt idx="692">
                  <c:v>3</c:v>
                </c:pt>
                <c:pt idx="693">
                  <c:v>2</c:v>
                </c:pt>
                <c:pt idx="694">
                  <c:v>1</c:v>
                </c:pt>
                <c:pt idx="695">
                  <c:v>2</c:v>
                </c:pt>
                <c:pt idx="696">
                  <c:v>3</c:v>
                </c:pt>
                <c:pt idx="697">
                  <c:v>3</c:v>
                </c:pt>
                <c:pt idx="698">
                  <c:v>2</c:v>
                </c:pt>
                <c:pt idx="699">
                  <c:v>1</c:v>
                </c:pt>
                <c:pt idx="700">
                  <c:v>3</c:v>
                </c:pt>
                <c:pt idx="701">
                  <c:v>3</c:v>
                </c:pt>
                <c:pt idx="702">
                  <c:v>2</c:v>
                </c:pt>
                <c:pt idx="703">
                  <c:v>1</c:v>
                </c:pt>
                <c:pt idx="704">
                  <c:v>3</c:v>
                </c:pt>
                <c:pt idx="705">
                  <c:v>2</c:v>
                </c:pt>
                <c:pt idx="706">
                  <c:v>1</c:v>
                </c:pt>
                <c:pt idx="707">
                  <c:v>3</c:v>
                </c:pt>
                <c:pt idx="708">
                  <c:v>1</c:v>
                </c:pt>
                <c:pt idx="709">
                  <c:v>1</c:v>
                </c:pt>
                <c:pt idx="710">
                  <c:v>2</c:v>
                </c:pt>
                <c:pt idx="711">
                  <c:v>2</c:v>
                </c:pt>
                <c:pt idx="712">
                  <c:v>3</c:v>
                </c:pt>
                <c:pt idx="713">
                  <c:v>3</c:v>
                </c:pt>
                <c:pt idx="714">
                  <c:v>1</c:v>
                </c:pt>
                <c:pt idx="715">
                  <c:v>3</c:v>
                </c:pt>
                <c:pt idx="716">
                  <c:v>3</c:v>
                </c:pt>
                <c:pt idx="717">
                  <c:v>1</c:v>
                </c:pt>
                <c:pt idx="718">
                  <c:v>3</c:v>
                </c:pt>
                <c:pt idx="719">
                  <c:v>3</c:v>
                </c:pt>
                <c:pt idx="720">
                  <c:v>2</c:v>
                </c:pt>
                <c:pt idx="721">
                  <c:v>3</c:v>
                </c:pt>
                <c:pt idx="722">
                  <c:v>1</c:v>
                </c:pt>
                <c:pt idx="723">
                  <c:v>3</c:v>
                </c:pt>
                <c:pt idx="724">
                  <c:v>1</c:v>
                </c:pt>
                <c:pt idx="725">
                  <c:v>2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2</c:v>
                </c:pt>
                <c:pt idx="733">
                  <c:v>3</c:v>
                </c:pt>
                <c:pt idx="734">
                  <c:v>3</c:v>
                </c:pt>
                <c:pt idx="735">
                  <c:v>1</c:v>
                </c:pt>
                <c:pt idx="736">
                  <c:v>2</c:v>
                </c:pt>
                <c:pt idx="737">
                  <c:v>3</c:v>
                </c:pt>
                <c:pt idx="738">
                  <c:v>1</c:v>
                </c:pt>
                <c:pt idx="739">
                  <c:v>2</c:v>
                </c:pt>
                <c:pt idx="740">
                  <c:v>2</c:v>
                </c:pt>
                <c:pt idx="741">
                  <c:v>1</c:v>
                </c:pt>
                <c:pt idx="742">
                  <c:v>1</c:v>
                </c:pt>
                <c:pt idx="743">
                  <c:v>3</c:v>
                </c:pt>
                <c:pt idx="744">
                  <c:v>1</c:v>
                </c:pt>
                <c:pt idx="745">
                  <c:v>2</c:v>
                </c:pt>
                <c:pt idx="746">
                  <c:v>1</c:v>
                </c:pt>
                <c:pt idx="747">
                  <c:v>2</c:v>
                </c:pt>
                <c:pt idx="748">
                  <c:v>3</c:v>
                </c:pt>
                <c:pt idx="749">
                  <c:v>2</c:v>
                </c:pt>
                <c:pt idx="750">
                  <c:v>2</c:v>
                </c:pt>
                <c:pt idx="751">
                  <c:v>3</c:v>
                </c:pt>
                <c:pt idx="752">
                  <c:v>3</c:v>
                </c:pt>
                <c:pt idx="753">
                  <c:v>3</c:v>
                </c:pt>
                <c:pt idx="754">
                  <c:v>3</c:v>
                </c:pt>
                <c:pt idx="755">
                  <c:v>2</c:v>
                </c:pt>
                <c:pt idx="756">
                  <c:v>1</c:v>
                </c:pt>
                <c:pt idx="757">
                  <c:v>3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3</c:v>
                </c:pt>
                <c:pt idx="762">
                  <c:v>3</c:v>
                </c:pt>
                <c:pt idx="763">
                  <c:v>3</c:v>
                </c:pt>
                <c:pt idx="764">
                  <c:v>3</c:v>
                </c:pt>
                <c:pt idx="765">
                  <c:v>1</c:v>
                </c:pt>
                <c:pt idx="766">
                  <c:v>3</c:v>
                </c:pt>
                <c:pt idx="767">
                  <c:v>3</c:v>
                </c:pt>
                <c:pt idx="768">
                  <c:v>1</c:v>
                </c:pt>
                <c:pt idx="769">
                  <c:v>1</c:v>
                </c:pt>
                <c:pt idx="770">
                  <c:v>3</c:v>
                </c:pt>
                <c:pt idx="771">
                  <c:v>2</c:v>
                </c:pt>
                <c:pt idx="772">
                  <c:v>2</c:v>
                </c:pt>
                <c:pt idx="773">
                  <c:v>1</c:v>
                </c:pt>
                <c:pt idx="774">
                  <c:v>3</c:v>
                </c:pt>
                <c:pt idx="775">
                  <c:v>3</c:v>
                </c:pt>
                <c:pt idx="776">
                  <c:v>2</c:v>
                </c:pt>
                <c:pt idx="777">
                  <c:v>3</c:v>
                </c:pt>
                <c:pt idx="778">
                  <c:v>3</c:v>
                </c:pt>
                <c:pt idx="779">
                  <c:v>2</c:v>
                </c:pt>
                <c:pt idx="780">
                  <c:v>3</c:v>
                </c:pt>
                <c:pt idx="781">
                  <c:v>3</c:v>
                </c:pt>
                <c:pt idx="782">
                  <c:v>1</c:v>
                </c:pt>
                <c:pt idx="783">
                  <c:v>2</c:v>
                </c:pt>
                <c:pt idx="784">
                  <c:v>3</c:v>
                </c:pt>
                <c:pt idx="785">
                  <c:v>1</c:v>
                </c:pt>
                <c:pt idx="786">
                  <c:v>2</c:v>
                </c:pt>
                <c:pt idx="787">
                  <c:v>2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3</c:v>
                </c:pt>
                <c:pt idx="792">
                  <c:v>1</c:v>
                </c:pt>
                <c:pt idx="793">
                  <c:v>3</c:v>
                </c:pt>
                <c:pt idx="794">
                  <c:v>2</c:v>
                </c:pt>
                <c:pt idx="795">
                  <c:v>1</c:v>
                </c:pt>
                <c:pt idx="796">
                  <c:v>1</c:v>
                </c:pt>
                <c:pt idx="797">
                  <c:v>3</c:v>
                </c:pt>
                <c:pt idx="798">
                  <c:v>3</c:v>
                </c:pt>
                <c:pt idx="799">
                  <c:v>2</c:v>
                </c:pt>
                <c:pt idx="800">
                  <c:v>2</c:v>
                </c:pt>
                <c:pt idx="801">
                  <c:v>2</c:v>
                </c:pt>
                <c:pt idx="802">
                  <c:v>2</c:v>
                </c:pt>
                <c:pt idx="803">
                  <c:v>3</c:v>
                </c:pt>
                <c:pt idx="804">
                  <c:v>3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1</c:v>
                </c:pt>
                <c:pt idx="809">
                  <c:v>2</c:v>
                </c:pt>
                <c:pt idx="810">
                  <c:v>1</c:v>
                </c:pt>
                <c:pt idx="811">
                  <c:v>2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1</c:v>
                </c:pt>
                <c:pt idx="816">
                  <c:v>2</c:v>
                </c:pt>
                <c:pt idx="817">
                  <c:v>2</c:v>
                </c:pt>
                <c:pt idx="818">
                  <c:v>2</c:v>
                </c:pt>
                <c:pt idx="819">
                  <c:v>1</c:v>
                </c:pt>
                <c:pt idx="820">
                  <c:v>3</c:v>
                </c:pt>
                <c:pt idx="821">
                  <c:v>1</c:v>
                </c:pt>
                <c:pt idx="822">
                  <c:v>1</c:v>
                </c:pt>
                <c:pt idx="823">
                  <c:v>3</c:v>
                </c:pt>
                <c:pt idx="824">
                  <c:v>2</c:v>
                </c:pt>
                <c:pt idx="825">
                  <c:v>2</c:v>
                </c:pt>
                <c:pt idx="826">
                  <c:v>2</c:v>
                </c:pt>
                <c:pt idx="827">
                  <c:v>2</c:v>
                </c:pt>
                <c:pt idx="828">
                  <c:v>2</c:v>
                </c:pt>
                <c:pt idx="829">
                  <c:v>3</c:v>
                </c:pt>
                <c:pt idx="830">
                  <c:v>2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1</c:v>
                </c:pt>
                <c:pt idx="835">
                  <c:v>3</c:v>
                </c:pt>
                <c:pt idx="836">
                  <c:v>3</c:v>
                </c:pt>
                <c:pt idx="837">
                  <c:v>2</c:v>
                </c:pt>
                <c:pt idx="838">
                  <c:v>1</c:v>
                </c:pt>
                <c:pt idx="839">
                  <c:v>2</c:v>
                </c:pt>
                <c:pt idx="840">
                  <c:v>1</c:v>
                </c:pt>
                <c:pt idx="841">
                  <c:v>3</c:v>
                </c:pt>
                <c:pt idx="842">
                  <c:v>1</c:v>
                </c:pt>
                <c:pt idx="843">
                  <c:v>2</c:v>
                </c:pt>
                <c:pt idx="844">
                  <c:v>3</c:v>
                </c:pt>
                <c:pt idx="845">
                  <c:v>2</c:v>
                </c:pt>
                <c:pt idx="846">
                  <c:v>2</c:v>
                </c:pt>
                <c:pt idx="847">
                  <c:v>2</c:v>
                </c:pt>
                <c:pt idx="848">
                  <c:v>3</c:v>
                </c:pt>
                <c:pt idx="849">
                  <c:v>2</c:v>
                </c:pt>
                <c:pt idx="850">
                  <c:v>3</c:v>
                </c:pt>
                <c:pt idx="851">
                  <c:v>2</c:v>
                </c:pt>
                <c:pt idx="852">
                  <c:v>3</c:v>
                </c:pt>
                <c:pt idx="853">
                  <c:v>2</c:v>
                </c:pt>
                <c:pt idx="854">
                  <c:v>3</c:v>
                </c:pt>
                <c:pt idx="855">
                  <c:v>1</c:v>
                </c:pt>
                <c:pt idx="856">
                  <c:v>3</c:v>
                </c:pt>
                <c:pt idx="857">
                  <c:v>2</c:v>
                </c:pt>
                <c:pt idx="858">
                  <c:v>2</c:v>
                </c:pt>
                <c:pt idx="859">
                  <c:v>3</c:v>
                </c:pt>
                <c:pt idx="860">
                  <c:v>2</c:v>
                </c:pt>
                <c:pt idx="861">
                  <c:v>1</c:v>
                </c:pt>
                <c:pt idx="862">
                  <c:v>3</c:v>
                </c:pt>
                <c:pt idx="863">
                  <c:v>3</c:v>
                </c:pt>
                <c:pt idx="864">
                  <c:v>2</c:v>
                </c:pt>
                <c:pt idx="865">
                  <c:v>3</c:v>
                </c:pt>
                <c:pt idx="866">
                  <c:v>2</c:v>
                </c:pt>
                <c:pt idx="867">
                  <c:v>2</c:v>
                </c:pt>
                <c:pt idx="868">
                  <c:v>3</c:v>
                </c:pt>
                <c:pt idx="869">
                  <c:v>3</c:v>
                </c:pt>
                <c:pt idx="870">
                  <c:v>1</c:v>
                </c:pt>
                <c:pt idx="871">
                  <c:v>3</c:v>
                </c:pt>
                <c:pt idx="872">
                  <c:v>2</c:v>
                </c:pt>
                <c:pt idx="873">
                  <c:v>3</c:v>
                </c:pt>
                <c:pt idx="874">
                  <c:v>3</c:v>
                </c:pt>
                <c:pt idx="875">
                  <c:v>2</c:v>
                </c:pt>
                <c:pt idx="876">
                  <c:v>2</c:v>
                </c:pt>
                <c:pt idx="877">
                  <c:v>1</c:v>
                </c:pt>
                <c:pt idx="878">
                  <c:v>3</c:v>
                </c:pt>
                <c:pt idx="879">
                  <c:v>2</c:v>
                </c:pt>
                <c:pt idx="880">
                  <c:v>3</c:v>
                </c:pt>
                <c:pt idx="881">
                  <c:v>3</c:v>
                </c:pt>
                <c:pt idx="882">
                  <c:v>2</c:v>
                </c:pt>
                <c:pt idx="883">
                  <c:v>2</c:v>
                </c:pt>
                <c:pt idx="884">
                  <c:v>3</c:v>
                </c:pt>
                <c:pt idx="885">
                  <c:v>1</c:v>
                </c:pt>
                <c:pt idx="886">
                  <c:v>2</c:v>
                </c:pt>
                <c:pt idx="887">
                  <c:v>3</c:v>
                </c:pt>
                <c:pt idx="888">
                  <c:v>3</c:v>
                </c:pt>
                <c:pt idx="889">
                  <c:v>1</c:v>
                </c:pt>
                <c:pt idx="890">
                  <c:v>3</c:v>
                </c:pt>
                <c:pt idx="891">
                  <c:v>2</c:v>
                </c:pt>
                <c:pt idx="892">
                  <c:v>3</c:v>
                </c:pt>
                <c:pt idx="893">
                  <c:v>2</c:v>
                </c:pt>
                <c:pt idx="894">
                  <c:v>2</c:v>
                </c:pt>
                <c:pt idx="895">
                  <c:v>3</c:v>
                </c:pt>
                <c:pt idx="896">
                  <c:v>1</c:v>
                </c:pt>
                <c:pt idx="897">
                  <c:v>1</c:v>
                </c:pt>
                <c:pt idx="898">
                  <c:v>2</c:v>
                </c:pt>
                <c:pt idx="899">
                  <c:v>3</c:v>
                </c:pt>
                <c:pt idx="900">
                  <c:v>1</c:v>
                </c:pt>
                <c:pt idx="901">
                  <c:v>3</c:v>
                </c:pt>
                <c:pt idx="902">
                  <c:v>2</c:v>
                </c:pt>
                <c:pt idx="903">
                  <c:v>3</c:v>
                </c:pt>
                <c:pt idx="904">
                  <c:v>2</c:v>
                </c:pt>
                <c:pt idx="905">
                  <c:v>3</c:v>
                </c:pt>
                <c:pt idx="906">
                  <c:v>2</c:v>
                </c:pt>
                <c:pt idx="907">
                  <c:v>1</c:v>
                </c:pt>
                <c:pt idx="908">
                  <c:v>1</c:v>
                </c:pt>
                <c:pt idx="909">
                  <c:v>2</c:v>
                </c:pt>
                <c:pt idx="910">
                  <c:v>2</c:v>
                </c:pt>
                <c:pt idx="911">
                  <c:v>2</c:v>
                </c:pt>
                <c:pt idx="912">
                  <c:v>2</c:v>
                </c:pt>
                <c:pt idx="913">
                  <c:v>3</c:v>
                </c:pt>
                <c:pt idx="914">
                  <c:v>1</c:v>
                </c:pt>
                <c:pt idx="915">
                  <c:v>3</c:v>
                </c:pt>
                <c:pt idx="916">
                  <c:v>1</c:v>
                </c:pt>
                <c:pt idx="917">
                  <c:v>3</c:v>
                </c:pt>
                <c:pt idx="918">
                  <c:v>2</c:v>
                </c:pt>
                <c:pt idx="919">
                  <c:v>1</c:v>
                </c:pt>
                <c:pt idx="920">
                  <c:v>2</c:v>
                </c:pt>
                <c:pt idx="921">
                  <c:v>1</c:v>
                </c:pt>
                <c:pt idx="922">
                  <c:v>2</c:v>
                </c:pt>
                <c:pt idx="923">
                  <c:v>2</c:v>
                </c:pt>
                <c:pt idx="924">
                  <c:v>2</c:v>
                </c:pt>
                <c:pt idx="925">
                  <c:v>3</c:v>
                </c:pt>
                <c:pt idx="926">
                  <c:v>1</c:v>
                </c:pt>
                <c:pt idx="927">
                  <c:v>3</c:v>
                </c:pt>
                <c:pt idx="928">
                  <c:v>1</c:v>
                </c:pt>
                <c:pt idx="929">
                  <c:v>2</c:v>
                </c:pt>
                <c:pt idx="930">
                  <c:v>2</c:v>
                </c:pt>
                <c:pt idx="931">
                  <c:v>3</c:v>
                </c:pt>
                <c:pt idx="932">
                  <c:v>2</c:v>
                </c:pt>
                <c:pt idx="933">
                  <c:v>2</c:v>
                </c:pt>
                <c:pt idx="934">
                  <c:v>2</c:v>
                </c:pt>
                <c:pt idx="935">
                  <c:v>3</c:v>
                </c:pt>
                <c:pt idx="936">
                  <c:v>1</c:v>
                </c:pt>
                <c:pt idx="937">
                  <c:v>2</c:v>
                </c:pt>
                <c:pt idx="938">
                  <c:v>2</c:v>
                </c:pt>
                <c:pt idx="939">
                  <c:v>1</c:v>
                </c:pt>
                <c:pt idx="940">
                  <c:v>2</c:v>
                </c:pt>
                <c:pt idx="941">
                  <c:v>1</c:v>
                </c:pt>
                <c:pt idx="942">
                  <c:v>2</c:v>
                </c:pt>
                <c:pt idx="943">
                  <c:v>1</c:v>
                </c:pt>
                <c:pt idx="944">
                  <c:v>1</c:v>
                </c:pt>
                <c:pt idx="945">
                  <c:v>2</c:v>
                </c:pt>
                <c:pt idx="946">
                  <c:v>3</c:v>
                </c:pt>
                <c:pt idx="947">
                  <c:v>1</c:v>
                </c:pt>
                <c:pt idx="948">
                  <c:v>2</c:v>
                </c:pt>
                <c:pt idx="949">
                  <c:v>1</c:v>
                </c:pt>
                <c:pt idx="950">
                  <c:v>2</c:v>
                </c:pt>
                <c:pt idx="951">
                  <c:v>3</c:v>
                </c:pt>
                <c:pt idx="952">
                  <c:v>1</c:v>
                </c:pt>
                <c:pt idx="953">
                  <c:v>2</c:v>
                </c:pt>
                <c:pt idx="954">
                  <c:v>3</c:v>
                </c:pt>
                <c:pt idx="955">
                  <c:v>2</c:v>
                </c:pt>
                <c:pt idx="956">
                  <c:v>2</c:v>
                </c:pt>
                <c:pt idx="957">
                  <c:v>2</c:v>
                </c:pt>
                <c:pt idx="958">
                  <c:v>2</c:v>
                </c:pt>
                <c:pt idx="959">
                  <c:v>3</c:v>
                </c:pt>
                <c:pt idx="960">
                  <c:v>3</c:v>
                </c:pt>
                <c:pt idx="961">
                  <c:v>3</c:v>
                </c:pt>
                <c:pt idx="962">
                  <c:v>2</c:v>
                </c:pt>
                <c:pt idx="963">
                  <c:v>2</c:v>
                </c:pt>
                <c:pt idx="964">
                  <c:v>3</c:v>
                </c:pt>
                <c:pt idx="965">
                  <c:v>3</c:v>
                </c:pt>
                <c:pt idx="966">
                  <c:v>3</c:v>
                </c:pt>
                <c:pt idx="967">
                  <c:v>2</c:v>
                </c:pt>
                <c:pt idx="968">
                  <c:v>3</c:v>
                </c:pt>
                <c:pt idx="969">
                  <c:v>2</c:v>
                </c:pt>
                <c:pt idx="970">
                  <c:v>3</c:v>
                </c:pt>
                <c:pt idx="971">
                  <c:v>3</c:v>
                </c:pt>
                <c:pt idx="972">
                  <c:v>3</c:v>
                </c:pt>
                <c:pt idx="973">
                  <c:v>2</c:v>
                </c:pt>
                <c:pt idx="974">
                  <c:v>1</c:v>
                </c:pt>
                <c:pt idx="975">
                  <c:v>1</c:v>
                </c:pt>
                <c:pt idx="976">
                  <c:v>2</c:v>
                </c:pt>
                <c:pt idx="977">
                  <c:v>2</c:v>
                </c:pt>
                <c:pt idx="978">
                  <c:v>2</c:v>
                </c:pt>
                <c:pt idx="979">
                  <c:v>2</c:v>
                </c:pt>
                <c:pt idx="980">
                  <c:v>3</c:v>
                </c:pt>
                <c:pt idx="981">
                  <c:v>3</c:v>
                </c:pt>
                <c:pt idx="982">
                  <c:v>3</c:v>
                </c:pt>
                <c:pt idx="983">
                  <c:v>2</c:v>
                </c:pt>
                <c:pt idx="984">
                  <c:v>2</c:v>
                </c:pt>
                <c:pt idx="985">
                  <c:v>1</c:v>
                </c:pt>
                <c:pt idx="986">
                  <c:v>1</c:v>
                </c:pt>
                <c:pt idx="987">
                  <c:v>3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3</c:v>
                </c:pt>
                <c:pt idx="992">
                  <c:v>3</c:v>
                </c:pt>
                <c:pt idx="993">
                  <c:v>3</c:v>
                </c:pt>
                <c:pt idx="994">
                  <c:v>1</c:v>
                </c:pt>
                <c:pt idx="995">
                  <c:v>2</c:v>
                </c:pt>
                <c:pt idx="996">
                  <c:v>3</c:v>
                </c:pt>
                <c:pt idx="997">
                  <c:v>2</c:v>
                </c:pt>
                <c:pt idx="998">
                  <c:v>1</c:v>
                </c:pt>
                <c:pt idx="999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64-4476-A2E6-FFBB184F8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225503"/>
        <c:axId val="1575830672"/>
      </c:scatterChart>
      <c:valAx>
        <c:axId val="254225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Side</a:t>
                </a:r>
                <a:r>
                  <a:rPr lang="en-IN" baseline="0"/>
                  <a:t> Effects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830672"/>
        <c:crosses val="autoZero"/>
        <c:crossBetween val="midCat"/>
      </c:valAx>
      <c:valAx>
        <c:axId val="157583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Treatment</a:t>
                </a:r>
                <a:r>
                  <a:rPr lang="en-IN" baseline="0"/>
                  <a:t> Outcome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225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 Project.xlsx]Pivot_Analysis!PivotTable24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Success</a:t>
            </a:r>
            <a:r>
              <a:rPr lang="en-US" baseline="0"/>
              <a:t> Rate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Pivot_Analysis!$B$222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Pivot_Analysis!$A$223:$A$227</c:f>
              <c:strCache>
                <c:ptCount val="4"/>
                <c:pt idx="0">
                  <c:v>18-30</c:v>
                </c:pt>
                <c:pt idx="1">
                  <c:v>31-50</c:v>
                </c:pt>
                <c:pt idx="2">
                  <c:v>51-65</c:v>
                </c:pt>
                <c:pt idx="3">
                  <c:v>66+</c:v>
                </c:pt>
              </c:strCache>
            </c:strRef>
          </c:cat>
          <c:val>
            <c:numRef>
              <c:f>Pivot_Analysis!$B$223:$B$227</c:f>
              <c:numCache>
                <c:formatCode>0%</c:formatCode>
                <c:ptCount val="4"/>
                <c:pt idx="0">
                  <c:v>0.38071065989847713</c:v>
                </c:pt>
                <c:pt idx="1">
                  <c:v>0.32167832167832167</c:v>
                </c:pt>
                <c:pt idx="2">
                  <c:v>0.35371179039301309</c:v>
                </c:pt>
                <c:pt idx="3">
                  <c:v>0.34375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05-4C55-952E-3B21DE1C2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5052079"/>
        <c:axId val="831856367"/>
      </c:barChart>
      <c:catAx>
        <c:axId val="11350520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  <a:r>
                  <a:rPr lang="en-IN" baseline="0"/>
                  <a:t> Group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856367"/>
        <c:crosses val="autoZero"/>
        <c:auto val="1"/>
        <c:lblAlgn val="ctr"/>
        <c:lblOffset val="100"/>
        <c:noMultiLvlLbl val="0"/>
      </c:catAx>
      <c:valAx>
        <c:axId val="83185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Success</a:t>
                </a:r>
                <a:r>
                  <a:rPr lang="en-IN" baseline="0"/>
                  <a:t> Rate (%)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52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 Project.xlsx]Pivot_Analysis!PivotTable25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Efficacy Score by Gene Mutation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Pivot_Analysis!$B$231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Pivot_Analysis!$A$232:$A$234</c:f>
              <c:strCache>
                <c:ptCount val="2"/>
                <c:pt idx="0">
                  <c:v>Negative</c:v>
                </c:pt>
                <c:pt idx="1">
                  <c:v>Positive</c:v>
                </c:pt>
              </c:strCache>
            </c:strRef>
          </c:cat>
          <c:val>
            <c:numRef>
              <c:f>Pivot_Analysis!$B$232:$B$234</c:f>
              <c:numCache>
                <c:formatCode>0.00</c:formatCode>
                <c:ptCount val="2"/>
                <c:pt idx="0">
                  <c:v>5.5400756143667289</c:v>
                </c:pt>
                <c:pt idx="1">
                  <c:v>5.2437367303609355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A3-4803-939E-2F6AAB868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5092911"/>
        <c:axId val="1227516047"/>
      </c:barChart>
      <c:catAx>
        <c:axId val="11350929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Mutation</a:t>
                </a:r>
                <a:r>
                  <a:rPr lang="en-IN" baseline="0"/>
                  <a:t> Status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516047"/>
        <c:crosses val="autoZero"/>
        <c:auto val="1"/>
        <c:lblAlgn val="ctr"/>
        <c:lblOffset val="100"/>
        <c:noMultiLvlLbl val="0"/>
      </c:catAx>
      <c:valAx>
        <c:axId val="122751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Average Efficacy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5092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 Project.xlsx]Pivot_Analysis!PivotTable26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Adverse</a:t>
            </a:r>
            <a:r>
              <a:rPr lang="en-US" baseline="0"/>
              <a:t> Events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Pivot_Analysis!$B$238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Pivot_Analysis!$A$239:$A$243</c:f>
              <c:strCache>
                <c:ptCount val="4"/>
                <c:pt idx="0">
                  <c:v>18-30</c:v>
                </c:pt>
                <c:pt idx="1">
                  <c:v>31-50</c:v>
                </c:pt>
                <c:pt idx="2">
                  <c:v>51-65</c:v>
                </c:pt>
                <c:pt idx="3">
                  <c:v>66+</c:v>
                </c:pt>
              </c:strCache>
            </c:strRef>
          </c:cat>
          <c:val>
            <c:numRef>
              <c:f>Pivot_Analysis!$B$239:$B$243</c:f>
              <c:numCache>
                <c:formatCode>General</c:formatCode>
                <c:ptCount val="4"/>
                <c:pt idx="0">
                  <c:v>197</c:v>
                </c:pt>
                <c:pt idx="1">
                  <c:v>286</c:v>
                </c:pt>
                <c:pt idx="2">
                  <c:v>229</c:v>
                </c:pt>
                <c:pt idx="3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10-4699-9462-84BA74CDF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4859055"/>
        <c:axId val="1204865071"/>
      </c:barChart>
      <c:catAx>
        <c:axId val="1134859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Age</a:t>
                </a:r>
                <a:r>
                  <a:rPr lang="en-IN" baseline="0"/>
                  <a:t> Group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865071"/>
        <c:crosses val="autoZero"/>
        <c:auto val="1"/>
        <c:lblAlgn val="ctr"/>
        <c:lblOffset val="100"/>
        <c:noMultiLvlLbl val="0"/>
      </c:catAx>
      <c:valAx>
        <c:axId val="120486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</a:t>
                </a:r>
                <a:r>
                  <a:rPr lang="en-IN" baseline="0"/>
                  <a:t> of Adverse Events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85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 Project.xlsx]Pivot_Analysis!PivotTable8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Progression-Free</a:t>
            </a:r>
            <a:r>
              <a:rPr lang="en-US" baseline="0"/>
              <a:t> Survival by Mutation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Pivot_Analysis!$A$69:$A$71</c:f>
              <c:strCache>
                <c:ptCount val="2"/>
                <c:pt idx="0">
                  <c:v>Negative</c:v>
                </c:pt>
                <c:pt idx="1">
                  <c:v>Positive</c:v>
                </c:pt>
              </c:strCache>
            </c:strRef>
          </c:cat>
          <c:val>
            <c:numRef>
              <c:f>Pivot_Analysis!$B$69:$B$71</c:f>
              <c:numCache>
                <c:formatCode>0.00</c:formatCode>
                <c:ptCount val="2"/>
                <c:pt idx="0">
                  <c:v>11.507939508506619</c:v>
                </c:pt>
                <c:pt idx="1">
                  <c:v>11.687048832271769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6-4E20-8BE3-25CC5CE1C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4940255"/>
        <c:axId val="1205065231"/>
      </c:barChart>
      <c:catAx>
        <c:axId val="11349402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Progression-Free</a:t>
                </a:r>
                <a:r>
                  <a:rPr lang="en-IN" baseline="0"/>
                  <a:t> Survival (months)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065231"/>
        <c:crosses val="autoZero"/>
        <c:auto val="1"/>
        <c:lblAlgn val="ctr"/>
        <c:lblOffset val="100"/>
        <c:noMultiLvlLbl val="0"/>
      </c:catAx>
      <c:valAx>
        <c:axId val="120506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Mutation</a:t>
                </a:r>
                <a:r>
                  <a:rPr lang="en-IN" baseline="0"/>
                  <a:t> Status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94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[Pfizer Project.xlsx]Pivot_Analysis!PivotTable27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Success</a:t>
            </a:r>
            <a:r>
              <a:rPr lang="en-US" baseline="0"/>
              <a:t> Rate by Trial Phase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Pivot_Analysis!$B$247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Pivot_Analysis!$A$248:$A$252</c:f>
              <c:strCache>
                <c:ptCount val="4"/>
                <c:pt idx="0">
                  <c:v>Phase I</c:v>
                </c:pt>
                <c:pt idx="1">
                  <c:v>Phase II</c:v>
                </c:pt>
                <c:pt idx="2">
                  <c:v>Phase III</c:v>
                </c:pt>
                <c:pt idx="3">
                  <c:v>Phase IV</c:v>
                </c:pt>
              </c:strCache>
            </c:strRef>
          </c:cat>
          <c:val>
            <c:numRef>
              <c:f>Pivot_Analysis!$B$248:$B$252</c:f>
              <c:numCache>
                <c:formatCode>General</c:formatCode>
                <c:ptCount val="4"/>
                <c:pt idx="0">
                  <c:v>79</c:v>
                </c:pt>
                <c:pt idx="1">
                  <c:v>105</c:v>
                </c:pt>
                <c:pt idx="2">
                  <c:v>78</c:v>
                </c:pt>
                <c:pt idx="3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3F-4129-A414-1CEC23E5C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4930511"/>
        <c:axId val="1204997071"/>
      </c:lineChart>
      <c:catAx>
        <c:axId val="1134930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Trial</a:t>
                </a:r>
                <a:r>
                  <a:rPr lang="en-IN" baseline="0"/>
                  <a:t> Phase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997071"/>
        <c:crosses val="autoZero"/>
        <c:auto val="1"/>
        <c:lblAlgn val="ctr"/>
        <c:lblOffset val="100"/>
        <c:noMultiLvlLbl val="0"/>
      </c:catAx>
      <c:valAx>
        <c:axId val="120499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Success</a:t>
                </a:r>
                <a:r>
                  <a:rPr lang="en-IN" baseline="0"/>
                  <a:t> Rate (%)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493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Age Distribution of Patients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Age Distribution of Patients</a:t>
          </a:r>
        </a:p>
      </cx:txPr>
    </cx:title>
    <cx:plotArea>
      <cx:plotAreaRegion>
        <cx:series layoutId="clusteredColumn" uniqueId="{00000000-81A8-4A8C-AA7D-7A2AB6F171E7}">
          <cx:tx>
            <cx:txData>
              <cx:f>_xlchart.v1.4</cx:f>
              <cx:v>Age</cx:v>
            </cx:txData>
          </cx:tx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tle>
          <cx:tx>
            <cx:txData>
              <cx:v>Age (years)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Age (years)</a:t>
              </a:r>
            </a:p>
          </cx:txPr>
          <cx:extLst>
            <cx:ext uri="ext:featex">
              <cx:featureExtension feature="mp" drop="onModelChange">
                <cx:offset left="-0.02083333395421505"/>
              </cx:featureExtension>
            </cx:ext>
          </cx:extLst>
        </cx:title>
        <cx:tickLabels/>
      </cx:axis>
      <cx:axis id="1">
        <cx:valScaling/>
        <cx:title>
          <cx:tx>
            <cx:txData>
              <cx:v>Number of Patients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Number of Patients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  <cx:data id="2">
      <cx:numDim type="val">
        <cx:f>_xlchart.v1.2</cx:f>
      </cx:numDim>
    </cx:data>
    <cx:data id="3">
      <cx:numDim type="val">
        <cx:f>_xlchart.v1.3</cx:f>
      </cx:numDim>
    </cx:data>
  </cx:chartData>
  <cx:chart>
    <cx:title pos="t" align="ctr" overlay="0">
      <cx:tx>
        <cx:txData>
          <cx:v>Biomarker Level by Drug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Biomarker Level by Drug</a:t>
          </a:r>
        </a:p>
      </cx:txPr>
    </cx:title>
    <cx:plotArea>
      <cx:plotAreaRegion>
        <cx:series layoutId="boxWhisker" uniqueId="{00000000-8B90-4EEF-B79A-5616649CD8A3}">
          <cx:tx>
            <cx:txData>
              <cx:f/>
              <cx:v>DrugA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8B90-4EEF-B79A-5616649CD8A3}">
          <cx:tx>
            <cx:txData>
              <cx:f/>
              <cx:v>DrugB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2-8B90-4EEF-B79A-5616649CD8A3}">
          <cx:tx>
            <cx:txData>
              <cx:f/>
              <cx:v>DrugC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0000003-8B90-4EEF-B79A-5616649CD8A3}">
          <cx:tx>
            <cx:txData>
              <cx:f/>
              <cx:v>DrugD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txData>
              <cx:v>Drug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Drug</a:t>
              </a:r>
            </a:p>
          </cx:txPr>
        </cx:title>
        <cx:tickLabels/>
      </cx:axis>
      <cx:axis id="1">
        <cx:valScaling/>
        <cx:title>
          <cx:tx>
            <cx:txData>
              <cx:v>Biomarker Level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Biomarker Level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1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12" Type="http://schemas.microsoft.com/office/2014/relationships/chartEx" Target="../charts/chartEx2.xml"/><Relationship Id="rId17" Type="http://schemas.openxmlformats.org/officeDocument/2006/relationships/chart" Target="../charts/chart15.xml"/><Relationship Id="rId2" Type="http://schemas.openxmlformats.org/officeDocument/2006/relationships/chart" Target="../charts/chart2.xml"/><Relationship Id="rId16" Type="http://schemas.openxmlformats.org/officeDocument/2006/relationships/chart" Target="../charts/chart14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5" Type="http://schemas.openxmlformats.org/officeDocument/2006/relationships/chart" Target="../charts/chart4.xml"/><Relationship Id="rId15" Type="http://schemas.openxmlformats.org/officeDocument/2006/relationships/chart" Target="../charts/chart13.xml"/><Relationship Id="rId10" Type="http://schemas.openxmlformats.org/officeDocument/2006/relationships/chart" Target="../charts/chart9.xml"/><Relationship Id="rId4" Type="http://schemas.microsoft.com/office/2014/relationships/chartEx" Target="../charts/chartEx1.xml"/><Relationship Id="rId9" Type="http://schemas.openxmlformats.org/officeDocument/2006/relationships/chart" Target="../charts/chart8.xml"/><Relationship Id="rId1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645318</xdr:colOff>
      <xdr:row>1</xdr:row>
      <xdr:rowOff>9525</xdr:rowOff>
    </xdr:from>
    <xdr:to>
      <xdr:col>8</xdr:col>
      <xdr:colOff>35718</xdr:colOff>
      <xdr:row>16</xdr:row>
      <xdr:rowOff>38100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4B87156F-2BEC-6503-B5F3-0D3CFA27EE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2381</xdr:colOff>
      <xdr:row>1</xdr:row>
      <xdr:rowOff>9524</xdr:rowOff>
    </xdr:from>
    <xdr:to>
      <xdr:col>17</xdr:col>
      <xdr:colOff>40481</xdr:colOff>
      <xdr:row>16</xdr:row>
      <xdr:rowOff>38099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B6761CB-DB14-7272-7BBD-A455293B78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11907</xdr:colOff>
      <xdr:row>19</xdr:row>
      <xdr:rowOff>19049</xdr:rowOff>
    </xdr:from>
    <xdr:to>
      <xdr:col>8</xdr:col>
      <xdr:colOff>50007</xdr:colOff>
      <xdr:row>34</xdr:row>
      <xdr:rowOff>47624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5039AD0B-9B7F-BBEF-8C1A-37FD487A3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21430</xdr:colOff>
      <xdr:row>19</xdr:row>
      <xdr:rowOff>14288</xdr:rowOff>
    </xdr:from>
    <xdr:to>
      <xdr:col>17</xdr:col>
      <xdr:colOff>59530</xdr:colOff>
      <xdr:row>34</xdr:row>
      <xdr:rowOff>42863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5">
              <a:extLst>
                <a:ext uri="{FF2B5EF4-FFF2-40B4-BE49-F238E27FC236}">
                  <a16:creationId xmlns:a16="http://schemas.microsoft.com/office/drawing/2014/main" id="{D8D8EAE6-51C7-DCC9-A9E8-ACFDEBDF62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98430" y="3452813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21430</xdr:colOff>
      <xdr:row>37</xdr:row>
      <xdr:rowOff>4763</xdr:rowOff>
    </xdr:from>
    <xdr:to>
      <xdr:col>8</xdr:col>
      <xdr:colOff>59530</xdr:colOff>
      <xdr:row>52</xdr:row>
      <xdr:rowOff>33338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751A9C1B-96F4-1B8C-82B9-2C4966E0DF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21430</xdr:colOff>
      <xdr:row>37</xdr:row>
      <xdr:rowOff>28575</xdr:rowOff>
    </xdr:from>
    <xdr:to>
      <xdr:col>17</xdr:col>
      <xdr:colOff>59530</xdr:colOff>
      <xdr:row>52</xdr:row>
      <xdr:rowOff>57150</xdr:rowOff>
    </xdr:to>
    <xdr:graphicFrame macro="">
      <xdr:nvGraphicFramePr>
        <xdr:cNvPr id="8" name="Chart 3">
          <a:extLst>
            <a:ext uri="{FF2B5EF4-FFF2-40B4-BE49-F238E27FC236}">
              <a16:creationId xmlns:a16="http://schemas.microsoft.com/office/drawing/2014/main" id="{F2A73B2D-676A-3E74-F22A-919F80DAC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16668</xdr:colOff>
      <xdr:row>55</xdr:row>
      <xdr:rowOff>4763</xdr:rowOff>
    </xdr:from>
    <xdr:to>
      <xdr:col>8</xdr:col>
      <xdr:colOff>54768</xdr:colOff>
      <xdr:row>70</xdr:row>
      <xdr:rowOff>33338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id="{FFFF96D5-9F6A-C6D2-8AF8-B06E43C8D6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16668</xdr:colOff>
      <xdr:row>55</xdr:row>
      <xdr:rowOff>9525</xdr:rowOff>
    </xdr:from>
    <xdr:to>
      <xdr:col>17</xdr:col>
      <xdr:colOff>54768</xdr:colOff>
      <xdr:row>70</xdr:row>
      <xdr:rowOff>38100</xdr:rowOff>
    </xdr:to>
    <xdr:graphicFrame macro="">
      <xdr:nvGraphicFramePr>
        <xdr:cNvPr id="10" name="Chart 5">
          <a:extLst>
            <a:ext uri="{FF2B5EF4-FFF2-40B4-BE49-F238E27FC236}">
              <a16:creationId xmlns:a16="http://schemas.microsoft.com/office/drawing/2014/main" id="{E8A89A2D-8F33-9060-D28D-A4077660A4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2380</xdr:colOff>
      <xdr:row>73</xdr:row>
      <xdr:rowOff>23813</xdr:rowOff>
    </xdr:from>
    <xdr:to>
      <xdr:col>8</xdr:col>
      <xdr:colOff>40480</xdr:colOff>
      <xdr:row>88</xdr:row>
      <xdr:rowOff>52388</xdr:rowOff>
    </xdr:to>
    <xdr:graphicFrame macro="">
      <xdr:nvGraphicFramePr>
        <xdr:cNvPr id="11" name="Chart 6">
          <a:extLst>
            <a:ext uri="{FF2B5EF4-FFF2-40B4-BE49-F238E27FC236}">
              <a16:creationId xmlns:a16="http://schemas.microsoft.com/office/drawing/2014/main" id="{3F036CDD-7987-4EB4-32E6-D54FFBAB55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645317</xdr:colOff>
      <xdr:row>73</xdr:row>
      <xdr:rowOff>9524</xdr:rowOff>
    </xdr:from>
    <xdr:to>
      <xdr:col>17</xdr:col>
      <xdr:colOff>35717</xdr:colOff>
      <xdr:row>88</xdr:row>
      <xdr:rowOff>38099</xdr:rowOff>
    </xdr:to>
    <xdr:graphicFrame macro="">
      <xdr:nvGraphicFramePr>
        <xdr:cNvPr id="12" name="Chart 7">
          <a:extLst>
            <a:ext uri="{FF2B5EF4-FFF2-40B4-BE49-F238E27FC236}">
              <a16:creationId xmlns:a16="http://schemas.microsoft.com/office/drawing/2014/main" id="{72589B68-6A29-7543-11B8-F2E44DF868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621504</xdr:colOff>
      <xdr:row>90</xdr:row>
      <xdr:rowOff>171450</xdr:rowOff>
    </xdr:from>
    <xdr:to>
      <xdr:col>8</xdr:col>
      <xdr:colOff>11904</xdr:colOff>
      <xdr:row>106</xdr:row>
      <xdr:rowOff>19050</xdr:rowOff>
    </xdr:to>
    <xdr:graphicFrame macro="">
      <xdr:nvGraphicFramePr>
        <xdr:cNvPr id="13" name="Chart 6">
          <a:extLst>
            <a:ext uri="{FF2B5EF4-FFF2-40B4-BE49-F238E27FC236}">
              <a16:creationId xmlns:a16="http://schemas.microsoft.com/office/drawing/2014/main" id="{0EAED7E4-5428-30D5-EC9C-3787444D2E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2380</xdr:colOff>
      <xdr:row>91</xdr:row>
      <xdr:rowOff>4763</xdr:rowOff>
    </xdr:from>
    <xdr:to>
      <xdr:col>17</xdr:col>
      <xdr:colOff>40480</xdr:colOff>
      <xdr:row>106</xdr:row>
      <xdr:rowOff>33338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7">
              <a:extLst>
                <a:ext uri="{FF2B5EF4-FFF2-40B4-BE49-F238E27FC236}">
                  <a16:creationId xmlns:a16="http://schemas.microsoft.com/office/drawing/2014/main" id="{F1E048B3-0F42-D3A1-7188-4A9B56149C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79380" y="16473488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11905</xdr:colOff>
      <xdr:row>108</xdr:row>
      <xdr:rowOff>157162</xdr:rowOff>
    </xdr:from>
    <xdr:to>
      <xdr:col>8</xdr:col>
      <xdr:colOff>50005</xdr:colOff>
      <xdr:row>124</xdr:row>
      <xdr:rowOff>4762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E17F7A1C-38D2-D56A-C23D-8117CFFE2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2381</xdr:colOff>
      <xdr:row>108</xdr:row>
      <xdr:rowOff>180974</xdr:rowOff>
    </xdr:from>
    <xdr:to>
      <xdr:col>17</xdr:col>
      <xdr:colOff>40481</xdr:colOff>
      <xdr:row>124</xdr:row>
      <xdr:rowOff>28574</xdr:rowOff>
    </xdr:to>
    <xdr:graphicFrame macro="">
      <xdr:nvGraphicFramePr>
        <xdr:cNvPr id="15" name="Chart 3">
          <a:extLst>
            <a:ext uri="{FF2B5EF4-FFF2-40B4-BE49-F238E27FC236}">
              <a16:creationId xmlns:a16="http://schemas.microsoft.com/office/drawing/2014/main" id="{3BF8C487-903E-FA9F-30CE-5A42210EB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635793</xdr:colOff>
      <xdr:row>127</xdr:row>
      <xdr:rowOff>9524</xdr:rowOff>
    </xdr:from>
    <xdr:to>
      <xdr:col>8</xdr:col>
      <xdr:colOff>26193</xdr:colOff>
      <xdr:row>142</xdr:row>
      <xdr:rowOff>38099</xdr:rowOff>
    </xdr:to>
    <xdr:graphicFrame macro="">
      <xdr:nvGraphicFramePr>
        <xdr:cNvPr id="16" name="Chart 4">
          <a:extLst>
            <a:ext uri="{FF2B5EF4-FFF2-40B4-BE49-F238E27FC236}">
              <a16:creationId xmlns:a16="http://schemas.microsoft.com/office/drawing/2014/main" id="{A34A3BB9-4C2F-7403-7295-A495E744A6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10</xdr:col>
      <xdr:colOff>7142</xdr:colOff>
      <xdr:row>127</xdr:row>
      <xdr:rowOff>4763</xdr:rowOff>
    </xdr:from>
    <xdr:to>
      <xdr:col>17</xdr:col>
      <xdr:colOff>45242</xdr:colOff>
      <xdr:row>142</xdr:row>
      <xdr:rowOff>33338</xdr:rowOff>
    </xdr:to>
    <xdr:graphicFrame macro="">
      <xdr:nvGraphicFramePr>
        <xdr:cNvPr id="17" name="Chart 5">
          <a:extLst>
            <a:ext uri="{FF2B5EF4-FFF2-40B4-BE49-F238E27FC236}">
              <a16:creationId xmlns:a16="http://schemas.microsoft.com/office/drawing/2014/main" id="{8A56D772-A995-DE91-C9C6-62D1D317A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</xdr:col>
      <xdr:colOff>11905</xdr:colOff>
      <xdr:row>145</xdr:row>
      <xdr:rowOff>19051</xdr:rowOff>
    </xdr:from>
    <xdr:to>
      <xdr:col>8</xdr:col>
      <xdr:colOff>50005</xdr:colOff>
      <xdr:row>160</xdr:row>
      <xdr:rowOff>47626</xdr:rowOff>
    </xdr:to>
    <xdr:graphicFrame macro="">
      <xdr:nvGraphicFramePr>
        <xdr:cNvPr id="18" name="Chart 6">
          <a:extLst>
            <a:ext uri="{FF2B5EF4-FFF2-40B4-BE49-F238E27FC236}">
              <a16:creationId xmlns:a16="http://schemas.microsoft.com/office/drawing/2014/main" id="{A94E856D-FB1F-0FED-8665-4807DFF2D4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D KAIFI UR RAHMAN" refreshedDate="46284.175339351852" createdVersion="8" refreshedVersion="8" minRefreshableVersion="3" recordCount="1000" xr:uid="{32D86876-9249-4C68-867D-405418EE36AA}">
  <cacheSource type="worksheet">
    <worksheetSource name="DACS19___Pfizer’s_Personalised_Medicine_in"/>
  </cacheSource>
  <cacheFields count="29">
    <cacheField name="Patient_ID" numFmtId="0">
      <sharedItems/>
    </cacheField>
    <cacheField name="Age" numFmtId="0">
      <sharedItems containsSemiMixedTypes="0" containsString="0" containsNumber="1" containsInteger="1" minValue="18" maxValue="85"/>
    </cacheField>
    <cacheField name="Gender" numFmtId="0">
      <sharedItems count="3">
        <s v="Male"/>
        <s v="Female"/>
        <s v="Other"/>
      </sharedItems>
    </cacheField>
    <cacheField name="Ethnicity" numFmtId="0">
      <sharedItems count="5">
        <s v="African American"/>
        <s v="Other"/>
        <s v="Caucasian"/>
        <s v="Hispanic"/>
        <s v="Asian"/>
      </sharedItems>
    </cacheField>
    <cacheField name="Medical_History" numFmtId="0">
      <sharedItems/>
    </cacheField>
    <cacheField name="Genomic_Profile" numFmtId="0">
      <sharedItems/>
    </cacheField>
    <cacheField name="Trial_ID" numFmtId="0">
      <sharedItems/>
    </cacheField>
    <cacheField name="Drug_Name" numFmtId="0">
      <sharedItems count="4">
        <s v="DrugC"/>
        <s v="DrugA"/>
        <s v="DrugB"/>
        <s v="DrugD"/>
      </sharedItems>
    </cacheField>
    <cacheField name="Trial_Phase" numFmtId="0">
      <sharedItems count="4">
        <s v="Phase IV"/>
        <s v="Phase I"/>
        <s v="Phase II"/>
        <s v="Phase III"/>
      </sharedItems>
    </cacheField>
    <cacheField name="Start_Date" numFmtId="0">
      <sharedItems/>
    </cacheField>
    <cacheField name="End_Date" numFmtId="0">
      <sharedItems/>
    </cacheField>
    <cacheField name="Dose" numFmtId="0">
      <sharedItems/>
    </cacheField>
    <cacheField name="Adverse_Events" numFmtId="0">
      <sharedItems/>
    </cacheField>
    <cacheField name="Treatment_ID" numFmtId="0">
      <sharedItems/>
    </cacheField>
    <cacheField name="Dose_Administered" numFmtId="0">
      <sharedItems/>
    </cacheField>
    <cacheField name="Treatment_Outcome" numFmtId="0">
      <sharedItems count="3">
        <s v="Improved"/>
        <s v="No Change"/>
        <s v="Deteriorated"/>
      </sharedItems>
    </cacheField>
    <cacheField name="Side_Effects" numFmtId="0">
      <sharedItems count="5">
        <s v="Headache"/>
        <s v="Fatigue"/>
        <s v="Dizziness"/>
        <s v="Nausea"/>
        <s v="Not Reported"/>
      </sharedItems>
    </cacheField>
    <cacheField name="Duration_of_Treatment" numFmtId="0">
      <sharedItems containsSemiMixedTypes="0" containsString="0" containsNumber="1" containsInteger="1" minValue="30" maxValue="180" count="151">
        <n v="95"/>
        <n v="90"/>
        <n v="64"/>
        <n v="159"/>
        <n v="44"/>
        <n v="76"/>
        <n v="138"/>
        <n v="42"/>
        <n v="86"/>
        <n v="77"/>
        <n v="124"/>
        <n v="152"/>
        <n v="47"/>
        <n v="103"/>
        <n v="50"/>
        <n v="99"/>
        <n v="108"/>
        <n v="129"/>
        <n v="156"/>
        <n v="131"/>
        <n v="134"/>
        <n v="57"/>
        <n v="180"/>
        <n v="111"/>
        <n v="59"/>
        <n v="91"/>
        <n v="145"/>
        <n v="104"/>
        <n v="93"/>
        <n v="166"/>
        <n v="130"/>
        <n v="46"/>
        <n v="142"/>
        <n v="139"/>
        <n v="56"/>
        <n v="135"/>
        <n v="102"/>
        <n v="63"/>
        <n v="136"/>
        <n v="109"/>
        <n v="96"/>
        <n v="72"/>
        <n v="87"/>
        <n v="113"/>
        <n v="89"/>
        <n v="163"/>
        <n v="74"/>
        <n v="80"/>
        <n v="101"/>
        <n v="127"/>
        <n v="174"/>
        <n v="45"/>
        <n v="121"/>
        <n v="117"/>
        <n v="78"/>
        <n v="82"/>
        <n v="97"/>
        <n v="81"/>
        <n v="132"/>
        <n v="112"/>
        <n v="37"/>
        <n v="75"/>
        <n v="151"/>
        <n v="160"/>
        <n v="65"/>
        <n v="105"/>
        <n v="148"/>
        <n v="143"/>
        <n v="157"/>
        <n v="58"/>
        <n v="110"/>
        <n v="146"/>
        <n v="68"/>
        <n v="133"/>
        <n v="53"/>
        <n v="30"/>
        <n v="60"/>
        <n v="153"/>
        <n v="168"/>
        <n v="43"/>
        <n v="126"/>
        <n v="48"/>
        <n v="161"/>
        <n v="170"/>
        <n v="178"/>
        <n v="40"/>
        <n v="94"/>
        <n v="176"/>
        <n v="179"/>
        <n v="32"/>
        <n v="120"/>
        <n v="31"/>
        <n v="38"/>
        <n v="55"/>
        <n v="85"/>
        <n v="70"/>
        <n v="118"/>
        <n v="149"/>
        <n v="175"/>
        <n v="125"/>
        <n v="141"/>
        <n v="144"/>
        <n v="154"/>
        <n v="119"/>
        <n v="155"/>
        <n v="167"/>
        <n v="158"/>
        <n v="51"/>
        <n v="137"/>
        <n v="106"/>
        <n v="83"/>
        <n v="115"/>
        <n v="52"/>
        <n v="54"/>
        <n v="67"/>
        <n v="122"/>
        <n v="36"/>
        <n v="49"/>
        <n v="39"/>
        <n v="33"/>
        <n v="100"/>
        <n v="147"/>
        <n v="177"/>
        <n v="173"/>
        <n v="150"/>
        <n v="34"/>
        <n v="69"/>
        <n v="116"/>
        <n v="92"/>
        <n v="35"/>
        <n v="114"/>
        <n v="88"/>
        <n v="62"/>
        <n v="61"/>
        <n v="79"/>
        <n v="164"/>
        <n v="123"/>
        <n v="107"/>
        <n v="66"/>
        <n v="98"/>
        <n v="128"/>
        <n v="165"/>
        <n v="171"/>
        <n v="140"/>
        <n v="71"/>
        <n v="169"/>
        <n v="73"/>
        <n v="162"/>
        <n v="172"/>
        <n v="41"/>
        <n v="84"/>
      </sharedItems>
      <fieldGroup base="17">
        <rangePr startNum="30" endNum="180" groupInterval="30"/>
        <groupItems count="7">
          <s v="&lt;30"/>
          <s v="30-59"/>
          <s v="60-89"/>
          <s v="90-119"/>
          <s v="120-149"/>
          <s v="150-180"/>
          <s v="&gt;180"/>
        </groupItems>
      </fieldGroup>
    </cacheField>
    <cacheField name="Success_Indicator" numFmtId="0">
      <sharedItems containsSemiMixedTypes="0" containsString="0" containsNumber="1" containsInteger="1" minValue="0" maxValue="1"/>
    </cacheField>
    <cacheField name="Gene_Name" numFmtId="0">
      <sharedItems count="5">
        <s v="BRCA2"/>
        <s v="HER2"/>
        <s v="EGFR"/>
        <s v="BRCA1"/>
        <s v="TP53"/>
      </sharedItems>
    </cacheField>
    <cacheField name="Mutation_Status" numFmtId="0">
      <sharedItems count="2">
        <s v="Positive"/>
        <s v="Negative"/>
      </sharedItems>
    </cacheField>
    <cacheField name="Expression_Level" numFmtId="0">
      <sharedItems containsSemiMixedTypes="0" containsString="0" containsNumber="1" minValue="1" maxValue="4.9800000000000004"/>
    </cacheField>
    <cacheField name="Biomarker_Level" numFmtId="0">
      <sharedItems containsSemiMixedTypes="0" containsString="0" containsNumber="1" minValue="1" maxValue="5"/>
    </cacheField>
    <cacheField name="Efficacy_Score" numFmtId="0">
      <sharedItems containsSemiMixedTypes="0" containsString="0" containsNumber="1" minValue="1" maxValue="10" count="91">
        <n v="3.8"/>
        <n v="8.4"/>
        <n v="9.4"/>
        <n v="8.3000000000000007"/>
        <n v="9.6999999999999993"/>
        <n v="3.5"/>
        <n v="10"/>
        <n v="3.2"/>
        <n v="3.1"/>
        <n v="7"/>
        <n v="6"/>
        <n v="1.3"/>
        <n v="2.2000000000000002"/>
        <n v="4.9000000000000004"/>
        <n v="4.5999999999999996"/>
        <n v="9.3000000000000007"/>
        <n v="5.4"/>
        <n v="2.6"/>
        <n v="4.3"/>
        <n v="6.7"/>
        <n v="7.7"/>
        <n v="5.6"/>
        <n v="2.9"/>
        <n v="7.1"/>
        <n v="6.3"/>
        <n v="6.5"/>
        <n v="2.4"/>
        <n v="1.7"/>
        <n v="2.5"/>
        <n v="6.2"/>
        <n v="4"/>
        <n v="5.2"/>
        <n v="1.6"/>
        <n v="8.1999999999999993"/>
        <n v="5.9"/>
        <n v="6.6"/>
        <n v="5.8"/>
        <n v="8.9"/>
        <n v="2.1"/>
        <n v="7.5"/>
        <n v="3.3"/>
        <n v="6.1"/>
        <n v="4.0999999999999996"/>
        <n v="2.2999999999999998"/>
        <n v="5.7"/>
        <n v="6.8"/>
        <n v="6.9"/>
        <n v="1.2"/>
        <n v="8.5"/>
        <n v="9.1"/>
        <n v="9.5"/>
        <n v="9.9"/>
        <n v="9.1999999999999993"/>
        <n v="1.4"/>
        <n v="3.7"/>
        <n v="7.6"/>
        <n v="1.5"/>
        <n v="2"/>
        <n v="3.4"/>
        <n v="8.6"/>
        <n v="3.9"/>
        <n v="7.9"/>
        <n v="4.8"/>
        <n v="2.7"/>
        <n v="9"/>
        <n v="7.8"/>
        <n v="3"/>
        <n v="8.8000000000000007"/>
        <n v="4.7"/>
        <n v="5.5"/>
        <n v="7.3"/>
        <n v="5"/>
        <n v="5.3"/>
        <n v="8"/>
        <n v="4.2"/>
        <n v="1.9"/>
        <n v="8.1"/>
        <n v="8.6999999999999993"/>
        <n v="9.6"/>
        <n v="7.4"/>
        <n v="6.4"/>
        <n v="2.8"/>
        <n v="1.1000000000000001"/>
        <n v="5.0999999999999996"/>
        <n v="9.8000000000000007"/>
        <n v="1"/>
        <n v="7.2"/>
        <n v="1.8"/>
        <n v="4.5"/>
        <n v="4.4000000000000004"/>
        <n v="3.6"/>
      </sharedItems>
    </cacheField>
    <cacheField name="Survival_Rate" numFmtId="0">
      <sharedItems containsSemiMixedTypes="0" containsString="0" containsNumber="1" minValue="6" maxValue="24"/>
    </cacheField>
    <cacheField name="Progression_Free_Survival" numFmtId="0">
      <sharedItems containsSemiMixedTypes="0" containsString="0" containsNumber="1" minValue="3" maxValue="20" count="170">
        <n v="14.6"/>
        <n v="15.3"/>
        <n v="3.8"/>
        <n v="5.6"/>
        <n v="17.3"/>
        <n v="17.7"/>
        <n v="16.100000000000001"/>
        <n v="5.2"/>
        <n v="13.5"/>
        <n v="17.899999999999999"/>
        <n v="9"/>
        <n v="8.9"/>
        <n v="7.4"/>
        <n v="13.8"/>
        <n v="18.2"/>
        <n v="3.7"/>
        <n v="5.0999999999999996"/>
        <n v="14.7"/>
        <n v="15.7"/>
        <n v="7.3"/>
        <n v="4.8"/>
        <n v="9.4"/>
        <n v="5"/>
        <n v="11.5"/>
        <n v="10.3"/>
        <n v="12.7"/>
        <n v="4.7"/>
        <n v="7.8"/>
        <n v="10"/>
        <n v="18.8"/>
        <n v="6.2"/>
        <n v="11.2"/>
        <n v="4.0999999999999996"/>
        <n v="15.4"/>
        <n v="12.8"/>
        <n v="5.8"/>
        <n v="9.1"/>
        <n v="6.9"/>
        <n v="13.6"/>
        <n v="5.4"/>
        <n v="16.399999999999999"/>
        <n v="3.6"/>
        <n v="17"/>
        <n v="16.600000000000001"/>
        <n v="13.9"/>
        <n v="6.1"/>
        <n v="19.100000000000001"/>
        <n v="3.3"/>
        <n v="18.7"/>
        <n v="10.199999999999999"/>
        <n v="4.9000000000000004"/>
        <n v="17.8"/>
        <n v="8.6999999999999993"/>
        <n v="12.1"/>
        <n v="10.7"/>
        <n v="13.7"/>
        <n v="5.5"/>
        <n v="13.1"/>
        <n v="6.5"/>
        <n v="9.8000000000000007"/>
        <n v="3.4"/>
        <n v="6.8"/>
        <n v="7.1"/>
        <n v="14.4"/>
        <n v="4.5"/>
        <n v="9.5"/>
        <n v="12.4"/>
        <n v="5.9"/>
        <n v="13.2"/>
        <n v="10.1"/>
        <n v="15.5"/>
        <n v="7.9"/>
        <n v="11.1"/>
        <n v="3.5"/>
        <n v="16.899999999999999"/>
        <n v="10.6"/>
        <n v="16.7"/>
        <n v="11.3"/>
        <n v="15"/>
        <n v="17.100000000000001"/>
        <n v="4.3"/>
        <n v="8.4"/>
        <n v="18.100000000000001"/>
        <n v="20"/>
        <n v="19.8"/>
        <n v="19.899999999999999"/>
        <n v="14.1"/>
        <n v="7.5"/>
        <n v="5.7"/>
        <n v="12.2"/>
        <n v="14.8"/>
        <n v="7.6"/>
        <n v="15.9"/>
        <n v="12.9"/>
        <n v="3.2"/>
        <n v="8"/>
        <n v="8.5"/>
        <n v="15.1"/>
        <n v="4"/>
        <n v="19.600000000000001"/>
        <n v="15.6"/>
        <n v="7"/>
        <n v="7.2"/>
        <n v="14.2"/>
        <n v="14.3"/>
        <n v="12"/>
        <n v="18.899999999999999"/>
        <n v="16.3"/>
        <n v="8.6"/>
        <n v="10.4"/>
        <n v="13.3"/>
        <n v="16"/>
        <n v="6.3"/>
        <n v="11.9"/>
        <n v="19.399999999999999"/>
        <n v="18.3"/>
        <n v="6.7"/>
        <n v="12.3"/>
        <n v="15.2"/>
        <n v="4.2"/>
        <n v="6"/>
        <n v="5.3"/>
        <n v="9.1999999999999993"/>
        <n v="10.5"/>
        <n v="9.6999999999999993"/>
        <n v="11.8"/>
        <n v="4.4000000000000004"/>
        <n v="16.8"/>
        <n v="19"/>
        <n v="14"/>
        <n v="18.600000000000001"/>
        <n v="19.7"/>
        <n v="12.6"/>
        <n v="16.5"/>
        <n v="14.5"/>
        <n v="8.1"/>
        <n v="15.8"/>
        <n v="17.600000000000001"/>
        <n v="17.399999999999999"/>
        <n v="3.9"/>
        <n v="18"/>
        <n v="11"/>
        <n v="11.7"/>
        <n v="18.5"/>
        <n v="17.5"/>
        <n v="19.2"/>
        <n v="3.1"/>
        <n v="8.8000000000000007"/>
        <n v="11.6"/>
        <n v="9.6"/>
        <n v="19.3"/>
        <n v="10.9"/>
        <n v="9.9"/>
        <n v="6.4"/>
        <n v="13"/>
        <n v="3"/>
        <n v="8.3000000000000007"/>
        <n v="14.9"/>
        <n v="10.8"/>
        <n v="6.6"/>
        <n v="9.3000000000000007"/>
        <n v="17.2"/>
        <n v="8.1999999999999993"/>
        <n v="11.4"/>
        <n v="19.5"/>
        <n v="7.7"/>
        <n v="13.4"/>
        <n v="12.5"/>
        <n v="4.5999999999999996"/>
        <n v="16.2"/>
      </sharedItems>
      <fieldGroup base="25">
        <rangePr startNum="3" endNum="20" groupInterval="5"/>
        <groupItems count="6">
          <s v="&lt;3"/>
          <s v="3-8"/>
          <s v="8-13"/>
          <s v="13-18"/>
          <s v="18-23"/>
          <s v="&gt;23"/>
        </groupItems>
      </fieldGroup>
    </cacheField>
    <cacheField name="Dose_Numeric" numFmtId="0">
      <sharedItems containsSemiMixedTypes="0" containsString="0" containsNumber="1" containsInteger="1" minValue="50" maxValue="200" count="4">
        <n v="200"/>
        <n v="100"/>
        <n v="150"/>
        <n v="50"/>
      </sharedItems>
    </cacheField>
    <cacheField name="Dose_Administered_Numeric" numFmtId="0">
      <sharedItems containsSemiMixedTypes="0" containsString="0" containsNumber="1" containsInteger="1" minValue="50" maxValue="200"/>
    </cacheField>
    <cacheField name="Age_Group" numFmtId="0">
      <sharedItems count="4">
        <s v="18-30"/>
        <s v="51-65"/>
        <s v="66+"/>
        <s v="31-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D KAIFI UR RAHMAN" refreshedDate="46284.18086886574" createdVersion="8" refreshedVersion="8" minRefreshableVersion="3" recordCount="1000" xr:uid="{581CCBA7-DC96-4FD3-9517-694747FAF23A}">
  <cacheSource type="worksheet">
    <worksheetSource ref="A1:AB1001" sheet="Clean_Data"/>
  </cacheSource>
  <cacheFields count="28">
    <cacheField name="Patient_ID" numFmtId="0">
      <sharedItems/>
    </cacheField>
    <cacheField name="Age" numFmtId="0">
      <sharedItems containsSemiMixedTypes="0" containsString="0" containsNumber="1" containsInteger="1" minValue="18" maxValue="85"/>
    </cacheField>
    <cacheField name="Gender" numFmtId="0">
      <sharedItems/>
    </cacheField>
    <cacheField name="Ethnicity" numFmtId="0">
      <sharedItems/>
    </cacheField>
    <cacheField name="Medical_History" numFmtId="0">
      <sharedItems/>
    </cacheField>
    <cacheField name="Genomic_Profile" numFmtId="0">
      <sharedItems/>
    </cacheField>
    <cacheField name="Trial_ID" numFmtId="0">
      <sharedItems/>
    </cacheField>
    <cacheField name="Drug_Name" numFmtId="0">
      <sharedItems count="4">
        <s v="DrugC"/>
        <s v="DrugA"/>
        <s v="DrugB"/>
        <s v="DrugD"/>
      </sharedItems>
    </cacheField>
    <cacheField name="Trial_Phase" numFmtId="0">
      <sharedItems count="4">
        <s v="Phase IV"/>
        <s v="Phase I"/>
        <s v="Phase II"/>
        <s v="Phase III"/>
      </sharedItems>
    </cacheField>
    <cacheField name="Start_Date" numFmtId="0">
      <sharedItems/>
    </cacheField>
    <cacheField name="End_Date" numFmtId="0">
      <sharedItems/>
    </cacheField>
    <cacheField name="Dose" numFmtId="0">
      <sharedItems/>
    </cacheField>
    <cacheField name="Adverse_Events" numFmtId="0">
      <sharedItems/>
    </cacheField>
    <cacheField name="Treatment_ID" numFmtId="0">
      <sharedItems/>
    </cacheField>
    <cacheField name="Dose_Administered" numFmtId="0">
      <sharedItems/>
    </cacheField>
    <cacheField name="Treatment_Outcome" numFmtId="0">
      <sharedItems count="3">
        <s v="Improved"/>
        <s v="No Change"/>
        <s v="Deteriorated"/>
      </sharedItems>
    </cacheField>
    <cacheField name="Side_Effects" numFmtId="0">
      <sharedItems/>
    </cacheField>
    <cacheField name="Duration_of_Treatment" numFmtId="0">
      <sharedItems containsSemiMixedTypes="0" containsString="0" containsNumber="1" containsInteger="1" minValue="30" maxValue="180"/>
    </cacheField>
    <cacheField name="Success_Indicator" numFmtId="0">
      <sharedItems containsSemiMixedTypes="0" containsString="0" containsNumber="1" containsInteger="1" minValue="0" maxValue="1"/>
    </cacheField>
    <cacheField name="Gene_Name" numFmtId="0">
      <sharedItems/>
    </cacheField>
    <cacheField name="Mutation_Status" numFmtId="0">
      <sharedItems/>
    </cacheField>
    <cacheField name="Expression_Level" numFmtId="0">
      <sharedItems containsSemiMixedTypes="0" containsString="0" containsNumber="1" minValue="1" maxValue="4.9800000000000004"/>
    </cacheField>
    <cacheField name="Biomarker_Level" numFmtId="0">
      <sharedItems containsSemiMixedTypes="0" containsString="0" containsNumber="1" minValue="1" maxValue="5"/>
    </cacheField>
    <cacheField name="Efficacy_Score" numFmtId="0">
      <sharedItems containsSemiMixedTypes="0" containsString="0" containsNumber="1" minValue="1" maxValue="10"/>
    </cacheField>
    <cacheField name="Survival_Rate" numFmtId="0">
      <sharedItems containsSemiMixedTypes="0" containsString="0" containsNumber="1" minValue="6" maxValue="24"/>
    </cacheField>
    <cacheField name="Progression_Free_Survival" numFmtId="0">
      <sharedItems containsSemiMixedTypes="0" containsString="0" containsNumber="1" minValue="3" maxValue="20"/>
    </cacheField>
    <cacheField name="Dose_Numeric" numFmtId="0">
      <sharedItems containsSemiMixedTypes="0" containsString="0" containsNumber="1" containsInteger="1" minValue="50" maxValue="200"/>
    </cacheField>
    <cacheField name="Dose_Administered_Numeric" numFmtId="0">
      <sharedItems containsSemiMixedTypes="0" containsString="0" containsNumber="1" containsInteger="1" minValue="50" maxValue="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001"/>
    <n v="22"/>
    <x v="0"/>
    <x v="0"/>
    <s v="Heart Disease"/>
    <s v="Not Reported"/>
    <s v="T011"/>
    <x v="0"/>
    <x v="0"/>
    <s v="9/16/2023"/>
    <s v="5/16/2024"/>
    <s v="200mg"/>
    <s v="Fatigue, Nausea"/>
    <s v="TR0085"/>
    <s v="200mg"/>
    <x v="0"/>
    <x v="0"/>
    <x v="0"/>
    <n v="1"/>
    <x v="0"/>
    <x v="0"/>
    <n v="3.79"/>
    <n v="3.14"/>
    <x v="0"/>
    <n v="20.6"/>
    <x v="0"/>
    <x v="0"/>
    <n v="200"/>
    <x v="0"/>
  </r>
  <r>
    <s v="P002"/>
    <n v="61"/>
    <x v="1"/>
    <x v="1"/>
    <s v="Diabetes"/>
    <s v="HER2 Mutation"/>
    <s v="T014"/>
    <x v="0"/>
    <x v="1"/>
    <s v="11/4/2022"/>
    <s v="7/4/2023"/>
    <s v="100mg"/>
    <s v="Not Reported, Fatigue"/>
    <s v="TR0002"/>
    <s v="100mg"/>
    <x v="1"/>
    <x v="0"/>
    <x v="1"/>
    <n v="0"/>
    <x v="1"/>
    <x v="1"/>
    <n v="1.65"/>
    <n v="4.6399999999999997"/>
    <x v="1"/>
    <n v="23.1"/>
    <x v="1"/>
    <x v="1"/>
    <n v="100"/>
    <x v="1"/>
  </r>
  <r>
    <s v="P003"/>
    <n v="60"/>
    <x v="1"/>
    <x v="1"/>
    <s v="Heart Disease"/>
    <s v="TP53 Mutation"/>
    <s v="T008"/>
    <x v="1"/>
    <x v="1"/>
    <s v="5/6/2022"/>
    <s v="5/6/2023"/>
    <s v="150mg"/>
    <s v="Nausea, Not Reported, Fatigue"/>
    <s v="TR0158"/>
    <s v="150mg"/>
    <x v="0"/>
    <x v="1"/>
    <x v="2"/>
    <n v="1"/>
    <x v="1"/>
    <x v="0"/>
    <n v="3.45"/>
    <n v="2.67"/>
    <x v="2"/>
    <n v="21.6"/>
    <x v="2"/>
    <x v="2"/>
    <n v="150"/>
    <x v="1"/>
  </r>
  <r>
    <s v="P004"/>
    <n v="76"/>
    <x v="2"/>
    <x v="1"/>
    <s v="Not Reported"/>
    <s v="EGFR Mutation"/>
    <s v="T016"/>
    <x v="2"/>
    <x v="2"/>
    <s v="2/17/2023"/>
    <s v="3/17/2024"/>
    <s v="150mg"/>
    <s v="Dizziness"/>
    <s v="TR0029"/>
    <s v="150mg"/>
    <x v="0"/>
    <x v="2"/>
    <x v="3"/>
    <n v="1"/>
    <x v="0"/>
    <x v="0"/>
    <n v="1.1100000000000001"/>
    <n v="2.5099999999999998"/>
    <x v="3"/>
    <n v="23.8"/>
    <x v="3"/>
    <x v="2"/>
    <n v="150"/>
    <x v="2"/>
  </r>
  <r>
    <s v="P005"/>
    <n v="39"/>
    <x v="1"/>
    <x v="1"/>
    <s v="Asthma"/>
    <s v="BRCA2 Mutation"/>
    <s v="T019"/>
    <x v="3"/>
    <x v="1"/>
    <s v="8/26/2023"/>
    <s v="2/26/2024"/>
    <s v="200mg"/>
    <s v="Dizziness"/>
    <s v="TR0107"/>
    <s v="200mg"/>
    <x v="1"/>
    <x v="2"/>
    <x v="4"/>
    <n v="0"/>
    <x v="2"/>
    <x v="1"/>
    <n v="3.38"/>
    <n v="2.52"/>
    <x v="4"/>
    <n v="21.2"/>
    <x v="4"/>
    <x v="0"/>
    <n v="200"/>
    <x v="3"/>
  </r>
  <r>
    <s v="P006"/>
    <n v="57"/>
    <x v="2"/>
    <x v="2"/>
    <s v="Asthma"/>
    <s v="BRCA1 Mutation"/>
    <s v="T007"/>
    <x v="1"/>
    <x v="1"/>
    <s v="6/23/2022"/>
    <s v="1/23/2023"/>
    <s v="50mg"/>
    <s v="Headache"/>
    <s v="TR0009"/>
    <s v="50mg"/>
    <x v="1"/>
    <x v="0"/>
    <x v="5"/>
    <n v="0"/>
    <x v="0"/>
    <x v="1"/>
    <n v="2.87"/>
    <n v="2.66"/>
    <x v="5"/>
    <n v="7"/>
    <x v="5"/>
    <x v="3"/>
    <n v="50"/>
    <x v="1"/>
  </r>
  <r>
    <s v="P007"/>
    <n v="65"/>
    <x v="1"/>
    <x v="3"/>
    <s v="Asthma"/>
    <s v="EGFR Mutation"/>
    <s v="T005"/>
    <x v="0"/>
    <x v="1"/>
    <s v="9/13/2020"/>
    <s v="11/13/2021"/>
    <s v="100mg"/>
    <s v="Fatigue, Nausea, Headache"/>
    <s v="TR0077"/>
    <s v="100mg"/>
    <x v="1"/>
    <x v="2"/>
    <x v="6"/>
    <n v="0"/>
    <x v="2"/>
    <x v="1"/>
    <n v="4.25"/>
    <n v="5"/>
    <x v="6"/>
    <n v="16"/>
    <x v="6"/>
    <x v="1"/>
    <n v="100"/>
    <x v="1"/>
  </r>
  <r>
    <s v="P008"/>
    <n v="47"/>
    <x v="0"/>
    <x v="3"/>
    <s v="Not Reported"/>
    <s v="BRCA2 Mutation"/>
    <s v="T004"/>
    <x v="1"/>
    <x v="0"/>
    <s v="1/8/2023"/>
    <s v="10/8/2023"/>
    <s v="50mg"/>
    <s v="Dizziness"/>
    <s v="TR0009"/>
    <s v="50mg"/>
    <x v="1"/>
    <x v="2"/>
    <x v="7"/>
    <n v="0"/>
    <x v="0"/>
    <x v="0"/>
    <n v="4.78"/>
    <n v="4.4000000000000004"/>
    <x v="7"/>
    <n v="14.1"/>
    <x v="7"/>
    <x v="3"/>
    <n v="50"/>
    <x v="3"/>
  </r>
  <r>
    <s v="P009"/>
    <n v="69"/>
    <x v="1"/>
    <x v="4"/>
    <s v="Heart Disease"/>
    <s v="BRCA1 Mutation"/>
    <s v="T005"/>
    <x v="0"/>
    <x v="2"/>
    <s v="6/19/2023"/>
    <s v="9/19/2024"/>
    <s v="150mg"/>
    <s v="Not Reported"/>
    <s v="TR0037"/>
    <s v="150mg"/>
    <x v="2"/>
    <x v="2"/>
    <x v="8"/>
    <n v="0"/>
    <x v="1"/>
    <x v="1"/>
    <n v="4.82"/>
    <n v="3.42"/>
    <x v="8"/>
    <n v="18.100000000000001"/>
    <x v="8"/>
    <x v="2"/>
    <n v="150"/>
    <x v="2"/>
  </r>
  <r>
    <s v="P010"/>
    <n v="53"/>
    <x v="0"/>
    <x v="1"/>
    <s v="Heart Disease"/>
    <s v="Not Reported"/>
    <s v="T006"/>
    <x v="3"/>
    <x v="0"/>
    <s v="6/21/2019"/>
    <s v="10/21/2020"/>
    <s v="200mg"/>
    <s v="Not Reported, Headache, Fatigue"/>
    <s v="TR0039"/>
    <s v="200mg"/>
    <x v="1"/>
    <x v="0"/>
    <x v="9"/>
    <n v="0"/>
    <x v="2"/>
    <x v="1"/>
    <n v="2.4300000000000002"/>
    <n v="1.45"/>
    <x v="9"/>
    <n v="15.4"/>
    <x v="6"/>
    <x v="0"/>
    <n v="200"/>
    <x v="1"/>
  </r>
  <r>
    <s v="P011"/>
    <n v="48"/>
    <x v="0"/>
    <x v="0"/>
    <s v="Diabetes"/>
    <s v="Not Reported"/>
    <s v="T002"/>
    <x v="3"/>
    <x v="0"/>
    <s v="9/5/2023"/>
    <s v="9/5/2024"/>
    <s v="100mg"/>
    <s v="Fatigue, Not Reported"/>
    <s v="TR0166"/>
    <s v="100mg"/>
    <x v="0"/>
    <x v="0"/>
    <x v="10"/>
    <n v="1"/>
    <x v="3"/>
    <x v="0"/>
    <n v="3.08"/>
    <n v="4.41"/>
    <x v="10"/>
    <n v="16.100000000000001"/>
    <x v="9"/>
    <x v="1"/>
    <n v="100"/>
    <x v="3"/>
  </r>
  <r>
    <s v="P012"/>
    <n v="24"/>
    <x v="1"/>
    <x v="3"/>
    <s v="Heart Disease"/>
    <s v="Not Reported"/>
    <s v="T003"/>
    <x v="2"/>
    <x v="2"/>
    <s v="4/28/2022"/>
    <s v="3/28/2023"/>
    <s v="150mg"/>
    <s v="Fatigue"/>
    <s v="TR0049"/>
    <s v="150mg"/>
    <x v="2"/>
    <x v="3"/>
    <x v="11"/>
    <n v="0"/>
    <x v="0"/>
    <x v="0"/>
    <n v="2.61"/>
    <n v="1.54"/>
    <x v="11"/>
    <n v="19.600000000000001"/>
    <x v="8"/>
    <x v="2"/>
    <n v="150"/>
    <x v="0"/>
  </r>
  <r>
    <s v="P013"/>
    <n v="68"/>
    <x v="0"/>
    <x v="1"/>
    <s v="Not Reported"/>
    <s v="Not Reported"/>
    <s v="T013"/>
    <x v="3"/>
    <x v="3"/>
    <s v="5/12/2021"/>
    <s v="7/12/2022"/>
    <s v="200mg"/>
    <s v="Nausea, Headache"/>
    <s v="TR0195"/>
    <s v="200mg"/>
    <x v="1"/>
    <x v="1"/>
    <x v="10"/>
    <n v="0"/>
    <x v="4"/>
    <x v="1"/>
    <n v="3.82"/>
    <n v="1.85"/>
    <x v="12"/>
    <n v="6.3"/>
    <x v="10"/>
    <x v="0"/>
    <n v="200"/>
    <x v="2"/>
  </r>
  <r>
    <s v="P014"/>
    <n v="23"/>
    <x v="2"/>
    <x v="4"/>
    <s v="Diabetes"/>
    <s v="EGFR Mutation"/>
    <s v="T019"/>
    <x v="3"/>
    <x v="3"/>
    <s v="4/11/2020"/>
    <s v="1/11/2021"/>
    <s v="200mg"/>
    <s v="Fatigue, Headache, Not Reported"/>
    <s v="TR0168"/>
    <s v="200mg"/>
    <x v="2"/>
    <x v="4"/>
    <x v="0"/>
    <n v="0"/>
    <x v="1"/>
    <x v="1"/>
    <n v="3.36"/>
    <n v="2.57"/>
    <x v="13"/>
    <n v="22.3"/>
    <x v="11"/>
    <x v="0"/>
    <n v="200"/>
    <x v="0"/>
  </r>
  <r>
    <s v="P015"/>
    <n v="76"/>
    <x v="0"/>
    <x v="0"/>
    <s v="Diabetes"/>
    <s v="EGFR Mutation"/>
    <s v="T016"/>
    <x v="2"/>
    <x v="1"/>
    <s v="1/27/2023"/>
    <s v="8/27/2023"/>
    <s v="50mg"/>
    <s v="Headache"/>
    <s v="TR0036"/>
    <s v="50mg"/>
    <x v="2"/>
    <x v="1"/>
    <x v="12"/>
    <n v="0"/>
    <x v="0"/>
    <x v="0"/>
    <n v="3.06"/>
    <n v="4.13"/>
    <x v="14"/>
    <n v="17.2"/>
    <x v="5"/>
    <x v="3"/>
    <n v="50"/>
    <x v="2"/>
  </r>
  <r>
    <s v="P016"/>
    <n v="45"/>
    <x v="2"/>
    <x v="3"/>
    <s v="Not Reported"/>
    <s v="EGFR Mutation"/>
    <s v="T016"/>
    <x v="3"/>
    <x v="1"/>
    <s v="9/18/2019"/>
    <s v="9/18/2020"/>
    <s v="50mg"/>
    <s v="Dizziness"/>
    <s v="TR0185"/>
    <s v="50mg"/>
    <x v="1"/>
    <x v="2"/>
    <x v="13"/>
    <n v="0"/>
    <x v="3"/>
    <x v="1"/>
    <n v="4.8"/>
    <n v="1.59"/>
    <x v="15"/>
    <n v="14.9"/>
    <x v="12"/>
    <x v="3"/>
    <n v="50"/>
    <x v="3"/>
  </r>
  <r>
    <s v="P017"/>
    <n v="40"/>
    <x v="0"/>
    <x v="2"/>
    <s v="Heart Disease"/>
    <s v="BRCA2 Mutation"/>
    <s v="T020"/>
    <x v="0"/>
    <x v="3"/>
    <s v="7/3/2021"/>
    <s v="6/3/2022"/>
    <s v="200mg"/>
    <s v="Dizziness, Fatigue"/>
    <s v="TR0179"/>
    <s v="200mg"/>
    <x v="0"/>
    <x v="4"/>
    <x v="14"/>
    <n v="1"/>
    <x v="3"/>
    <x v="0"/>
    <n v="2.84"/>
    <n v="4.92"/>
    <x v="16"/>
    <n v="11.9"/>
    <x v="13"/>
    <x v="0"/>
    <n v="200"/>
    <x v="3"/>
  </r>
  <r>
    <s v="P018"/>
    <n v="69"/>
    <x v="1"/>
    <x v="3"/>
    <s v="Heart Disease"/>
    <s v="BRCA1 Mutation"/>
    <s v="T006"/>
    <x v="1"/>
    <x v="0"/>
    <s v="11/26/2022"/>
    <s v="10/26/2023"/>
    <s v="50mg"/>
    <s v="Nausea, Fatigue, Dizziness"/>
    <s v="TR0178"/>
    <s v="50mg"/>
    <x v="2"/>
    <x v="0"/>
    <x v="15"/>
    <n v="0"/>
    <x v="3"/>
    <x v="0"/>
    <n v="1.96"/>
    <n v="1.3"/>
    <x v="12"/>
    <n v="8.3000000000000007"/>
    <x v="3"/>
    <x v="3"/>
    <n v="50"/>
    <x v="2"/>
  </r>
  <r>
    <s v="P019"/>
    <n v="53"/>
    <x v="2"/>
    <x v="1"/>
    <s v="Hypertension"/>
    <s v="TP53 Mutation"/>
    <s v="T001"/>
    <x v="2"/>
    <x v="2"/>
    <s v="2/10/2022"/>
    <s v="10/10/2022"/>
    <s v="100mg"/>
    <s v="Headache, Not Reported, Fatigue"/>
    <s v="TR0194"/>
    <s v="100mg"/>
    <x v="2"/>
    <x v="1"/>
    <x v="14"/>
    <n v="0"/>
    <x v="2"/>
    <x v="1"/>
    <n v="1.56"/>
    <n v="3.56"/>
    <x v="17"/>
    <n v="12.2"/>
    <x v="14"/>
    <x v="1"/>
    <n v="100"/>
    <x v="1"/>
  </r>
  <r>
    <s v="P020"/>
    <n v="24"/>
    <x v="0"/>
    <x v="3"/>
    <s v="Diabetes"/>
    <s v="Not Reported"/>
    <s v="T011"/>
    <x v="3"/>
    <x v="3"/>
    <s v="11/9/2019"/>
    <s v="5/9/2021"/>
    <s v="200mg"/>
    <s v="Fatigue, Not Reported"/>
    <s v="TR0142"/>
    <s v="200mg"/>
    <x v="1"/>
    <x v="0"/>
    <x v="9"/>
    <n v="0"/>
    <x v="2"/>
    <x v="1"/>
    <n v="2.9"/>
    <n v="3.67"/>
    <x v="17"/>
    <n v="9.5"/>
    <x v="15"/>
    <x v="0"/>
    <n v="200"/>
    <x v="0"/>
  </r>
  <r>
    <s v="P021"/>
    <n v="28"/>
    <x v="2"/>
    <x v="0"/>
    <s v="Diabetes"/>
    <s v="Not Reported"/>
    <s v="T003"/>
    <x v="0"/>
    <x v="2"/>
    <s v="12/26/2022"/>
    <s v="4/26/2024"/>
    <s v="100mg"/>
    <s v="Headache, Not Reported, Fatigue"/>
    <s v="TR0028"/>
    <s v="100mg"/>
    <x v="0"/>
    <x v="3"/>
    <x v="16"/>
    <n v="1"/>
    <x v="1"/>
    <x v="1"/>
    <n v="1.68"/>
    <n v="2.11"/>
    <x v="17"/>
    <n v="7.6"/>
    <x v="16"/>
    <x v="1"/>
    <n v="100"/>
    <x v="0"/>
  </r>
  <r>
    <s v="P022"/>
    <n v="52"/>
    <x v="0"/>
    <x v="4"/>
    <s v="Hypertension"/>
    <s v="HER2 Mutation"/>
    <s v="T018"/>
    <x v="3"/>
    <x v="1"/>
    <s v="2/12/2019"/>
    <s v="4/12/2020"/>
    <s v="50mg"/>
    <s v="Dizziness, Not Reported, Fatigue"/>
    <s v="TR0004"/>
    <s v="50mg"/>
    <x v="1"/>
    <x v="0"/>
    <x v="17"/>
    <n v="0"/>
    <x v="3"/>
    <x v="0"/>
    <n v="2.84"/>
    <n v="1.83"/>
    <x v="18"/>
    <n v="15.1"/>
    <x v="17"/>
    <x v="3"/>
    <n v="50"/>
    <x v="1"/>
  </r>
  <r>
    <s v="P023"/>
    <n v="84"/>
    <x v="0"/>
    <x v="3"/>
    <s v="Diabetes"/>
    <s v="TP53 Mutation"/>
    <s v="T009"/>
    <x v="3"/>
    <x v="2"/>
    <s v="3/14/2019"/>
    <s v="1/14/2020"/>
    <s v="200mg"/>
    <s v="Headache, Nausea"/>
    <s v="TR0093"/>
    <s v="200mg"/>
    <x v="1"/>
    <x v="1"/>
    <x v="18"/>
    <n v="0"/>
    <x v="2"/>
    <x v="0"/>
    <n v="1.1599999999999999"/>
    <n v="4.2"/>
    <x v="19"/>
    <n v="7.5"/>
    <x v="9"/>
    <x v="0"/>
    <n v="200"/>
    <x v="2"/>
  </r>
  <r>
    <s v="P024"/>
    <n v="76"/>
    <x v="0"/>
    <x v="4"/>
    <s v="Not Reported"/>
    <s v="HER2 Mutation"/>
    <s v="T011"/>
    <x v="3"/>
    <x v="3"/>
    <s v="6/14/2022"/>
    <s v="10/14/2023"/>
    <s v="100mg"/>
    <s v="Not Reported, Fatigue"/>
    <s v="TR0123"/>
    <s v="100mg"/>
    <x v="1"/>
    <x v="1"/>
    <x v="19"/>
    <n v="0"/>
    <x v="4"/>
    <x v="1"/>
    <n v="4.68"/>
    <n v="1.24"/>
    <x v="5"/>
    <n v="20.5"/>
    <x v="18"/>
    <x v="1"/>
    <n v="100"/>
    <x v="2"/>
  </r>
  <r>
    <s v="P025"/>
    <n v="80"/>
    <x v="2"/>
    <x v="4"/>
    <s v="Not Reported"/>
    <s v="HER2 Mutation"/>
    <s v="T012"/>
    <x v="1"/>
    <x v="2"/>
    <s v="9/6/2023"/>
    <s v="1/6/2025"/>
    <s v="50mg"/>
    <s v="Headache, Fatigue, Dizziness"/>
    <s v="TR0075"/>
    <s v="50mg"/>
    <x v="2"/>
    <x v="3"/>
    <x v="20"/>
    <n v="0"/>
    <x v="1"/>
    <x v="0"/>
    <n v="1.74"/>
    <n v="1.84"/>
    <x v="18"/>
    <n v="14.7"/>
    <x v="8"/>
    <x v="3"/>
    <n v="50"/>
    <x v="2"/>
  </r>
  <r>
    <s v="P026"/>
    <n v="56"/>
    <x v="0"/>
    <x v="0"/>
    <s v="Diabetes"/>
    <s v="Not Reported"/>
    <s v="T013"/>
    <x v="1"/>
    <x v="0"/>
    <s v="8/19/2023"/>
    <s v="8/19/2024"/>
    <s v="200mg"/>
    <s v="Nausea, Not Reported, Headache"/>
    <s v="TR0138"/>
    <s v="200mg"/>
    <x v="2"/>
    <x v="3"/>
    <x v="21"/>
    <n v="0"/>
    <x v="0"/>
    <x v="1"/>
    <n v="2.48"/>
    <n v="2.85"/>
    <x v="20"/>
    <n v="6.7"/>
    <x v="19"/>
    <x v="0"/>
    <n v="200"/>
    <x v="1"/>
  </r>
  <r>
    <s v="P027"/>
    <n v="39"/>
    <x v="2"/>
    <x v="1"/>
    <s v="Hypertension"/>
    <s v="Not Reported"/>
    <s v="T013"/>
    <x v="0"/>
    <x v="0"/>
    <s v="1/4/2019"/>
    <s v="11/4/2019"/>
    <s v="100mg"/>
    <s v="Dizziness, Fatigue, Headache"/>
    <s v="TR0096"/>
    <s v="100mg"/>
    <x v="1"/>
    <x v="0"/>
    <x v="22"/>
    <n v="0"/>
    <x v="2"/>
    <x v="0"/>
    <n v="3.85"/>
    <n v="4.58"/>
    <x v="21"/>
    <n v="15.6"/>
    <x v="20"/>
    <x v="1"/>
    <n v="100"/>
    <x v="3"/>
  </r>
  <r>
    <s v="P028"/>
    <n v="62"/>
    <x v="0"/>
    <x v="3"/>
    <s v="Hypertension"/>
    <s v="BRCA1 Mutation"/>
    <s v="T004"/>
    <x v="2"/>
    <x v="3"/>
    <s v="6/15/2021"/>
    <s v="12/15/2022"/>
    <s v="100mg"/>
    <s v="Headache, Not Reported, Fatigue"/>
    <s v="TR0025"/>
    <s v="100mg"/>
    <x v="1"/>
    <x v="0"/>
    <x v="23"/>
    <n v="0"/>
    <x v="3"/>
    <x v="1"/>
    <n v="2.79"/>
    <n v="3.13"/>
    <x v="7"/>
    <n v="10.8"/>
    <x v="21"/>
    <x v="1"/>
    <n v="100"/>
    <x v="1"/>
  </r>
  <r>
    <s v="P029"/>
    <n v="23"/>
    <x v="2"/>
    <x v="2"/>
    <s v="Hypertension"/>
    <s v="Not Reported"/>
    <s v="T004"/>
    <x v="2"/>
    <x v="2"/>
    <s v="3/18/2023"/>
    <s v="11/18/2023"/>
    <s v="150mg"/>
    <s v="Headache, Dizziness, Nausea"/>
    <s v="TR0104"/>
    <s v="150mg"/>
    <x v="2"/>
    <x v="1"/>
    <x v="9"/>
    <n v="0"/>
    <x v="1"/>
    <x v="1"/>
    <n v="1.08"/>
    <n v="2.29"/>
    <x v="22"/>
    <n v="11.9"/>
    <x v="22"/>
    <x v="2"/>
    <n v="150"/>
    <x v="0"/>
  </r>
  <r>
    <s v="P030"/>
    <n v="21"/>
    <x v="2"/>
    <x v="1"/>
    <s v="Diabetes"/>
    <s v="HER2 Mutation"/>
    <s v="T013"/>
    <x v="1"/>
    <x v="2"/>
    <s v="5/25/2020"/>
    <s v="10/25/2021"/>
    <s v="50mg"/>
    <s v="Nausea, Fatigue, Headache"/>
    <s v="TR0084"/>
    <s v="50mg"/>
    <x v="0"/>
    <x v="0"/>
    <x v="24"/>
    <n v="1"/>
    <x v="4"/>
    <x v="1"/>
    <n v="4.5599999999999996"/>
    <n v="3.37"/>
    <x v="23"/>
    <n v="20.2"/>
    <x v="23"/>
    <x v="3"/>
    <n v="50"/>
    <x v="0"/>
  </r>
  <r>
    <s v="P031"/>
    <n v="85"/>
    <x v="2"/>
    <x v="0"/>
    <s v="Heart Disease"/>
    <s v="HER2 Mutation"/>
    <s v="T019"/>
    <x v="1"/>
    <x v="3"/>
    <s v="8/20/2021"/>
    <s v="4/20/2022"/>
    <s v="150mg"/>
    <s v="Dizziness, Nausea, Not Reported"/>
    <s v="TR0035"/>
    <s v="150mg"/>
    <x v="1"/>
    <x v="3"/>
    <x v="25"/>
    <n v="0"/>
    <x v="4"/>
    <x v="0"/>
    <n v="1.35"/>
    <n v="3.15"/>
    <x v="24"/>
    <n v="19.399999999999999"/>
    <x v="24"/>
    <x v="2"/>
    <n v="150"/>
    <x v="2"/>
  </r>
  <r>
    <s v="P032"/>
    <n v="41"/>
    <x v="1"/>
    <x v="4"/>
    <s v="Heart Disease"/>
    <s v="EGFR Mutation"/>
    <s v="T005"/>
    <x v="3"/>
    <x v="0"/>
    <s v="8/21/2020"/>
    <s v="10/21/2021"/>
    <s v="100mg"/>
    <s v="Fatigue, Headache, Dizziness"/>
    <s v="TR0036"/>
    <s v="100mg"/>
    <x v="0"/>
    <x v="4"/>
    <x v="26"/>
    <n v="1"/>
    <x v="2"/>
    <x v="0"/>
    <n v="1.51"/>
    <n v="2.14"/>
    <x v="18"/>
    <n v="17.600000000000001"/>
    <x v="25"/>
    <x v="1"/>
    <n v="100"/>
    <x v="3"/>
  </r>
  <r>
    <s v="P033"/>
    <n v="63"/>
    <x v="0"/>
    <x v="3"/>
    <s v="Diabetes"/>
    <s v="HER2 Mutation"/>
    <s v="T018"/>
    <x v="3"/>
    <x v="0"/>
    <s v="7/23/2022"/>
    <s v="8/23/2023"/>
    <s v="200mg"/>
    <s v="Nausea"/>
    <s v="TR0145"/>
    <s v="200mg"/>
    <x v="0"/>
    <x v="1"/>
    <x v="27"/>
    <n v="1"/>
    <x v="3"/>
    <x v="1"/>
    <n v="2.42"/>
    <n v="4.95"/>
    <x v="25"/>
    <n v="10.3"/>
    <x v="26"/>
    <x v="0"/>
    <n v="200"/>
    <x v="1"/>
  </r>
  <r>
    <s v="P034"/>
    <n v="46"/>
    <x v="2"/>
    <x v="0"/>
    <s v="Diabetes"/>
    <s v="Not Reported"/>
    <s v="T019"/>
    <x v="3"/>
    <x v="1"/>
    <s v="2/9/2023"/>
    <s v="8/9/2024"/>
    <s v="150mg"/>
    <s v="Nausea, Headache, Not Reported"/>
    <s v="TR0056"/>
    <s v="150mg"/>
    <x v="1"/>
    <x v="3"/>
    <x v="28"/>
    <n v="0"/>
    <x v="4"/>
    <x v="0"/>
    <n v="1.61"/>
    <n v="1.98"/>
    <x v="26"/>
    <n v="9.4"/>
    <x v="27"/>
    <x v="2"/>
    <n v="150"/>
    <x v="3"/>
  </r>
  <r>
    <s v="P035"/>
    <n v="75"/>
    <x v="1"/>
    <x v="0"/>
    <s v="Hypertension"/>
    <s v="BRCA1 Mutation"/>
    <s v="T008"/>
    <x v="2"/>
    <x v="3"/>
    <s v="11/14/2023"/>
    <s v="7/14/2024"/>
    <s v="100mg"/>
    <s v="Fatigue"/>
    <s v="TR0016"/>
    <s v="100mg"/>
    <x v="2"/>
    <x v="4"/>
    <x v="29"/>
    <n v="0"/>
    <x v="4"/>
    <x v="0"/>
    <n v="1.69"/>
    <n v="4.59"/>
    <x v="27"/>
    <n v="15.4"/>
    <x v="28"/>
    <x v="1"/>
    <n v="100"/>
    <x v="2"/>
  </r>
  <r>
    <s v="P036"/>
    <n v="59"/>
    <x v="2"/>
    <x v="0"/>
    <s v="Not Reported"/>
    <s v="Not Reported"/>
    <s v="T017"/>
    <x v="1"/>
    <x v="2"/>
    <s v="1/9/2022"/>
    <s v="5/9/2023"/>
    <s v="100mg"/>
    <s v="Fatigue, Dizziness, Nausea"/>
    <s v="TR0183"/>
    <s v="100mg"/>
    <x v="1"/>
    <x v="1"/>
    <x v="30"/>
    <n v="0"/>
    <x v="1"/>
    <x v="0"/>
    <n v="4.93"/>
    <n v="1.45"/>
    <x v="14"/>
    <n v="23.5"/>
    <x v="5"/>
    <x v="1"/>
    <n v="100"/>
    <x v="1"/>
  </r>
  <r>
    <s v="P037"/>
    <n v="52"/>
    <x v="2"/>
    <x v="3"/>
    <s v="Asthma"/>
    <s v="BRCA1 Mutation"/>
    <s v="T013"/>
    <x v="0"/>
    <x v="3"/>
    <s v="8/11/2022"/>
    <s v="11/11/2023"/>
    <s v="50mg"/>
    <s v="Nausea, Headache, Not Reported"/>
    <s v="TR0171"/>
    <s v="50mg"/>
    <x v="2"/>
    <x v="4"/>
    <x v="31"/>
    <n v="0"/>
    <x v="2"/>
    <x v="1"/>
    <n v="4.2699999999999996"/>
    <n v="2.0299999999999998"/>
    <x v="28"/>
    <n v="18"/>
    <x v="29"/>
    <x v="3"/>
    <n v="50"/>
    <x v="1"/>
  </r>
  <r>
    <s v="P038"/>
    <n v="45"/>
    <x v="1"/>
    <x v="4"/>
    <s v="Asthma"/>
    <s v="TP53 Mutation"/>
    <s v="T011"/>
    <x v="2"/>
    <x v="0"/>
    <s v="11/25/2021"/>
    <s v="5/25/2022"/>
    <s v="50mg"/>
    <s v="Headache"/>
    <s v="TR0005"/>
    <s v="50mg"/>
    <x v="0"/>
    <x v="1"/>
    <x v="32"/>
    <n v="1"/>
    <x v="1"/>
    <x v="0"/>
    <n v="3.23"/>
    <n v="3.29"/>
    <x v="5"/>
    <n v="19.899999999999999"/>
    <x v="30"/>
    <x v="3"/>
    <n v="50"/>
    <x v="3"/>
  </r>
  <r>
    <s v="P039"/>
    <n v="72"/>
    <x v="0"/>
    <x v="4"/>
    <s v="Not Reported"/>
    <s v="TP53 Mutation"/>
    <s v="T003"/>
    <x v="0"/>
    <x v="3"/>
    <s v="6/22/2019"/>
    <s v="10/22/2020"/>
    <s v="100mg"/>
    <s v="Headache"/>
    <s v="TR0161"/>
    <s v="100mg"/>
    <x v="1"/>
    <x v="1"/>
    <x v="33"/>
    <n v="0"/>
    <x v="3"/>
    <x v="0"/>
    <n v="2.29"/>
    <n v="2.7"/>
    <x v="21"/>
    <n v="10.4"/>
    <x v="22"/>
    <x v="1"/>
    <n v="100"/>
    <x v="2"/>
  </r>
  <r>
    <s v="P040"/>
    <n v="18"/>
    <x v="0"/>
    <x v="3"/>
    <s v="Hypertension"/>
    <s v="BRCA2 Mutation"/>
    <s v="T017"/>
    <x v="3"/>
    <x v="1"/>
    <s v="12/11/2019"/>
    <s v="7/11/2020"/>
    <s v="200mg"/>
    <s v="Fatigue, Headache, Nausea"/>
    <s v="TR0059"/>
    <s v="200mg"/>
    <x v="1"/>
    <x v="3"/>
    <x v="34"/>
    <n v="0"/>
    <x v="3"/>
    <x v="1"/>
    <n v="3.44"/>
    <n v="2.15"/>
    <x v="29"/>
    <n v="8.8000000000000007"/>
    <x v="31"/>
    <x v="0"/>
    <n v="200"/>
    <x v="0"/>
  </r>
  <r>
    <s v="P041"/>
    <n v="65"/>
    <x v="1"/>
    <x v="4"/>
    <s v="Asthma"/>
    <s v="Not Reported"/>
    <s v="T005"/>
    <x v="2"/>
    <x v="1"/>
    <s v="10/1/2023"/>
    <s v="1/1/2025"/>
    <s v="100mg"/>
    <s v="Not Reported, Fatigue"/>
    <s v="TR0161"/>
    <s v="100mg"/>
    <x v="2"/>
    <x v="1"/>
    <x v="35"/>
    <n v="0"/>
    <x v="2"/>
    <x v="1"/>
    <n v="3.13"/>
    <n v="1.21"/>
    <x v="30"/>
    <n v="8.4"/>
    <x v="32"/>
    <x v="1"/>
    <n v="100"/>
    <x v="1"/>
  </r>
  <r>
    <s v="P042"/>
    <n v="45"/>
    <x v="0"/>
    <x v="2"/>
    <s v="Diabetes"/>
    <s v="Not Reported"/>
    <s v="T019"/>
    <x v="3"/>
    <x v="3"/>
    <s v="6/26/2022"/>
    <s v="2/26/2023"/>
    <s v="100mg"/>
    <s v="Nausea, Fatigue"/>
    <s v="TR0142"/>
    <s v="100mg"/>
    <x v="2"/>
    <x v="2"/>
    <x v="36"/>
    <n v="0"/>
    <x v="3"/>
    <x v="1"/>
    <n v="4.96"/>
    <n v="2.29"/>
    <x v="3"/>
    <n v="10.6"/>
    <x v="0"/>
    <x v="1"/>
    <n v="100"/>
    <x v="3"/>
  </r>
  <r>
    <s v="P043"/>
    <n v="44"/>
    <x v="2"/>
    <x v="1"/>
    <s v="Heart Disease"/>
    <s v="HER2 Mutation"/>
    <s v="T010"/>
    <x v="1"/>
    <x v="2"/>
    <s v="7/4/2022"/>
    <s v="4/4/2023"/>
    <s v="200mg"/>
    <s v="Dizziness, Nausea, Not Reported"/>
    <s v="TR0004"/>
    <s v="200mg"/>
    <x v="1"/>
    <x v="4"/>
    <x v="37"/>
    <n v="0"/>
    <x v="1"/>
    <x v="1"/>
    <n v="4.04"/>
    <n v="3.38"/>
    <x v="31"/>
    <n v="13.4"/>
    <x v="11"/>
    <x v="0"/>
    <n v="200"/>
    <x v="3"/>
  </r>
  <r>
    <s v="P044"/>
    <n v="64"/>
    <x v="2"/>
    <x v="4"/>
    <s v="Asthma"/>
    <s v="Not Reported"/>
    <s v="T003"/>
    <x v="1"/>
    <x v="1"/>
    <s v="5/7/2019"/>
    <s v="11/7/2019"/>
    <s v="50mg"/>
    <s v="Dizziness, Not Reported"/>
    <s v="TR0161"/>
    <s v="50mg"/>
    <x v="2"/>
    <x v="2"/>
    <x v="38"/>
    <n v="0"/>
    <x v="1"/>
    <x v="1"/>
    <n v="4.72"/>
    <n v="4.32"/>
    <x v="4"/>
    <n v="8.1999999999999993"/>
    <x v="33"/>
    <x v="3"/>
    <n v="50"/>
    <x v="1"/>
  </r>
  <r>
    <s v="P045"/>
    <n v="28"/>
    <x v="2"/>
    <x v="1"/>
    <s v="Heart Disease"/>
    <s v="Not Reported"/>
    <s v="T009"/>
    <x v="1"/>
    <x v="3"/>
    <s v="9/7/2019"/>
    <s v="3/7/2021"/>
    <s v="100mg"/>
    <s v="Not Reported, Headache, Dizziness"/>
    <s v="TR0163"/>
    <s v="100mg"/>
    <x v="2"/>
    <x v="3"/>
    <x v="39"/>
    <n v="0"/>
    <x v="1"/>
    <x v="0"/>
    <n v="4.75"/>
    <n v="1.72"/>
    <x v="32"/>
    <n v="19.3"/>
    <x v="34"/>
    <x v="1"/>
    <n v="100"/>
    <x v="0"/>
  </r>
  <r>
    <s v="P046"/>
    <n v="25"/>
    <x v="0"/>
    <x v="2"/>
    <s v="Asthma"/>
    <s v="EGFR Mutation"/>
    <s v="T020"/>
    <x v="1"/>
    <x v="3"/>
    <s v="2/1/2020"/>
    <s v="7/1/2021"/>
    <s v="100mg"/>
    <s v="Nausea, Fatigue, Headache"/>
    <s v="TR0089"/>
    <s v="100mg"/>
    <x v="2"/>
    <x v="2"/>
    <x v="40"/>
    <n v="0"/>
    <x v="0"/>
    <x v="1"/>
    <n v="4.37"/>
    <n v="1.56"/>
    <x v="33"/>
    <n v="9.6"/>
    <x v="35"/>
    <x v="1"/>
    <n v="100"/>
    <x v="0"/>
  </r>
  <r>
    <s v="P047"/>
    <n v="34"/>
    <x v="2"/>
    <x v="0"/>
    <s v="Hypertension"/>
    <s v="Not Reported"/>
    <s v="T001"/>
    <x v="0"/>
    <x v="0"/>
    <s v="9/3/2021"/>
    <s v="7/3/2022"/>
    <s v="50mg"/>
    <s v="Headache, Not Reported"/>
    <s v="TR0015"/>
    <s v="50mg"/>
    <x v="1"/>
    <x v="2"/>
    <x v="41"/>
    <n v="0"/>
    <x v="4"/>
    <x v="0"/>
    <n v="1.66"/>
    <n v="4.26"/>
    <x v="9"/>
    <n v="15.4"/>
    <x v="36"/>
    <x v="3"/>
    <n v="50"/>
    <x v="3"/>
  </r>
  <r>
    <s v="P048"/>
    <n v="50"/>
    <x v="0"/>
    <x v="1"/>
    <s v="Hypertension"/>
    <s v="EGFR Mutation"/>
    <s v="T001"/>
    <x v="1"/>
    <x v="1"/>
    <s v="1/16/2020"/>
    <s v="12/16/2020"/>
    <s v="200mg"/>
    <s v="Fatigue"/>
    <s v="TR0010"/>
    <s v="200mg"/>
    <x v="2"/>
    <x v="0"/>
    <x v="42"/>
    <n v="0"/>
    <x v="4"/>
    <x v="0"/>
    <n v="4.51"/>
    <n v="2.57"/>
    <x v="3"/>
    <n v="13.9"/>
    <x v="21"/>
    <x v="0"/>
    <n v="200"/>
    <x v="3"/>
  </r>
  <r>
    <s v="P049"/>
    <n v="71"/>
    <x v="2"/>
    <x v="0"/>
    <s v="Not Reported"/>
    <s v="Not Reported"/>
    <s v="T019"/>
    <x v="0"/>
    <x v="1"/>
    <s v="11/2/2023"/>
    <s v="7/2/2024"/>
    <s v="100mg"/>
    <s v="Nausea, Headache, Dizziness"/>
    <s v="TR0120"/>
    <s v="100mg"/>
    <x v="1"/>
    <x v="4"/>
    <x v="43"/>
    <n v="0"/>
    <x v="3"/>
    <x v="1"/>
    <n v="2.85"/>
    <n v="2.21"/>
    <x v="20"/>
    <n v="15"/>
    <x v="37"/>
    <x v="1"/>
    <n v="100"/>
    <x v="2"/>
  </r>
  <r>
    <s v="P050"/>
    <n v="19"/>
    <x v="1"/>
    <x v="4"/>
    <s v="Not Reported"/>
    <s v="Not Reported"/>
    <s v="T010"/>
    <x v="2"/>
    <x v="0"/>
    <s v="10/16/2021"/>
    <s v="4/16/2023"/>
    <s v="100mg"/>
    <s v="Dizziness, Fatigue, Nausea"/>
    <s v="TR0002"/>
    <s v="100mg"/>
    <x v="1"/>
    <x v="3"/>
    <x v="44"/>
    <n v="0"/>
    <x v="2"/>
    <x v="1"/>
    <n v="4.5999999999999996"/>
    <n v="2.54"/>
    <x v="34"/>
    <n v="22.3"/>
    <x v="38"/>
    <x v="1"/>
    <n v="100"/>
    <x v="0"/>
  </r>
  <r>
    <s v="P051"/>
    <n v="19"/>
    <x v="1"/>
    <x v="2"/>
    <s v="Asthma"/>
    <s v="Not Reported"/>
    <s v="T010"/>
    <x v="1"/>
    <x v="2"/>
    <s v="4/14/2023"/>
    <s v="5/14/2024"/>
    <s v="50mg"/>
    <s v="Not Reported"/>
    <s v="TR0024"/>
    <s v="50mg"/>
    <x v="0"/>
    <x v="1"/>
    <x v="45"/>
    <n v="1"/>
    <x v="1"/>
    <x v="1"/>
    <n v="1.47"/>
    <n v="4.76"/>
    <x v="35"/>
    <n v="12"/>
    <x v="39"/>
    <x v="3"/>
    <n v="50"/>
    <x v="0"/>
  </r>
  <r>
    <s v="P052"/>
    <n v="76"/>
    <x v="2"/>
    <x v="2"/>
    <s v="Heart Disease"/>
    <s v="BRCA2 Mutation"/>
    <s v="T013"/>
    <x v="1"/>
    <x v="1"/>
    <s v="11/5/2022"/>
    <s v="8/5/2023"/>
    <s v="150mg"/>
    <s v="Not Reported, Headache"/>
    <s v="TR0180"/>
    <s v="150mg"/>
    <x v="2"/>
    <x v="4"/>
    <x v="23"/>
    <n v="0"/>
    <x v="1"/>
    <x v="1"/>
    <n v="4.18"/>
    <n v="3.48"/>
    <x v="36"/>
    <n v="22.1"/>
    <x v="40"/>
    <x v="2"/>
    <n v="150"/>
    <x v="2"/>
  </r>
  <r>
    <s v="P053"/>
    <n v="47"/>
    <x v="0"/>
    <x v="4"/>
    <s v="Diabetes"/>
    <s v="Not Reported"/>
    <s v="T019"/>
    <x v="1"/>
    <x v="2"/>
    <s v="3/15/2019"/>
    <s v="4/15/2020"/>
    <s v="150mg"/>
    <s v="Nausea, Not Reported"/>
    <s v="TR0198"/>
    <s v="150mg"/>
    <x v="0"/>
    <x v="0"/>
    <x v="16"/>
    <n v="1"/>
    <x v="1"/>
    <x v="1"/>
    <n v="1.61"/>
    <n v="2.25"/>
    <x v="7"/>
    <n v="19.399999999999999"/>
    <x v="41"/>
    <x v="2"/>
    <n v="150"/>
    <x v="3"/>
  </r>
  <r>
    <s v="P054"/>
    <n v="33"/>
    <x v="0"/>
    <x v="4"/>
    <s v="Not Reported"/>
    <s v="Not Reported"/>
    <s v="T020"/>
    <x v="1"/>
    <x v="2"/>
    <s v="3/3/2021"/>
    <s v="8/3/2022"/>
    <s v="100mg"/>
    <s v="Headache, Nausea"/>
    <s v="TR0174"/>
    <s v="100mg"/>
    <x v="1"/>
    <x v="4"/>
    <x v="46"/>
    <n v="0"/>
    <x v="3"/>
    <x v="1"/>
    <n v="3.28"/>
    <n v="4.05"/>
    <x v="37"/>
    <n v="12.2"/>
    <x v="42"/>
    <x v="1"/>
    <n v="100"/>
    <x v="3"/>
  </r>
  <r>
    <s v="P055"/>
    <n v="75"/>
    <x v="2"/>
    <x v="1"/>
    <s v="Diabetes"/>
    <s v="BRCA1 Mutation"/>
    <s v="T005"/>
    <x v="1"/>
    <x v="1"/>
    <s v="4/5/2019"/>
    <s v="1/5/2020"/>
    <s v="200mg"/>
    <s v="Nausea, Not Reported"/>
    <s v="TR0020"/>
    <s v="200mg"/>
    <x v="0"/>
    <x v="3"/>
    <x v="47"/>
    <n v="1"/>
    <x v="1"/>
    <x v="0"/>
    <n v="1.44"/>
    <n v="4.3899999999999997"/>
    <x v="38"/>
    <n v="13.2"/>
    <x v="43"/>
    <x v="0"/>
    <n v="200"/>
    <x v="2"/>
  </r>
  <r>
    <s v="P056"/>
    <n v="29"/>
    <x v="1"/>
    <x v="2"/>
    <s v="Hypertension"/>
    <s v="Not Reported"/>
    <s v="T002"/>
    <x v="2"/>
    <x v="0"/>
    <s v="8/1/2022"/>
    <s v="8/1/2023"/>
    <s v="200mg"/>
    <s v="Not Reported"/>
    <s v="TR0055"/>
    <s v="200mg"/>
    <x v="0"/>
    <x v="4"/>
    <x v="48"/>
    <n v="1"/>
    <x v="1"/>
    <x v="0"/>
    <n v="1.6"/>
    <n v="1.92"/>
    <x v="39"/>
    <n v="19"/>
    <x v="44"/>
    <x v="0"/>
    <n v="200"/>
    <x v="0"/>
  </r>
  <r>
    <s v="P057"/>
    <n v="22"/>
    <x v="2"/>
    <x v="1"/>
    <s v="Heart Disease"/>
    <s v="TP53 Mutation"/>
    <s v="T016"/>
    <x v="3"/>
    <x v="0"/>
    <s v="2/9/2019"/>
    <s v="2/9/2020"/>
    <s v="100mg"/>
    <s v="Fatigue, Dizziness"/>
    <s v="TR0162"/>
    <s v="100mg"/>
    <x v="2"/>
    <x v="3"/>
    <x v="49"/>
    <n v="0"/>
    <x v="4"/>
    <x v="1"/>
    <n v="3.78"/>
    <n v="3.17"/>
    <x v="40"/>
    <n v="12.2"/>
    <x v="45"/>
    <x v="1"/>
    <n v="100"/>
    <x v="0"/>
  </r>
  <r>
    <s v="P058"/>
    <n v="80"/>
    <x v="1"/>
    <x v="1"/>
    <s v="Heart Disease"/>
    <s v="TP53 Mutation"/>
    <s v="T006"/>
    <x v="1"/>
    <x v="3"/>
    <s v="4/1/2023"/>
    <s v="10/1/2024"/>
    <s v="150mg"/>
    <s v="Headache"/>
    <s v="TR0136"/>
    <s v="150mg"/>
    <x v="1"/>
    <x v="2"/>
    <x v="44"/>
    <n v="0"/>
    <x v="0"/>
    <x v="0"/>
    <n v="4.63"/>
    <n v="3.33"/>
    <x v="14"/>
    <n v="14.3"/>
    <x v="46"/>
    <x v="2"/>
    <n v="150"/>
    <x v="2"/>
  </r>
  <r>
    <s v="P059"/>
    <n v="49"/>
    <x v="2"/>
    <x v="4"/>
    <s v="Not Reported"/>
    <s v="Not Reported"/>
    <s v="T002"/>
    <x v="2"/>
    <x v="0"/>
    <s v="3/6/2021"/>
    <s v="12/6/2021"/>
    <s v="150mg"/>
    <s v="Not Reported, Nausea, Dizziness"/>
    <s v="TR0180"/>
    <s v="150mg"/>
    <x v="1"/>
    <x v="2"/>
    <x v="50"/>
    <n v="0"/>
    <x v="0"/>
    <x v="0"/>
    <n v="1.61"/>
    <n v="3.34"/>
    <x v="21"/>
    <n v="17"/>
    <x v="47"/>
    <x v="2"/>
    <n v="150"/>
    <x v="3"/>
  </r>
  <r>
    <s v="P060"/>
    <n v="81"/>
    <x v="2"/>
    <x v="0"/>
    <s v="Diabetes"/>
    <s v="BRCA1 Mutation"/>
    <s v="T002"/>
    <x v="2"/>
    <x v="2"/>
    <s v="9/16/2019"/>
    <s v="3/16/2020"/>
    <s v="150mg"/>
    <s v="Fatigue, Dizziness, Headache"/>
    <s v="TR0184"/>
    <s v="150mg"/>
    <x v="0"/>
    <x v="4"/>
    <x v="51"/>
    <n v="1"/>
    <x v="3"/>
    <x v="0"/>
    <n v="4.49"/>
    <n v="4.7300000000000004"/>
    <x v="41"/>
    <n v="18.5"/>
    <x v="48"/>
    <x v="2"/>
    <n v="150"/>
    <x v="2"/>
  </r>
  <r>
    <s v="P061"/>
    <n v="36"/>
    <x v="0"/>
    <x v="1"/>
    <s v="Not Reported"/>
    <s v="Not Reported"/>
    <s v="T012"/>
    <x v="3"/>
    <x v="1"/>
    <s v="5/11/2021"/>
    <s v="1/11/2022"/>
    <s v="100mg"/>
    <s v="Headache, Dizziness, Not Reported"/>
    <s v="TR0082"/>
    <s v="100mg"/>
    <x v="0"/>
    <x v="2"/>
    <x v="52"/>
    <n v="1"/>
    <x v="0"/>
    <x v="0"/>
    <n v="3.83"/>
    <n v="1.61"/>
    <x v="29"/>
    <n v="16.899999999999999"/>
    <x v="49"/>
    <x v="1"/>
    <n v="100"/>
    <x v="3"/>
  </r>
  <r>
    <s v="P062"/>
    <n v="66"/>
    <x v="1"/>
    <x v="0"/>
    <s v="Diabetes"/>
    <s v="BRCA1 Mutation"/>
    <s v="T019"/>
    <x v="3"/>
    <x v="1"/>
    <s v="10/11/2020"/>
    <s v="4/11/2022"/>
    <s v="100mg"/>
    <s v="Dizziness, Nausea, Fatigue"/>
    <s v="TR0037"/>
    <s v="100mg"/>
    <x v="1"/>
    <x v="3"/>
    <x v="1"/>
    <n v="0"/>
    <x v="4"/>
    <x v="1"/>
    <n v="3.95"/>
    <n v="4.74"/>
    <x v="15"/>
    <n v="14.1"/>
    <x v="50"/>
    <x v="1"/>
    <n v="100"/>
    <x v="2"/>
  </r>
  <r>
    <s v="P063"/>
    <n v="39"/>
    <x v="2"/>
    <x v="2"/>
    <s v="Not Reported"/>
    <s v="TP53 Mutation"/>
    <s v="T007"/>
    <x v="2"/>
    <x v="1"/>
    <s v="5/26/2021"/>
    <s v="12/26/2021"/>
    <s v="50mg"/>
    <s v="Headache"/>
    <s v="TR0113"/>
    <s v="50mg"/>
    <x v="2"/>
    <x v="0"/>
    <x v="41"/>
    <n v="0"/>
    <x v="1"/>
    <x v="1"/>
    <n v="4.9400000000000004"/>
    <n v="4.3600000000000003"/>
    <x v="38"/>
    <n v="22.6"/>
    <x v="51"/>
    <x v="3"/>
    <n v="50"/>
    <x v="3"/>
  </r>
  <r>
    <s v="P064"/>
    <n v="66"/>
    <x v="1"/>
    <x v="1"/>
    <s v="Asthma"/>
    <s v="HER2 Mutation"/>
    <s v="T019"/>
    <x v="2"/>
    <x v="2"/>
    <s v="2/26/2022"/>
    <s v="8/26/2022"/>
    <s v="150mg"/>
    <s v="Not Reported"/>
    <s v="TR0067"/>
    <s v="150mg"/>
    <x v="0"/>
    <x v="3"/>
    <x v="53"/>
    <n v="1"/>
    <x v="0"/>
    <x v="1"/>
    <n v="3.08"/>
    <n v="3.37"/>
    <x v="14"/>
    <n v="7"/>
    <x v="52"/>
    <x v="2"/>
    <n v="150"/>
    <x v="2"/>
  </r>
  <r>
    <s v="P065"/>
    <n v="38"/>
    <x v="2"/>
    <x v="2"/>
    <s v="Heart Disease"/>
    <s v="Not Reported"/>
    <s v="T003"/>
    <x v="0"/>
    <x v="0"/>
    <s v="7/21/2019"/>
    <s v="3/21/2020"/>
    <s v="200mg"/>
    <s v="Nausea"/>
    <s v="TR0026"/>
    <s v="200mg"/>
    <x v="1"/>
    <x v="1"/>
    <x v="54"/>
    <n v="0"/>
    <x v="1"/>
    <x v="1"/>
    <n v="4.21"/>
    <n v="1.02"/>
    <x v="30"/>
    <n v="13.2"/>
    <x v="53"/>
    <x v="0"/>
    <n v="200"/>
    <x v="3"/>
  </r>
  <r>
    <s v="P066"/>
    <n v="54"/>
    <x v="1"/>
    <x v="4"/>
    <s v="Hypertension"/>
    <s v="EGFR Mutation"/>
    <s v="T018"/>
    <x v="3"/>
    <x v="2"/>
    <s v="6/1/2019"/>
    <s v="6/1/2020"/>
    <s v="50mg"/>
    <s v="Dizziness, Headache"/>
    <s v="TR0052"/>
    <s v="50mg"/>
    <x v="0"/>
    <x v="3"/>
    <x v="55"/>
    <n v="1"/>
    <x v="0"/>
    <x v="1"/>
    <n v="4.68"/>
    <n v="2.39"/>
    <x v="42"/>
    <n v="19.3"/>
    <x v="54"/>
    <x v="3"/>
    <n v="50"/>
    <x v="1"/>
  </r>
  <r>
    <s v="P067"/>
    <n v="28"/>
    <x v="1"/>
    <x v="2"/>
    <s v="Not Reported"/>
    <s v="Not Reported"/>
    <s v="T016"/>
    <x v="3"/>
    <x v="3"/>
    <s v="11/18/2019"/>
    <s v="11/18/2020"/>
    <s v="100mg"/>
    <s v="Headache, Not Reported"/>
    <s v="TR0048"/>
    <s v="100mg"/>
    <x v="1"/>
    <x v="3"/>
    <x v="56"/>
    <n v="0"/>
    <x v="1"/>
    <x v="1"/>
    <n v="1.9"/>
    <n v="2.81"/>
    <x v="43"/>
    <n v="9.1999999999999993"/>
    <x v="23"/>
    <x v="1"/>
    <n v="100"/>
    <x v="0"/>
  </r>
  <r>
    <s v="P068"/>
    <n v="51"/>
    <x v="0"/>
    <x v="0"/>
    <s v="Heart Disease"/>
    <s v="BRCA1 Mutation"/>
    <s v="T003"/>
    <x v="0"/>
    <x v="0"/>
    <s v="4/18/2023"/>
    <s v="10/18/2023"/>
    <s v="200mg"/>
    <s v="Headache, Dizziness, Not Reported"/>
    <s v="TR0061"/>
    <s v="200mg"/>
    <x v="1"/>
    <x v="4"/>
    <x v="14"/>
    <n v="0"/>
    <x v="1"/>
    <x v="0"/>
    <n v="2.68"/>
    <n v="4.66"/>
    <x v="18"/>
    <n v="16.5"/>
    <x v="55"/>
    <x v="0"/>
    <n v="200"/>
    <x v="1"/>
  </r>
  <r>
    <s v="P069"/>
    <n v="82"/>
    <x v="2"/>
    <x v="1"/>
    <s v="Heart Disease"/>
    <s v="Not Reported"/>
    <s v="T020"/>
    <x v="2"/>
    <x v="1"/>
    <s v="3/6/2022"/>
    <s v="12/6/2022"/>
    <s v="100mg"/>
    <s v="Nausea"/>
    <s v="TR0109"/>
    <s v="100mg"/>
    <x v="0"/>
    <x v="0"/>
    <x v="57"/>
    <n v="1"/>
    <x v="0"/>
    <x v="1"/>
    <n v="1.05"/>
    <n v="3.65"/>
    <x v="17"/>
    <n v="23.3"/>
    <x v="56"/>
    <x v="1"/>
    <n v="100"/>
    <x v="2"/>
  </r>
  <r>
    <s v="P070"/>
    <n v="58"/>
    <x v="2"/>
    <x v="2"/>
    <s v="Hypertension"/>
    <s v="HER2 Mutation"/>
    <s v="T018"/>
    <x v="0"/>
    <x v="3"/>
    <s v="8/28/2023"/>
    <s v="2/28/2024"/>
    <s v="200mg"/>
    <s v="Headache"/>
    <s v="TR0039"/>
    <s v="200mg"/>
    <x v="0"/>
    <x v="2"/>
    <x v="22"/>
    <n v="1"/>
    <x v="2"/>
    <x v="0"/>
    <n v="2.66"/>
    <n v="1.34"/>
    <x v="6"/>
    <n v="15"/>
    <x v="57"/>
    <x v="0"/>
    <n v="200"/>
    <x v="1"/>
  </r>
  <r>
    <s v="P071"/>
    <n v="31"/>
    <x v="2"/>
    <x v="2"/>
    <s v="Not Reported"/>
    <s v="Not Reported"/>
    <s v="T012"/>
    <x v="3"/>
    <x v="3"/>
    <s v="11/16/2022"/>
    <s v="2/16/2024"/>
    <s v="200mg"/>
    <s v="Fatigue"/>
    <s v="TR0071"/>
    <s v="200mg"/>
    <x v="1"/>
    <x v="1"/>
    <x v="58"/>
    <n v="0"/>
    <x v="3"/>
    <x v="1"/>
    <n v="1.27"/>
    <n v="4"/>
    <x v="22"/>
    <n v="22.2"/>
    <x v="58"/>
    <x v="0"/>
    <n v="200"/>
    <x v="3"/>
  </r>
  <r>
    <s v="P072"/>
    <n v="60"/>
    <x v="2"/>
    <x v="4"/>
    <s v="Hypertension"/>
    <s v="Not Reported"/>
    <s v="T009"/>
    <x v="0"/>
    <x v="1"/>
    <s v="5/10/2021"/>
    <s v="3/10/2022"/>
    <s v="200mg"/>
    <s v="Nausea, Fatigue, Dizziness"/>
    <s v="TR0077"/>
    <s v="200mg"/>
    <x v="2"/>
    <x v="0"/>
    <x v="59"/>
    <n v="0"/>
    <x v="4"/>
    <x v="1"/>
    <n v="1.76"/>
    <n v="1.1499999999999999"/>
    <x v="31"/>
    <n v="16.2"/>
    <x v="32"/>
    <x v="0"/>
    <n v="200"/>
    <x v="1"/>
  </r>
  <r>
    <s v="P073"/>
    <n v="29"/>
    <x v="0"/>
    <x v="3"/>
    <s v="Diabetes"/>
    <s v="Not Reported"/>
    <s v="T014"/>
    <x v="3"/>
    <x v="3"/>
    <s v="9/26/2019"/>
    <s v="5/26/2020"/>
    <s v="50mg"/>
    <s v="Dizziness, Headache"/>
    <s v="TR0035"/>
    <s v="50mg"/>
    <x v="2"/>
    <x v="2"/>
    <x v="60"/>
    <n v="0"/>
    <x v="0"/>
    <x v="0"/>
    <n v="4.0999999999999996"/>
    <n v="2.81"/>
    <x v="44"/>
    <n v="13.9"/>
    <x v="59"/>
    <x v="3"/>
    <n v="50"/>
    <x v="0"/>
  </r>
  <r>
    <s v="P074"/>
    <n v="43"/>
    <x v="0"/>
    <x v="4"/>
    <s v="Hypertension"/>
    <s v="TP53 Mutation"/>
    <s v="T007"/>
    <x v="0"/>
    <x v="3"/>
    <s v="9/13/2022"/>
    <s v="1/13/2024"/>
    <s v="50mg"/>
    <s v="Nausea, Fatigue, Headache"/>
    <s v="TR0126"/>
    <s v="50mg"/>
    <x v="2"/>
    <x v="0"/>
    <x v="61"/>
    <n v="0"/>
    <x v="1"/>
    <x v="1"/>
    <n v="3.24"/>
    <n v="1.62"/>
    <x v="17"/>
    <n v="21.5"/>
    <x v="46"/>
    <x v="3"/>
    <n v="50"/>
    <x v="3"/>
  </r>
  <r>
    <s v="P075"/>
    <n v="62"/>
    <x v="0"/>
    <x v="0"/>
    <s v="Hypertension"/>
    <s v="HER2 Mutation"/>
    <s v="T002"/>
    <x v="2"/>
    <x v="2"/>
    <s v="11/8/2020"/>
    <s v="3/8/2022"/>
    <s v="100mg"/>
    <s v="Headache, Nausea"/>
    <s v="TR0200"/>
    <s v="100mg"/>
    <x v="2"/>
    <x v="3"/>
    <x v="62"/>
    <n v="0"/>
    <x v="0"/>
    <x v="0"/>
    <n v="2.4900000000000002"/>
    <n v="2.08"/>
    <x v="45"/>
    <n v="13.4"/>
    <x v="60"/>
    <x v="1"/>
    <n v="100"/>
    <x v="1"/>
  </r>
  <r>
    <s v="P076"/>
    <n v="19"/>
    <x v="0"/>
    <x v="0"/>
    <s v="Heart Disease"/>
    <s v="Not Reported"/>
    <s v="T010"/>
    <x v="0"/>
    <x v="0"/>
    <s v="6/15/2022"/>
    <s v="4/15/2023"/>
    <s v="100mg"/>
    <s v="Not Reported, Headache"/>
    <s v="TR0150"/>
    <s v="100mg"/>
    <x v="0"/>
    <x v="3"/>
    <x v="63"/>
    <n v="1"/>
    <x v="4"/>
    <x v="1"/>
    <n v="1.62"/>
    <n v="3.86"/>
    <x v="46"/>
    <n v="6.5"/>
    <x v="61"/>
    <x v="1"/>
    <n v="100"/>
    <x v="0"/>
  </r>
  <r>
    <s v="P077"/>
    <n v="56"/>
    <x v="2"/>
    <x v="2"/>
    <s v="Asthma"/>
    <s v="TP53 Mutation"/>
    <s v="T011"/>
    <x v="0"/>
    <x v="3"/>
    <s v="4/5/2021"/>
    <s v="6/5/2022"/>
    <s v="100mg"/>
    <s v="Dizziness"/>
    <s v="TR0104"/>
    <s v="100mg"/>
    <x v="2"/>
    <x v="4"/>
    <x v="64"/>
    <n v="0"/>
    <x v="3"/>
    <x v="1"/>
    <n v="1.92"/>
    <n v="3.69"/>
    <x v="47"/>
    <n v="7.9"/>
    <x v="43"/>
    <x v="1"/>
    <n v="100"/>
    <x v="1"/>
  </r>
  <r>
    <s v="P078"/>
    <n v="55"/>
    <x v="1"/>
    <x v="3"/>
    <s v="Asthma"/>
    <s v="BRCA1 Mutation"/>
    <s v="T019"/>
    <x v="2"/>
    <x v="3"/>
    <s v="11/18/2020"/>
    <s v="3/18/2022"/>
    <s v="200mg"/>
    <s v="Not Reported, Dizziness, Nausea"/>
    <s v="TR0169"/>
    <s v="200mg"/>
    <x v="2"/>
    <x v="1"/>
    <x v="65"/>
    <n v="0"/>
    <x v="3"/>
    <x v="1"/>
    <n v="1.71"/>
    <n v="3.61"/>
    <x v="8"/>
    <n v="7.8"/>
    <x v="62"/>
    <x v="0"/>
    <n v="200"/>
    <x v="1"/>
  </r>
  <r>
    <s v="P079"/>
    <n v="34"/>
    <x v="2"/>
    <x v="0"/>
    <s v="Heart Disease"/>
    <s v="Not Reported"/>
    <s v="T006"/>
    <x v="0"/>
    <x v="1"/>
    <s v="6/8/2020"/>
    <s v="11/8/2021"/>
    <s v="150mg"/>
    <s v="Not Reported, Dizziness"/>
    <s v="TR0067"/>
    <s v="150mg"/>
    <x v="2"/>
    <x v="4"/>
    <x v="66"/>
    <n v="0"/>
    <x v="3"/>
    <x v="1"/>
    <n v="3.89"/>
    <n v="4.42"/>
    <x v="48"/>
    <n v="13.1"/>
    <x v="63"/>
    <x v="2"/>
    <n v="150"/>
    <x v="3"/>
  </r>
  <r>
    <s v="P080"/>
    <n v="24"/>
    <x v="2"/>
    <x v="1"/>
    <s v="Heart Disease"/>
    <s v="Not Reported"/>
    <s v="T003"/>
    <x v="3"/>
    <x v="2"/>
    <s v="2/28/2023"/>
    <s v="6/28/2024"/>
    <s v="200mg"/>
    <s v="Not Reported, Headache, Nausea"/>
    <s v="TR0039"/>
    <s v="200mg"/>
    <x v="0"/>
    <x v="1"/>
    <x v="53"/>
    <n v="1"/>
    <x v="1"/>
    <x v="1"/>
    <n v="1.82"/>
    <n v="2.17"/>
    <x v="49"/>
    <n v="6.2"/>
    <x v="64"/>
    <x v="0"/>
    <n v="200"/>
    <x v="0"/>
  </r>
  <r>
    <s v="P081"/>
    <n v="36"/>
    <x v="1"/>
    <x v="4"/>
    <s v="Hypertension"/>
    <s v="BRCA2 Mutation"/>
    <s v="T011"/>
    <x v="1"/>
    <x v="1"/>
    <s v="5/7/2022"/>
    <s v="11/7/2023"/>
    <s v="100mg"/>
    <s v="Fatigue, Headache, Nausea"/>
    <s v="TR0034"/>
    <s v="100mg"/>
    <x v="2"/>
    <x v="0"/>
    <x v="33"/>
    <n v="0"/>
    <x v="1"/>
    <x v="1"/>
    <n v="1.83"/>
    <n v="1.1100000000000001"/>
    <x v="17"/>
    <n v="16.5"/>
    <x v="49"/>
    <x v="1"/>
    <n v="100"/>
    <x v="3"/>
  </r>
  <r>
    <s v="P082"/>
    <n v="79"/>
    <x v="1"/>
    <x v="2"/>
    <s v="Hypertension"/>
    <s v="Not Reported"/>
    <s v="T012"/>
    <x v="1"/>
    <x v="3"/>
    <s v="4/1/2023"/>
    <s v="8/1/2024"/>
    <s v="50mg"/>
    <s v="Fatigue, Dizziness, Not Reported"/>
    <s v="TR0089"/>
    <s v="50mg"/>
    <x v="1"/>
    <x v="1"/>
    <x v="34"/>
    <n v="0"/>
    <x v="1"/>
    <x v="1"/>
    <n v="4.57"/>
    <n v="4.2699999999999996"/>
    <x v="42"/>
    <n v="10.7"/>
    <x v="65"/>
    <x v="3"/>
    <n v="50"/>
    <x v="2"/>
  </r>
  <r>
    <s v="P083"/>
    <n v="39"/>
    <x v="0"/>
    <x v="2"/>
    <s v="Not Reported"/>
    <s v="Not Reported"/>
    <s v="T015"/>
    <x v="0"/>
    <x v="0"/>
    <s v="6/16/2020"/>
    <s v="5/16/2021"/>
    <s v="100mg"/>
    <s v="Headache"/>
    <s v="TR0005"/>
    <s v="100mg"/>
    <x v="0"/>
    <x v="1"/>
    <x v="37"/>
    <n v="1"/>
    <x v="0"/>
    <x v="0"/>
    <n v="3.36"/>
    <n v="2.0699999999999998"/>
    <x v="35"/>
    <n v="13.4"/>
    <x v="66"/>
    <x v="1"/>
    <n v="100"/>
    <x v="3"/>
  </r>
  <r>
    <s v="P084"/>
    <n v="82"/>
    <x v="0"/>
    <x v="2"/>
    <s v="Not Reported"/>
    <s v="Not Reported"/>
    <s v="T002"/>
    <x v="3"/>
    <x v="3"/>
    <s v="10/2/2023"/>
    <s v="1/2/2025"/>
    <s v="50mg"/>
    <s v="Nausea, Dizziness, Headache"/>
    <s v="TR0177"/>
    <s v="50mg"/>
    <x v="0"/>
    <x v="0"/>
    <x v="67"/>
    <n v="1"/>
    <x v="1"/>
    <x v="0"/>
    <n v="2.74"/>
    <n v="2.1800000000000002"/>
    <x v="50"/>
    <n v="19.7"/>
    <x v="39"/>
    <x v="3"/>
    <n v="50"/>
    <x v="2"/>
  </r>
  <r>
    <s v="P085"/>
    <n v="50"/>
    <x v="1"/>
    <x v="4"/>
    <s v="Diabetes"/>
    <s v="Not Reported"/>
    <s v="T001"/>
    <x v="0"/>
    <x v="0"/>
    <s v="11/17/2019"/>
    <s v="9/17/2020"/>
    <s v="100mg"/>
    <s v="Nausea, Dizziness"/>
    <s v="TR0073"/>
    <s v="100mg"/>
    <x v="0"/>
    <x v="3"/>
    <x v="68"/>
    <n v="1"/>
    <x v="0"/>
    <x v="0"/>
    <n v="4.47"/>
    <n v="2.95"/>
    <x v="49"/>
    <n v="20.399999999999999"/>
    <x v="49"/>
    <x v="1"/>
    <n v="100"/>
    <x v="3"/>
  </r>
  <r>
    <s v="P086"/>
    <n v="51"/>
    <x v="2"/>
    <x v="4"/>
    <s v="Not Reported"/>
    <s v="Not Reported"/>
    <s v="T010"/>
    <x v="2"/>
    <x v="1"/>
    <s v="8/7/2023"/>
    <s v="1/7/2025"/>
    <s v="200mg"/>
    <s v="Fatigue, Nausea"/>
    <s v="TR0004"/>
    <s v="200mg"/>
    <x v="2"/>
    <x v="3"/>
    <x v="69"/>
    <n v="0"/>
    <x v="2"/>
    <x v="1"/>
    <n v="1.0900000000000001"/>
    <n v="2.0699999999999998"/>
    <x v="34"/>
    <n v="17.399999999999999"/>
    <x v="12"/>
    <x v="0"/>
    <n v="200"/>
    <x v="1"/>
  </r>
  <r>
    <s v="P087"/>
    <n v="37"/>
    <x v="0"/>
    <x v="1"/>
    <s v="Hypertension"/>
    <s v="Not Reported"/>
    <s v="T004"/>
    <x v="0"/>
    <x v="2"/>
    <s v="5/9/2022"/>
    <s v="6/9/2023"/>
    <s v="50mg"/>
    <s v="Fatigue"/>
    <s v="TR0011"/>
    <s v="50mg"/>
    <x v="1"/>
    <x v="4"/>
    <x v="70"/>
    <n v="0"/>
    <x v="1"/>
    <x v="0"/>
    <n v="1.56"/>
    <n v="4.34"/>
    <x v="51"/>
    <n v="15.5"/>
    <x v="67"/>
    <x v="3"/>
    <n v="50"/>
    <x v="3"/>
  </r>
  <r>
    <s v="P088"/>
    <n v="30"/>
    <x v="0"/>
    <x v="2"/>
    <s v="Diabetes"/>
    <s v="Not Reported"/>
    <s v="T006"/>
    <x v="0"/>
    <x v="3"/>
    <s v="10/9/2022"/>
    <s v="3/9/2024"/>
    <s v="50mg"/>
    <s v="Not Reported, Fatigue"/>
    <s v="TR0030"/>
    <s v="50mg"/>
    <x v="1"/>
    <x v="0"/>
    <x v="71"/>
    <n v="0"/>
    <x v="4"/>
    <x v="1"/>
    <n v="2.09"/>
    <n v="1.07"/>
    <x v="52"/>
    <n v="8.1"/>
    <x v="34"/>
    <x v="3"/>
    <n v="50"/>
    <x v="0"/>
  </r>
  <r>
    <s v="P089"/>
    <n v="79"/>
    <x v="1"/>
    <x v="4"/>
    <s v="Hypertension"/>
    <s v="BRCA1 Mutation"/>
    <s v="T006"/>
    <x v="1"/>
    <x v="0"/>
    <s v="8/26/2023"/>
    <s v="11/26/2024"/>
    <s v="200mg"/>
    <s v="Dizziness"/>
    <s v="TR0098"/>
    <s v="200mg"/>
    <x v="1"/>
    <x v="2"/>
    <x v="60"/>
    <n v="0"/>
    <x v="0"/>
    <x v="1"/>
    <n v="2.1"/>
    <n v="3.22"/>
    <x v="46"/>
    <n v="20.9"/>
    <x v="58"/>
    <x v="0"/>
    <n v="200"/>
    <x v="2"/>
  </r>
  <r>
    <s v="P090"/>
    <n v="80"/>
    <x v="0"/>
    <x v="3"/>
    <s v="Asthma"/>
    <s v="TP53 Mutation"/>
    <s v="T011"/>
    <x v="1"/>
    <x v="2"/>
    <s v="9/17/2021"/>
    <s v="2/17/2023"/>
    <s v="50mg"/>
    <s v="Fatigue, Headache"/>
    <s v="TR0089"/>
    <s v="50mg"/>
    <x v="2"/>
    <x v="0"/>
    <x v="72"/>
    <n v="0"/>
    <x v="2"/>
    <x v="0"/>
    <n v="1.04"/>
    <n v="1.55"/>
    <x v="49"/>
    <n v="21.7"/>
    <x v="68"/>
    <x v="3"/>
    <n v="50"/>
    <x v="2"/>
  </r>
  <r>
    <s v="P091"/>
    <n v="19"/>
    <x v="2"/>
    <x v="4"/>
    <s v="Heart Disease"/>
    <s v="Not Reported"/>
    <s v="T016"/>
    <x v="2"/>
    <x v="1"/>
    <s v="6/8/2022"/>
    <s v="5/8/2023"/>
    <s v="150mg"/>
    <s v="Dizziness"/>
    <s v="TR0058"/>
    <s v="150mg"/>
    <x v="2"/>
    <x v="0"/>
    <x v="73"/>
    <n v="0"/>
    <x v="0"/>
    <x v="0"/>
    <n v="3.4"/>
    <n v="3.66"/>
    <x v="17"/>
    <n v="22.5"/>
    <x v="69"/>
    <x v="2"/>
    <n v="150"/>
    <x v="0"/>
  </r>
  <r>
    <s v="P092"/>
    <n v="76"/>
    <x v="1"/>
    <x v="1"/>
    <s v="Asthma"/>
    <s v="HER2 Mutation"/>
    <s v="T015"/>
    <x v="0"/>
    <x v="1"/>
    <s v="12/21/2022"/>
    <s v="6/21/2023"/>
    <s v="50mg"/>
    <s v="Headache, Nausea"/>
    <s v="TR0143"/>
    <s v="50mg"/>
    <x v="2"/>
    <x v="3"/>
    <x v="74"/>
    <n v="0"/>
    <x v="2"/>
    <x v="1"/>
    <n v="2.5299999999999998"/>
    <n v="3.08"/>
    <x v="53"/>
    <n v="9"/>
    <x v="70"/>
    <x v="3"/>
    <n v="50"/>
    <x v="2"/>
  </r>
  <r>
    <s v="P093"/>
    <n v="83"/>
    <x v="2"/>
    <x v="4"/>
    <s v="Asthma"/>
    <s v="Not Reported"/>
    <s v="T012"/>
    <x v="1"/>
    <x v="2"/>
    <s v="6/18/2022"/>
    <s v="12/18/2023"/>
    <s v="200mg"/>
    <s v="Not Reported, Headache, Nausea"/>
    <s v="TR0025"/>
    <s v="200mg"/>
    <x v="2"/>
    <x v="1"/>
    <x v="75"/>
    <n v="0"/>
    <x v="4"/>
    <x v="1"/>
    <n v="1.33"/>
    <n v="3.41"/>
    <x v="7"/>
    <n v="13"/>
    <x v="71"/>
    <x v="0"/>
    <n v="200"/>
    <x v="2"/>
  </r>
  <r>
    <s v="P094"/>
    <n v="55"/>
    <x v="2"/>
    <x v="1"/>
    <s v="Not Reported"/>
    <s v="Not Reported"/>
    <s v="T002"/>
    <x v="2"/>
    <x v="0"/>
    <s v="12/24/2020"/>
    <s v="5/24/2022"/>
    <s v="200mg"/>
    <s v="Not Reported"/>
    <s v="TR0157"/>
    <s v="200mg"/>
    <x v="0"/>
    <x v="1"/>
    <x v="76"/>
    <n v="1"/>
    <x v="1"/>
    <x v="0"/>
    <n v="2.42"/>
    <n v="3.88"/>
    <x v="54"/>
    <n v="16.2"/>
    <x v="72"/>
    <x v="0"/>
    <n v="200"/>
    <x v="1"/>
  </r>
  <r>
    <s v="P095"/>
    <n v="76"/>
    <x v="0"/>
    <x v="0"/>
    <s v="Hypertension"/>
    <s v="Not Reported"/>
    <s v="T002"/>
    <x v="1"/>
    <x v="0"/>
    <s v="11/19/2022"/>
    <s v="1/19/2024"/>
    <s v="100mg"/>
    <s v="Nausea, Dizziness"/>
    <s v="TR0142"/>
    <s v="100mg"/>
    <x v="1"/>
    <x v="2"/>
    <x v="77"/>
    <n v="0"/>
    <x v="2"/>
    <x v="0"/>
    <n v="3.65"/>
    <n v="4.75"/>
    <x v="55"/>
    <n v="9.9"/>
    <x v="73"/>
    <x v="1"/>
    <n v="100"/>
    <x v="2"/>
  </r>
  <r>
    <s v="P096"/>
    <n v="40"/>
    <x v="2"/>
    <x v="4"/>
    <s v="Hypertension"/>
    <s v="EGFR Mutation"/>
    <s v="T020"/>
    <x v="0"/>
    <x v="0"/>
    <s v="10/23/2022"/>
    <s v="4/23/2024"/>
    <s v="100mg"/>
    <s v="Headache, Not Reported"/>
    <s v="TR0076"/>
    <s v="100mg"/>
    <x v="1"/>
    <x v="1"/>
    <x v="64"/>
    <n v="0"/>
    <x v="1"/>
    <x v="1"/>
    <n v="2.0499999999999998"/>
    <n v="3.38"/>
    <x v="56"/>
    <n v="14.9"/>
    <x v="57"/>
    <x v="1"/>
    <n v="100"/>
    <x v="3"/>
  </r>
  <r>
    <s v="P097"/>
    <n v="58"/>
    <x v="2"/>
    <x v="1"/>
    <s v="Diabetes"/>
    <s v="EGFR Mutation"/>
    <s v="T010"/>
    <x v="0"/>
    <x v="2"/>
    <s v="9/18/2020"/>
    <s v="2/18/2022"/>
    <s v="150mg"/>
    <s v="Nausea, Not Reported, Headache"/>
    <s v="TR0123"/>
    <s v="150mg"/>
    <x v="2"/>
    <x v="2"/>
    <x v="38"/>
    <n v="0"/>
    <x v="2"/>
    <x v="1"/>
    <n v="2.34"/>
    <n v="4.08"/>
    <x v="57"/>
    <n v="7.4"/>
    <x v="33"/>
    <x v="2"/>
    <n v="150"/>
    <x v="1"/>
  </r>
  <r>
    <s v="P098"/>
    <n v="72"/>
    <x v="0"/>
    <x v="1"/>
    <s v="Hypertension"/>
    <s v="BRCA2 Mutation"/>
    <s v="T002"/>
    <x v="1"/>
    <x v="2"/>
    <s v="3/10/2021"/>
    <s v="7/10/2022"/>
    <s v="150mg"/>
    <s v="Nausea"/>
    <s v="TR0177"/>
    <s v="150mg"/>
    <x v="1"/>
    <x v="1"/>
    <x v="78"/>
    <n v="0"/>
    <x v="3"/>
    <x v="1"/>
    <n v="2.98"/>
    <n v="3.75"/>
    <x v="13"/>
    <n v="10.4"/>
    <x v="74"/>
    <x v="2"/>
    <n v="150"/>
    <x v="2"/>
  </r>
  <r>
    <s v="P099"/>
    <n v="75"/>
    <x v="0"/>
    <x v="1"/>
    <s v="Heart Disease"/>
    <s v="Not Reported"/>
    <s v="T018"/>
    <x v="3"/>
    <x v="2"/>
    <s v="12/10/2023"/>
    <s v="5/10/2025"/>
    <s v="50mg"/>
    <s v="Headache, Dizziness"/>
    <s v="TR0176"/>
    <s v="50mg"/>
    <x v="1"/>
    <x v="2"/>
    <x v="79"/>
    <n v="0"/>
    <x v="3"/>
    <x v="1"/>
    <n v="4.2"/>
    <n v="3.78"/>
    <x v="58"/>
    <n v="16.600000000000001"/>
    <x v="36"/>
    <x v="3"/>
    <n v="50"/>
    <x v="2"/>
  </r>
  <r>
    <s v="P100"/>
    <n v="43"/>
    <x v="2"/>
    <x v="3"/>
    <s v="Diabetes"/>
    <s v="Not Reported"/>
    <s v="T012"/>
    <x v="2"/>
    <x v="2"/>
    <s v="8/6/2021"/>
    <s v="12/6/2022"/>
    <s v="50mg"/>
    <s v="Fatigue"/>
    <s v="TR0189"/>
    <s v="50mg"/>
    <x v="2"/>
    <x v="3"/>
    <x v="80"/>
    <n v="0"/>
    <x v="3"/>
    <x v="1"/>
    <n v="1.37"/>
    <n v="4.67"/>
    <x v="12"/>
    <n v="23.1"/>
    <x v="75"/>
    <x v="3"/>
    <n v="50"/>
    <x v="3"/>
  </r>
  <r>
    <s v="P101"/>
    <n v="53"/>
    <x v="2"/>
    <x v="0"/>
    <s v="Diabetes"/>
    <s v="TP53 Mutation"/>
    <s v="T001"/>
    <x v="0"/>
    <x v="0"/>
    <s v="1/5/2020"/>
    <s v="12/5/2020"/>
    <s v="50mg"/>
    <s v="Dizziness, Not Reported, Fatigue"/>
    <s v="TR0147"/>
    <s v="50mg"/>
    <x v="2"/>
    <x v="4"/>
    <x v="81"/>
    <n v="0"/>
    <x v="4"/>
    <x v="0"/>
    <n v="1.74"/>
    <n v="3.17"/>
    <x v="37"/>
    <n v="19.2"/>
    <x v="76"/>
    <x v="3"/>
    <n v="50"/>
    <x v="1"/>
  </r>
  <r>
    <s v="P102"/>
    <n v="41"/>
    <x v="2"/>
    <x v="2"/>
    <s v="Heart Disease"/>
    <s v="EGFR Mutation"/>
    <s v="T018"/>
    <x v="3"/>
    <x v="1"/>
    <s v="4/7/2021"/>
    <s v="8/7/2022"/>
    <s v="150mg"/>
    <s v="Not Reported, Dizziness"/>
    <s v="TR0056"/>
    <s v="150mg"/>
    <x v="2"/>
    <x v="2"/>
    <x v="62"/>
    <n v="0"/>
    <x v="2"/>
    <x v="0"/>
    <n v="3.64"/>
    <n v="3.77"/>
    <x v="59"/>
    <n v="10.5"/>
    <x v="77"/>
    <x v="2"/>
    <n v="150"/>
    <x v="3"/>
  </r>
  <r>
    <s v="P103"/>
    <n v="32"/>
    <x v="2"/>
    <x v="0"/>
    <s v="Asthma"/>
    <s v="EGFR Mutation"/>
    <s v="T020"/>
    <x v="2"/>
    <x v="1"/>
    <s v="7/26/2021"/>
    <s v="2/26/2022"/>
    <s v="200mg"/>
    <s v="Dizziness, Not Reported"/>
    <s v="TR0007"/>
    <s v="200mg"/>
    <x v="2"/>
    <x v="4"/>
    <x v="82"/>
    <n v="0"/>
    <x v="2"/>
    <x v="1"/>
    <n v="1.88"/>
    <n v="4.95"/>
    <x v="50"/>
    <n v="6.7"/>
    <x v="78"/>
    <x v="0"/>
    <n v="200"/>
    <x v="3"/>
  </r>
  <r>
    <s v="P104"/>
    <n v="80"/>
    <x v="0"/>
    <x v="0"/>
    <s v="Diabetes"/>
    <s v="BRCA1 Mutation"/>
    <s v="T004"/>
    <x v="2"/>
    <x v="1"/>
    <s v="4/22/2019"/>
    <s v="8/22/2020"/>
    <s v="100mg"/>
    <s v="Headache, Nausea, Dizziness"/>
    <s v="TR0138"/>
    <s v="100mg"/>
    <x v="2"/>
    <x v="0"/>
    <x v="81"/>
    <n v="0"/>
    <x v="0"/>
    <x v="0"/>
    <n v="4.7"/>
    <n v="1.72"/>
    <x v="41"/>
    <n v="22.5"/>
    <x v="41"/>
    <x v="1"/>
    <n v="100"/>
    <x v="2"/>
  </r>
  <r>
    <s v="P105"/>
    <n v="76"/>
    <x v="2"/>
    <x v="0"/>
    <s v="Hypertension"/>
    <s v="BRCA1 Mutation"/>
    <s v="T006"/>
    <x v="0"/>
    <x v="1"/>
    <s v="4/9/2023"/>
    <s v="4/9/2024"/>
    <s v="200mg"/>
    <s v="Headache, Dizziness"/>
    <s v="TR0081"/>
    <s v="200mg"/>
    <x v="0"/>
    <x v="0"/>
    <x v="76"/>
    <n v="1"/>
    <x v="2"/>
    <x v="0"/>
    <n v="3.79"/>
    <n v="2.19"/>
    <x v="15"/>
    <n v="23.5"/>
    <x v="46"/>
    <x v="0"/>
    <n v="200"/>
    <x v="2"/>
  </r>
  <r>
    <s v="P106"/>
    <n v="26"/>
    <x v="2"/>
    <x v="1"/>
    <s v="Hypertension"/>
    <s v="Not Reported"/>
    <s v="T003"/>
    <x v="0"/>
    <x v="1"/>
    <s v="11/10/2021"/>
    <s v="2/10/2023"/>
    <s v="50mg"/>
    <s v="Headache, Dizziness"/>
    <s v="TR0102"/>
    <s v="50mg"/>
    <x v="2"/>
    <x v="3"/>
    <x v="62"/>
    <n v="0"/>
    <x v="0"/>
    <x v="0"/>
    <n v="2.9"/>
    <n v="4.45"/>
    <x v="59"/>
    <n v="11.7"/>
    <x v="79"/>
    <x v="3"/>
    <n v="50"/>
    <x v="0"/>
  </r>
  <r>
    <s v="P107"/>
    <n v="35"/>
    <x v="2"/>
    <x v="3"/>
    <s v="Heart Disease"/>
    <s v="BRCA2 Mutation"/>
    <s v="T010"/>
    <x v="0"/>
    <x v="1"/>
    <s v="9/5/2023"/>
    <s v="4/5/2024"/>
    <s v="50mg"/>
    <s v="Dizziness"/>
    <s v="TR0153"/>
    <s v="50mg"/>
    <x v="1"/>
    <x v="2"/>
    <x v="83"/>
    <n v="0"/>
    <x v="3"/>
    <x v="1"/>
    <n v="1.1499999999999999"/>
    <n v="3.39"/>
    <x v="8"/>
    <n v="8.1999999999999993"/>
    <x v="80"/>
    <x v="3"/>
    <n v="50"/>
    <x v="3"/>
  </r>
  <r>
    <s v="P108"/>
    <n v="44"/>
    <x v="2"/>
    <x v="0"/>
    <s v="Diabetes"/>
    <s v="EGFR Mutation"/>
    <s v="T005"/>
    <x v="2"/>
    <x v="2"/>
    <s v="10/27/2020"/>
    <s v="8/27/2021"/>
    <s v="100mg"/>
    <s v="Fatigue"/>
    <s v="TR0172"/>
    <s v="100mg"/>
    <x v="2"/>
    <x v="3"/>
    <x v="83"/>
    <n v="0"/>
    <x v="1"/>
    <x v="0"/>
    <n v="3.79"/>
    <n v="2.36"/>
    <x v="39"/>
    <n v="7.2"/>
    <x v="81"/>
    <x v="1"/>
    <n v="100"/>
    <x v="3"/>
  </r>
  <r>
    <s v="P109"/>
    <n v="55"/>
    <x v="2"/>
    <x v="2"/>
    <s v="Not Reported"/>
    <s v="EGFR Mutation"/>
    <s v="T016"/>
    <x v="0"/>
    <x v="3"/>
    <s v="11/21/2020"/>
    <s v="8/21/2021"/>
    <s v="50mg"/>
    <s v="Dizziness, Nausea"/>
    <s v="TR0050"/>
    <s v="50mg"/>
    <x v="1"/>
    <x v="0"/>
    <x v="26"/>
    <n v="0"/>
    <x v="4"/>
    <x v="1"/>
    <n v="3.16"/>
    <n v="4.16"/>
    <x v="60"/>
    <n v="17.3"/>
    <x v="82"/>
    <x v="3"/>
    <n v="50"/>
    <x v="1"/>
  </r>
  <r>
    <s v="P110"/>
    <n v="37"/>
    <x v="2"/>
    <x v="1"/>
    <s v="Not Reported"/>
    <s v="Not Reported"/>
    <s v="T014"/>
    <x v="2"/>
    <x v="1"/>
    <s v="4/26/2021"/>
    <s v="1/26/2022"/>
    <s v="200mg"/>
    <s v="Not Reported, Fatigue"/>
    <s v="TR0174"/>
    <s v="200mg"/>
    <x v="2"/>
    <x v="4"/>
    <x v="11"/>
    <n v="0"/>
    <x v="1"/>
    <x v="1"/>
    <n v="3.46"/>
    <n v="1.93"/>
    <x v="47"/>
    <n v="21.7"/>
    <x v="60"/>
    <x v="0"/>
    <n v="200"/>
    <x v="3"/>
  </r>
  <r>
    <s v="P111"/>
    <n v="63"/>
    <x v="1"/>
    <x v="3"/>
    <s v="Heart Disease"/>
    <s v="EGFR Mutation"/>
    <s v="T003"/>
    <x v="0"/>
    <x v="2"/>
    <s v="4/9/2023"/>
    <s v="9/9/2024"/>
    <s v="50mg"/>
    <s v="Nausea, Dizziness, Not Reported"/>
    <s v="TR0162"/>
    <s v="50mg"/>
    <x v="0"/>
    <x v="2"/>
    <x v="84"/>
    <n v="1"/>
    <x v="1"/>
    <x v="0"/>
    <n v="4.5"/>
    <n v="3.12"/>
    <x v="50"/>
    <n v="20.399999999999999"/>
    <x v="83"/>
    <x v="3"/>
    <n v="50"/>
    <x v="1"/>
  </r>
  <r>
    <s v="P112"/>
    <n v="22"/>
    <x v="2"/>
    <x v="0"/>
    <s v="Heart Disease"/>
    <s v="Not Reported"/>
    <s v="T018"/>
    <x v="3"/>
    <x v="2"/>
    <s v="7/8/2021"/>
    <s v="1/8/2023"/>
    <s v="150mg"/>
    <s v="Headache"/>
    <s v="TR0129"/>
    <s v="150mg"/>
    <x v="2"/>
    <x v="3"/>
    <x v="19"/>
    <n v="0"/>
    <x v="4"/>
    <x v="0"/>
    <n v="2.4"/>
    <n v="4.07"/>
    <x v="14"/>
    <n v="14.6"/>
    <x v="55"/>
    <x v="2"/>
    <n v="150"/>
    <x v="0"/>
  </r>
  <r>
    <s v="P113"/>
    <n v="48"/>
    <x v="2"/>
    <x v="4"/>
    <s v="Heart Disease"/>
    <s v="BRCA2 Mutation"/>
    <s v="T006"/>
    <x v="2"/>
    <x v="0"/>
    <s v="1/8/2021"/>
    <s v="7/8/2022"/>
    <s v="200mg"/>
    <s v="Nausea"/>
    <s v="TR0068"/>
    <s v="200mg"/>
    <x v="1"/>
    <x v="1"/>
    <x v="85"/>
    <n v="0"/>
    <x v="0"/>
    <x v="1"/>
    <n v="4.49"/>
    <n v="4.9400000000000004"/>
    <x v="61"/>
    <n v="13.5"/>
    <x v="49"/>
    <x v="0"/>
    <n v="200"/>
    <x v="3"/>
  </r>
  <r>
    <s v="P114"/>
    <n v="67"/>
    <x v="1"/>
    <x v="3"/>
    <s v="Hypertension"/>
    <s v="TP53 Mutation"/>
    <s v="T004"/>
    <x v="0"/>
    <x v="3"/>
    <s v="9/19/2023"/>
    <s v="5/19/2024"/>
    <s v="200mg"/>
    <s v="Headache, Not Reported, Dizziness"/>
    <s v="TR0168"/>
    <s v="200mg"/>
    <x v="0"/>
    <x v="2"/>
    <x v="86"/>
    <n v="1"/>
    <x v="1"/>
    <x v="0"/>
    <n v="3.95"/>
    <n v="1.96"/>
    <x v="57"/>
    <n v="12.4"/>
    <x v="71"/>
    <x v="0"/>
    <n v="200"/>
    <x v="2"/>
  </r>
  <r>
    <s v="P115"/>
    <n v="84"/>
    <x v="1"/>
    <x v="0"/>
    <s v="Not Reported"/>
    <s v="HER2 Mutation"/>
    <s v="T020"/>
    <x v="1"/>
    <x v="2"/>
    <s v="3/8/2022"/>
    <s v="10/8/2022"/>
    <s v="150mg"/>
    <s v="Fatigue"/>
    <s v="TR0048"/>
    <s v="150mg"/>
    <x v="0"/>
    <x v="4"/>
    <x v="76"/>
    <n v="1"/>
    <x v="0"/>
    <x v="1"/>
    <n v="2.19"/>
    <n v="1.93"/>
    <x v="53"/>
    <n v="6.3"/>
    <x v="84"/>
    <x v="2"/>
    <n v="150"/>
    <x v="2"/>
  </r>
  <r>
    <s v="P116"/>
    <n v="60"/>
    <x v="2"/>
    <x v="2"/>
    <s v="Asthma"/>
    <s v="Not Reported"/>
    <s v="T016"/>
    <x v="2"/>
    <x v="2"/>
    <s v="1/8/2022"/>
    <s v="7/8/2022"/>
    <s v="100mg"/>
    <s v="Dizziness, Fatigue, Nausea"/>
    <s v="TR0162"/>
    <s v="100mg"/>
    <x v="2"/>
    <x v="3"/>
    <x v="87"/>
    <n v="0"/>
    <x v="0"/>
    <x v="0"/>
    <n v="2.71"/>
    <n v="2.54"/>
    <x v="23"/>
    <n v="9.9"/>
    <x v="46"/>
    <x v="1"/>
    <n v="100"/>
    <x v="1"/>
  </r>
  <r>
    <s v="P117"/>
    <n v="39"/>
    <x v="1"/>
    <x v="4"/>
    <s v="Heart Disease"/>
    <s v="Not Reported"/>
    <s v="T020"/>
    <x v="1"/>
    <x v="3"/>
    <s v="4/15/2019"/>
    <s v="7/15/2020"/>
    <s v="200mg"/>
    <s v="Fatigue, Dizziness"/>
    <s v="TR0106"/>
    <s v="200mg"/>
    <x v="2"/>
    <x v="1"/>
    <x v="88"/>
    <n v="0"/>
    <x v="0"/>
    <x v="1"/>
    <n v="4.1500000000000004"/>
    <n v="1.36"/>
    <x v="62"/>
    <n v="21.8"/>
    <x v="46"/>
    <x v="0"/>
    <n v="200"/>
    <x v="3"/>
  </r>
  <r>
    <s v="P118"/>
    <n v="39"/>
    <x v="2"/>
    <x v="0"/>
    <s v="Asthma"/>
    <s v="Not Reported"/>
    <s v="T003"/>
    <x v="2"/>
    <x v="0"/>
    <s v="3/4/2022"/>
    <s v="9/4/2022"/>
    <s v="100mg"/>
    <s v="Dizziness, Headache, Nausea"/>
    <s v="TR0156"/>
    <s v="100mg"/>
    <x v="0"/>
    <x v="1"/>
    <x v="62"/>
    <n v="1"/>
    <x v="2"/>
    <x v="0"/>
    <n v="2.87"/>
    <n v="3.45"/>
    <x v="28"/>
    <n v="23.8"/>
    <x v="37"/>
    <x v="1"/>
    <n v="100"/>
    <x v="3"/>
  </r>
  <r>
    <s v="P119"/>
    <n v="82"/>
    <x v="0"/>
    <x v="2"/>
    <s v="Asthma"/>
    <s v="Not Reported"/>
    <s v="T020"/>
    <x v="1"/>
    <x v="0"/>
    <s v="7/12/2023"/>
    <s v="1/12/2024"/>
    <s v="200mg"/>
    <s v="Headache"/>
    <s v="TR0197"/>
    <s v="200mg"/>
    <x v="1"/>
    <x v="4"/>
    <x v="22"/>
    <n v="0"/>
    <x v="2"/>
    <x v="0"/>
    <n v="4.7699999999999996"/>
    <n v="3.6"/>
    <x v="25"/>
    <n v="15.2"/>
    <x v="37"/>
    <x v="0"/>
    <n v="200"/>
    <x v="2"/>
  </r>
  <r>
    <s v="P120"/>
    <n v="72"/>
    <x v="0"/>
    <x v="0"/>
    <s v="Asthma"/>
    <s v="Not Reported"/>
    <s v="T003"/>
    <x v="0"/>
    <x v="0"/>
    <s v="4/1/2021"/>
    <s v="9/1/2022"/>
    <s v="50mg"/>
    <s v="Dizziness, Nausea, Not Reported"/>
    <s v="TR0002"/>
    <s v="50mg"/>
    <x v="1"/>
    <x v="1"/>
    <x v="70"/>
    <n v="0"/>
    <x v="1"/>
    <x v="1"/>
    <n v="1.71"/>
    <n v="1.88"/>
    <x v="63"/>
    <n v="20"/>
    <x v="10"/>
    <x v="3"/>
    <n v="50"/>
    <x v="2"/>
  </r>
  <r>
    <s v="P121"/>
    <n v="31"/>
    <x v="0"/>
    <x v="3"/>
    <s v="Heart Disease"/>
    <s v="EGFR Mutation"/>
    <s v="T014"/>
    <x v="0"/>
    <x v="3"/>
    <s v="4/14/2022"/>
    <s v="6/14/2023"/>
    <s v="200mg"/>
    <s v="Not Reported"/>
    <s v="TR0144"/>
    <s v="200mg"/>
    <x v="2"/>
    <x v="0"/>
    <x v="86"/>
    <n v="0"/>
    <x v="4"/>
    <x v="1"/>
    <n v="1.23"/>
    <n v="4.88"/>
    <x v="64"/>
    <n v="22.7"/>
    <x v="85"/>
    <x v="0"/>
    <n v="200"/>
    <x v="3"/>
  </r>
  <r>
    <s v="P122"/>
    <n v="68"/>
    <x v="2"/>
    <x v="4"/>
    <s v="Hypertension"/>
    <s v="Not Reported"/>
    <s v="T015"/>
    <x v="2"/>
    <x v="1"/>
    <s v="9/13/2020"/>
    <s v="3/13/2022"/>
    <s v="150mg"/>
    <s v="Dizziness, Nausea, Headache"/>
    <s v="TR0100"/>
    <s v="150mg"/>
    <x v="2"/>
    <x v="3"/>
    <x v="74"/>
    <n v="0"/>
    <x v="0"/>
    <x v="1"/>
    <n v="1.7"/>
    <n v="2.58"/>
    <x v="65"/>
    <n v="18.5"/>
    <x v="3"/>
    <x v="2"/>
    <n v="150"/>
    <x v="2"/>
  </r>
  <r>
    <s v="P123"/>
    <n v="73"/>
    <x v="0"/>
    <x v="2"/>
    <s v="Not Reported"/>
    <s v="BRCA1 Mutation"/>
    <s v="T020"/>
    <x v="1"/>
    <x v="0"/>
    <s v="10/21/2022"/>
    <s v="12/21/2023"/>
    <s v="150mg"/>
    <s v="Dizziness, Nausea, Headache"/>
    <s v="TR0164"/>
    <s v="150mg"/>
    <x v="1"/>
    <x v="0"/>
    <x v="89"/>
    <n v="0"/>
    <x v="0"/>
    <x v="1"/>
    <n v="4.26"/>
    <n v="1.9"/>
    <x v="66"/>
    <n v="15.7"/>
    <x v="57"/>
    <x v="2"/>
    <n v="150"/>
    <x v="2"/>
  </r>
  <r>
    <s v="P124"/>
    <n v="42"/>
    <x v="0"/>
    <x v="1"/>
    <s v="Heart Disease"/>
    <s v="Not Reported"/>
    <s v="T008"/>
    <x v="2"/>
    <x v="1"/>
    <s v="4/21/2021"/>
    <s v="10/21/2021"/>
    <s v="100mg"/>
    <s v="Not Reported"/>
    <s v="TR0200"/>
    <s v="100mg"/>
    <x v="1"/>
    <x v="4"/>
    <x v="19"/>
    <n v="0"/>
    <x v="1"/>
    <x v="0"/>
    <n v="3.32"/>
    <n v="1.37"/>
    <x v="37"/>
    <n v="10.8"/>
    <x v="7"/>
    <x v="1"/>
    <n v="100"/>
    <x v="3"/>
  </r>
  <r>
    <s v="P125"/>
    <n v="84"/>
    <x v="0"/>
    <x v="2"/>
    <s v="Hypertension"/>
    <s v="Not Reported"/>
    <s v="T018"/>
    <x v="0"/>
    <x v="3"/>
    <s v="4/20/2021"/>
    <s v="1/20/2022"/>
    <s v="200mg"/>
    <s v="Dizziness, Nausea"/>
    <s v="TR0067"/>
    <s v="200mg"/>
    <x v="0"/>
    <x v="0"/>
    <x v="3"/>
    <n v="1"/>
    <x v="3"/>
    <x v="0"/>
    <n v="4.55"/>
    <n v="4.82"/>
    <x v="67"/>
    <n v="20.6"/>
    <x v="86"/>
    <x v="0"/>
    <n v="200"/>
    <x v="2"/>
  </r>
  <r>
    <s v="P126"/>
    <n v="82"/>
    <x v="1"/>
    <x v="0"/>
    <s v="Hypertension"/>
    <s v="Not Reported"/>
    <s v="T009"/>
    <x v="0"/>
    <x v="0"/>
    <s v="10/16/2022"/>
    <s v="4/16/2024"/>
    <s v="100mg"/>
    <s v="Headache, Dizziness"/>
    <s v="TR0151"/>
    <s v="100mg"/>
    <x v="0"/>
    <x v="0"/>
    <x v="24"/>
    <n v="1"/>
    <x v="4"/>
    <x v="0"/>
    <n v="3.2"/>
    <n v="1.35"/>
    <x v="68"/>
    <n v="12.7"/>
    <x v="12"/>
    <x v="1"/>
    <n v="100"/>
    <x v="2"/>
  </r>
  <r>
    <s v="P127"/>
    <n v="66"/>
    <x v="2"/>
    <x v="4"/>
    <s v="Diabetes"/>
    <s v="Not Reported"/>
    <s v="T014"/>
    <x v="0"/>
    <x v="1"/>
    <s v="4/10/2021"/>
    <s v="11/10/2021"/>
    <s v="200mg"/>
    <s v="Not Reported, Nausea, Dizziness"/>
    <s v="TR0046"/>
    <s v="200mg"/>
    <x v="1"/>
    <x v="4"/>
    <x v="90"/>
    <n v="0"/>
    <x v="0"/>
    <x v="1"/>
    <n v="3.89"/>
    <n v="2.98"/>
    <x v="27"/>
    <n v="10"/>
    <x v="0"/>
    <x v="0"/>
    <n v="200"/>
    <x v="2"/>
  </r>
  <r>
    <s v="P128"/>
    <n v="41"/>
    <x v="2"/>
    <x v="4"/>
    <s v="Asthma"/>
    <s v="Not Reported"/>
    <s v="T008"/>
    <x v="2"/>
    <x v="3"/>
    <s v="4/7/2020"/>
    <s v="1/7/2021"/>
    <s v="150mg"/>
    <s v="Nausea"/>
    <s v="TR0031"/>
    <s v="150mg"/>
    <x v="0"/>
    <x v="0"/>
    <x v="91"/>
    <n v="1"/>
    <x v="2"/>
    <x v="0"/>
    <n v="1.3"/>
    <n v="4.4000000000000004"/>
    <x v="69"/>
    <n v="14.7"/>
    <x v="57"/>
    <x v="2"/>
    <n v="150"/>
    <x v="3"/>
  </r>
  <r>
    <s v="P129"/>
    <n v="79"/>
    <x v="1"/>
    <x v="1"/>
    <s v="Not Reported"/>
    <s v="EGFR Mutation"/>
    <s v="T009"/>
    <x v="3"/>
    <x v="2"/>
    <s v="5/13/2023"/>
    <s v="2/13/2024"/>
    <s v="100mg"/>
    <s v="Dizziness"/>
    <s v="TR0109"/>
    <s v="100mg"/>
    <x v="1"/>
    <x v="2"/>
    <x v="92"/>
    <n v="0"/>
    <x v="2"/>
    <x v="1"/>
    <n v="4.3"/>
    <n v="2.39"/>
    <x v="23"/>
    <n v="16.2"/>
    <x v="87"/>
    <x v="1"/>
    <n v="100"/>
    <x v="2"/>
  </r>
  <r>
    <s v="P130"/>
    <n v="68"/>
    <x v="2"/>
    <x v="4"/>
    <s v="Asthma"/>
    <s v="Not Reported"/>
    <s v="T017"/>
    <x v="3"/>
    <x v="3"/>
    <s v="1/22/2019"/>
    <s v="10/22/2019"/>
    <s v="200mg"/>
    <s v="Nausea, Not Reported, Fatigue"/>
    <s v="TR0157"/>
    <s v="200mg"/>
    <x v="1"/>
    <x v="1"/>
    <x v="83"/>
    <n v="0"/>
    <x v="4"/>
    <x v="0"/>
    <n v="4.51"/>
    <n v="4.1900000000000004"/>
    <x v="46"/>
    <n v="21.3"/>
    <x v="5"/>
    <x v="0"/>
    <n v="200"/>
    <x v="2"/>
  </r>
  <r>
    <s v="P131"/>
    <n v="52"/>
    <x v="1"/>
    <x v="1"/>
    <s v="Not Reported"/>
    <s v="HER2 Mutation"/>
    <s v="T014"/>
    <x v="2"/>
    <x v="0"/>
    <s v="6/28/2021"/>
    <s v="6/28/2022"/>
    <s v="150mg"/>
    <s v="Fatigue, Dizziness"/>
    <s v="TR0148"/>
    <s v="150mg"/>
    <x v="2"/>
    <x v="1"/>
    <x v="93"/>
    <n v="0"/>
    <x v="4"/>
    <x v="0"/>
    <n v="3.83"/>
    <n v="4.3499999999999996"/>
    <x v="70"/>
    <n v="18.2"/>
    <x v="8"/>
    <x v="2"/>
    <n v="150"/>
    <x v="1"/>
  </r>
  <r>
    <s v="P132"/>
    <n v="73"/>
    <x v="1"/>
    <x v="4"/>
    <s v="Diabetes"/>
    <s v="Not Reported"/>
    <s v="T005"/>
    <x v="3"/>
    <x v="1"/>
    <s v="7/16/2020"/>
    <s v="3/16/2021"/>
    <s v="150mg"/>
    <s v="Not Reported, Dizziness"/>
    <s v="TR0144"/>
    <s v="150mg"/>
    <x v="2"/>
    <x v="3"/>
    <x v="19"/>
    <n v="0"/>
    <x v="3"/>
    <x v="0"/>
    <n v="4.01"/>
    <n v="1.63"/>
    <x v="37"/>
    <n v="21.7"/>
    <x v="73"/>
    <x v="2"/>
    <n v="150"/>
    <x v="2"/>
  </r>
  <r>
    <s v="P133"/>
    <n v="25"/>
    <x v="0"/>
    <x v="0"/>
    <s v="Asthma"/>
    <s v="Not Reported"/>
    <s v="T004"/>
    <x v="3"/>
    <x v="3"/>
    <s v="6/12/2021"/>
    <s v="8/12/2022"/>
    <s v="150mg"/>
    <s v="Nausea, Headache"/>
    <s v="TR0032"/>
    <s v="150mg"/>
    <x v="1"/>
    <x v="2"/>
    <x v="47"/>
    <n v="0"/>
    <x v="2"/>
    <x v="0"/>
    <n v="4.3"/>
    <n v="1.52"/>
    <x v="30"/>
    <n v="19.399999999999999"/>
    <x v="88"/>
    <x v="2"/>
    <n v="150"/>
    <x v="0"/>
  </r>
  <r>
    <s v="P134"/>
    <n v="54"/>
    <x v="1"/>
    <x v="0"/>
    <s v="Heart Disease"/>
    <s v="HER2 Mutation"/>
    <s v="T003"/>
    <x v="3"/>
    <x v="3"/>
    <s v="11/5/2022"/>
    <s v="7/5/2023"/>
    <s v="150mg"/>
    <s v="Dizziness, Headache"/>
    <s v="TR0019"/>
    <s v="150mg"/>
    <x v="0"/>
    <x v="1"/>
    <x v="53"/>
    <n v="1"/>
    <x v="0"/>
    <x v="1"/>
    <n v="4.2699999999999996"/>
    <n v="4.33"/>
    <x v="21"/>
    <n v="6.1"/>
    <x v="71"/>
    <x v="2"/>
    <n v="150"/>
    <x v="1"/>
  </r>
  <r>
    <s v="P135"/>
    <n v="58"/>
    <x v="2"/>
    <x v="0"/>
    <s v="Not Reported"/>
    <s v="Not Reported"/>
    <s v="T013"/>
    <x v="0"/>
    <x v="0"/>
    <s v="12/19/2021"/>
    <s v="2/19/2023"/>
    <s v="200mg"/>
    <s v="Fatigue, Dizziness"/>
    <s v="TR0006"/>
    <s v="200mg"/>
    <x v="0"/>
    <x v="1"/>
    <x v="86"/>
    <n v="1"/>
    <x v="3"/>
    <x v="0"/>
    <n v="3.47"/>
    <n v="4.92"/>
    <x v="19"/>
    <n v="10.7"/>
    <x v="13"/>
    <x v="0"/>
    <n v="200"/>
    <x v="1"/>
  </r>
  <r>
    <s v="P136"/>
    <n v="39"/>
    <x v="1"/>
    <x v="2"/>
    <s v="Hypertension"/>
    <s v="HER2 Mutation"/>
    <s v="T018"/>
    <x v="1"/>
    <x v="1"/>
    <s v="9/25/2022"/>
    <s v="4/25/2023"/>
    <s v="50mg"/>
    <s v="Dizziness, Fatigue"/>
    <s v="TR0022"/>
    <s v="50mg"/>
    <x v="2"/>
    <x v="0"/>
    <x v="39"/>
    <n v="0"/>
    <x v="0"/>
    <x v="0"/>
    <n v="3.16"/>
    <n v="4.12"/>
    <x v="57"/>
    <n v="19.7"/>
    <x v="89"/>
    <x v="3"/>
    <n v="50"/>
    <x v="3"/>
  </r>
  <r>
    <s v="P137"/>
    <n v="54"/>
    <x v="1"/>
    <x v="4"/>
    <s v="Diabetes"/>
    <s v="Not Reported"/>
    <s v="T006"/>
    <x v="1"/>
    <x v="1"/>
    <s v="6/28/2021"/>
    <s v="7/28/2022"/>
    <s v="200mg"/>
    <s v="Not Reported, Headache, Nausea"/>
    <s v="TR0179"/>
    <s v="200mg"/>
    <x v="2"/>
    <x v="1"/>
    <x v="71"/>
    <n v="0"/>
    <x v="2"/>
    <x v="1"/>
    <n v="4.8499999999999996"/>
    <n v="2.37"/>
    <x v="19"/>
    <n v="22.8"/>
    <x v="26"/>
    <x v="0"/>
    <n v="200"/>
    <x v="1"/>
  </r>
  <r>
    <s v="P138"/>
    <n v="85"/>
    <x v="2"/>
    <x v="1"/>
    <s v="Not Reported"/>
    <s v="Not Reported"/>
    <s v="T016"/>
    <x v="2"/>
    <x v="1"/>
    <s v="5/12/2022"/>
    <s v="5/12/2023"/>
    <s v="150mg"/>
    <s v="Not Reported"/>
    <s v="TR0003"/>
    <s v="150mg"/>
    <x v="0"/>
    <x v="2"/>
    <x v="2"/>
    <n v="1"/>
    <x v="4"/>
    <x v="1"/>
    <n v="4.75"/>
    <n v="3.75"/>
    <x v="32"/>
    <n v="11.4"/>
    <x v="78"/>
    <x v="2"/>
    <n v="150"/>
    <x v="2"/>
  </r>
  <r>
    <s v="P139"/>
    <n v="78"/>
    <x v="2"/>
    <x v="2"/>
    <s v="Asthma"/>
    <s v="Not Reported"/>
    <s v="T016"/>
    <x v="0"/>
    <x v="1"/>
    <s v="5/20/2022"/>
    <s v="2/20/2023"/>
    <s v="50mg"/>
    <s v="Not Reported, Fatigue, Headache"/>
    <s v="TR0144"/>
    <s v="50mg"/>
    <x v="1"/>
    <x v="0"/>
    <x v="28"/>
    <n v="0"/>
    <x v="0"/>
    <x v="1"/>
    <n v="1.27"/>
    <n v="3.33"/>
    <x v="42"/>
    <n v="17.2"/>
    <x v="2"/>
    <x v="3"/>
    <n v="50"/>
    <x v="2"/>
  </r>
  <r>
    <s v="P140"/>
    <n v="66"/>
    <x v="0"/>
    <x v="0"/>
    <s v="Hypertension"/>
    <s v="BRCA2 Mutation"/>
    <s v="T017"/>
    <x v="0"/>
    <x v="3"/>
    <s v="5/14/2023"/>
    <s v="2/14/2024"/>
    <s v="50mg"/>
    <s v="Fatigue"/>
    <s v="TR0075"/>
    <s v="50mg"/>
    <x v="0"/>
    <x v="0"/>
    <x v="26"/>
    <n v="1"/>
    <x v="4"/>
    <x v="1"/>
    <n v="4.49"/>
    <n v="4.8899999999999997"/>
    <x v="4"/>
    <n v="19.5"/>
    <x v="7"/>
    <x v="3"/>
    <n v="50"/>
    <x v="2"/>
  </r>
  <r>
    <s v="P141"/>
    <n v="42"/>
    <x v="1"/>
    <x v="2"/>
    <s v="Diabetes"/>
    <s v="EGFR Mutation"/>
    <s v="T001"/>
    <x v="2"/>
    <x v="1"/>
    <s v="5/5/2021"/>
    <s v="10/5/2022"/>
    <s v="200mg"/>
    <s v="Nausea, Fatigue, Dizziness"/>
    <s v="TR0039"/>
    <s v="200mg"/>
    <x v="0"/>
    <x v="0"/>
    <x v="94"/>
    <n v="1"/>
    <x v="4"/>
    <x v="1"/>
    <n v="4.03"/>
    <n v="1.1000000000000001"/>
    <x v="47"/>
    <n v="11.8"/>
    <x v="77"/>
    <x v="0"/>
    <n v="200"/>
    <x v="3"/>
  </r>
  <r>
    <s v="P142"/>
    <n v="57"/>
    <x v="1"/>
    <x v="0"/>
    <s v="Asthma"/>
    <s v="Not Reported"/>
    <s v="T002"/>
    <x v="0"/>
    <x v="1"/>
    <s v="1/9/2020"/>
    <s v="7/9/2021"/>
    <s v="200mg"/>
    <s v="Dizziness"/>
    <s v="TR0121"/>
    <s v="200mg"/>
    <x v="0"/>
    <x v="1"/>
    <x v="86"/>
    <n v="1"/>
    <x v="1"/>
    <x v="0"/>
    <n v="4.08"/>
    <n v="3.73"/>
    <x v="71"/>
    <n v="10.9"/>
    <x v="83"/>
    <x v="0"/>
    <n v="200"/>
    <x v="1"/>
  </r>
  <r>
    <s v="P143"/>
    <n v="33"/>
    <x v="2"/>
    <x v="4"/>
    <s v="Asthma"/>
    <s v="Not Reported"/>
    <s v="T015"/>
    <x v="2"/>
    <x v="1"/>
    <s v="8/24/2020"/>
    <s v="2/24/2022"/>
    <s v="50mg"/>
    <s v="Fatigue, Headache, Dizziness"/>
    <s v="TR0175"/>
    <s v="50mg"/>
    <x v="1"/>
    <x v="4"/>
    <x v="95"/>
    <n v="0"/>
    <x v="3"/>
    <x v="0"/>
    <n v="2.7"/>
    <n v="2.81"/>
    <x v="28"/>
    <n v="20.3"/>
    <x v="90"/>
    <x v="3"/>
    <n v="50"/>
    <x v="3"/>
  </r>
  <r>
    <s v="P144"/>
    <n v="50"/>
    <x v="1"/>
    <x v="0"/>
    <s v="Diabetes"/>
    <s v="BRCA1 Mutation"/>
    <s v="T007"/>
    <x v="1"/>
    <x v="2"/>
    <s v="6/1/2022"/>
    <s v="2/1/2023"/>
    <s v="150mg"/>
    <s v="Nausea, Headache, Dizziness"/>
    <s v="TR0003"/>
    <s v="150mg"/>
    <x v="0"/>
    <x v="2"/>
    <x v="62"/>
    <n v="1"/>
    <x v="2"/>
    <x v="0"/>
    <n v="1.88"/>
    <n v="1.33"/>
    <x v="23"/>
    <n v="17.8"/>
    <x v="91"/>
    <x v="2"/>
    <n v="150"/>
    <x v="3"/>
  </r>
  <r>
    <s v="P145"/>
    <n v="65"/>
    <x v="0"/>
    <x v="4"/>
    <s v="Diabetes"/>
    <s v="EGFR Mutation"/>
    <s v="T011"/>
    <x v="1"/>
    <x v="1"/>
    <s v="11/5/2021"/>
    <s v="4/5/2023"/>
    <s v="50mg"/>
    <s v="Headache"/>
    <s v="TR0060"/>
    <s v="50mg"/>
    <x v="1"/>
    <x v="2"/>
    <x v="96"/>
    <n v="0"/>
    <x v="1"/>
    <x v="0"/>
    <n v="4.8"/>
    <n v="1.6"/>
    <x v="13"/>
    <n v="23"/>
    <x v="69"/>
    <x v="3"/>
    <n v="50"/>
    <x v="1"/>
  </r>
  <r>
    <s v="P146"/>
    <n v="20"/>
    <x v="2"/>
    <x v="3"/>
    <s v="Not Reported"/>
    <s v="Not Reported"/>
    <s v="T009"/>
    <x v="1"/>
    <x v="0"/>
    <s v="9/10/2022"/>
    <s v="11/10/2023"/>
    <s v="200mg"/>
    <s v="Dizziness"/>
    <s v="TR0048"/>
    <s v="200mg"/>
    <x v="2"/>
    <x v="4"/>
    <x v="59"/>
    <n v="0"/>
    <x v="1"/>
    <x v="1"/>
    <n v="3.55"/>
    <n v="2.59"/>
    <x v="5"/>
    <n v="23.7"/>
    <x v="28"/>
    <x v="0"/>
    <n v="200"/>
    <x v="0"/>
  </r>
  <r>
    <s v="P147"/>
    <n v="38"/>
    <x v="0"/>
    <x v="1"/>
    <s v="Diabetes"/>
    <s v="TP53 Mutation"/>
    <s v="T018"/>
    <x v="0"/>
    <x v="0"/>
    <s v="11/17/2019"/>
    <s v="11/17/2020"/>
    <s v="100mg"/>
    <s v="Dizziness"/>
    <s v="TR0094"/>
    <s v="100mg"/>
    <x v="2"/>
    <x v="1"/>
    <x v="59"/>
    <n v="0"/>
    <x v="3"/>
    <x v="1"/>
    <n v="4.58"/>
    <n v="1.92"/>
    <x v="22"/>
    <n v="6.6"/>
    <x v="86"/>
    <x v="1"/>
    <n v="100"/>
    <x v="3"/>
  </r>
  <r>
    <s v="P148"/>
    <n v="42"/>
    <x v="2"/>
    <x v="3"/>
    <s v="Heart Disease"/>
    <s v="TP53 Mutation"/>
    <s v="T011"/>
    <x v="3"/>
    <x v="3"/>
    <s v="2/17/2019"/>
    <s v="6/17/2020"/>
    <s v="50mg"/>
    <s v="Fatigue"/>
    <s v="TR0046"/>
    <s v="50mg"/>
    <x v="0"/>
    <x v="1"/>
    <x v="21"/>
    <n v="1"/>
    <x v="1"/>
    <x v="0"/>
    <n v="2.4700000000000002"/>
    <n v="4.46"/>
    <x v="72"/>
    <n v="23.4"/>
    <x v="30"/>
    <x v="3"/>
    <n v="50"/>
    <x v="3"/>
  </r>
  <r>
    <s v="P149"/>
    <n v="30"/>
    <x v="0"/>
    <x v="1"/>
    <s v="Asthma"/>
    <s v="Not Reported"/>
    <s v="T017"/>
    <x v="0"/>
    <x v="1"/>
    <s v="4/20/2021"/>
    <s v="9/20/2022"/>
    <s v="50mg"/>
    <s v="Fatigue"/>
    <s v="TR0168"/>
    <s v="50mg"/>
    <x v="1"/>
    <x v="3"/>
    <x v="97"/>
    <n v="0"/>
    <x v="3"/>
    <x v="1"/>
    <n v="4.47"/>
    <n v="4.1100000000000003"/>
    <x v="61"/>
    <n v="21.2"/>
    <x v="92"/>
    <x v="3"/>
    <n v="50"/>
    <x v="0"/>
  </r>
  <r>
    <s v="P150"/>
    <n v="71"/>
    <x v="1"/>
    <x v="2"/>
    <s v="Heart Disease"/>
    <s v="BRCA1 Mutation"/>
    <s v="T003"/>
    <x v="0"/>
    <x v="1"/>
    <s v="9/4/2020"/>
    <s v="4/4/2021"/>
    <s v="100mg"/>
    <s v="Headache, Fatigue, Nausea"/>
    <s v="TR0135"/>
    <s v="100mg"/>
    <x v="2"/>
    <x v="1"/>
    <x v="98"/>
    <n v="0"/>
    <x v="0"/>
    <x v="1"/>
    <n v="3.5"/>
    <n v="1.52"/>
    <x v="11"/>
    <n v="22.6"/>
    <x v="8"/>
    <x v="1"/>
    <n v="100"/>
    <x v="2"/>
  </r>
  <r>
    <s v="P151"/>
    <n v="31"/>
    <x v="2"/>
    <x v="1"/>
    <s v="Not Reported"/>
    <s v="Not Reported"/>
    <s v="T014"/>
    <x v="1"/>
    <x v="2"/>
    <s v="9/13/2020"/>
    <s v="11/13/2021"/>
    <s v="150mg"/>
    <s v="Fatigue, Headache, Dizziness"/>
    <s v="TR0081"/>
    <s v="150mg"/>
    <x v="2"/>
    <x v="4"/>
    <x v="99"/>
    <n v="0"/>
    <x v="1"/>
    <x v="1"/>
    <n v="4.1900000000000004"/>
    <n v="2.93"/>
    <x v="38"/>
    <n v="8.3000000000000007"/>
    <x v="17"/>
    <x v="2"/>
    <n v="150"/>
    <x v="3"/>
  </r>
  <r>
    <s v="P152"/>
    <n v="59"/>
    <x v="2"/>
    <x v="4"/>
    <s v="Heart Disease"/>
    <s v="Not Reported"/>
    <s v="T013"/>
    <x v="0"/>
    <x v="3"/>
    <s v="8/13/2022"/>
    <s v="2/13/2023"/>
    <s v="50mg"/>
    <s v="Dizziness, Nausea"/>
    <s v="TR0133"/>
    <s v="50mg"/>
    <x v="0"/>
    <x v="4"/>
    <x v="91"/>
    <n v="1"/>
    <x v="4"/>
    <x v="0"/>
    <n v="2.72"/>
    <n v="1.8"/>
    <x v="16"/>
    <n v="7.2"/>
    <x v="93"/>
    <x v="3"/>
    <n v="50"/>
    <x v="1"/>
  </r>
  <r>
    <s v="P153"/>
    <n v="45"/>
    <x v="1"/>
    <x v="2"/>
    <s v="Not Reported"/>
    <s v="Not Reported"/>
    <s v="T017"/>
    <x v="2"/>
    <x v="1"/>
    <s v="8/12/2019"/>
    <s v="4/12/2020"/>
    <s v="100mg"/>
    <s v="Not Reported, Fatigue"/>
    <s v="TR0060"/>
    <s v="100mg"/>
    <x v="1"/>
    <x v="4"/>
    <x v="74"/>
    <n v="0"/>
    <x v="2"/>
    <x v="1"/>
    <n v="2.08"/>
    <n v="4.1900000000000004"/>
    <x v="0"/>
    <n v="14.2"/>
    <x v="94"/>
    <x v="1"/>
    <n v="100"/>
    <x v="3"/>
  </r>
  <r>
    <s v="P154"/>
    <n v="45"/>
    <x v="2"/>
    <x v="2"/>
    <s v="Not Reported"/>
    <s v="Not Reported"/>
    <s v="T006"/>
    <x v="3"/>
    <x v="1"/>
    <s v="11/10/2023"/>
    <s v="5/10/2024"/>
    <s v="200mg"/>
    <s v="Nausea"/>
    <s v="TR0198"/>
    <s v="200mg"/>
    <x v="1"/>
    <x v="4"/>
    <x v="100"/>
    <n v="0"/>
    <x v="1"/>
    <x v="0"/>
    <n v="1.29"/>
    <n v="2.57"/>
    <x v="72"/>
    <n v="16.8"/>
    <x v="95"/>
    <x v="0"/>
    <n v="200"/>
    <x v="3"/>
  </r>
  <r>
    <s v="P155"/>
    <n v="47"/>
    <x v="2"/>
    <x v="1"/>
    <s v="Hypertension"/>
    <s v="Not Reported"/>
    <s v="T013"/>
    <x v="1"/>
    <x v="3"/>
    <s v="1/11/2023"/>
    <s v="3/11/2024"/>
    <s v="100mg"/>
    <s v="Dizziness, Fatigue"/>
    <s v="TR0040"/>
    <s v="100mg"/>
    <x v="0"/>
    <x v="0"/>
    <x v="101"/>
    <n v="1"/>
    <x v="2"/>
    <x v="0"/>
    <n v="3.78"/>
    <n v="4.4400000000000004"/>
    <x v="73"/>
    <n v="6.7"/>
    <x v="31"/>
    <x v="1"/>
    <n v="100"/>
    <x v="3"/>
  </r>
  <r>
    <s v="P156"/>
    <n v="46"/>
    <x v="1"/>
    <x v="0"/>
    <s v="Asthma"/>
    <s v="TP53 Mutation"/>
    <s v="T003"/>
    <x v="3"/>
    <x v="1"/>
    <s v="7/9/2023"/>
    <s v="2/9/2024"/>
    <s v="200mg"/>
    <s v="Headache, Fatigue, Nausea"/>
    <s v="TR0124"/>
    <s v="200mg"/>
    <x v="2"/>
    <x v="1"/>
    <x v="102"/>
    <n v="0"/>
    <x v="1"/>
    <x v="0"/>
    <n v="1.42"/>
    <n v="1.97"/>
    <x v="51"/>
    <n v="8.6"/>
    <x v="23"/>
    <x v="0"/>
    <n v="200"/>
    <x v="3"/>
  </r>
  <r>
    <s v="P157"/>
    <n v="85"/>
    <x v="0"/>
    <x v="4"/>
    <s v="Hypertension"/>
    <s v="HER2 Mutation"/>
    <s v="T011"/>
    <x v="1"/>
    <x v="1"/>
    <s v="7/12/2022"/>
    <s v="6/12/2023"/>
    <s v="100mg"/>
    <s v="Not Reported, Nausea"/>
    <s v="TR0198"/>
    <s v="100mg"/>
    <x v="1"/>
    <x v="1"/>
    <x v="103"/>
    <n v="0"/>
    <x v="2"/>
    <x v="1"/>
    <n v="3.47"/>
    <n v="3.81"/>
    <x v="10"/>
    <n v="6.2"/>
    <x v="96"/>
    <x v="1"/>
    <n v="100"/>
    <x v="2"/>
  </r>
  <r>
    <s v="P158"/>
    <n v="36"/>
    <x v="1"/>
    <x v="2"/>
    <s v="Diabetes"/>
    <s v="TP53 Mutation"/>
    <s v="T005"/>
    <x v="1"/>
    <x v="1"/>
    <s v="4/20/2019"/>
    <s v="12/20/2019"/>
    <s v="150mg"/>
    <s v="Not Reported"/>
    <s v="TR0178"/>
    <s v="150mg"/>
    <x v="0"/>
    <x v="4"/>
    <x v="26"/>
    <n v="1"/>
    <x v="1"/>
    <x v="0"/>
    <n v="3.07"/>
    <n v="1.35"/>
    <x v="74"/>
    <n v="6.6"/>
    <x v="80"/>
    <x v="2"/>
    <n v="150"/>
    <x v="3"/>
  </r>
  <r>
    <s v="P159"/>
    <n v="60"/>
    <x v="0"/>
    <x v="1"/>
    <s v="Diabetes"/>
    <s v="EGFR Mutation"/>
    <s v="T009"/>
    <x v="3"/>
    <x v="2"/>
    <s v="7/19/2019"/>
    <s v="11/19/2020"/>
    <s v="50mg"/>
    <s v="Fatigue, Nausea"/>
    <s v="TR0073"/>
    <s v="50mg"/>
    <x v="0"/>
    <x v="2"/>
    <x v="15"/>
    <n v="1"/>
    <x v="3"/>
    <x v="1"/>
    <n v="2.59"/>
    <n v="1.53"/>
    <x v="41"/>
    <n v="18.399999999999999"/>
    <x v="43"/>
    <x v="3"/>
    <n v="50"/>
    <x v="1"/>
  </r>
  <r>
    <s v="P160"/>
    <n v="19"/>
    <x v="0"/>
    <x v="3"/>
    <s v="Not Reported"/>
    <s v="Not Reported"/>
    <s v="T012"/>
    <x v="1"/>
    <x v="1"/>
    <s v="11/13/2021"/>
    <s v="8/13/2022"/>
    <s v="200mg"/>
    <s v="Nausea, Not Reported, Fatigue"/>
    <s v="TR0153"/>
    <s v="200mg"/>
    <x v="2"/>
    <x v="3"/>
    <x v="9"/>
    <n v="0"/>
    <x v="0"/>
    <x v="1"/>
    <n v="1.8"/>
    <n v="1.67"/>
    <x v="75"/>
    <n v="17.5"/>
    <x v="78"/>
    <x v="0"/>
    <n v="200"/>
    <x v="0"/>
  </r>
  <r>
    <s v="P161"/>
    <n v="20"/>
    <x v="0"/>
    <x v="4"/>
    <s v="Heart Disease"/>
    <s v="HER2 Mutation"/>
    <s v="T013"/>
    <x v="2"/>
    <x v="1"/>
    <s v="11/12/2021"/>
    <s v="10/12/2022"/>
    <s v="150mg"/>
    <s v="Dizziness"/>
    <s v="TR0071"/>
    <s v="150mg"/>
    <x v="0"/>
    <x v="4"/>
    <x v="17"/>
    <n v="1"/>
    <x v="3"/>
    <x v="1"/>
    <n v="1.1299999999999999"/>
    <n v="4.74"/>
    <x v="56"/>
    <n v="15.7"/>
    <x v="97"/>
    <x v="2"/>
    <n v="150"/>
    <x v="0"/>
  </r>
  <r>
    <s v="P162"/>
    <n v="46"/>
    <x v="0"/>
    <x v="0"/>
    <s v="Asthma"/>
    <s v="Not Reported"/>
    <s v="T003"/>
    <x v="3"/>
    <x v="2"/>
    <s v="4/19/2022"/>
    <s v="12/19/2022"/>
    <s v="200mg"/>
    <s v="Dizziness, Not Reported"/>
    <s v="TR0115"/>
    <s v="200mg"/>
    <x v="2"/>
    <x v="1"/>
    <x v="55"/>
    <n v="0"/>
    <x v="0"/>
    <x v="0"/>
    <n v="4.4800000000000004"/>
    <n v="3.86"/>
    <x v="33"/>
    <n v="12.1"/>
    <x v="74"/>
    <x v="0"/>
    <n v="200"/>
    <x v="3"/>
  </r>
  <r>
    <s v="P163"/>
    <n v="35"/>
    <x v="1"/>
    <x v="1"/>
    <s v="Diabetes"/>
    <s v="BRCA2 Mutation"/>
    <s v="T019"/>
    <x v="2"/>
    <x v="3"/>
    <s v="9/18/2019"/>
    <s v="2/18/2021"/>
    <s v="50mg"/>
    <s v="Not Reported"/>
    <s v="TR0038"/>
    <s v="50mg"/>
    <x v="2"/>
    <x v="3"/>
    <x v="23"/>
    <n v="0"/>
    <x v="1"/>
    <x v="1"/>
    <n v="1.32"/>
    <n v="4.58"/>
    <x v="34"/>
    <n v="20.7"/>
    <x v="54"/>
    <x v="3"/>
    <n v="50"/>
    <x v="3"/>
  </r>
  <r>
    <s v="P164"/>
    <n v="56"/>
    <x v="1"/>
    <x v="0"/>
    <s v="Diabetes"/>
    <s v="Not Reported"/>
    <s v="T004"/>
    <x v="2"/>
    <x v="2"/>
    <s v="10/20/2019"/>
    <s v="8/20/2020"/>
    <s v="100mg"/>
    <s v="Fatigue, Dizziness, Not Reported"/>
    <s v="TR0007"/>
    <s v="100mg"/>
    <x v="1"/>
    <x v="3"/>
    <x v="11"/>
    <n v="0"/>
    <x v="0"/>
    <x v="1"/>
    <n v="3.57"/>
    <n v="3.11"/>
    <x v="55"/>
    <n v="7.5"/>
    <x v="98"/>
    <x v="1"/>
    <n v="100"/>
    <x v="1"/>
  </r>
  <r>
    <s v="P165"/>
    <n v="65"/>
    <x v="0"/>
    <x v="3"/>
    <s v="Asthma"/>
    <s v="BRCA2 Mutation"/>
    <s v="T007"/>
    <x v="2"/>
    <x v="1"/>
    <s v="1/9/2022"/>
    <s v="1/9/2023"/>
    <s v="100mg"/>
    <s v="Fatigue, Dizziness, Nausea"/>
    <s v="TR0046"/>
    <s v="100mg"/>
    <x v="1"/>
    <x v="2"/>
    <x v="104"/>
    <n v="0"/>
    <x v="4"/>
    <x v="1"/>
    <n v="1.99"/>
    <n v="1.64"/>
    <x v="67"/>
    <n v="9.9"/>
    <x v="99"/>
    <x v="1"/>
    <n v="100"/>
    <x v="1"/>
  </r>
  <r>
    <s v="P166"/>
    <n v="49"/>
    <x v="1"/>
    <x v="3"/>
    <s v="Hypertension"/>
    <s v="Not Reported"/>
    <s v="T013"/>
    <x v="0"/>
    <x v="0"/>
    <s v="12/19/2023"/>
    <s v="3/19/2025"/>
    <s v="50mg"/>
    <s v="Nausea, Headache, Fatigue"/>
    <s v="TR0011"/>
    <s v="50mg"/>
    <x v="0"/>
    <x v="2"/>
    <x v="105"/>
    <n v="1"/>
    <x v="1"/>
    <x v="0"/>
    <n v="2.35"/>
    <n v="1.73"/>
    <x v="76"/>
    <n v="17.899999999999999"/>
    <x v="23"/>
    <x v="3"/>
    <n v="50"/>
    <x v="3"/>
  </r>
  <r>
    <s v="P167"/>
    <n v="67"/>
    <x v="2"/>
    <x v="2"/>
    <s v="Diabetes"/>
    <s v="HER2 Mutation"/>
    <s v="T010"/>
    <x v="0"/>
    <x v="0"/>
    <s v="7/10/2020"/>
    <s v="10/10/2021"/>
    <s v="50mg"/>
    <s v="Dizziness, Fatigue, Headache"/>
    <s v="TR0166"/>
    <s v="50mg"/>
    <x v="1"/>
    <x v="3"/>
    <x v="106"/>
    <n v="0"/>
    <x v="3"/>
    <x v="0"/>
    <n v="3.22"/>
    <n v="3.88"/>
    <x v="8"/>
    <n v="23.9"/>
    <x v="99"/>
    <x v="3"/>
    <n v="50"/>
    <x v="2"/>
  </r>
  <r>
    <s v="P168"/>
    <n v="35"/>
    <x v="1"/>
    <x v="3"/>
    <s v="Not Reported"/>
    <s v="BRCA2 Mutation"/>
    <s v="T015"/>
    <x v="2"/>
    <x v="0"/>
    <s v="5/11/2019"/>
    <s v="10/11/2020"/>
    <s v="100mg"/>
    <s v="Nausea, Dizziness, Headache"/>
    <s v="TR0181"/>
    <s v="100mg"/>
    <x v="1"/>
    <x v="4"/>
    <x v="107"/>
    <n v="0"/>
    <x v="2"/>
    <x v="1"/>
    <n v="3.6"/>
    <n v="1.8"/>
    <x v="23"/>
    <n v="7.3"/>
    <x v="73"/>
    <x v="1"/>
    <n v="100"/>
    <x v="3"/>
  </r>
  <r>
    <s v="P169"/>
    <n v="83"/>
    <x v="2"/>
    <x v="4"/>
    <s v="Asthma"/>
    <s v="Not Reported"/>
    <s v="T002"/>
    <x v="2"/>
    <x v="3"/>
    <s v="11/28/2023"/>
    <s v="7/28/2024"/>
    <s v="100mg"/>
    <s v="Fatigue"/>
    <s v="TR0197"/>
    <s v="100mg"/>
    <x v="2"/>
    <x v="3"/>
    <x v="108"/>
    <n v="0"/>
    <x v="4"/>
    <x v="1"/>
    <n v="2.0299999999999998"/>
    <n v="2.85"/>
    <x v="67"/>
    <n v="19.100000000000001"/>
    <x v="100"/>
    <x v="1"/>
    <n v="100"/>
    <x v="2"/>
  </r>
  <r>
    <s v="P170"/>
    <n v="75"/>
    <x v="1"/>
    <x v="4"/>
    <s v="Hypertension"/>
    <s v="Not Reported"/>
    <s v="T007"/>
    <x v="1"/>
    <x v="3"/>
    <s v="8/16/2019"/>
    <s v="9/16/2020"/>
    <s v="50mg"/>
    <s v="Headache, Fatigue, Nausea"/>
    <s v="TR0151"/>
    <s v="50mg"/>
    <x v="2"/>
    <x v="0"/>
    <x v="71"/>
    <n v="0"/>
    <x v="1"/>
    <x v="1"/>
    <n v="2.7"/>
    <n v="2.38"/>
    <x v="18"/>
    <n v="23.8"/>
    <x v="15"/>
    <x v="3"/>
    <n v="50"/>
    <x v="2"/>
  </r>
  <r>
    <s v="P171"/>
    <n v="28"/>
    <x v="2"/>
    <x v="1"/>
    <s v="Hypertension"/>
    <s v="EGFR Mutation"/>
    <s v="T009"/>
    <x v="2"/>
    <x v="1"/>
    <s v="3/2/2020"/>
    <s v="7/2/2021"/>
    <s v="150mg"/>
    <s v="Fatigue"/>
    <s v="TR0009"/>
    <s v="150mg"/>
    <x v="2"/>
    <x v="2"/>
    <x v="109"/>
    <n v="0"/>
    <x v="4"/>
    <x v="0"/>
    <n v="4.47"/>
    <n v="3.31"/>
    <x v="13"/>
    <n v="19.100000000000001"/>
    <x v="77"/>
    <x v="2"/>
    <n v="150"/>
    <x v="0"/>
  </r>
  <r>
    <s v="P172"/>
    <n v="24"/>
    <x v="0"/>
    <x v="3"/>
    <s v="Diabetes"/>
    <s v="TP53 Mutation"/>
    <s v="T020"/>
    <x v="2"/>
    <x v="0"/>
    <s v="6/2/2023"/>
    <s v="1/2/2024"/>
    <s v="150mg"/>
    <s v="Not Reported, Headache"/>
    <s v="TR0018"/>
    <s v="150mg"/>
    <x v="1"/>
    <x v="2"/>
    <x v="31"/>
    <n v="0"/>
    <x v="4"/>
    <x v="1"/>
    <n v="4.49"/>
    <n v="4.5999999999999996"/>
    <x v="62"/>
    <n v="11"/>
    <x v="57"/>
    <x v="2"/>
    <n v="150"/>
    <x v="0"/>
  </r>
  <r>
    <s v="P173"/>
    <n v="35"/>
    <x v="0"/>
    <x v="0"/>
    <s v="Not Reported"/>
    <s v="Not Reported"/>
    <s v="T017"/>
    <x v="2"/>
    <x v="2"/>
    <s v="1/4/2023"/>
    <s v="4/4/2024"/>
    <s v="50mg"/>
    <s v="Dizziness, Not Reported"/>
    <s v="TR0110"/>
    <s v="50mg"/>
    <x v="2"/>
    <x v="4"/>
    <x v="40"/>
    <n v="0"/>
    <x v="2"/>
    <x v="1"/>
    <n v="4.6500000000000004"/>
    <n v="1.84"/>
    <x v="35"/>
    <n v="17.399999999999999"/>
    <x v="70"/>
    <x v="3"/>
    <n v="50"/>
    <x v="3"/>
  </r>
  <r>
    <s v="P174"/>
    <n v="34"/>
    <x v="2"/>
    <x v="1"/>
    <s v="Asthma"/>
    <s v="Not Reported"/>
    <s v="T016"/>
    <x v="3"/>
    <x v="2"/>
    <s v="4/23/2023"/>
    <s v="2/23/2024"/>
    <s v="100mg"/>
    <s v="Nausea"/>
    <s v="TR0007"/>
    <s v="100mg"/>
    <x v="1"/>
    <x v="3"/>
    <x v="110"/>
    <n v="0"/>
    <x v="2"/>
    <x v="1"/>
    <n v="1.53"/>
    <n v="3.86"/>
    <x v="52"/>
    <n v="9.1999999999999993"/>
    <x v="101"/>
    <x v="1"/>
    <n v="100"/>
    <x v="3"/>
  </r>
  <r>
    <s v="P175"/>
    <n v="70"/>
    <x v="0"/>
    <x v="0"/>
    <s v="Not Reported"/>
    <s v="Not Reported"/>
    <s v="T007"/>
    <x v="1"/>
    <x v="2"/>
    <s v="5/26/2021"/>
    <s v="12/26/2021"/>
    <s v="150mg"/>
    <s v="Dizziness, Not Reported"/>
    <s v="TR0197"/>
    <s v="150mg"/>
    <x v="0"/>
    <x v="3"/>
    <x v="111"/>
    <n v="1"/>
    <x v="4"/>
    <x v="1"/>
    <n v="4.8899999999999997"/>
    <n v="1.72"/>
    <x v="77"/>
    <n v="14.9"/>
    <x v="102"/>
    <x v="2"/>
    <n v="150"/>
    <x v="2"/>
  </r>
  <r>
    <s v="P176"/>
    <n v="21"/>
    <x v="0"/>
    <x v="4"/>
    <s v="Not Reported"/>
    <s v="Not Reported"/>
    <s v="T016"/>
    <x v="3"/>
    <x v="1"/>
    <s v="8/5/2020"/>
    <s v="12/5/2021"/>
    <s v="200mg"/>
    <s v="Not Reported, Headache, Fatigue"/>
    <s v="TR0191"/>
    <s v="200mg"/>
    <x v="0"/>
    <x v="2"/>
    <x v="109"/>
    <n v="1"/>
    <x v="2"/>
    <x v="1"/>
    <n v="4.4800000000000004"/>
    <n v="2.78"/>
    <x v="21"/>
    <n v="12.5"/>
    <x v="57"/>
    <x v="0"/>
    <n v="200"/>
    <x v="0"/>
  </r>
  <r>
    <s v="P177"/>
    <n v="20"/>
    <x v="0"/>
    <x v="1"/>
    <s v="Not Reported"/>
    <s v="Not Reported"/>
    <s v="T012"/>
    <x v="1"/>
    <x v="2"/>
    <s v="1/11/2021"/>
    <s v="1/11/2022"/>
    <s v="100mg"/>
    <s v="Dizziness, Headache, Nausea"/>
    <s v="TR0153"/>
    <s v="100mg"/>
    <x v="0"/>
    <x v="4"/>
    <x v="70"/>
    <n v="1"/>
    <x v="3"/>
    <x v="1"/>
    <n v="1.65"/>
    <n v="2.56"/>
    <x v="4"/>
    <n v="10.6"/>
    <x v="103"/>
    <x v="1"/>
    <n v="100"/>
    <x v="0"/>
  </r>
  <r>
    <s v="P178"/>
    <n v="70"/>
    <x v="0"/>
    <x v="3"/>
    <s v="Diabetes"/>
    <s v="TP53 Mutation"/>
    <s v="T007"/>
    <x v="0"/>
    <x v="2"/>
    <s v="6/26/2019"/>
    <s v="12/26/2019"/>
    <s v="100mg"/>
    <s v="Headache"/>
    <s v="TR0130"/>
    <s v="100mg"/>
    <x v="0"/>
    <x v="0"/>
    <x v="106"/>
    <n v="1"/>
    <x v="0"/>
    <x v="0"/>
    <n v="2.2999999999999998"/>
    <n v="4.09"/>
    <x v="12"/>
    <n v="23.5"/>
    <x v="54"/>
    <x v="1"/>
    <n v="100"/>
    <x v="2"/>
  </r>
  <r>
    <s v="P179"/>
    <n v="61"/>
    <x v="1"/>
    <x v="1"/>
    <s v="Not Reported"/>
    <s v="Not Reported"/>
    <s v="T005"/>
    <x v="1"/>
    <x v="2"/>
    <s v="12/2/2020"/>
    <s v="1/2/2022"/>
    <s v="200mg"/>
    <s v="Dizziness, Nausea, Headache"/>
    <s v="TR0080"/>
    <s v="200mg"/>
    <x v="0"/>
    <x v="2"/>
    <x v="112"/>
    <n v="1"/>
    <x v="4"/>
    <x v="1"/>
    <n v="1.94"/>
    <n v="1.29"/>
    <x v="28"/>
    <n v="15.4"/>
    <x v="52"/>
    <x v="0"/>
    <n v="200"/>
    <x v="1"/>
  </r>
  <r>
    <s v="P180"/>
    <n v="23"/>
    <x v="0"/>
    <x v="1"/>
    <s v="Not Reported"/>
    <s v="TP53 Mutation"/>
    <s v="T007"/>
    <x v="0"/>
    <x v="2"/>
    <s v="5/9/2020"/>
    <s v="7/9/2021"/>
    <s v="150mg"/>
    <s v="Nausea, Not Reported"/>
    <s v="TR0039"/>
    <s v="150mg"/>
    <x v="0"/>
    <x v="4"/>
    <x v="24"/>
    <n v="1"/>
    <x v="3"/>
    <x v="0"/>
    <n v="4.32"/>
    <n v="2.72"/>
    <x v="7"/>
    <n v="17.100000000000001"/>
    <x v="78"/>
    <x v="2"/>
    <n v="150"/>
    <x v="0"/>
  </r>
  <r>
    <s v="P181"/>
    <n v="44"/>
    <x v="2"/>
    <x v="0"/>
    <s v="Heart Disease"/>
    <s v="BRCA2 Mutation"/>
    <s v="T010"/>
    <x v="2"/>
    <x v="2"/>
    <s v="5/20/2019"/>
    <s v="4/20/2020"/>
    <s v="200mg"/>
    <s v="Fatigue"/>
    <s v="TR0008"/>
    <s v="200mg"/>
    <x v="1"/>
    <x v="3"/>
    <x v="21"/>
    <n v="0"/>
    <x v="1"/>
    <x v="0"/>
    <n v="1.67"/>
    <n v="1.67"/>
    <x v="11"/>
    <n v="19.3"/>
    <x v="104"/>
    <x v="0"/>
    <n v="200"/>
    <x v="3"/>
  </r>
  <r>
    <s v="P182"/>
    <n v="29"/>
    <x v="1"/>
    <x v="3"/>
    <s v="Diabetes"/>
    <s v="Not Reported"/>
    <s v="T019"/>
    <x v="3"/>
    <x v="3"/>
    <s v="6/27/2021"/>
    <s v="3/27/2022"/>
    <s v="50mg"/>
    <s v="Dizziness, Fatigue"/>
    <s v="TR0024"/>
    <s v="50mg"/>
    <x v="2"/>
    <x v="0"/>
    <x v="113"/>
    <n v="0"/>
    <x v="1"/>
    <x v="1"/>
    <n v="2.9"/>
    <n v="4.38"/>
    <x v="3"/>
    <n v="16.5"/>
    <x v="51"/>
    <x v="3"/>
    <n v="50"/>
    <x v="0"/>
  </r>
  <r>
    <s v="P183"/>
    <n v="77"/>
    <x v="1"/>
    <x v="4"/>
    <s v="Diabetes"/>
    <s v="EGFR Mutation"/>
    <s v="T009"/>
    <x v="0"/>
    <x v="0"/>
    <s v="12/22/2020"/>
    <s v="11/22/2021"/>
    <s v="150mg"/>
    <s v="Headache, Nausea"/>
    <s v="TR0017"/>
    <s v="150mg"/>
    <x v="1"/>
    <x v="3"/>
    <x v="103"/>
    <n v="0"/>
    <x v="1"/>
    <x v="1"/>
    <n v="1.82"/>
    <n v="1.45"/>
    <x v="58"/>
    <n v="7"/>
    <x v="105"/>
    <x v="2"/>
    <n v="150"/>
    <x v="2"/>
  </r>
  <r>
    <s v="P184"/>
    <n v="39"/>
    <x v="1"/>
    <x v="0"/>
    <s v="Heart Disease"/>
    <s v="Not Reported"/>
    <s v="T017"/>
    <x v="1"/>
    <x v="0"/>
    <s v="6/18/2019"/>
    <s v="10/18/2020"/>
    <s v="50mg"/>
    <s v="Dizziness, Headache"/>
    <s v="TR0103"/>
    <s v="50mg"/>
    <x v="2"/>
    <x v="0"/>
    <x v="25"/>
    <n v="0"/>
    <x v="2"/>
    <x v="0"/>
    <n v="4.75"/>
    <n v="1.1599999999999999"/>
    <x v="38"/>
    <n v="14.1"/>
    <x v="106"/>
    <x v="3"/>
    <n v="50"/>
    <x v="3"/>
  </r>
  <r>
    <s v="P185"/>
    <n v="38"/>
    <x v="1"/>
    <x v="3"/>
    <s v="Hypertension"/>
    <s v="EGFR Mutation"/>
    <s v="T014"/>
    <x v="3"/>
    <x v="3"/>
    <s v="12/8/2023"/>
    <s v="8/8/2024"/>
    <s v="50mg"/>
    <s v="Dizziness, Headache, Nausea"/>
    <s v="TR0152"/>
    <s v="50mg"/>
    <x v="2"/>
    <x v="0"/>
    <x v="43"/>
    <n v="0"/>
    <x v="2"/>
    <x v="0"/>
    <n v="2.2599999999999998"/>
    <n v="3.03"/>
    <x v="53"/>
    <n v="8.6999999999999993"/>
    <x v="84"/>
    <x v="3"/>
    <n v="50"/>
    <x v="3"/>
  </r>
  <r>
    <s v="P186"/>
    <n v="74"/>
    <x v="0"/>
    <x v="0"/>
    <s v="Asthma"/>
    <s v="BRCA1 Mutation"/>
    <s v="T020"/>
    <x v="3"/>
    <x v="3"/>
    <s v="11/22/2022"/>
    <s v="5/22/2023"/>
    <s v="50mg"/>
    <s v="Fatigue"/>
    <s v="TR0149"/>
    <s v="50mg"/>
    <x v="2"/>
    <x v="3"/>
    <x v="114"/>
    <n v="0"/>
    <x v="0"/>
    <x v="1"/>
    <n v="4.8600000000000003"/>
    <n v="1.02"/>
    <x v="78"/>
    <n v="17.5"/>
    <x v="51"/>
    <x v="3"/>
    <n v="50"/>
    <x v="2"/>
  </r>
  <r>
    <s v="P187"/>
    <n v="55"/>
    <x v="1"/>
    <x v="1"/>
    <s v="Heart Disease"/>
    <s v="BRCA2 Mutation"/>
    <s v="T011"/>
    <x v="0"/>
    <x v="3"/>
    <s v="12/12/2022"/>
    <s v="7/12/2023"/>
    <s v="50mg"/>
    <s v="Dizziness, Headache, Nausea"/>
    <s v="TR0076"/>
    <s v="50mg"/>
    <x v="0"/>
    <x v="4"/>
    <x v="83"/>
    <n v="1"/>
    <x v="3"/>
    <x v="0"/>
    <n v="2.82"/>
    <n v="3.06"/>
    <x v="16"/>
    <n v="18"/>
    <x v="39"/>
    <x v="3"/>
    <n v="50"/>
    <x v="1"/>
  </r>
  <r>
    <s v="P188"/>
    <n v="63"/>
    <x v="0"/>
    <x v="0"/>
    <s v="Hypertension"/>
    <s v="EGFR Mutation"/>
    <s v="T013"/>
    <x v="0"/>
    <x v="0"/>
    <s v="7/14/2022"/>
    <s v="9/14/2023"/>
    <s v="100mg"/>
    <s v="Fatigue, Headache, Nausea"/>
    <s v="TR0049"/>
    <s v="100mg"/>
    <x v="2"/>
    <x v="0"/>
    <x v="115"/>
    <n v="0"/>
    <x v="1"/>
    <x v="0"/>
    <n v="1.1200000000000001"/>
    <n v="2.23"/>
    <x v="70"/>
    <n v="9.6"/>
    <x v="63"/>
    <x v="1"/>
    <n v="100"/>
    <x v="1"/>
  </r>
  <r>
    <s v="P189"/>
    <n v="54"/>
    <x v="2"/>
    <x v="4"/>
    <s v="Diabetes"/>
    <s v="BRCA1 Mutation"/>
    <s v="T005"/>
    <x v="3"/>
    <x v="0"/>
    <s v="2/5/2020"/>
    <s v="6/5/2021"/>
    <s v="200mg"/>
    <s v="Dizziness, Headache"/>
    <s v="TR0160"/>
    <s v="200mg"/>
    <x v="0"/>
    <x v="0"/>
    <x v="63"/>
    <n v="1"/>
    <x v="1"/>
    <x v="1"/>
    <n v="4.88"/>
    <n v="1.38"/>
    <x v="23"/>
    <n v="14"/>
    <x v="51"/>
    <x v="0"/>
    <n v="200"/>
    <x v="1"/>
  </r>
  <r>
    <s v="P190"/>
    <n v="67"/>
    <x v="1"/>
    <x v="4"/>
    <s v="Diabetes"/>
    <s v="BRCA1 Mutation"/>
    <s v="T019"/>
    <x v="3"/>
    <x v="2"/>
    <s v="5/14/2023"/>
    <s v="7/14/2024"/>
    <s v="150mg"/>
    <s v="Nausea"/>
    <s v="TR0146"/>
    <s v="150mg"/>
    <x v="1"/>
    <x v="4"/>
    <x v="69"/>
    <n v="0"/>
    <x v="2"/>
    <x v="1"/>
    <n v="1.71"/>
    <n v="3.77"/>
    <x v="48"/>
    <n v="23"/>
    <x v="0"/>
    <x v="2"/>
    <n v="150"/>
    <x v="2"/>
  </r>
  <r>
    <s v="P191"/>
    <n v="28"/>
    <x v="0"/>
    <x v="1"/>
    <s v="Not Reported"/>
    <s v="BRCA1 Mutation"/>
    <s v="T017"/>
    <x v="1"/>
    <x v="2"/>
    <s v="11/24/2022"/>
    <s v="3/24/2024"/>
    <s v="50mg"/>
    <s v="Dizziness, Not Reported, Headache"/>
    <s v="TR0014"/>
    <s v="50mg"/>
    <x v="1"/>
    <x v="2"/>
    <x v="89"/>
    <n v="0"/>
    <x v="1"/>
    <x v="1"/>
    <n v="2.99"/>
    <n v="3.47"/>
    <x v="67"/>
    <n v="16.3"/>
    <x v="73"/>
    <x v="3"/>
    <n v="50"/>
    <x v="0"/>
  </r>
  <r>
    <s v="P192"/>
    <n v="83"/>
    <x v="1"/>
    <x v="1"/>
    <s v="Not Reported"/>
    <s v="TP53 Mutation"/>
    <s v="T010"/>
    <x v="2"/>
    <x v="1"/>
    <s v="12/10/2023"/>
    <s v="5/10/2025"/>
    <s v="150mg"/>
    <s v="Headache"/>
    <s v="TR0149"/>
    <s v="150mg"/>
    <x v="0"/>
    <x v="2"/>
    <x v="79"/>
    <n v="1"/>
    <x v="4"/>
    <x v="0"/>
    <n v="4.72"/>
    <n v="3.76"/>
    <x v="23"/>
    <n v="9.9"/>
    <x v="103"/>
    <x v="2"/>
    <n v="150"/>
    <x v="2"/>
  </r>
  <r>
    <s v="P193"/>
    <n v="54"/>
    <x v="1"/>
    <x v="2"/>
    <s v="Diabetes"/>
    <s v="Not Reported"/>
    <s v="T009"/>
    <x v="0"/>
    <x v="2"/>
    <s v="5/9/2023"/>
    <s v="3/9/2024"/>
    <s v="50mg"/>
    <s v="Nausea, Fatigue, Not Reported"/>
    <s v="TR0190"/>
    <s v="50mg"/>
    <x v="0"/>
    <x v="0"/>
    <x v="10"/>
    <n v="1"/>
    <x v="0"/>
    <x v="1"/>
    <n v="2.58"/>
    <n v="3.6"/>
    <x v="57"/>
    <n v="17.8"/>
    <x v="83"/>
    <x v="3"/>
    <n v="50"/>
    <x v="1"/>
  </r>
  <r>
    <s v="P194"/>
    <n v="48"/>
    <x v="1"/>
    <x v="4"/>
    <s v="Heart Disease"/>
    <s v="Not Reported"/>
    <s v="T011"/>
    <x v="1"/>
    <x v="2"/>
    <s v="3/27/2023"/>
    <s v="4/27/2024"/>
    <s v="200mg"/>
    <s v="Fatigue, Headache"/>
    <s v="TR0186"/>
    <s v="200mg"/>
    <x v="2"/>
    <x v="1"/>
    <x v="110"/>
    <n v="0"/>
    <x v="2"/>
    <x v="1"/>
    <n v="1.19"/>
    <n v="4.91"/>
    <x v="68"/>
    <n v="21.7"/>
    <x v="107"/>
    <x v="0"/>
    <n v="200"/>
    <x v="3"/>
  </r>
  <r>
    <s v="P195"/>
    <n v="24"/>
    <x v="2"/>
    <x v="0"/>
    <s v="Hypertension"/>
    <s v="HER2 Mutation"/>
    <s v="T013"/>
    <x v="3"/>
    <x v="3"/>
    <s v="12/25/2022"/>
    <s v="2/25/2024"/>
    <s v="100mg"/>
    <s v="Headache, Dizziness"/>
    <s v="TR0068"/>
    <s v="100mg"/>
    <x v="0"/>
    <x v="2"/>
    <x v="100"/>
    <n v="1"/>
    <x v="3"/>
    <x v="1"/>
    <n v="3.27"/>
    <n v="3.95"/>
    <x v="37"/>
    <n v="13.3"/>
    <x v="108"/>
    <x v="1"/>
    <n v="100"/>
    <x v="0"/>
  </r>
  <r>
    <s v="P196"/>
    <n v="75"/>
    <x v="1"/>
    <x v="0"/>
    <s v="Heart Disease"/>
    <s v="Not Reported"/>
    <s v="T002"/>
    <x v="1"/>
    <x v="3"/>
    <s v="10/21/2022"/>
    <s v="8/21/2023"/>
    <s v="150mg"/>
    <s v="Not Reported, Nausea"/>
    <s v="TR0066"/>
    <s v="150mg"/>
    <x v="2"/>
    <x v="2"/>
    <x v="30"/>
    <n v="0"/>
    <x v="1"/>
    <x v="0"/>
    <n v="3.67"/>
    <n v="4.2300000000000004"/>
    <x v="61"/>
    <n v="20.399999999999999"/>
    <x v="109"/>
    <x v="2"/>
    <n v="150"/>
    <x v="2"/>
  </r>
  <r>
    <s v="P197"/>
    <n v="42"/>
    <x v="2"/>
    <x v="0"/>
    <s v="Diabetes"/>
    <s v="BRCA1 Mutation"/>
    <s v="T001"/>
    <x v="1"/>
    <x v="1"/>
    <s v="2/17/2022"/>
    <s v="9/17/2022"/>
    <s v="200mg"/>
    <s v="Fatigue, Not Reported"/>
    <s v="TR0065"/>
    <s v="200mg"/>
    <x v="0"/>
    <x v="3"/>
    <x v="116"/>
    <n v="1"/>
    <x v="2"/>
    <x v="0"/>
    <n v="4.2699999999999996"/>
    <n v="1.48"/>
    <x v="34"/>
    <n v="6.1"/>
    <x v="96"/>
    <x v="0"/>
    <n v="200"/>
    <x v="3"/>
  </r>
  <r>
    <s v="P198"/>
    <n v="25"/>
    <x v="2"/>
    <x v="4"/>
    <s v="Heart Disease"/>
    <s v="Not Reported"/>
    <s v="T004"/>
    <x v="1"/>
    <x v="2"/>
    <s v="11/25/2022"/>
    <s v="3/25/2024"/>
    <s v="100mg"/>
    <s v="Fatigue"/>
    <s v="TR0065"/>
    <s v="100mg"/>
    <x v="1"/>
    <x v="0"/>
    <x v="117"/>
    <n v="0"/>
    <x v="1"/>
    <x v="1"/>
    <n v="2.4700000000000002"/>
    <n v="2.58"/>
    <x v="70"/>
    <n v="13"/>
    <x v="75"/>
    <x v="1"/>
    <n v="100"/>
    <x v="0"/>
  </r>
  <r>
    <s v="P199"/>
    <n v="72"/>
    <x v="2"/>
    <x v="0"/>
    <s v="Not Reported"/>
    <s v="BRCA1 Mutation"/>
    <s v="T009"/>
    <x v="1"/>
    <x v="0"/>
    <s v="6/2/2022"/>
    <s v="4/2/2023"/>
    <s v="150mg"/>
    <s v="Headache"/>
    <s v="TR0018"/>
    <s v="150mg"/>
    <x v="1"/>
    <x v="1"/>
    <x v="30"/>
    <n v="0"/>
    <x v="0"/>
    <x v="1"/>
    <n v="1.95"/>
    <n v="2.4900000000000002"/>
    <x v="66"/>
    <n v="7.3"/>
    <x v="110"/>
    <x v="2"/>
    <n v="150"/>
    <x v="2"/>
  </r>
  <r>
    <s v="P200"/>
    <n v="31"/>
    <x v="0"/>
    <x v="1"/>
    <s v="Asthma"/>
    <s v="BRCA1 Mutation"/>
    <s v="T015"/>
    <x v="0"/>
    <x v="1"/>
    <s v="2/3/2019"/>
    <s v="5/3/2020"/>
    <s v="150mg"/>
    <s v="Nausea, Headache"/>
    <s v="TR0039"/>
    <s v="150mg"/>
    <x v="2"/>
    <x v="3"/>
    <x v="118"/>
    <n v="0"/>
    <x v="1"/>
    <x v="1"/>
    <n v="3.67"/>
    <n v="3.48"/>
    <x v="31"/>
    <n v="12.8"/>
    <x v="5"/>
    <x v="2"/>
    <n v="150"/>
    <x v="3"/>
  </r>
  <r>
    <s v="P201"/>
    <n v="37"/>
    <x v="2"/>
    <x v="0"/>
    <s v="Asthma"/>
    <s v="Not Reported"/>
    <s v="T017"/>
    <x v="3"/>
    <x v="0"/>
    <s v="7/28/2022"/>
    <s v="12/28/2023"/>
    <s v="50mg"/>
    <s v="Fatigue, Nausea, Dizziness"/>
    <s v="TR0177"/>
    <s v="50mg"/>
    <x v="1"/>
    <x v="3"/>
    <x v="98"/>
    <n v="0"/>
    <x v="2"/>
    <x v="1"/>
    <n v="3.08"/>
    <n v="2.92"/>
    <x v="47"/>
    <n v="12.1"/>
    <x v="65"/>
    <x v="3"/>
    <n v="50"/>
    <x v="3"/>
  </r>
  <r>
    <s v="P202"/>
    <n v="60"/>
    <x v="2"/>
    <x v="0"/>
    <s v="Asthma"/>
    <s v="BRCA1 Mutation"/>
    <s v="T012"/>
    <x v="0"/>
    <x v="1"/>
    <s v="5/21/2022"/>
    <s v="2/21/2023"/>
    <s v="100mg"/>
    <s v="Nausea, Headache, Not Reported"/>
    <s v="TR0049"/>
    <s v="100mg"/>
    <x v="1"/>
    <x v="0"/>
    <x v="21"/>
    <n v="0"/>
    <x v="4"/>
    <x v="1"/>
    <n v="2.6"/>
    <n v="3.32"/>
    <x v="36"/>
    <n v="16.899999999999999"/>
    <x v="111"/>
    <x v="1"/>
    <n v="100"/>
    <x v="1"/>
  </r>
  <r>
    <s v="P203"/>
    <n v="28"/>
    <x v="2"/>
    <x v="3"/>
    <s v="Diabetes"/>
    <s v="BRCA2 Mutation"/>
    <s v="T001"/>
    <x v="2"/>
    <x v="0"/>
    <s v="2/26/2022"/>
    <s v="4/26/2023"/>
    <s v="150mg"/>
    <s v="Dizziness, Headache"/>
    <s v="TR0005"/>
    <s v="150mg"/>
    <x v="0"/>
    <x v="4"/>
    <x v="4"/>
    <n v="1"/>
    <x v="4"/>
    <x v="0"/>
    <n v="4.25"/>
    <n v="3.87"/>
    <x v="78"/>
    <n v="6.3"/>
    <x v="112"/>
    <x v="2"/>
    <n v="150"/>
    <x v="0"/>
  </r>
  <r>
    <s v="P204"/>
    <n v="69"/>
    <x v="0"/>
    <x v="4"/>
    <s v="Heart Disease"/>
    <s v="EGFR Mutation"/>
    <s v="T005"/>
    <x v="2"/>
    <x v="1"/>
    <s v="12/5/2019"/>
    <s v="1/5/2021"/>
    <s v="50mg"/>
    <s v="Dizziness, Nausea"/>
    <s v="TR0063"/>
    <s v="50mg"/>
    <x v="2"/>
    <x v="1"/>
    <x v="119"/>
    <n v="0"/>
    <x v="0"/>
    <x v="0"/>
    <n v="1.03"/>
    <n v="3.59"/>
    <x v="49"/>
    <n v="10.4"/>
    <x v="29"/>
    <x v="3"/>
    <n v="50"/>
    <x v="2"/>
  </r>
  <r>
    <s v="P205"/>
    <n v="57"/>
    <x v="0"/>
    <x v="3"/>
    <s v="Heart Disease"/>
    <s v="EGFR Mutation"/>
    <s v="T003"/>
    <x v="1"/>
    <x v="1"/>
    <s v="10/26/2022"/>
    <s v="1/26/2024"/>
    <s v="100mg"/>
    <s v="Fatigue"/>
    <s v="TR0110"/>
    <s v="100mg"/>
    <x v="1"/>
    <x v="0"/>
    <x v="43"/>
    <n v="0"/>
    <x v="3"/>
    <x v="0"/>
    <n v="1.24"/>
    <n v="4.74"/>
    <x v="74"/>
    <n v="7.8"/>
    <x v="77"/>
    <x v="1"/>
    <n v="100"/>
    <x v="1"/>
  </r>
  <r>
    <s v="P206"/>
    <n v="59"/>
    <x v="0"/>
    <x v="2"/>
    <s v="Heart Disease"/>
    <s v="BRCA1 Mutation"/>
    <s v="T004"/>
    <x v="0"/>
    <x v="2"/>
    <s v="3/23/2022"/>
    <s v="2/23/2023"/>
    <s v="100mg"/>
    <s v="Fatigue, Nausea"/>
    <s v="TR0035"/>
    <s v="100mg"/>
    <x v="0"/>
    <x v="2"/>
    <x v="80"/>
    <n v="1"/>
    <x v="0"/>
    <x v="0"/>
    <n v="2.0299999999999998"/>
    <n v="2.14"/>
    <x v="0"/>
    <n v="20.5"/>
    <x v="89"/>
    <x v="1"/>
    <n v="100"/>
    <x v="1"/>
  </r>
  <r>
    <s v="P207"/>
    <n v="80"/>
    <x v="0"/>
    <x v="2"/>
    <s v="Hypertension"/>
    <s v="BRCA1 Mutation"/>
    <s v="T019"/>
    <x v="0"/>
    <x v="0"/>
    <s v="12/5/2022"/>
    <s v="9/5/2023"/>
    <s v="100mg"/>
    <s v="Not Reported, Headache, Fatigue"/>
    <s v="TR0062"/>
    <s v="100mg"/>
    <x v="0"/>
    <x v="2"/>
    <x v="118"/>
    <n v="1"/>
    <x v="2"/>
    <x v="0"/>
    <n v="2.25"/>
    <n v="3.44"/>
    <x v="79"/>
    <n v="10.9"/>
    <x v="28"/>
    <x v="1"/>
    <n v="100"/>
    <x v="2"/>
  </r>
  <r>
    <s v="P208"/>
    <n v="81"/>
    <x v="2"/>
    <x v="2"/>
    <s v="Not Reported"/>
    <s v="BRCA1 Mutation"/>
    <s v="T018"/>
    <x v="2"/>
    <x v="2"/>
    <s v="9/4/2019"/>
    <s v="12/4/2020"/>
    <s v="150mg"/>
    <s v="Dizziness, Fatigue, Headache"/>
    <s v="TR0198"/>
    <s v="150mg"/>
    <x v="2"/>
    <x v="1"/>
    <x v="120"/>
    <n v="0"/>
    <x v="3"/>
    <x v="0"/>
    <n v="1.49"/>
    <n v="1.72"/>
    <x v="23"/>
    <n v="9.3000000000000007"/>
    <x v="113"/>
    <x v="2"/>
    <n v="150"/>
    <x v="2"/>
  </r>
  <r>
    <s v="P209"/>
    <n v="32"/>
    <x v="0"/>
    <x v="3"/>
    <s v="Asthma"/>
    <s v="BRCA1 Mutation"/>
    <s v="T002"/>
    <x v="0"/>
    <x v="3"/>
    <s v="7/9/2020"/>
    <s v="6/9/2021"/>
    <s v="200mg"/>
    <s v="Nausea"/>
    <s v="TR0190"/>
    <s v="200mg"/>
    <x v="0"/>
    <x v="2"/>
    <x v="61"/>
    <n v="1"/>
    <x v="0"/>
    <x v="0"/>
    <n v="3.84"/>
    <n v="1.43"/>
    <x v="41"/>
    <n v="10.6"/>
    <x v="114"/>
    <x v="0"/>
    <n v="200"/>
    <x v="3"/>
  </r>
  <r>
    <s v="P210"/>
    <n v="80"/>
    <x v="2"/>
    <x v="2"/>
    <s v="Hypertension"/>
    <s v="Not Reported"/>
    <s v="T015"/>
    <x v="0"/>
    <x v="0"/>
    <s v="12/22/2020"/>
    <s v="11/22/2021"/>
    <s v="100mg"/>
    <s v="Not Reported"/>
    <s v="TR0059"/>
    <s v="100mg"/>
    <x v="0"/>
    <x v="1"/>
    <x v="35"/>
    <n v="1"/>
    <x v="0"/>
    <x v="1"/>
    <n v="2.93"/>
    <n v="4.22"/>
    <x v="10"/>
    <n v="6.8"/>
    <x v="13"/>
    <x v="1"/>
    <n v="100"/>
    <x v="2"/>
  </r>
  <r>
    <s v="P211"/>
    <n v="46"/>
    <x v="0"/>
    <x v="3"/>
    <s v="Heart Disease"/>
    <s v="HER2 Mutation"/>
    <s v="T005"/>
    <x v="2"/>
    <x v="0"/>
    <s v="7/12/2020"/>
    <s v="3/12/2021"/>
    <s v="200mg"/>
    <s v="Fatigue, Not Reported, Dizziness"/>
    <s v="TR0052"/>
    <s v="200mg"/>
    <x v="1"/>
    <x v="1"/>
    <x v="92"/>
    <n v="0"/>
    <x v="2"/>
    <x v="0"/>
    <n v="4.8099999999999996"/>
    <n v="3.41"/>
    <x v="1"/>
    <n v="21.9"/>
    <x v="37"/>
    <x v="0"/>
    <n v="200"/>
    <x v="3"/>
  </r>
  <r>
    <s v="P212"/>
    <n v="53"/>
    <x v="0"/>
    <x v="2"/>
    <s v="Asthma"/>
    <s v="BRCA2 Mutation"/>
    <s v="T011"/>
    <x v="2"/>
    <x v="3"/>
    <s v="3/26/2023"/>
    <s v="9/26/2024"/>
    <s v="100mg"/>
    <s v="Dizziness, Fatigue, Nausea"/>
    <s v="TR0106"/>
    <s v="100mg"/>
    <x v="2"/>
    <x v="0"/>
    <x v="94"/>
    <n v="0"/>
    <x v="2"/>
    <x v="1"/>
    <n v="1.85"/>
    <n v="3.44"/>
    <x v="68"/>
    <n v="21.1"/>
    <x v="115"/>
    <x v="1"/>
    <n v="100"/>
    <x v="1"/>
  </r>
  <r>
    <s v="P213"/>
    <n v="77"/>
    <x v="1"/>
    <x v="2"/>
    <s v="Asthma"/>
    <s v="Not Reported"/>
    <s v="T008"/>
    <x v="2"/>
    <x v="3"/>
    <s v="10/8/2022"/>
    <s v="1/8/2024"/>
    <s v="100mg"/>
    <s v="Nausea, Headache, Dizziness"/>
    <s v="TR0011"/>
    <s v="100mg"/>
    <x v="1"/>
    <x v="2"/>
    <x v="92"/>
    <n v="0"/>
    <x v="1"/>
    <x v="1"/>
    <n v="2.41"/>
    <n v="1.95"/>
    <x v="73"/>
    <n v="10.9"/>
    <x v="42"/>
    <x v="1"/>
    <n v="100"/>
    <x v="2"/>
  </r>
  <r>
    <s v="P214"/>
    <n v="79"/>
    <x v="2"/>
    <x v="2"/>
    <s v="Asthma"/>
    <s v="BRCA1 Mutation"/>
    <s v="T018"/>
    <x v="1"/>
    <x v="0"/>
    <s v="3/12/2020"/>
    <s v="1/12/2021"/>
    <s v="100mg"/>
    <s v="Nausea, Dizziness, Fatigue"/>
    <s v="TR0172"/>
    <s v="100mg"/>
    <x v="1"/>
    <x v="1"/>
    <x v="121"/>
    <n v="0"/>
    <x v="2"/>
    <x v="0"/>
    <n v="2.69"/>
    <n v="3.67"/>
    <x v="75"/>
    <n v="17.2"/>
    <x v="54"/>
    <x v="1"/>
    <n v="100"/>
    <x v="2"/>
  </r>
  <r>
    <s v="P215"/>
    <n v="76"/>
    <x v="1"/>
    <x v="4"/>
    <s v="Asthma"/>
    <s v="TP53 Mutation"/>
    <s v="T015"/>
    <x v="1"/>
    <x v="1"/>
    <s v="12/11/2022"/>
    <s v="2/11/2024"/>
    <s v="50mg"/>
    <s v="Headache, Not Reported"/>
    <s v="TR0179"/>
    <s v="50mg"/>
    <x v="2"/>
    <x v="2"/>
    <x v="122"/>
    <n v="0"/>
    <x v="0"/>
    <x v="0"/>
    <n v="3.35"/>
    <n v="1.67"/>
    <x v="55"/>
    <n v="21.5"/>
    <x v="116"/>
    <x v="3"/>
    <n v="50"/>
    <x v="2"/>
  </r>
  <r>
    <s v="P216"/>
    <n v="60"/>
    <x v="2"/>
    <x v="2"/>
    <s v="Heart Disease"/>
    <s v="Not Reported"/>
    <s v="T012"/>
    <x v="1"/>
    <x v="1"/>
    <s v="6/15/2022"/>
    <s v="9/15/2023"/>
    <s v="50mg"/>
    <s v="Not Reported, Fatigue"/>
    <s v="TR0166"/>
    <s v="50mg"/>
    <x v="2"/>
    <x v="3"/>
    <x v="123"/>
    <n v="0"/>
    <x v="0"/>
    <x v="0"/>
    <n v="1.38"/>
    <n v="1.0900000000000001"/>
    <x v="45"/>
    <n v="16.899999999999999"/>
    <x v="117"/>
    <x v="3"/>
    <n v="50"/>
    <x v="1"/>
  </r>
  <r>
    <s v="P217"/>
    <n v="60"/>
    <x v="0"/>
    <x v="1"/>
    <s v="Hypertension"/>
    <s v="Not Reported"/>
    <s v="T019"/>
    <x v="2"/>
    <x v="2"/>
    <s v="6/9/2021"/>
    <s v="8/9/2022"/>
    <s v="200mg"/>
    <s v="Nausea, Dizziness"/>
    <s v="TR0096"/>
    <s v="200mg"/>
    <x v="1"/>
    <x v="0"/>
    <x v="102"/>
    <n v="0"/>
    <x v="2"/>
    <x v="0"/>
    <n v="1.93"/>
    <n v="2.56"/>
    <x v="80"/>
    <n v="14.9"/>
    <x v="84"/>
    <x v="0"/>
    <n v="200"/>
    <x v="1"/>
  </r>
  <r>
    <s v="P218"/>
    <n v="78"/>
    <x v="2"/>
    <x v="1"/>
    <s v="Heart Disease"/>
    <s v="Not Reported"/>
    <s v="T015"/>
    <x v="0"/>
    <x v="1"/>
    <s v="8/3/2020"/>
    <s v="3/3/2021"/>
    <s v="200mg"/>
    <s v="Not Reported"/>
    <s v="TR0020"/>
    <s v="200mg"/>
    <x v="0"/>
    <x v="1"/>
    <x v="120"/>
    <n v="1"/>
    <x v="3"/>
    <x v="0"/>
    <n v="1.55"/>
    <n v="3.78"/>
    <x v="14"/>
    <n v="13.7"/>
    <x v="118"/>
    <x v="0"/>
    <n v="200"/>
    <x v="2"/>
  </r>
  <r>
    <s v="P219"/>
    <n v="81"/>
    <x v="0"/>
    <x v="4"/>
    <s v="Heart Disease"/>
    <s v="Not Reported"/>
    <s v="T001"/>
    <x v="0"/>
    <x v="0"/>
    <s v="3/16/2023"/>
    <s v="2/16/2024"/>
    <s v="200mg"/>
    <s v="Nausea, Not Reported"/>
    <s v="TR0049"/>
    <s v="200mg"/>
    <x v="0"/>
    <x v="3"/>
    <x v="44"/>
    <n v="1"/>
    <x v="2"/>
    <x v="1"/>
    <n v="3.77"/>
    <n v="4.97"/>
    <x v="12"/>
    <n v="7.9"/>
    <x v="1"/>
    <x v="0"/>
    <n v="200"/>
    <x v="2"/>
  </r>
  <r>
    <s v="P220"/>
    <n v="70"/>
    <x v="2"/>
    <x v="0"/>
    <s v="Not Reported"/>
    <s v="EGFR Mutation"/>
    <s v="T018"/>
    <x v="3"/>
    <x v="0"/>
    <s v="10/5/2021"/>
    <s v="4/5/2023"/>
    <s v="150mg"/>
    <s v="Not Reported"/>
    <s v="TR0059"/>
    <s v="150mg"/>
    <x v="1"/>
    <x v="4"/>
    <x v="13"/>
    <n v="0"/>
    <x v="3"/>
    <x v="0"/>
    <n v="3.31"/>
    <n v="2.1"/>
    <x v="27"/>
    <n v="7.5"/>
    <x v="14"/>
    <x v="2"/>
    <n v="150"/>
    <x v="2"/>
  </r>
  <r>
    <s v="P221"/>
    <n v="63"/>
    <x v="1"/>
    <x v="3"/>
    <s v="Diabetes"/>
    <s v="Not Reported"/>
    <s v="T006"/>
    <x v="0"/>
    <x v="2"/>
    <s v="12/23/2020"/>
    <s v="4/23/2022"/>
    <s v="100mg"/>
    <s v="Fatigue"/>
    <s v="TR0030"/>
    <s v="100mg"/>
    <x v="0"/>
    <x v="4"/>
    <x v="122"/>
    <n v="1"/>
    <x v="0"/>
    <x v="1"/>
    <n v="1.77"/>
    <n v="2.29"/>
    <x v="66"/>
    <n v="12.4"/>
    <x v="119"/>
    <x v="1"/>
    <n v="100"/>
    <x v="1"/>
  </r>
  <r>
    <s v="P222"/>
    <n v="51"/>
    <x v="1"/>
    <x v="4"/>
    <s v="Diabetes"/>
    <s v="Not Reported"/>
    <s v="T002"/>
    <x v="0"/>
    <x v="3"/>
    <s v="6/15/2020"/>
    <s v="8/15/2021"/>
    <s v="100mg"/>
    <s v="Not Reported, Nausea, Headache"/>
    <s v="TR0104"/>
    <s v="100mg"/>
    <x v="1"/>
    <x v="1"/>
    <x v="121"/>
    <n v="0"/>
    <x v="4"/>
    <x v="0"/>
    <n v="3.08"/>
    <n v="1.27"/>
    <x v="33"/>
    <n v="10.199999999999999"/>
    <x v="89"/>
    <x v="1"/>
    <n v="100"/>
    <x v="1"/>
  </r>
  <r>
    <s v="P223"/>
    <n v="18"/>
    <x v="2"/>
    <x v="1"/>
    <s v="Heart Disease"/>
    <s v="TP53 Mutation"/>
    <s v="T016"/>
    <x v="0"/>
    <x v="2"/>
    <s v="12/15/2023"/>
    <s v="11/15/2024"/>
    <s v="50mg"/>
    <s v="Headache, Nausea, Dizziness"/>
    <s v="TR0174"/>
    <s v="50mg"/>
    <x v="2"/>
    <x v="3"/>
    <x v="16"/>
    <n v="0"/>
    <x v="3"/>
    <x v="1"/>
    <n v="4.5199999999999996"/>
    <n v="3.6"/>
    <x v="36"/>
    <n v="11.8"/>
    <x v="52"/>
    <x v="3"/>
    <n v="50"/>
    <x v="0"/>
  </r>
  <r>
    <s v="P224"/>
    <n v="46"/>
    <x v="1"/>
    <x v="0"/>
    <s v="Hypertension"/>
    <s v="EGFR Mutation"/>
    <s v="T007"/>
    <x v="2"/>
    <x v="3"/>
    <s v="1/3/2020"/>
    <s v="3/3/2021"/>
    <s v="200mg"/>
    <s v="Nausea, Headache, Dizziness"/>
    <s v="TR0126"/>
    <s v="200mg"/>
    <x v="1"/>
    <x v="2"/>
    <x v="63"/>
    <n v="0"/>
    <x v="3"/>
    <x v="1"/>
    <n v="3.68"/>
    <n v="4.9800000000000004"/>
    <x v="9"/>
    <n v="16"/>
    <x v="33"/>
    <x v="0"/>
    <n v="200"/>
    <x v="3"/>
  </r>
  <r>
    <s v="P225"/>
    <n v="68"/>
    <x v="0"/>
    <x v="3"/>
    <s v="Not Reported"/>
    <s v="BRCA1 Mutation"/>
    <s v="T010"/>
    <x v="0"/>
    <x v="3"/>
    <s v="8/28/2021"/>
    <s v="10/28/2022"/>
    <s v="50mg"/>
    <s v="Headache"/>
    <s v="TR0190"/>
    <s v="50mg"/>
    <x v="1"/>
    <x v="0"/>
    <x v="13"/>
    <n v="0"/>
    <x v="0"/>
    <x v="1"/>
    <n v="2.86"/>
    <n v="1.24"/>
    <x v="41"/>
    <n v="23.2"/>
    <x v="120"/>
    <x v="3"/>
    <n v="50"/>
    <x v="2"/>
  </r>
  <r>
    <s v="P226"/>
    <n v="71"/>
    <x v="0"/>
    <x v="1"/>
    <s v="Heart Disease"/>
    <s v="BRCA2 Mutation"/>
    <s v="T010"/>
    <x v="3"/>
    <x v="3"/>
    <s v="10/25/2019"/>
    <s v="10/25/2020"/>
    <s v="50mg"/>
    <s v="Headache"/>
    <s v="TR0164"/>
    <s v="50mg"/>
    <x v="1"/>
    <x v="0"/>
    <x v="46"/>
    <n v="0"/>
    <x v="2"/>
    <x v="1"/>
    <n v="3.76"/>
    <n v="1.8"/>
    <x v="36"/>
    <n v="7.7"/>
    <x v="54"/>
    <x v="3"/>
    <n v="50"/>
    <x v="2"/>
  </r>
  <r>
    <s v="P227"/>
    <n v="35"/>
    <x v="0"/>
    <x v="4"/>
    <s v="Asthma"/>
    <s v="HER2 Mutation"/>
    <s v="T002"/>
    <x v="0"/>
    <x v="3"/>
    <s v="9/24/2022"/>
    <s v="10/24/2023"/>
    <s v="100mg"/>
    <s v="Nausea"/>
    <s v="TR0040"/>
    <s v="100mg"/>
    <x v="1"/>
    <x v="4"/>
    <x v="124"/>
    <n v="0"/>
    <x v="3"/>
    <x v="1"/>
    <n v="4.0199999999999996"/>
    <n v="2.39"/>
    <x v="9"/>
    <n v="20.3"/>
    <x v="29"/>
    <x v="1"/>
    <n v="100"/>
    <x v="3"/>
  </r>
  <r>
    <s v="P228"/>
    <n v="71"/>
    <x v="0"/>
    <x v="3"/>
    <s v="Diabetes"/>
    <s v="TP53 Mutation"/>
    <s v="T016"/>
    <x v="1"/>
    <x v="3"/>
    <s v="8/19/2023"/>
    <s v="8/19/2024"/>
    <s v="150mg"/>
    <s v="Headache, Nausea, Fatigue"/>
    <s v="TR0132"/>
    <s v="150mg"/>
    <x v="2"/>
    <x v="2"/>
    <x v="125"/>
    <n v="0"/>
    <x v="4"/>
    <x v="0"/>
    <n v="1.94"/>
    <n v="2.6"/>
    <x v="26"/>
    <n v="23.9"/>
    <x v="29"/>
    <x v="2"/>
    <n v="150"/>
    <x v="2"/>
  </r>
  <r>
    <s v="P229"/>
    <n v="25"/>
    <x v="0"/>
    <x v="0"/>
    <s v="Asthma"/>
    <s v="Not Reported"/>
    <s v="T005"/>
    <x v="0"/>
    <x v="2"/>
    <s v="5/12/2019"/>
    <s v="5/12/2020"/>
    <s v="150mg"/>
    <s v="Not Reported"/>
    <s v="TR0075"/>
    <s v="150mg"/>
    <x v="2"/>
    <x v="3"/>
    <x v="82"/>
    <n v="0"/>
    <x v="0"/>
    <x v="0"/>
    <n v="3.16"/>
    <n v="4.37"/>
    <x v="44"/>
    <n v="17.2"/>
    <x v="64"/>
    <x v="2"/>
    <n v="150"/>
    <x v="0"/>
  </r>
  <r>
    <s v="P230"/>
    <n v="30"/>
    <x v="2"/>
    <x v="4"/>
    <s v="Heart Disease"/>
    <s v="TP53 Mutation"/>
    <s v="T010"/>
    <x v="0"/>
    <x v="3"/>
    <s v="9/19/2019"/>
    <s v="8/19/2020"/>
    <s v="100mg"/>
    <s v="Fatigue"/>
    <s v="TR0133"/>
    <s v="100mg"/>
    <x v="1"/>
    <x v="4"/>
    <x v="102"/>
    <n v="0"/>
    <x v="1"/>
    <x v="1"/>
    <n v="4.0199999999999996"/>
    <n v="1.51"/>
    <x v="1"/>
    <n v="20.100000000000001"/>
    <x v="78"/>
    <x v="1"/>
    <n v="100"/>
    <x v="0"/>
  </r>
  <r>
    <s v="P231"/>
    <n v="38"/>
    <x v="0"/>
    <x v="4"/>
    <s v="Diabetes"/>
    <s v="Not Reported"/>
    <s v="T007"/>
    <x v="1"/>
    <x v="0"/>
    <s v="2/4/2022"/>
    <s v="10/4/2022"/>
    <s v="50mg"/>
    <s v="Not Reported, Dizziness"/>
    <s v="TR0177"/>
    <s v="50mg"/>
    <x v="1"/>
    <x v="1"/>
    <x v="67"/>
    <n v="0"/>
    <x v="2"/>
    <x v="1"/>
    <n v="1.1399999999999999"/>
    <n v="2.21"/>
    <x v="58"/>
    <n v="12.5"/>
    <x v="64"/>
    <x v="3"/>
    <n v="50"/>
    <x v="3"/>
  </r>
  <r>
    <s v="P232"/>
    <n v="40"/>
    <x v="2"/>
    <x v="0"/>
    <s v="Hypertension"/>
    <s v="Not Reported"/>
    <s v="T004"/>
    <x v="2"/>
    <x v="2"/>
    <s v="12/8/2020"/>
    <s v="10/8/2021"/>
    <s v="100mg"/>
    <s v="Fatigue"/>
    <s v="TR0021"/>
    <s v="100mg"/>
    <x v="1"/>
    <x v="3"/>
    <x v="117"/>
    <n v="0"/>
    <x v="3"/>
    <x v="1"/>
    <n v="4.75"/>
    <n v="3.22"/>
    <x v="54"/>
    <n v="13.1"/>
    <x v="75"/>
    <x v="1"/>
    <n v="100"/>
    <x v="3"/>
  </r>
  <r>
    <s v="P233"/>
    <n v="73"/>
    <x v="0"/>
    <x v="4"/>
    <s v="Hypertension"/>
    <s v="EGFR Mutation"/>
    <s v="T019"/>
    <x v="1"/>
    <x v="0"/>
    <s v="5/2/2019"/>
    <s v="12/2/2019"/>
    <s v="150mg"/>
    <s v="Nausea, Dizziness, Headache"/>
    <s v="TR0155"/>
    <s v="150mg"/>
    <x v="0"/>
    <x v="2"/>
    <x v="57"/>
    <n v="1"/>
    <x v="0"/>
    <x v="1"/>
    <n v="3.4"/>
    <n v="3.06"/>
    <x v="15"/>
    <n v="14.9"/>
    <x v="85"/>
    <x v="2"/>
    <n v="150"/>
    <x v="2"/>
  </r>
  <r>
    <s v="P234"/>
    <n v="21"/>
    <x v="0"/>
    <x v="4"/>
    <s v="Not Reported"/>
    <s v="Not Reported"/>
    <s v="T012"/>
    <x v="0"/>
    <x v="2"/>
    <s v="12/20/2023"/>
    <s v="9/20/2024"/>
    <s v="50mg"/>
    <s v="Dizziness"/>
    <s v="TR0196"/>
    <s v="50mg"/>
    <x v="0"/>
    <x v="2"/>
    <x v="94"/>
    <n v="1"/>
    <x v="0"/>
    <x v="1"/>
    <n v="4.41"/>
    <n v="1.83"/>
    <x v="2"/>
    <n v="8.1"/>
    <x v="74"/>
    <x v="3"/>
    <n v="50"/>
    <x v="0"/>
  </r>
  <r>
    <s v="P235"/>
    <n v="39"/>
    <x v="2"/>
    <x v="2"/>
    <s v="Hypertension"/>
    <s v="Not Reported"/>
    <s v="T017"/>
    <x v="3"/>
    <x v="3"/>
    <s v="3/15/2023"/>
    <s v="7/15/2024"/>
    <s v="50mg"/>
    <s v="Not Reported"/>
    <s v="TR0098"/>
    <s v="50mg"/>
    <x v="1"/>
    <x v="1"/>
    <x v="82"/>
    <n v="0"/>
    <x v="0"/>
    <x v="1"/>
    <n v="2.52"/>
    <n v="4.51"/>
    <x v="67"/>
    <n v="20.5"/>
    <x v="40"/>
    <x v="3"/>
    <n v="50"/>
    <x v="3"/>
  </r>
  <r>
    <s v="P236"/>
    <n v="32"/>
    <x v="1"/>
    <x v="2"/>
    <s v="Asthma"/>
    <s v="BRCA2 Mutation"/>
    <s v="T016"/>
    <x v="0"/>
    <x v="3"/>
    <s v="12/2/2023"/>
    <s v="7/2/2024"/>
    <s v="150mg"/>
    <s v="Nausea, Headache"/>
    <s v="TR0073"/>
    <s v="150mg"/>
    <x v="1"/>
    <x v="2"/>
    <x v="39"/>
    <n v="0"/>
    <x v="1"/>
    <x v="0"/>
    <n v="2.2200000000000002"/>
    <n v="1.32"/>
    <x v="14"/>
    <n v="9.1"/>
    <x v="90"/>
    <x v="2"/>
    <n v="150"/>
    <x v="3"/>
  </r>
  <r>
    <s v="P237"/>
    <n v="70"/>
    <x v="1"/>
    <x v="3"/>
    <s v="Diabetes"/>
    <s v="Not Reported"/>
    <s v="T016"/>
    <x v="0"/>
    <x v="2"/>
    <s v="11/16/2019"/>
    <s v="3/16/2021"/>
    <s v="50mg"/>
    <s v="Headache, Nausea"/>
    <s v="TR0031"/>
    <s v="50mg"/>
    <x v="0"/>
    <x v="0"/>
    <x v="58"/>
    <n v="1"/>
    <x v="2"/>
    <x v="0"/>
    <n v="2.38"/>
    <n v="4.9000000000000004"/>
    <x v="45"/>
    <n v="20.8"/>
    <x v="121"/>
    <x v="3"/>
    <n v="50"/>
    <x v="2"/>
  </r>
  <r>
    <s v="P238"/>
    <n v="39"/>
    <x v="0"/>
    <x v="0"/>
    <s v="Diabetes"/>
    <s v="EGFR Mutation"/>
    <s v="T013"/>
    <x v="1"/>
    <x v="2"/>
    <s v="12/16/2022"/>
    <s v="10/16/2023"/>
    <s v="150mg"/>
    <s v="Headache, Not Reported, Fatigue"/>
    <s v="TR0171"/>
    <s v="150mg"/>
    <x v="2"/>
    <x v="0"/>
    <x v="102"/>
    <n v="0"/>
    <x v="2"/>
    <x v="1"/>
    <n v="4.45"/>
    <n v="4.6900000000000004"/>
    <x v="16"/>
    <n v="16.899999999999999"/>
    <x v="111"/>
    <x v="2"/>
    <n v="150"/>
    <x v="3"/>
  </r>
  <r>
    <s v="P239"/>
    <n v="36"/>
    <x v="1"/>
    <x v="2"/>
    <s v="Hypertension"/>
    <s v="HER2 Mutation"/>
    <s v="T008"/>
    <x v="2"/>
    <x v="1"/>
    <s v="12/2/2019"/>
    <s v="7/2/2020"/>
    <s v="200mg"/>
    <s v="Nausea, Fatigue, Headache"/>
    <s v="TR0155"/>
    <s v="200mg"/>
    <x v="2"/>
    <x v="4"/>
    <x v="126"/>
    <n v="0"/>
    <x v="4"/>
    <x v="0"/>
    <n v="1.7"/>
    <n v="3.01"/>
    <x v="14"/>
    <n v="8.6"/>
    <x v="122"/>
    <x v="0"/>
    <n v="200"/>
    <x v="3"/>
  </r>
  <r>
    <s v="P240"/>
    <n v="27"/>
    <x v="2"/>
    <x v="1"/>
    <s v="Asthma"/>
    <s v="Not Reported"/>
    <s v="T007"/>
    <x v="0"/>
    <x v="0"/>
    <s v="9/9/2022"/>
    <s v="11/9/2023"/>
    <s v="150mg"/>
    <s v="Dizziness, Nausea, Headache"/>
    <s v="TR0111"/>
    <s v="150mg"/>
    <x v="0"/>
    <x v="0"/>
    <x v="26"/>
    <n v="1"/>
    <x v="4"/>
    <x v="1"/>
    <n v="1.27"/>
    <n v="1.1000000000000001"/>
    <x v="12"/>
    <n v="23.3"/>
    <x v="117"/>
    <x v="2"/>
    <n v="150"/>
    <x v="0"/>
  </r>
  <r>
    <s v="P241"/>
    <n v="74"/>
    <x v="1"/>
    <x v="2"/>
    <s v="Hypertension"/>
    <s v="TP53 Mutation"/>
    <s v="T006"/>
    <x v="3"/>
    <x v="0"/>
    <s v="5/23/2020"/>
    <s v="5/23/2021"/>
    <s v="200mg"/>
    <s v="Dizziness"/>
    <s v="TR0173"/>
    <s v="200mg"/>
    <x v="1"/>
    <x v="2"/>
    <x v="78"/>
    <n v="0"/>
    <x v="2"/>
    <x v="1"/>
    <n v="4.8600000000000003"/>
    <n v="2.73"/>
    <x v="0"/>
    <n v="15.1"/>
    <x v="123"/>
    <x v="0"/>
    <n v="200"/>
    <x v="2"/>
  </r>
  <r>
    <s v="P242"/>
    <n v="78"/>
    <x v="2"/>
    <x v="4"/>
    <s v="Heart Disease"/>
    <s v="TP53 Mutation"/>
    <s v="T016"/>
    <x v="3"/>
    <x v="3"/>
    <s v="6/2/2021"/>
    <s v="12/2/2021"/>
    <s v="50mg"/>
    <s v="Not Reported"/>
    <s v="TR0090"/>
    <s v="50mg"/>
    <x v="2"/>
    <x v="2"/>
    <x v="116"/>
    <n v="0"/>
    <x v="4"/>
    <x v="1"/>
    <n v="1.42"/>
    <n v="3.56"/>
    <x v="22"/>
    <n v="17.2"/>
    <x v="86"/>
    <x v="3"/>
    <n v="50"/>
    <x v="2"/>
  </r>
  <r>
    <s v="P243"/>
    <n v="30"/>
    <x v="1"/>
    <x v="0"/>
    <s v="Not Reported"/>
    <s v="BRCA1 Mutation"/>
    <s v="T008"/>
    <x v="2"/>
    <x v="2"/>
    <s v="10/3/2021"/>
    <s v="3/3/2023"/>
    <s v="50mg"/>
    <s v="Nausea, Not Reported"/>
    <s v="TR0044"/>
    <s v="50mg"/>
    <x v="0"/>
    <x v="2"/>
    <x v="43"/>
    <n v="1"/>
    <x v="3"/>
    <x v="1"/>
    <n v="1.61"/>
    <n v="1.25"/>
    <x v="73"/>
    <n v="14.3"/>
    <x v="98"/>
    <x v="3"/>
    <n v="50"/>
    <x v="0"/>
  </r>
  <r>
    <s v="P244"/>
    <n v="72"/>
    <x v="2"/>
    <x v="1"/>
    <s v="Asthma"/>
    <s v="HER2 Mutation"/>
    <s v="T019"/>
    <x v="1"/>
    <x v="3"/>
    <s v="10/13/2022"/>
    <s v="9/13/2023"/>
    <s v="50mg"/>
    <s v="Nausea, Fatigue"/>
    <s v="TR0087"/>
    <s v="50mg"/>
    <x v="1"/>
    <x v="2"/>
    <x v="127"/>
    <n v="0"/>
    <x v="0"/>
    <x v="1"/>
    <n v="4.9800000000000004"/>
    <n v="1.23"/>
    <x v="70"/>
    <n v="23.7"/>
    <x v="62"/>
    <x v="3"/>
    <n v="50"/>
    <x v="2"/>
  </r>
  <r>
    <s v="P245"/>
    <n v="64"/>
    <x v="1"/>
    <x v="4"/>
    <s v="Asthma"/>
    <s v="Not Reported"/>
    <s v="T003"/>
    <x v="2"/>
    <x v="3"/>
    <s v="1/10/2021"/>
    <s v="4/10/2022"/>
    <s v="200mg"/>
    <s v="Dizziness"/>
    <s v="TR0191"/>
    <s v="200mg"/>
    <x v="0"/>
    <x v="2"/>
    <x v="113"/>
    <n v="1"/>
    <x v="2"/>
    <x v="1"/>
    <n v="1.57"/>
    <n v="1.49"/>
    <x v="54"/>
    <n v="7.8"/>
    <x v="90"/>
    <x v="0"/>
    <n v="200"/>
    <x v="1"/>
  </r>
  <r>
    <s v="P246"/>
    <n v="52"/>
    <x v="0"/>
    <x v="1"/>
    <s v="Heart Disease"/>
    <s v="BRCA2 Mutation"/>
    <s v="T012"/>
    <x v="1"/>
    <x v="3"/>
    <s v="5/14/2023"/>
    <s v="9/14/2024"/>
    <s v="150mg"/>
    <s v="Headache"/>
    <s v="TR0103"/>
    <s v="150mg"/>
    <x v="1"/>
    <x v="2"/>
    <x v="82"/>
    <n v="0"/>
    <x v="1"/>
    <x v="0"/>
    <n v="1.25"/>
    <n v="3.04"/>
    <x v="6"/>
    <n v="20.7"/>
    <x v="8"/>
    <x v="2"/>
    <n v="150"/>
    <x v="1"/>
  </r>
  <r>
    <s v="P247"/>
    <n v="20"/>
    <x v="2"/>
    <x v="1"/>
    <s v="Diabetes"/>
    <s v="Not Reported"/>
    <s v="T007"/>
    <x v="3"/>
    <x v="3"/>
    <s v="10/28/2023"/>
    <s v="4/28/2025"/>
    <s v="200mg"/>
    <s v="Nausea, Fatigue, Headache"/>
    <s v="TR0119"/>
    <s v="200mg"/>
    <x v="0"/>
    <x v="1"/>
    <x v="72"/>
    <n v="1"/>
    <x v="4"/>
    <x v="1"/>
    <n v="2.23"/>
    <n v="3.5"/>
    <x v="44"/>
    <n v="13.7"/>
    <x v="7"/>
    <x v="0"/>
    <n v="200"/>
    <x v="0"/>
  </r>
  <r>
    <s v="P248"/>
    <n v="70"/>
    <x v="1"/>
    <x v="2"/>
    <s v="Diabetes"/>
    <s v="Not Reported"/>
    <s v="T009"/>
    <x v="0"/>
    <x v="2"/>
    <s v="11/20/2021"/>
    <s v="8/20/2022"/>
    <s v="200mg"/>
    <s v="Nausea"/>
    <s v="TR0039"/>
    <s v="200mg"/>
    <x v="0"/>
    <x v="3"/>
    <x v="128"/>
    <n v="1"/>
    <x v="4"/>
    <x v="1"/>
    <n v="4.55"/>
    <n v="2.8"/>
    <x v="81"/>
    <n v="12.6"/>
    <x v="28"/>
    <x v="0"/>
    <n v="200"/>
    <x v="2"/>
  </r>
  <r>
    <s v="P249"/>
    <n v="80"/>
    <x v="2"/>
    <x v="3"/>
    <s v="Asthma"/>
    <s v="Not Reported"/>
    <s v="T002"/>
    <x v="2"/>
    <x v="2"/>
    <s v="3/1/2021"/>
    <s v="1/1/2022"/>
    <s v="150mg"/>
    <s v="Dizziness, Fatigue, Not Reported"/>
    <s v="TR0011"/>
    <s v="150mg"/>
    <x v="2"/>
    <x v="0"/>
    <x v="129"/>
    <n v="0"/>
    <x v="3"/>
    <x v="0"/>
    <n v="4.3099999999999996"/>
    <n v="3.93"/>
    <x v="61"/>
    <n v="6.2"/>
    <x v="69"/>
    <x v="2"/>
    <n v="150"/>
    <x v="2"/>
  </r>
  <r>
    <s v="P250"/>
    <n v="58"/>
    <x v="2"/>
    <x v="0"/>
    <s v="Hypertension"/>
    <s v="Not Reported"/>
    <s v="T014"/>
    <x v="0"/>
    <x v="1"/>
    <s v="12/27/2022"/>
    <s v="8/27/2023"/>
    <s v="100mg"/>
    <s v="Dizziness"/>
    <s v="TR0189"/>
    <s v="100mg"/>
    <x v="2"/>
    <x v="3"/>
    <x v="45"/>
    <n v="0"/>
    <x v="2"/>
    <x v="1"/>
    <n v="2.93"/>
    <n v="1.08"/>
    <x v="40"/>
    <n v="19.7"/>
    <x v="121"/>
    <x v="1"/>
    <n v="100"/>
    <x v="1"/>
  </r>
  <r>
    <s v="P251"/>
    <n v="81"/>
    <x v="0"/>
    <x v="4"/>
    <s v="Heart Disease"/>
    <s v="TP53 Mutation"/>
    <s v="T011"/>
    <x v="3"/>
    <x v="2"/>
    <s v="4/5/2022"/>
    <s v="11/5/2022"/>
    <s v="100mg"/>
    <s v="Not Reported"/>
    <s v="TR0113"/>
    <s v="100mg"/>
    <x v="1"/>
    <x v="4"/>
    <x v="22"/>
    <n v="0"/>
    <x v="3"/>
    <x v="1"/>
    <n v="3.14"/>
    <n v="1.86"/>
    <x v="82"/>
    <n v="10.3"/>
    <x v="99"/>
    <x v="1"/>
    <n v="100"/>
    <x v="2"/>
  </r>
  <r>
    <s v="P252"/>
    <n v="65"/>
    <x v="2"/>
    <x v="2"/>
    <s v="Not Reported"/>
    <s v="Not Reported"/>
    <s v="T016"/>
    <x v="2"/>
    <x v="3"/>
    <s v="6/16/2020"/>
    <s v="11/16/2021"/>
    <s v="150mg"/>
    <s v="Nausea, Dizziness"/>
    <s v="TR0190"/>
    <s v="150mg"/>
    <x v="2"/>
    <x v="3"/>
    <x v="25"/>
    <n v="0"/>
    <x v="4"/>
    <x v="1"/>
    <n v="4.21"/>
    <n v="4.84"/>
    <x v="16"/>
    <n v="8"/>
    <x v="117"/>
    <x v="2"/>
    <n v="150"/>
    <x v="1"/>
  </r>
  <r>
    <s v="P253"/>
    <n v="57"/>
    <x v="2"/>
    <x v="0"/>
    <s v="Hypertension"/>
    <s v="Not Reported"/>
    <s v="T008"/>
    <x v="3"/>
    <x v="0"/>
    <s v="7/9/2019"/>
    <s v="5/9/2020"/>
    <s v="50mg"/>
    <s v="Not Reported"/>
    <s v="TR0054"/>
    <s v="50mg"/>
    <x v="0"/>
    <x v="0"/>
    <x v="23"/>
    <n v="1"/>
    <x v="1"/>
    <x v="0"/>
    <n v="2.82"/>
    <n v="4.38"/>
    <x v="75"/>
    <n v="14.8"/>
    <x v="3"/>
    <x v="3"/>
    <n v="50"/>
    <x v="1"/>
  </r>
  <r>
    <s v="P254"/>
    <n v="53"/>
    <x v="0"/>
    <x v="3"/>
    <s v="Asthma"/>
    <s v="Not Reported"/>
    <s v="T011"/>
    <x v="3"/>
    <x v="1"/>
    <s v="12/9/2020"/>
    <s v="2/9/2022"/>
    <s v="50mg"/>
    <s v="Headache, Not Reported"/>
    <s v="TR0117"/>
    <s v="50mg"/>
    <x v="2"/>
    <x v="3"/>
    <x v="79"/>
    <n v="0"/>
    <x v="0"/>
    <x v="1"/>
    <n v="2.2999999999999998"/>
    <n v="3.95"/>
    <x v="72"/>
    <n v="12.8"/>
    <x v="124"/>
    <x v="3"/>
    <n v="50"/>
    <x v="1"/>
  </r>
  <r>
    <s v="P255"/>
    <n v="35"/>
    <x v="0"/>
    <x v="3"/>
    <s v="Diabetes"/>
    <s v="Not Reported"/>
    <s v="T011"/>
    <x v="1"/>
    <x v="1"/>
    <s v="4/17/2020"/>
    <s v="9/17/2021"/>
    <s v="100mg"/>
    <s v="Headache, Not Reported, Fatigue"/>
    <s v="TR0123"/>
    <s v="100mg"/>
    <x v="2"/>
    <x v="1"/>
    <x v="40"/>
    <n v="0"/>
    <x v="0"/>
    <x v="1"/>
    <n v="2.84"/>
    <n v="4.1399999999999997"/>
    <x v="64"/>
    <n v="23.2"/>
    <x v="40"/>
    <x v="1"/>
    <n v="100"/>
    <x v="3"/>
  </r>
  <r>
    <s v="P256"/>
    <n v="54"/>
    <x v="0"/>
    <x v="2"/>
    <s v="Asthma"/>
    <s v="HER2 Mutation"/>
    <s v="T013"/>
    <x v="2"/>
    <x v="1"/>
    <s v="9/21/2019"/>
    <s v="12/21/2020"/>
    <s v="100mg"/>
    <s v="Headache"/>
    <s v="TR0051"/>
    <s v="100mg"/>
    <x v="1"/>
    <x v="1"/>
    <x v="7"/>
    <n v="0"/>
    <x v="1"/>
    <x v="1"/>
    <n v="2.2599999999999998"/>
    <n v="3.75"/>
    <x v="13"/>
    <n v="10.6"/>
    <x v="4"/>
    <x v="1"/>
    <n v="100"/>
    <x v="1"/>
  </r>
  <r>
    <s v="P257"/>
    <n v="51"/>
    <x v="0"/>
    <x v="2"/>
    <s v="Not Reported"/>
    <s v="EGFR Mutation"/>
    <s v="T004"/>
    <x v="1"/>
    <x v="0"/>
    <s v="11/16/2022"/>
    <s v="6/16/2023"/>
    <s v="100mg"/>
    <s v="Fatigue, Dizziness, Headache"/>
    <s v="TR0074"/>
    <s v="100mg"/>
    <x v="2"/>
    <x v="0"/>
    <x v="49"/>
    <n v="0"/>
    <x v="0"/>
    <x v="1"/>
    <n v="1.1499999999999999"/>
    <n v="4.6100000000000003"/>
    <x v="31"/>
    <n v="17.5"/>
    <x v="103"/>
    <x v="1"/>
    <n v="100"/>
    <x v="1"/>
  </r>
  <r>
    <s v="P258"/>
    <n v="44"/>
    <x v="2"/>
    <x v="4"/>
    <s v="Not Reported"/>
    <s v="Not Reported"/>
    <s v="T007"/>
    <x v="3"/>
    <x v="2"/>
    <s v="3/1/2022"/>
    <s v="1/1/2023"/>
    <s v="150mg"/>
    <s v="Dizziness"/>
    <s v="TR0116"/>
    <s v="150mg"/>
    <x v="0"/>
    <x v="4"/>
    <x v="88"/>
    <n v="1"/>
    <x v="1"/>
    <x v="0"/>
    <n v="4.58"/>
    <n v="3.55"/>
    <x v="25"/>
    <n v="7.2"/>
    <x v="125"/>
    <x v="2"/>
    <n v="150"/>
    <x v="3"/>
  </r>
  <r>
    <s v="P259"/>
    <n v="19"/>
    <x v="1"/>
    <x v="4"/>
    <s v="Not Reported"/>
    <s v="Not Reported"/>
    <s v="T013"/>
    <x v="2"/>
    <x v="0"/>
    <s v="12/20/2022"/>
    <s v="10/20/2023"/>
    <s v="50mg"/>
    <s v="Dizziness"/>
    <s v="TR0016"/>
    <s v="50mg"/>
    <x v="0"/>
    <x v="4"/>
    <x v="1"/>
    <n v="1"/>
    <x v="1"/>
    <x v="1"/>
    <n v="1.6"/>
    <n v="3.95"/>
    <x v="21"/>
    <n v="18.2"/>
    <x v="15"/>
    <x v="3"/>
    <n v="50"/>
    <x v="0"/>
  </r>
  <r>
    <s v="P260"/>
    <n v="23"/>
    <x v="0"/>
    <x v="0"/>
    <s v="Heart Disease"/>
    <s v="Not Reported"/>
    <s v="T010"/>
    <x v="3"/>
    <x v="3"/>
    <s v="9/2/2020"/>
    <s v="12/2/2021"/>
    <s v="100mg"/>
    <s v="Fatigue, Headache"/>
    <s v="TR0087"/>
    <s v="100mg"/>
    <x v="1"/>
    <x v="1"/>
    <x v="112"/>
    <n v="0"/>
    <x v="4"/>
    <x v="1"/>
    <n v="1.34"/>
    <n v="3.87"/>
    <x v="32"/>
    <n v="7.3"/>
    <x v="94"/>
    <x v="1"/>
    <n v="100"/>
    <x v="0"/>
  </r>
  <r>
    <s v="P261"/>
    <n v="36"/>
    <x v="1"/>
    <x v="2"/>
    <s v="Not Reported"/>
    <s v="BRCA2 Mutation"/>
    <s v="T016"/>
    <x v="0"/>
    <x v="3"/>
    <s v="5/9/2022"/>
    <s v="8/9/2023"/>
    <s v="150mg"/>
    <s v="Not Reported, Headache, Nausea"/>
    <s v="TR0081"/>
    <s v="150mg"/>
    <x v="2"/>
    <x v="0"/>
    <x v="72"/>
    <n v="0"/>
    <x v="2"/>
    <x v="1"/>
    <n v="4.83"/>
    <n v="3.95"/>
    <x v="74"/>
    <n v="11.3"/>
    <x v="11"/>
    <x v="2"/>
    <n v="150"/>
    <x v="3"/>
  </r>
  <r>
    <s v="P262"/>
    <n v="24"/>
    <x v="0"/>
    <x v="4"/>
    <s v="Hypertension"/>
    <s v="BRCA1 Mutation"/>
    <s v="T016"/>
    <x v="0"/>
    <x v="2"/>
    <s v="7/4/2022"/>
    <s v="8/4/2023"/>
    <s v="50mg"/>
    <s v="Not Reported, Headache"/>
    <s v="TR0118"/>
    <s v="50mg"/>
    <x v="1"/>
    <x v="3"/>
    <x v="114"/>
    <n v="0"/>
    <x v="3"/>
    <x v="1"/>
    <n v="4.0999999999999996"/>
    <n v="3.65"/>
    <x v="63"/>
    <n v="9.1"/>
    <x v="26"/>
    <x v="3"/>
    <n v="50"/>
    <x v="0"/>
  </r>
  <r>
    <s v="P263"/>
    <n v="29"/>
    <x v="0"/>
    <x v="0"/>
    <s v="Diabetes"/>
    <s v="Not Reported"/>
    <s v="T017"/>
    <x v="0"/>
    <x v="2"/>
    <s v="1/17/2023"/>
    <s v="7/17/2024"/>
    <s v="100mg"/>
    <s v="Nausea, Fatigue"/>
    <s v="TR0197"/>
    <s v="100mg"/>
    <x v="1"/>
    <x v="3"/>
    <x v="130"/>
    <n v="0"/>
    <x v="3"/>
    <x v="1"/>
    <n v="3.64"/>
    <n v="4.0599999999999996"/>
    <x v="58"/>
    <n v="6.4"/>
    <x v="126"/>
    <x v="1"/>
    <n v="100"/>
    <x v="0"/>
  </r>
  <r>
    <s v="P264"/>
    <n v="33"/>
    <x v="1"/>
    <x v="0"/>
    <s v="Heart Disease"/>
    <s v="Not Reported"/>
    <s v="T004"/>
    <x v="0"/>
    <x v="2"/>
    <s v="2/15/2019"/>
    <s v="7/15/2020"/>
    <s v="200mg"/>
    <s v="Not Reported, Nausea"/>
    <s v="TR0085"/>
    <s v="200mg"/>
    <x v="0"/>
    <x v="2"/>
    <x v="26"/>
    <n v="1"/>
    <x v="4"/>
    <x v="0"/>
    <n v="4.87"/>
    <n v="2.1800000000000002"/>
    <x v="61"/>
    <n v="17.2"/>
    <x v="65"/>
    <x v="0"/>
    <n v="200"/>
    <x v="3"/>
  </r>
  <r>
    <s v="P265"/>
    <n v="45"/>
    <x v="0"/>
    <x v="0"/>
    <s v="Not Reported"/>
    <s v="Not Reported"/>
    <s v="T003"/>
    <x v="3"/>
    <x v="1"/>
    <s v="5/6/2022"/>
    <s v="2/6/2023"/>
    <s v="200mg"/>
    <s v="Nausea"/>
    <s v="TR0054"/>
    <s v="200mg"/>
    <x v="0"/>
    <x v="0"/>
    <x v="73"/>
    <n v="1"/>
    <x v="4"/>
    <x v="0"/>
    <n v="1.82"/>
    <n v="1.49"/>
    <x v="25"/>
    <n v="19.899999999999999"/>
    <x v="44"/>
    <x v="0"/>
    <n v="200"/>
    <x v="3"/>
  </r>
  <r>
    <s v="P266"/>
    <n v="33"/>
    <x v="1"/>
    <x v="3"/>
    <s v="Asthma"/>
    <s v="Not Reported"/>
    <s v="T010"/>
    <x v="2"/>
    <x v="3"/>
    <s v="6/17/2019"/>
    <s v="3/17/2020"/>
    <s v="200mg"/>
    <s v="Headache, Dizziness"/>
    <s v="TR0069"/>
    <s v="200mg"/>
    <x v="2"/>
    <x v="2"/>
    <x v="6"/>
    <n v="0"/>
    <x v="3"/>
    <x v="1"/>
    <n v="3.12"/>
    <n v="1.17"/>
    <x v="4"/>
    <n v="20.399999999999999"/>
    <x v="95"/>
    <x v="0"/>
    <n v="200"/>
    <x v="3"/>
  </r>
  <r>
    <s v="P267"/>
    <n v="65"/>
    <x v="2"/>
    <x v="4"/>
    <s v="Asthma"/>
    <s v="Not Reported"/>
    <s v="T003"/>
    <x v="1"/>
    <x v="3"/>
    <s v="11/8/2022"/>
    <s v="3/8/2024"/>
    <s v="100mg"/>
    <s v="Dizziness, Nausea"/>
    <s v="TR0075"/>
    <s v="100mg"/>
    <x v="1"/>
    <x v="0"/>
    <x v="14"/>
    <n v="0"/>
    <x v="1"/>
    <x v="1"/>
    <n v="4.92"/>
    <n v="3.41"/>
    <x v="29"/>
    <n v="19.5"/>
    <x v="127"/>
    <x v="1"/>
    <n v="100"/>
    <x v="1"/>
  </r>
  <r>
    <s v="P268"/>
    <n v="37"/>
    <x v="0"/>
    <x v="0"/>
    <s v="Diabetes"/>
    <s v="Not Reported"/>
    <s v="T010"/>
    <x v="1"/>
    <x v="1"/>
    <s v="9/4/2019"/>
    <s v="11/4/2020"/>
    <s v="200mg"/>
    <s v="Nausea, Headache"/>
    <s v="TR0170"/>
    <s v="200mg"/>
    <x v="2"/>
    <x v="2"/>
    <x v="86"/>
    <n v="0"/>
    <x v="4"/>
    <x v="1"/>
    <n v="3.63"/>
    <n v="1.51"/>
    <x v="30"/>
    <n v="22.7"/>
    <x v="61"/>
    <x v="0"/>
    <n v="200"/>
    <x v="3"/>
  </r>
  <r>
    <s v="P269"/>
    <n v="28"/>
    <x v="2"/>
    <x v="2"/>
    <s v="Hypertension"/>
    <s v="Not Reported"/>
    <s v="T015"/>
    <x v="2"/>
    <x v="2"/>
    <s v="1/3/2022"/>
    <s v="1/3/2023"/>
    <s v="150mg"/>
    <s v="Dizziness, Headache"/>
    <s v="TR0194"/>
    <s v="150mg"/>
    <x v="2"/>
    <x v="0"/>
    <x v="56"/>
    <n v="0"/>
    <x v="4"/>
    <x v="0"/>
    <n v="2.4900000000000002"/>
    <n v="2.73"/>
    <x v="71"/>
    <n v="17"/>
    <x v="128"/>
    <x v="2"/>
    <n v="150"/>
    <x v="0"/>
  </r>
  <r>
    <s v="P270"/>
    <n v="45"/>
    <x v="0"/>
    <x v="2"/>
    <s v="Heart Disease"/>
    <s v="BRCA1 Mutation"/>
    <s v="T014"/>
    <x v="1"/>
    <x v="1"/>
    <s v="2/1/2022"/>
    <s v="10/1/2022"/>
    <s v="200mg"/>
    <s v="Headache, Dizziness"/>
    <s v="TR0078"/>
    <s v="200mg"/>
    <x v="2"/>
    <x v="2"/>
    <x v="115"/>
    <n v="0"/>
    <x v="1"/>
    <x v="1"/>
    <n v="1.96"/>
    <n v="1.49"/>
    <x v="81"/>
    <n v="22"/>
    <x v="129"/>
    <x v="0"/>
    <n v="200"/>
    <x v="3"/>
  </r>
  <r>
    <s v="P271"/>
    <n v="29"/>
    <x v="0"/>
    <x v="4"/>
    <s v="Hypertension"/>
    <s v="BRCA1 Mutation"/>
    <s v="T007"/>
    <x v="1"/>
    <x v="2"/>
    <s v="11/5/2022"/>
    <s v="3/5/2024"/>
    <s v="100mg"/>
    <s v="Dizziness, Fatigue"/>
    <s v="TR0023"/>
    <s v="100mg"/>
    <x v="1"/>
    <x v="0"/>
    <x v="114"/>
    <n v="0"/>
    <x v="1"/>
    <x v="1"/>
    <n v="2.14"/>
    <n v="4.26"/>
    <x v="67"/>
    <n v="21.2"/>
    <x v="130"/>
    <x v="1"/>
    <n v="100"/>
    <x v="0"/>
  </r>
  <r>
    <s v="P272"/>
    <n v="20"/>
    <x v="0"/>
    <x v="4"/>
    <s v="Diabetes"/>
    <s v="Not Reported"/>
    <s v="T015"/>
    <x v="3"/>
    <x v="0"/>
    <s v="8/19/2019"/>
    <s v="5/19/2020"/>
    <s v="100mg"/>
    <s v="Dizziness, Headache"/>
    <s v="TR0014"/>
    <s v="100mg"/>
    <x v="1"/>
    <x v="3"/>
    <x v="34"/>
    <n v="0"/>
    <x v="1"/>
    <x v="1"/>
    <n v="2.0099999999999998"/>
    <n v="4.0199999999999996"/>
    <x v="83"/>
    <n v="21.2"/>
    <x v="33"/>
    <x v="1"/>
    <n v="100"/>
    <x v="0"/>
  </r>
  <r>
    <s v="P273"/>
    <n v="81"/>
    <x v="2"/>
    <x v="1"/>
    <s v="Heart Disease"/>
    <s v="Not Reported"/>
    <s v="T010"/>
    <x v="1"/>
    <x v="0"/>
    <s v="8/17/2022"/>
    <s v="11/17/2023"/>
    <s v="200mg"/>
    <s v="Nausea"/>
    <s v="TR0136"/>
    <s v="200mg"/>
    <x v="0"/>
    <x v="0"/>
    <x v="122"/>
    <n v="1"/>
    <x v="4"/>
    <x v="0"/>
    <n v="4.1100000000000003"/>
    <n v="3.62"/>
    <x v="17"/>
    <n v="15.8"/>
    <x v="131"/>
    <x v="0"/>
    <n v="200"/>
    <x v="2"/>
  </r>
  <r>
    <s v="P274"/>
    <n v="52"/>
    <x v="2"/>
    <x v="3"/>
    <s v="Asthma"/>
    <s v="EGFR Mutation"/>
    <s v="T012"/>
    <x v="3"/>
    <x v="0"/>
    <s v="3/10/2019"/>
    <s v="8/10/2020"/>
    <s v="100mg"/>
    <s v="Not Reported, Headache"/>
    <s v="TR0060"/>
    <s v="100mg"/>
    <x v="2"/>
    <x v="1"/>
    <x v="22"/>
    <n v="0"/>
    <x v="4"/>
    <x v="1"/>
    <n v="4.75"/>
    <n v="1.17"/>
    <x v="28"/>
    <n v="8.4"/>
    <x v="1"/>
    <x v="1"/>
    <n v="100"/>
    <x v="1"/>
  </r>
  <r>
    <s v="P275"/>
    <n v="34"/>
    <x v="1"/>
    <x v="3"/>
    <s v="Asthma"/>
    <s v="Not Reported"/>
    <s v="T012"/>
    <x v="3"/>
    <x v="2"/>
    <s v="4/10/2023"/>
    <s v="9/10/2024"/>
    <s v="50mg"/>
    <s v="Headache, Fatigue, Nausea"/>
    <s v="TR0052"/>
    <s v="50mg"/>
    <x v="0"/>
    <x v="2"/>
    <x v="104"/>
    <n v="1"/>
    <x v="3"/>
    <x v="1"/>
    <n v="4.2699999999999996"/>
    <n v="1.85"/>
    <x v="21"/>
    <n v="21.1"/>
    <x v="70"/>
    <x v="3"/>
    <n v="50"/>
    <x v="3"/>
  </r>
  <r>
    <s v="P276"/>
    <n v="81"/>
    <x v="1"/>
    <x v="4"/>
    <s v="Diabetes"/>
    <s v="Not Reported"/>
    <s v="T001"/>
    <x v="0"/>
    <x v="3"/>
    <s v="11/6/2021"/>
    <s v="7/6/2022"/>
    <s v="50mg"/>
    <s v="Not Reported"/>
    <s v="TR0111"/>
    <s v="50mg"/>
    <x v="0"/>
    <x v="2"/>
    <x v="131"/>
    <n v="1"/>
    <x v="3"/>
    <x v="0"/>
    <n v="3.17"/>
    <n v="3.36"/>
    <x v="21"/>
    <n v="11.4"/>
    <x v="132"/>
    <x v="3"/>
    <n v="50"/>
    <x v="2"/>
  </r>
  <r>
    <s v="P277"/>
    <n v="80"/>
    <x v="1"/>
    <x v="0"/>
    <s v="Not Reported"/>
    <s v="Not Reported"/>
    <s v="T018"/>
    <x v="0"/>
    <x v="2"/>
    <s v="10/22/2023"/>
    <s v="5/22/2024"/>
    <s v="50mg"/>
    <s v="Headache, Nausea"/>
    <s v="TR0028"/>
    <s v="50mg"/>
    <x v="2"/>
    <x v="2"/>
    <x v="34"/>
    <n v="0"/>
    <x v="2"/>
    <x v="0"/>
    <n v="3.76"/>
    <n v="4.49"/>
    <x v="19"/>
    <n v="19.7"/>
    <x v="88"/>
    <x v="3"/>
    <n v="50"/>
    <x v="2"/>
  </r>
  <r>
    <s v="P278"/>
    <n v="82"/>
    <x v="0"/>
    <x v="4"/>
    <s v="Hypertension"/>
    <s v="Not Reported"/>
    <s v="T012"/>
    <x v="2"/>
    <x v="3"/>
    <s v="9/16/2022"/>
    <s v="2/16/2024"/>
    <s v="50mg"/>
    <s v="Not Reported"/>
    <s v="TR0086"/>
    <s v="50mg"/>
    <x v="0"/>
    <x v="3"/>
    <x v="57"/>
    <n v="1"/>
    <x v="1"/>
    <x v="1"/>
    <n v="2.85"/>
    <n v="1.04"/>
    <x v="7"/>
    <n v="19.100000000000001"/>
    <x v="85"/>
    <x v="3"/>
    <n v="50"/>
    <x v="2"/>
  </r>
  <r>
    <s v="P279"/>
    <n v="18"/>
    <x v="0"/>
    <x v="3"/>
    <s v="Not Reported"/>
    <s v="BRCA2 Mutation"/>
    <s v="T003"/>
    <x v="0"/>
    <x v="3"/>
    <s v="6/21/2022"/>
    <s v="10/21/2023"/>
    <s v="100mg"/>
    <s v="Dizziness"/>
    <s v="TR0108"/>
    <s v="100mg"/>
    <x v="0"/>
    <x v="1"/>
    <x v="33"/>
    <n v="1"/>
    <x v="1"/>
    <x v="1"/>
    <n v="1.4"/>
    <n v="2.61"/>
    <x v="33"/>
    <n v="9.6999999999999993"/>
    <x v="66"/>
    <x v="1"/>
    <n v="100"/>
    <x v="0"/>
  </r>
  <r>
    <s v="P280"/>
    <n v="76"/>
    <x v="2"/>
    <x v="0"/>
    <s v="Hypertension"/>
    <s v="BRCA1 Mutation"/>
    <s v="T017"/>
    <x v="1"/>
    <x v="1"/>
    <s v="6/13/2021"/>
    <s v="12/13/2022"/>
    <s v="100mg"/>
    <s v="Nausea, Headache"/>
    <s v="TR0195"/>
    <s v="100mg"/>
    <x v="0"/>
    <x v="1"/>
    <x v="122"/>
    <n v="1"/>
    <x v="3"/>
    <x v="1"/>
    <n v="3.93"/>
    <n v="3.46"/>
    <x v="63"/>
    <n v="12.4"/>
    <x v="107"/>
    <x v="1"/>
    <n v="100"/>
    <x v="2"/>
  </r>
  <r>
    <s v="P281"/>
    <n v="71"/>
    <x v="1"/>
    <x v="1"/>
    <s v="Not Reported"/>
    <s v="Not Reported"/>
    <s v="T011"/>
    <x v="0"/>
    <x v="1"/>
    <s v="9/20/2021"/>
    <s v="5/20/2022"/>
    <s v="200mg"/>
    <s v="Fatigue, Headache"/>
    <s v="TR0179"/>
    <s v="200mg"/>
    <x v="1"/>
    <x v="0"/>
    <x v="47"/>
    <n v="0"/>
    <x v="4"/>
    <x v="0"/>
    <n v="3.22"/>
    <n v="1.02"/>
    <x v="65"/>
    <n v="6.6"/>
    <x v="18"/>
    <x v="0"/>
    <n v="200"/>
    <x v="2"/>
  </r>
  <r>
    <s v="P282"/>
    <n v="22"/>
    <x v="2"/>
    <x v="0"/>
    <s v="Asthma"/>
    <s v="Not Reported"/>
    <s v="T005"/>
    <x v="0"/>
    <x v="2"/>
    <s v="9/18/2019"/>
    <s v="7/18/2020"/>
    <s v="150mg"/>
    <s v="Fatigue, Nausea, Headache"/>
    <s v="TR0139"/>
    <s v="150mg"/>
    <x v="2"/>
    <x v="4"/>
    <x v="25"/>
    <n v="0"/>
    <x v="4"/>
    <x v="1"/>
    <n v="1.81"/>
    <n v="4.83"/>
    <x v="18"/>
    <n v="11.9"/>
    <x v="56"/>
    <x v="2"/>
    <n v="150"/>
    <x v="0"/>
  </r>
  <r>
    <s v="P283"/>
    <n v="82"/>
    <x v="0"/>
    <x v="2"/>
    <s v="Not Reported"/>
    <s v="EGFR Mutation"/>
    <s v="T012"/>
    <x v="1"/>
    <x v="1"/>
    <s v="8/10/2019"/>
    <s v="11/10/2020"/>
    <s v="50mg"/>
    <s v="Not Reported, Fatigue"/>
    <s v="TR0191"/>
    <s v="50mg"/>
    <x v="2"/>
    <x v="2"/>
    <x v="29"/>
    <n v="0"/>
    <x v="2"/>
    <x v="0"/>
    <n v="2.2200000000000002"/>
    <n v="4.51"/>
    <x v="6"/>
    <n v="12.6"/>
    <x v="75"/>
    <x v="3"/>
    <n v="50"/>
    <x v="2"/>
  </r>
  <r>
    <s v="P284"/>
    <n v="62"/>
    <x v="1"/>
    <x v="0"/>
    <s v="Heart Disease"/>
    <s v="Not Reported"/>
    <s v="T013"/>
    <x v="2"/>
    <x v="1"/>
    <s v="9/19/2021"/>
    <s v="6/19/2022"/>
    <s v="150mg"/>
    <s v="Nausea, Fatigue"/>
    <s v="TR0183"/>
    <s v="150mg"/>
    <x v="1"/>
    <x v="0"/>
    <x v="14"/>
    <n v="0"/>
    <x v="3"/>
    <x v="0"/>
    <n v="3.89"/>
    <n v="4.54"/>
    <x v="24"/>
    <n v="13"/>
    <x v="28"/>
    <x v="2"/>
    <n v="150"/>
    <x v="1"/>
  </r>
  <r>
    <s v="P285"/>
    <n v="72"/>
    <x v="0"/>
    <x v="3"/>
    <s v="Diabetes"/>
    <s v="TP53 Mutation"/>
    <s v="T017"/>
    <x v="3"/>
    <x v="0"/>
    <s v="10/16/2021"/>
    <s v="2/16/2023"/>
    <s v="200mg"/>
    <s v="Headache, Dizziness"/>
    <s v="TR0042"/>
    <s v="200mg"/>
    <x v="0"/>
    <x v="2"/>
    <x v="132"/>
    <n v="1"/>
    <x v="1"/>
    <x v="1"/>
    <n v="3.78"/>
    <n v="1.01"/>
    <x v="35"/>
    <n v="12.4"/>
    <x v="133"/>
    <x v="0"/>
    <n v="200"/>
    <x v="2"/>
  </r>
  <r>
    <s v="P286"/>
    <n v="34"/>
    <x v="2"/>
    <x v="1"/>
    <s v="Heart Disease"/>
    <s v="BRCA2 Mutation"/>
    <s v="T015"/>
    <x v="3"/>
    <x v="1"/>
    <s v="9/12/2020"/>
    <s v="4/12/2021"/>
    <s v="200mg"/>
    <s v="Nausea"/>
    <s v="TR0095"/>
    <s v="200mg"/>
    <x v="2"/>
    <x v="4"/>
    <x v="85"/>
    <n v="0"/>
    <x v="2"/>
    <x v="0"/>
    <n v="1.37"/>
    <n v="3.35"/>
    <x v="72"/>
    <n v="17.600000000000001"/>
    <x v="32"/>
    <x v="0"/>
    <n v="200"/>
    <x v="3"/>
  </r>
  <r>
    <s v="P287"/>
    <n v="33"/>
    <x v="1"/>
    <x v="0"/>
    <s v="Not Reported"/>
    <s v="HER2 Mutation"/>
    <s v="T001"/>
    <x v="2"/>
    <x v="2"/>
    <s v="7/2/2023"/>
    <s v="5/2/2024"/>
    <s v="150mg"/>
    <s v="Fatigue"/>
    <s v="TR0190"/>
    <s v="150mg"/>
    <x v="1"/>
    <x v="3"/>
    <x v="133"/>
    <n v="0"/>
    <x v="2"/>
    <x v="1"/>
    <n v="3.32"/>
    <n v="3.25"/>
    <x v="10"/>
    <n v="16.899999999999999"/>
    <x v="134"/>
    <x v="2"/>
    <n v="150"/>
    <x v="3"/>
  </r>
  <r>
    <s v="P288"/>
    <n v="26"/>
    <x v="0"/>
    <x v="3"/>
    <s v="Asthma"/>
    <s v="Not Reported"/>
    <s v="T019"/>
    <x v="3"/>
    <x v="3"/>
    <s v="8/27/2022"/>
    <s v="1/27/2024"/>
    <s v="100mg"/>
    <s v="Dizziness"/>
    <s v="TR0163"/>
    <s v="100mg"/>
    <x v="1"/>
    <x v="0"/>
    <x v="101"/>
    <n v="0"/>
    <x v="0"/>
    <x v="1"/>
    <n v="4.22"/>
    <n v="2.08"/>
    <x v="1"/>
    <n v="15"/>
    <x v="80"/>
    <x v="1"/>
    <n v="100"/>
    <x v="0"/>
  </r>
  <r>
    <s v="P289"/>
    <n v="29"/>
    <x v="2"/>
    <x v="1"/>
    <s v="Asthma"/>
    <s v="HER2 Mutation"/>
    <s v="T011"/>
    <x v="1"/>
    <x v="0"/>
    <s v="11/3/2021"/>
    <s v="7/3/2022"/>
    <s v="50mg"/>
    <s v="Not Reported, Nausea, Dizziness"/>
    <s v="TR0144"/>
    <s v="50mg"/>
    <x v="0"/>
    <x v="1"/>
    <x v="78"/>
    <n v="1"/>
    <x v="2"/>
    <x v="0"/>
    <n v="1.23"/>
    <n v="2.34"/>
    <x v="76"/>
    <n v="18.7"/>
    <x v="40"/>
    <x v="3"/>
    <n v="50"/>
    <x v="0"/>
  </r>
  <r>
    <s v="P290"/>
    <n v="84"/>
    <x v="0"/>
    <x v="3"/>
    <s v="Heart Disease"/>
    <s v="Not Reported"/>
    <s v="T004"/>
    <x v="2"/>
    <x v="1"/>
    <s v="4/8/2021"/>
    <s v="9/8/2022"/>
    <s v="200mg"/>
    <s v="Dizziness"/>
    <s v="TR0156"/>
    <s v="200mg"/>
    <x v="1"/>
    <x v="0"/>
    <x v="22"/>
    <n v="0"/>
    <x v="3"/>
    <x v="1"/>
    <n v="3.07"/>
    <n v="2.76"/>
    <x v="43"/>
    <n v="11.9"/>
    <x v="109"/>
    <x v="0"/>
    <n v="200"/>
    <x v="2"/>
  </r>
  <r>
    <s v="P291"/>
    <n v="20"/>
    <x v="1"/>
    <x v="3"/>
    <s v="Diabetes"/>
    <s v="EGFR Mutation"/>
    <s v="T011"/>
    <x v="3"/>
    <x v="3"/>
    <s v="2/4/2019"/>
    <s v="4/4/2020"/>
    <s v="100mg"/>
    <s v="Fatigue, Dizziness"/>
    <s v="TR0066"/>
    <s v="100mg"/>
    <x v="0"/>
    <x v="1"/>
    <x v="16"/>
    <n v="1"/>
    <x v="1"/>
    <x v="0"/>
    <n v="1.35"/>
    <n v="1.88"/>
    <x v="80"/>
    <n v="19.2"/>
    <x v="83"/>
    <x v="1"/>
    <n v="100"/>
    <x v="0"/>
  </r>
  <r>
    <s v="P292"/>
    <n v="25"/>
    <x v="2"/>
    <x v="0"/>
    <s v="Diabetes"/>
    <s v="BRCA1 Mutation"/>
    <s v="T010"/>
    <x v="3"/>
    <x v="1"/>
    <s v="3/14/2021"/>
    <s v="2/14/2022"/>
    <s v="150mg"/>
    <s v="Nausea, Dizziness"/>
    <s v="TR0052"/>
    <s v="150mg"/>
    <x v="0"/>
    <x v="2"/>
    <x v="22"/>
    <n v="1"/>
    <x v="0"/>
    <x v="1"/>
    <n v="4.7300000000000004"/>
    <n v="3.57"/>
    <x v="62"/>
    <n v="17.5"/>
    <x v="40"/>
    <x v="2"/>
    <n v="150"/>
    <x v="0"/>
  </r>
  <r>
    <s v="P293"/>
    <n v="83"/>
    <x v="2"/>
    <x v="3"/>
    <s v="Hypertension"/>
    <s v="TP53 Mutation"/>
    <s v="T015"/>
    <x v="3"/>
    <x v="1"/>
    <s v="1/14/2022"/>
    <s v="5/14/2023"/>
    <s v="100mg"/>
    <s v="Not Reported"/>
    <s v="TR0142"/>
    <s v="100mg"/>
    <x v="2"/>
    <x v="3"/>
    <x v="28"/>
    <n v="0"/>
    <x v="2"/>
    <x v="0"/>
    <n v="1.47"/>
    <n v="2.64"/>
    <x v="59"/>
    <n v="12.9"/>
    <x v="25"/>
    <x v="1"/>
    <n v="100"/>
    <x v="2"/>
  </r>
  <r>
    <s v="P294"/>
    <n v="56"/>
    <x v="2"/>
    <x v="3"/>
    <s v="Asthma"/>
    <s v="EGFR Mutation"/>
    <s v="T007"/>
    <x v="2"/>
    <x v="3"/>
    <s v="3/26/2023"/>
    <s v="12/26/2023"/>
    <s v="200mg"/>
    <s v="Headache, Nausea, Dizziness"/>
    <s v="TR0119"/>
    <s v="200mg"/>
    <x v="2"/>
    <x v="4"/>
    <x v="41"/>
    <n v="0"/>
    <x v="3"/>
    <x v="0"/>
    <n v="3.35"/>
    <n v="1.74"/>
    <x v="18"/>
    <n v="12"/>
    <x v="60"/>
    <x v="0"/>
    <n v="200"/>
    <x v="1"/>
  </r>
  <r>
    <s v="P295"/>
    <n v="79"/>
    <x v="1"/>
    <x v="1"/>
    <s v="Not Reported"/>
    <s v="Not Reported"/>
    <s v="T013"/>
    <x v="0"/>
    <x v="2"/>
    <s v="9/10/2023"/>
    <s v="3/10/2024"/>
    <s v="100mg"/>
    <s v="Dizziness, Nausea, Fatigue"/>
    <s v="TR0023"/>
    <s v="100mg"/>
    <x v="1"/>
    <x v="3"/>
    <x v="64"/>
    <n v="0"/>
    <x v="2"/>
    <x v="1"/>
    <n v="1.1000000000000001"/>
    <n v="4.33"/>
    <x v="5"/>
    <n v="15.3"/>
    <x v="135"/>
    <x v="1"/>
    <n v="100"/>
    <x v="2"/>
  </r>
  <r>
    <s v="P296"/>
    <n v="73"/>
    <x v="0"/>
    <x v="1"/>
    <s v="Heart Disease"/>
    <s v="Not Reported"/>
    <s v="T011"/>
    <x v="0"/>
    <x v="3"/>
    <s v="5/8/2022"/>
    <s v="9/8/2023"/>
    <s v="150mg"/>
    <s v="Fatigue, Headache"/>
    <s v="TR0154"/>
    <s v="150mg"/>
    <x v="1"/>
    <x v="3"/>
    <x v="2"/>
    <n v="0"/>
    <x v="3"/>
    <x v="1"/>
    <n v="4.76"/>
    <n v="2.04"/>
    <x v="13"/>
    <n v="21.7"/>
    <x v="4"/>
    <x v="2"/>
    <n v="150"/>
    <x v="2"/>
  </r>
  <r>
    <s v="P297"/>
    <n v="18"/>
    <x v="0"/>
    <x v="4"/>
    <s v="Asthma"/>
    <s v="Not Reported"/>
    <s v="T016"/>
    <x v="3"/>
    <x v="1"/>
    <s v="9/1/2019"/>
    <s v="1/1/2021"/>
    <s v="200mg"/>
    <s v="Nausea, Not Reported, Fatigue"/>
    <s v="TR0154"/>
    <s v="200mg"/>
    <x v="1"/>
    <x v="0"/>
    <x v="61"/>
    <n v="0"/>
    <x v="3"/>
    <x v="0"/>
    <n v="1.74"/>
    <n v="4.21"/>
    <x v="83"/>
    <n v="14.7"/>
    <x v="121"/>
    <x v="0"/>
    <n v="200"/>
    <x v="0"/>
  </r>
  <r>
    <s v="P298"/>
    <n v="77"/>
    <x v="1"/>
    <x v="4"/>
    <s v="Asthma"/>
    <s v="BRCA1 Mutation"/>
    <s v="T009"/>
    <x v="0"/>
    <x v="2"/>
    <s v="10/21/2019"/>
    <s v="8/21/2020"/>
    <s v="100mg"/>
    <s v="Headache"/>
    <s v="TR0093"/>
    <s v="100mg"/>
    <x v="0"/>
    <x v="4"/>
    <x v="18"/>
    <n v="1"/>
    <x v="2"/>
    <x v="0"/>
    <n v="1.32"/>
    <n v="3.91"/>
    <x v="69"/>
    <n v="13.9"/>
    <x v="33"/>
    <x v="1"/>
    <n v="100"/>
    <x v="2"/>
  </r>
  <r>
    <s v="P299"/>
    <n v="18"/>
    <x v="0"/>
    <x v="3"/>
    <s v="Hypertension"/>
    <s v="Not Reported"/>
    <s v="T019"/>
    <x v="3"/>
    <x v="2"/>
    <s v="4/22/2023"/>
    <s v="9/22/2024"/>
    <s v="100mg"/>
    <s v="Dizziness"/>
    <s v="TR0033"/>
    <s v="100mg"/>
    <x v="2"/>
    <x v="3"/>
    <x v="132"/>
    <n v="0"/>
    <x v="4"/>
    <x v="0"/>
    <n v="4.0599999999999996"/>
    <n v="1.64"/>
    <x v="25"/>
    <n v="8.4"/>
    <x v="136"/>
    <x v="1"/>
    <n v="100"/>
    <x v="0"/>
  </r>
  <r>
    <s v="P300"/>
    <n v="84"/>
    <x v="2"/>
    <x v="0"/>
    <s v="Diabetes"/>
    <s v="Not Reported"/>
    <s v="T001"/>
    <x v="0"/>
    <x v="0"/>
    <s v="7/21/2019"/>
    <s v="11/21/2020"/>
    <s v="50mg"/>
    <s v="Headache, Dizziness"/>
    <s v="TR0071"/>
    <s v="50mg"/>
    <x v="0"/>
    <x v="2"/>
    <x v="97"/>
    <n v="1"/>
    <x v="1"/>
    <x v="1"/>
    <n v="3.63"/>
    <n v="4.83"/>
    <x v="32"/>
    <n v="7"/>
    <x v="27"/>
    <x v="3"/>
    <n v="50"/>
    <x v="2"/>
  </r>
  <r>
    <s v="P301"/>
    <n v="84"/>
    <x v="0"/>
    <x v="4"/>
    <s v="Hypertension"/>
    <s v="HER2 Mutation"/>
    <s v="T018"/>
    <x v="3"/>
    <x v="3"/>
    <s v="7/7/2019"/>
    <s v="6/7/2020"/>
    <s v="50mg"/>
    <s v="Nausea, Fatigue, Not Reported"/>
    <s v="TR0109"/>
    <s v="50mg"/>
    <x v="0"/>
    <x v="1"/>
    <x v="47"/>
    <n v="1"/>
    <x v="0"/>
    <x v="1"/>
    <n v="2.0499999999999998"/>
    <n v="1.99"/>
    <x v="52"/>
    <n v="10.5"/>
    <x v="91"/>
    <x v="3"/>
    <n v="50"/>
    <x v="2"/>
  </r>
  <r>
    <s v="P302"/>
    <n v="57"/>
    <x v="0"/>
    <x v="2"/>
    <s v="Hypertension"/>
    <s v="BRCA1 Mutation"/>
    <s v="T019"/>
    <x v="0"/>
    <x v="3"/>
    <s v="2/16/2020"/>
    <s v="11/16/2020"/>
    <s v="150mg"/>
    <s v="Not Reported"/>
    <s v="TR0134"/>
    <s v="150mg"/>
    <x v="0"/>
    <x v="3"/>
    <x v="32"/>
    <n v="1"/>
    <x v="3"/>
    <x v="1"/>
    <n v="4.04"/>
    <n v="2.8"/>
    <x v="73"/>
    <n v="7.2"/>
    <x v="77"/>
    <x v="2"/>
    <n v="150"/>
    <x v="1"/>
  </r>
  <r>
    <s v="P303"/>
    <n v="33"/>
    <x v="0"/>
    <x v="2"/>
    <s v="Hypertension"/>
    <s v="BRCA1 Mutation"/>
    <s v="T005"/>
    <x v="1"/>
    <x v="0"/>
    <s v="5/20/2019"/>
    <s v="9/20/2020"/>
    <s v="200mg"/>
    <s v="Nausea"/>
    <s v="TR0174"/>
    <s v="200mg"/>
    <x v="0"/>
    <x v="2"/>
    <x v="79"/>
    <n v="1"/>
    <x v="4"/>
    <x v="1"/>
    <n v="1.1299999999999999"/>
    <n v="1.25"/>
    <x v="52"/>
    <n v="8.5"/>
    <x v="53"/>
    <x v="0"/>
    <n v="200"/>
    <x v="3"/>
  </r>
  <r>
    <s v="P304"/>
    <n v="69"/>
    <x v="0"/>
    <x v="1"/>
    <s v="Asthma"/>
    <s v="EGFR Mutation"/>
    <s v="T020"/>
    <x v="1"/>
    <x v="0"/>
    <s v="8/26/2022"/>
    <s v="8/26/2023"/>
    <s v="50mg"/>
    <s v="Nausea, Headache"/>
    <s v="TR0133"/>
    <s v="50mg"/>
    <x v="1"/>
    <x v="2"/>
    <x v="134"/>
    <n v="0"/>
    <x v="3"/>
    <x v="0"/>
    <n v="2.64"/>
    <n v="2.39"/>
    <x v="49"/>
    <n v="6.4"/>
    <x v="104"/>
    <x v="3"/>
    <n v="50"/>
    <x v="2"/>
  </r>
  <r>
    <s v="P305"/>
    <n v="19"/>
    <x v="2"/>
    <x v="2"/>
    <s v="Heart Disease"/>
    <s v="Not Reported"/>
    <s v="T007"/>
    <x v="2"/>
    <x v="3"/>
    <s v="7/16/2021"/>
    <s v="12/16/2022"/>
    <s v="200mg"/>
    <s v="Fatigue"/>
    <s v="TR0036"/>
    <s v="200mg"/>
    <x v="0"/>
    <x v="3"/>
    <x v="132"/>
    <n v="1"/>
    <x v="4"/>
    <x v="1"/>
    <n v="4.8499999999999996"/>
    <n v="3.24"/>
    <x v="2"/>
    <n v="6.9"/>
    <x v="69"/>
    <x v="0"/>
    <n v="200"/>
    <x v="0"/>
  </r>
  <r>
    <s v="P306"/>
    <n v="83"/>
    <x v="2"/>
    <x v="0"/>
    <s v="Not Reported"/>
    <s v="Not Reported"/>
    <s v="T018"/>
    <x v="2"/>
    <x v="2"/>
    <s v="5/20/2022"/>
    <s v="4/20/2023"/>
    <s v="150mg"/>
    <s v="Nausea, Fatigue"/>
    <s v="TR0015"/>
    <s v="150mg"/>
    <x v="0"/>
    <x v="2"/>
    <x v="123"/>
    <n v="1"/>
    <x v="3"/>
    <x v="1"/>
    <n v="2.04"/>
    <n v="3.92"/>
    <x v="84"/>
    <n v="10.6"/>
    <x v="86"/>
    <x v="2"/>
    <n v="150"/>
    <x v="2"/>
  </r>
  <r>
    <s v="P307"/>
    <n v="62"/>
    <x v="0"/>
    <x v="4"/>
    <s v="Diabetes"/>
    <s v="Not Reported"/>
    <s v="T011"/>
    <x v="2"/>
    <x v="0"/>
    <s v="10/23/2022"/>
    <s v="9/23/2023"/>
    <s v="150mg"/>
    <s v="Not Reported, Headache, Fatigue"/>
    <s v="TR0042"/>
    <s v="150mg"/>
    <x v="0"/>
    <x v="0"/>
    <x v="85"/>
    <n v="1"/>
    <x v="1"/>
    <x v="0"/>
    <n v="1.79"/>
    <n v="3.26"/>
    <x v="31"/>
    <n v="23.5"/>
    <x v="110"/>
    <x v="2"/>
    <n v="150"/>
    <x v="1"/>
  </r>
  <r>
    <s v="P308"/>
    <n v="18"/>
    <x v="2"/>
    <x v="4"/>
    <s v="Diabetes"/>
    <s v="BRCA2 Mutation"/>
    <s v="T008"/>
    <x v="3"/>
    <x v="3"/>
    <s v="4/13/2022"/>
    <s v="12/13/2022"/>
    <s v="50mg"/>
    <s v="Nausea, Dizziness"/>
    <s v="TR0092"/>
    <s v="50mg"/>
    <x v="0"/>
    <x v="2"/>
    <x v="24"/>
    <n v="1"/>
    <x v="0"/>
    <x v="1"/>
    <n v="2.4"/>
    <n v="1.46"/>
    <x v="26"/>
    <n v="10.1"/>
    <x v="19"/>
    <x v="3"/>
    <n v="50"/>
    <x v="0"/>
  </r>
  <r>
    <s v="P309"/>
    <n v="74"/>
    <x v="0"/>
    <x v="1"/>
    <s v="Not Reported"/>
    <s v="BRCA1 Mutation"/>
    <s v="T007"/>
    <x v="2"/>
    <x v="3"/>
    <s v="4/9/2020"/>
    <s v="9/9/2021"/>
    <s v="100mg"/>
    <s v="Dizziness, Fatigue"/>
    <s v="TR0046"/>
    <s v="100mg"/>
    <x v="0"/>
    <x v="3"/>
    <x v="61"/>
    <n v="1"/>
    <x v="4"/>
    <x v="0"/>
    <n v="4.4000000000000004"/>
    <n v="3.24"/>
    <x v="44"/>
    <n v="8.1"/>
    <x v="137"/>
    <x v="1"/>
    <n v="100"/>
    <x v="2"/>
  </r>
  <r>
    <s v="P310"/>
    <n v="20"/>
    <x v="2"/>
    <x v="4"/>
    <s v="Asthma"/>
    <s v="Not Reported"/>
    <s v="T004"/>
    <x v="0"/>
    <x v="2"/>
    <s v="8/8/2021"/>
    <s v="7/8/2022"/>
    <s v="150mg"/>
    <s v="Fatigue, Headache, Not Reported"/>
    <s v="TR0017"/>
    <s v="150mg"/>
    <x v="0"/>
    <x v="1"/>
    <x v="37"/>
    <n v="1"/>
    <x v="0"/>
    <x v="0"/>
    <n v="3.89"/>
    <n v="1.27"/>
    <x v="79"/>
    <n v="15.8"/>
    <x v="126"/>
    <x v="2"/>
    <n v="150"/>
    <x v="0"/>
  </r>
  <r>
    <s v="P311"/>
    <n v="66"/>
    <x v="2"/>
    <x v="0"/>
    <s v="Not Reported"/>
    <s v="Not Reported"/>
    <s v="T008"/>
    <x v="1"/>
    <x v="2"/>
    <s v="5/26/2023"/>
    <s v="1/26/2024"/>
    <s v="150mg"/>
    <s v="Nausea"/>
    <s v="TR0162"/>
    <s v="150mg"/>
    <x v="1"/>
    <x v="1"/>
    <x v="63"/>
    <n v="0"/>
    <x v="2"/>
    <x v="1"/>
    <n v="2.83"/>
    <n v="2.94"/>
    <x v="28"/>
    <n v="23"/>
    <x v="138"/>
    <x v="2"/>
    <n v="150"/>
    <x v="2"/>
  </r>
  <r>
    <s v="P312"/>
    <n v="44"/>
    <x v="2"/>
    <x v="2"/>
    <s v="Asthma"/>
    <s v="Not Reported"/>
    <s v="T020"/>
    <x v="1"/>
    <x v="2"/>
    <s v="7/25/2023"/>
    <s v="11/25/2024"/>
    <s v="150mg"/>
    <s v="Dizziness, Headache"/>
    <s v="TR0046"/>
    <s v="150mg"/>
    <x v="1"/>
    <x v="4"/>
    <x v="135"/>
    <n v="0"/>
    <x v="1"/>
    <x v="1"/>
    <n v="3.68"/>
    <n v="2.85"/>
    <x v="68"/>
    <n v="17.7"/>
    <x v="117"/>
    <x v="2"/>
    <n v="150"/>
    <x v="3"/>
  </r>
  <r>
    <s v="P313"/>
    <n v="78"/>
    <x v="1"/>
    <x v="1"/>
    <s v="Asthma"/>
    <s v="Not Reported"/>
    <s v="T019"/>
    <x v="1"/>
    <x v="2"/>
    <s v="4/15/2020"/>
    <s v="1/15/2021"/>
    <s v="200mg"/>
    <s v="Not Reported"/>
    <s v="TR0109"/>
    <s v="200mg"/>
    <x v="1"/>
    <x v="2"/>
    <x v="95"/>
    <n v="0"/>
    <x v="4"/>
    <x v="1"/>
    <n v="1.25"/>
    <n v="3.05"/>
    <x v="3"/>
    <n v="14.3"/>
    <x v="139"/>
    <x v="0"/>
    <n v="200"/>
    <x v="2"/>
  </r>
  <r>
    <s v="P314"/>
    <n v="28"/>
    <x v="0"/>
    <x v="2"/>
    <s v="Not Reported"/>
    <s v="TP53 Mutation"/>
    <s v="T008"/>
    <x v="1"/>
    <x v="0"/>
    <s v="10/11/2023"/>
    <s v="10/11/2024"/>
    <s v="200mg"/>
    <s v="Headache, Dizziness"/>
    <s v="TR0095"/>
    <s v="200mg"/>
    <x v="1"/>
    <x v="4"/>
    <x v="15"/>
    <n v="0"/>
    <x v="1"/>
    <x v="0"/>
    <n v="4.1500000000000004"/>
    <n v="1.81"/>
    <x v="40"/>
    <n v="9"/>
    <x v="108"/>
    <x v="0"/>
    <n v="200"/>
    <x v="0"/>
  </r>
  <r>
    <s v="P315"/>
    <n v="40"/>
    <x v="1"/>
    <x v="4"/>
    <s v="Not Reported"/>
    <s v="Not Reported"/>
    <s v="T012"/>
    <x v="1"/>
    <x v="3"/>
    <s v="9/18/2023"/>
    <s v="1/18/2025"/>
    <s v="50mg"/>
    <s v="Fatigue, Nausea"/>
    <s v="TR0031"/>
    <s v="50mg"/>
    <x v="0"/>
    <x v="4"/>
    <x v="118"/>
    <n v="1"/>
    <x v="2"/>
    <x v="0"/>
    <n v="4.03"/>
    <n v="3.08"/>
    <x v="81"/>
    <n v="21.8"/>
    <x v="140"/>
    <x v="3"/>
    <n v="50"/>
    <x v="3"/>
  </r>
  <r>
    <s v="P316"/>
    <n v="60"/>
    <x v="0"/>
    <x v="0"/>
    <s v="Not Reported"/>
    <s v="TP53 Mutation"/>
    <s v="T007"/>
    <x v="2"/>
    <x v="3"/>
    <s v="5/10/2019"/>
    <s v="4/10/2020"/>
    <s v="200mg"/>
    <s v="Dizziness, Nausea"/>
    <s v="TR0121"/>
    <s v="200mg"/>
    <x v="2"/>
    <x v="2"/>
    <x v="72"/>
    <n v="0"/>
    <x v="1"/>
    <x v="0"/>
    <n v="4.4800000000000004"/>
    <n v="1.96"/>
    <x v="83"/>
    <n v="23.7"/>
    <x v="6"/>
    <x v="0"/>
    <n v="200"/>
    <x v="1"/>
  </r>
  <r>
    <s v="P317"/>
    <n v="47"/>
    <x v="2"/>
    <x v="4"/>
    <s v="Asthma"/>
    <s v="EGFR Mutation"/>
    <s v="T018"/>
    <x v="3"/>
    <x v="0"/>
    <s v="2/11/2021"/>
    <s v="11/11/2021"/>
    <s v="200mg"/>
    <s v="Headache, Fatigue, Dizziness"/>
    <s v="TR0116"/>
    <s v="200mg"/>
    <x v="2"/>
    <x v="3"/>
    <x v="99"/>
    <n v="0"/>
    <x v="0"/>
    <x v="0"/>
    <n v="1.1100000000000001"/>
    <n v="1.26"/>
    <x v="31"/>
    <n v="22.4"/>
    <x v="89"/>
    <x v="0"/>
    <n v="200"/>
    <x v="3"/>
  </r>
  <r>
    <s v="P318"/>
    <n v="57"/>
    <x v="2"/>
    <x v="2"/>
    <s v="Asthma"/>
    <s v="Not Reported"/>
    <s v="T012"/>
    <x v="0"/>
    <x v="2"/>
    <s v="7/22/2022"/>
    <s v="1/22/2024"/>
    <s v="200mg"/>
    <s v="Dizziness, Not Reported, Fatigue"/>
    <s v="TR0151"/>
    <s v="200mg"/>
    <x v="0"/>
    <x v="2"/>
    <x v="92"/>
    <n v="1"/>
    <x v="0"/>
    <x v="0"/>
    <n v="2.99"/>
    <n v="1.42"/>
    <x v="46"/>
    <n v="20.8"/>
    <x v="65"/>
    <x v="0"/>
    <n v="200"/>
    <x v="1"/>
  </r>
  <r>
    <s v="P319"/>
    <n v="60"/>
    <x v="2"/>
    <x v="1"/>
    <s v="Heart Disease"/>
    <s v="Not Reported"/>
    <s v="T013"/>
    <x v="3"/>
    <x v="2"/>
    <s v="2/18/2022"/>
    <s v="2/18/2023"/>
    <s v="100mg"/>
    <s v="Nausea, Not Reported"/>
    <s v="TR0146"/>
    <s v="100mg"/>
    <x v="1"/>
    <x v="4"/>
    <x v="74"/>
    <n v="0"/>
    <x v="0"/>
    <x v="0"/>
    <n v="4.0999999999999996"/>
    <n v="4.8600000000000003"/>
    <x v="81"/>
    <n v="15.4"/>
    <x v="71"/>
    <x v="1"/>
    <n v="100"/>
    <x v="1"/>
  </r>
  <r>
    <s v="P320"/>
    <n v="40"/>
    <x v="0"/>
    <x v="1"/>
    <s v="Asthma"/>
    <s v="BRCA2 Mutation"/>
    <s v="T003"/>
    <x v="3"/>
    <x v="3"/>
    <s v="4/10/2020"/>
    <s v="8/10/2021"/>
    <s v="50mg"/>
    <s v="Nausea, Not Reported"/>
    <s v="TR0133"/>
    <s v="50mg"/>
    <x v="0"/>
    <x v="1"/>
    <x v="43"/>
    <n v="1"/>
    <x v="1"/>
    <x v="1"/>
    <n v="4.17"/>
    <n v="3.31"/>
    <x v="19"/>
    <n v="20.399999999999999"/>
    <x v="124"/>
    <x v="3"/>
    <n v="50"/>
    <x v="3"/>
  </r>
  <r>
    <s v="P321"/>
    <n v="38"/>
    <x v="0"/>
    <x v="4"/>
    <s v="Heart Disease"/>
    <s v="BRCA1 Mutation"/>
    <s v="T013"/>
    <x v="2"/>
    <x v="2"/>
    <s v="5/14/2020"/>
    <s v="10/14/2021"/>
    <s v="200mg"/>
    <s v="Dizziness"/>
    <s v="TR0148"/>
    <s v="200mg"/>
    <x v="1"/>
    <x v="2"/>
    <x v="57"/>
    <n v="0"/>
    <x v="2"/>
    <x v="1"/>
    <n v="4.66"/>
    <n v="3.13"/>
    <x v="26"/>
    <n v="18.5"/>
    <x v="133"/>
    <x v="0"/>
    <n v="200"/>
    <x v="3"/>
  </r>
  <r>
    <s v="P322"/>
    <n v="53"/>
    <x v="0"/>
    <x v="2"/>
    <s v="Diabetes"/>
    <s v="HER2 Mutation"/>
    <s v="T020"/>
    <x v="2"/>
    <x v="3"/>
    <s v="8/15/2023"/>
    <s v="9/15/2024"/>
    <s v="50mg"/>
    <s v="Nausea, Not Reported, Headache"/>
    <s v="TR0117"/>
    <s v="50mg"/>
    <x v="1"/>
    <x v="4"/>
    <x v="30"/>
    <n v="0"/>
    <x v="2"/>
    <x v="0"/>
    <n v="2.27"/>
    <n v="4.43"/>
    <x v="52"/>
    <n v="11"/>
    <x v="131"/>
    <x v="3"/>
    <n v="50"/>
    <x v="1"/>
  </r>
  <r>
    <s v="P323"/>
    <n v="71"/>
    <x v="0"/>
    <x v="4"/>
    <s v="Heart Disease"/>
    <s v="Not Reported"/>
    <s v="T015"/>
    <x v="3"/>
    <x v="2"/>
    <s v="2/13/2023"/>
    <s v="7/13/2024"/>
    <s v="50mg"/>
    <s v="Fatigue"/>
    <s v="TR0071"/>
    <s v="50mg"/>
    <x v="2"/>
    <x v="2"/>
    <x v="27"/>
    <n v="0"/>
    <x v="3"/>
    <x v="0"/>
    <n v="1.56"/>
    <n v="1.81"/>
    <x v="63"/>
    <n v="22.1"/>
    <x v="86"/>
    <x v="3"/>
    <n v="50"/>
    <x v="2"/>
  </r>
  <r>
    <s v="P324"/>
    <n v="81"/>
    <x v="1"/>
    <x v="1"/>
    <s v="Hypertension"/>
    <s v="Not Reported"/>
    <s v="T003"/>
    <x v="1"/>
    <x v="3"/>
    <s v="8/6/2022"/>
    <s v="6/6/2023"/>
    <s v="100mg"/>
    <s v="Nausea, Headache, Dizziness"/>
    <s v="TR0019"/>
    <s v="100mg"/>
    <x v="2"/>
    <x v="0"/>
    <x v="49"/>
    <n v="0"/>
    <x v="4"/>
    <x v="1"/>
    <n v="1.61"/>
    <n v="2.76"/>
    <x v="25"/>
    <n v="7.5"/>
    <x v="140"/>
    <x v="1"/>
    <n v="100"/>
    <x v="2"/>
  </r>
  <r>
    <s v="P325"/>
    <n v="42"/>
    <x v="1"/>
    <x v="2"/>
    <s v="Hypertension"/>
    <s v="BRCA2 Mutation"/>
    <s v="T011"/>
    <x v="3"/>
    <x v="0"/>
    <s v="2/3/2022"/>
    <s v="4/3/2023"/>
    <s v="100mg"/>
    <s v="Headache, Fatigue, Dizziness"/>
    <s v="TR0072"/>
    <s v="100mg"/>
    <x v="0"/>
    <x v="1"/>
    <x v="125"/>
    <n v="1"/>
    <x v="2"/>
    <x v="0"/>
    <n v="4.21"/>
    <n v="3.02"/>
    <x v="4"/>
    <n v="13.5"/>
    <x v="131"/>
    <x v="1"/>
    <n v="100"/>
    <x v="3"/>
  </r>
  <r>
    <s v="P326"/>
    <n v="40"/>
    <x v="1"/>
    <x v="2"/>
    <s v="Heart Disease"/>
    <s v="Not Reported"/>
    <s v="T006"/>
    <x v="1"/>
    <x v="1"/>
    <s v="3/15/2021"/>
    <s v="2/15/2022"/>
    <s v="100mg"/>
    <s v="Nausea"/>
    <s v="TR0173"/>
    <s v="100mg"/>
    <x v="2"/>
    <x v="1"/>
    <x v="67"/>
    <n v="0"/>
    <x v="3"/>
    <x v="0"/>
    <n v="3.67"/>
    <n v="3.54"/>
    <x v="28"/>
    <n v="21.9"/>
    <x v="24"/>
    <x v="1"/>
    <n v="100"/>
    <x v="3"/>
  </r>
  <r>
    <s v="P327"/>
    <n v="67"/>
    <x v="2"/>
    <x v="0"/>
    <s v="Asthma"/>
    <s v="BRCA1 Mutation"/>
    <s v="T002"/>
    <x v="3"/>
    <x v="2"/>
    <s v="6/8/2020"/>
    <s v="3/8/2021"/>
    <s v="50mg"/>
    <s v="Headache"/>
    <s v="TR0008"/>
    <s v="50mg"/>
    <x v="0"/>
    <x v="4"/>
    <x v="134"/>
    <n v="1"/>
    <x v="3"/>
    <x v="0"/>
    <n v="1.65"/>
    <n v="1.05"/>
    <x v="10"/>
    <n v="15.5"/>
    <x v="118"/>
    <x v="3"/>
    <n v="50"/>
    <x v="2"/>
  </r>
  <r>
    <s v="P328"/>
    <n v="30"/>
    <x v="2"/>
    <x v="4"/>
    <s v="Diabetes"/>
    <s v="EGFR Mutation"/>
    <s v="T004"/>
    <x v="0"/>
    <x v="3"/>
    <s v="11/7/2023"/>
    <s v="2/7/2025"/>
    <s v="100mg"/>
    <s v="Headache, Dizziness, Nausea"/>
    <s v="TR0060"/>
    <s v="100mg"/>
    <x v="0"/>
    <x v="3"/>
    <x v="52"/>
    <n v="1"/>
    <x v="4"/>
    <x v="0"/>
    <n v="4.5599999999999996"/>
    <n v="1.32"/>
    <x v="55"/>
    <n v="9.4"/>
    <x v="137"/>
    <x v="1"/>
    <n v="100"/>
    <x v="0"/>
  </r>
  <r>
    <s v="P329"/>
    <n v="19"/>
    <x v="1"/>
    <x v="0"/>
    <s v="Hypertension"/>
    <s v="HER2 Mutation"/>
    <s v="T008"/>
    <x v="1"/>
    <x v="3"/>
    <s v="6/2/2023"/>
    <s v="1/2/2024"/>
    <s v="100mg"/>
    <s v="Not Reported, Headache"/>
    <s v="TR0027"/>
    <s v="100mg"/>
    <x v="2"/>
    <x v="2"/>
    <x v="98"/>
    <n v="0"/>
    <x v="0"/>
    <x v="1"/>
    <n v="4.28"/>
    <n v="3.16"/>
    <x v="79"/>
    <n v="11.7"/>
    <x v="141"/>
    <x v="1"/>
    <n v="100"/>
    <x v="0"/>
  </r>
  <r>
    <s v="P330"/>
    <n v="30"/>
    <x v="2"/>
    <x v="0"/>
    <s v="Asthma"/>
    <s v="Not Reported"/>
    <s v="T005"/>
    <x v="0"/>
    <x v="2"/>
    <s v="11/16/2021"/>
    <s v="6/16/2022"/>
    <s v="150mg"/>
    <s v="Dizziness"/>
    <s v="TR0150"/>
    <s v="150mg"/>
    <x v="1"/>
    <x v="0"/>
    <x v="63"/>
    <n v="0"/>
    <x v="0"/>
    <x v="0"/>
    <n v="4.29"/>
    <n v="2.84"/>
    <x v="74"/>
    <n v="14.9"/>
    <x v="79"/>
    <x v="2"/>
    <n v="150"/>
    <x v="0"/>
  </r>
  <r>
    <s v="P331"/>
    <n v="47"/>
    <x v="0"/>
    <x v="1"/>
    <s v="Hypertension"/>
    <s v="HER2 Mutation"/>
    <s v="T008"/>
    <x v="1"/>
    <x v="1"/>
    <s v="6/16/2020"/>
    <s v="4/16/2021"/>
    <s v="100mg"/>
    <s v="Headache"/>
    <s v="TR0053"/>
    <s v="100mg"/>
    <x v="2"/>
    <x v="3"/>
    <x v="1"/>
    <n v="0"/>
    <x v="2"/>
    <x v="1"/>
    <n v="2.34"/>
    <n v="1.7"/>
    <x v="79"/>
    <n v="20.9"/>
    <x v="26"/>
    <x v="1"/>
    <n v="100"/>
    <x v="3"/>
  </r>
  <r>
    <s v="P332"/>
    <n v="60"/>
    <x v="0"/>
    <x v="0"/>
    <s v="Not Reported"/>
    <s v="Not Reported"/>
    <s v="T002"/>
    <x v="3"/>
    <x v="3"/>
    <s v="4/28/2019"/>
    <s v="9/28/2020"/>
    <s v="150mg"/>
    <s v="Fatigue, Dizziness"/>
    <s v="TR0139"/>
    <s v="150mg"/>
    <x v="0"/>
    <x v="1"/>
    <x v="8"/>
    <n v="1"/>
    <x v="2"/>
    <x v="1"/>
    <n v="1.96"/>
    <n v="1.57"/>
    <x v="42"/>
    <n v="14.1"/>
    <x v="18"/>
    <x v="2"/>
    <n v="150"/>
    <x v="1"/>
  </r>
  <r>
    <s v="P333"/>
    <n v="84"/>
    <x v="1"/>
    <x v="4"/>
    <s v="Asthma"/>
    <s v="Not Reported"/>
    <s v="T003"/>
    <x v="3"/>
    <x v="1"/>
    <s v="1/21/2020"/>
    <s v="9/21/2020"/>
    <s v="100mg"/>
    <s v="Nausea"/>
    <s v="TR0045"/>
    <s v="100mg"/>
    <x v="2"/>
    <x v="2"/>
    <x v="55"/>
    <n v="0"/>
    <x v="0"/>
    <x v="0"/>
    <n v="3.6"/>
    <n v="3.48"/>
    <x v="74"/>
    <n v="21.1"/>
    <x v="141"/>
    <x v="1"/>
    <n v="100"/>
    <x v="2"/>
  </r>
  <r>
    <s v="P334"/>
    <n v="72"/>
    <x v="2"/>
    <x v="3"/>
    <s v="Not Reported"/>
    <s v="BRCA2 Mutation"/>
    <s v="T008"/>
    <x v="3"/>
    <x v="2"/>
    <s v="4/10/2023"/>
    <s v="2/10/2024"/>
    <s v="200mg"/>
    <s v="Fatigue, Not Reported, Dizziness"/>
    <s v="TR0021"/>
    <s v="200mg"/>
    <x v="1"/>
    <x v="0"/>
    <x v="80"/>
    <n v="0"/>
    <x v="0"/>
    <x v="1"/>
    <n v="4.92"/>
    <n v="3.54"/>
    <x v="38"/>
    <n v="18.2"/>
    <x v="96"/>
    <x v="0"/>
    <n v="200"/>
    <x v="2"/>
  </r>
  <r>
    <s v="P335"/>
    <n v="74"/>
    <x v="1"/>
    <x v="1"/>
    <s v="Heart Disease"/>
    <s v="Not Reported"/>
    <s v="T005"/>
    <x v="3"/>
    <x v="1"/>
    <s v="7/28/2022"/>
    <s v="2/28/2023"/>
    <s v="150mg"/>
    <s v="Dizziness, Fatigue, Not Reported"/>
    <s v="TR0187"/>
    <s v="150mg"/>
    <x v="0"/>
    <x v="4"/>
    <x v="49"/>
    <n v="1"/>
    <x v="1"/>
    <x v="1"/>
    <n v="3.75"/>
    <n v="1.28"/>
    <x v="17"/>
    <n v="21.4"/>
    <x v="37"/>
    <x v="2"/>
    <n v="150"/>
    <x v="2"/>
  </r>
  <r>
    <s v="P336"/>
    <n v="76"/>
    <x v="1"/>
    <x v="3"/>
    <s v="Heart Disease"/>
    <s v="Not Reported"/>
    <s v="T003"/>
    <x v="0"/>
    <x v="2"/>
    <s v="4/5/2022"/>
    <s v="1/5/2023"/>
    <s v="50mg"/>
    <s v="Dizziness"/>
    <s v="TR0187"/>
    <s v="50mg"/>
    <x v="2"/>
    <x v="4"/>
    <x v="104"/>
    <n v="0"/>
    <x v="1"/>
    <x v="1"/>
    <n v="4.3499999999999996"/>
    <n v="2.12"/>
    <x v="45"/>
    <n v="18.5"/>
    <x v="142"/>
    <x v="3"/>
    <n v="50"/>
    <x v="2"/>
  </r>
  <r>
    <s v="P337"/>
    <n v="68"/>
    <x v="2"/>
    <x v="0"/>
    <s v="Asthma"/>
    <s v="EGFR Mutation"/>
    <s v="T003"/>
    <x v="3"/>
    <x v="1"/>
    <s v="7/19/2019"/>
    <s v="3/19/2020"/>
    <s v="100mg"/>
    <s v="Not Reported, Dizziness"/>
    <s v="TR0131"/>
    <s v="100mg"/>
    <x v="2"/>
    <x v="0"/>
    <x v="10"/>
    <n v="0"/>
    <x v="3"/>
    <x v="1"/>
    <n v="2.2200000000000002"/>
    <n v="1.85"/>
    <x v="11"/>
    <n v="11.5"/>
    <x v="86"/>
    <x v="1"/>
    <n v="100"/>
    <x v="2"/>
  </r>
  <r>
    <s v="P338"/>
    <n v="72"/>
    <x v="2"/>
    <x v="4"/>
    <s v="Diabetes"/>
    <s v="TP53 Mutation"/>
    <s v="T001"/>
    <x v="2"/>
    <x v="3"/>
    <s v="8/22/2023"/>
    <s v="4/22/2024"/>
    <s v="150mg"/>
    <s v="Dizziness"/>
    <s v="TR0149"/>
    <s v="150mg"/>
    <x v="2"/>
    <x v="1"/>
    <x v="119"/>
    <n v="0"/>
    <x v="3"/>
    <x v="0"/>
    <n v="4.75"/>
    <n v="4.4800000000000004"/>
    <x v="61"/>
    <n v="20.2"/>
    <x v="104"/>
    <x v="2"/>
    <n v="150"/>
    <x v="2"/>
  </r>
  <r>
    <s v="P339"/>
    <n v="67"/>
    <x v="1"/>
    <x v="1"/>
    <s v="Hypertension"/>
    <s v="Not Reported"/>
    <s v="T007"/>
    <x v="3"/>
    <x v="2"/>
    <s v="5/23/2022"/>
    <s v="3/23/2023"/>
    <s v="200mg"/>
    <s v="Not Reported, Headache, Dizziness"/>
    <s v="TR0023"/>
    <s v="200mg"/>
    <x v="0"/>
    <x v="2"/>
    <x v="96"/>
    <n v="1"/>
    <x v="0"/>
    <x v="1"/>
    <n v="2.04"/>
    <n v="4.63"/>
    <x v="9"/>
    <n v="16.100000000000001"/>
    <x v="50"/>
    <x v="0"/>
    <n v="200"/>
    <x v="2"/>
  </r>
  <r>
    <s v="P340"/>
    <n v="44"/>
    <x v="2"/>
    <x v="3"/>
    <s v="Not Reported"/>
    <s v="BRCA2 Mutation"/>
    <s v="T016"/>
    <x v="1"/>
    <x v="1"/>
    <s v="12/14/2019"/>
    <s v="2/14/2021"/>
    <s v="200mg"/>
    <s v="Not Reported, Headache, Nausea"/>
    <s v="TR0046"/>
    <s v="200mg"/>
    <x v="1"/>
    <x v="1"/>
    <x v="2"/>
    <n v="0"/>
    <x v="0"/>
    <x v="1"/>
    <n v="2.79"/>
    <n v="2.84"/>
    <x v="67"/>
    <n v="15.8"/>
    <x v="65"/>
    <x v="0"/>
    <n v="200"/>
    <x v="3"/>
  </r>
  <r>
    <s v="P341"/>
    <n v="41"/>
    <x v="2"/>
    <x v="2"/>
    <s v="Asthma"/>
    <s v="Not Reported"/>
    <s v="T007"/>
    <x v="2"/>
    <x v="2"/>
    <s v="12/6/2019"/>
    <s v="6/6/2021"/>
    <s v="100mg"/>
    <s v="Headache, Dizziness"/>
    <s v="TR0161"/>
    <s v="100mg"/>
    <x v="2"/>
    <x v="3"/>
    <x v="41"/>
    <n v="0"/>
    <x v="3"/>
    <x v="1"/>
    <n v="4.91"/>
    <n v="1.44"/>
    <x v="62"/>
    <n v="6.8"/>
    <x v="100"/>
    <x v="1"/>
    <n v="100"/>
    <x v="3"/>
  </r>
  <r>
    <s v="P342"/>
    <n v="28"/>
    <x v="1"/>
    <x v="2"/>
    <s v="Not Reported"/>
    <s v="BRCA1 Mutation"/>
    <s v="T019"/>
    <x v="2"/>
    <x v="0"/>
    <s v="11/25/2022"/>
    <s v="6/25/2023"/>
    <s v="50mg"/>
    <s v="Not Reported"/>
    <s v="TR0193"/>
    <s v="50mg"/>
    <x v="0"/>
    <x v="2"/>
    <x v="85"/>
    <n v="1"/>
    <x v="3"/>
    <x v="0"/>
    <n v="4.67"/>
    <n v="2.12"/>
    <x v="77"/>
    <n v="11.3"/>
    <x v="143"/>
    <x v="3"/>
    <n v="50"/>
    <x v="0"/>
  </r>
  <r>
    <s v="P343"/>
    <n v="84"/>
    <x v="0"/>
    <x v="3"/>
    <s v="Heart Disease"/>
    <s v="Not Reported"/>
    <s v="T009"/>
    <x v="3"/>
    <x v="0"/>
    <s v="10/14/2021"/>
    <s v="9/14/2022"/>
    <s v="150mg"/>
    <s v="Not Reported, Dizziness, Nausea"/>
    <s v="TR0093"/>
    <s v="150mg"/>
    <x v="2"/>
    <x v="0"/>
    <x v="80"/>
    <n v="0"/>
    <x v="2"/>
    <x v="0"/>
    <n v="4.0199999999999996"/>
    <n v="4.22"/>
    <x v="47"/>
    <n v="23.3"/>
    <x v="33"/>
    <x v="2"/>
    <n v="150"/>
    <x v="2"/>
  </r>
  <r>
    <s v="P344"/>
    <n v="63"/>
    <x v="1"/>
    <x v="2"/>
    <s v="Hypertension"/>
    <s v="HER2 Mutation"/>
    <s v="T005"/>
    <x v="1"/>
    <x v="1"/>
    <s v="5/23/2023"/>
    <s v="11/23/2024"/>
    <s v="100mg"/>
    <s v="Headache, Dizziness"/>
    <s v="TR0132"/>
    <s v="100mg"/>
    <x v="1"/>
    <x v="1"/>
    <x v="75"/>
    <n v="0"/>
    <x v="4"/>
    <x v="0"/>
    <n v="2.2200000000000002"/>
    <n v="4.32"/>
    <x v="5"/>
    <n v="21.7"/>
    <x v="50"/>
    <x v="1"/>
    <n v="100"/>
    <x v="1"/>
  </r>
  <r>
    <s v="P345"/>
    <n v="64"/>
    <x v="0"/>
    <x v="0"/>
    <s v="Asthma"/>
    <s v="HER2 Mutation"/>
    <s v="T013"/>
    <x v="1"/>
    <x v="3"/>
    <s v="8/22/2022"/>
    <s v="1/22/2024"/>
    <s v="50mg"/>
    <s v="Headache, Not Reported, Dizziness"/>
    <s v="TR0050"/>
    <s v="50mg"/>
    <x v="2"/>
    <x v="1"/>
    <x v="45"/>
    <n v="0"/>
    <x v="2"/>
    <x v="0"/>
    <n v="3.81"/>
    <n v="3.16"/>
    <x v="75"/>
    <n v="10.4"/>
    <x v="94"/>
    <x v="3"/>
    <n v="50"/>
    <x v="1"/>
  </r>
  <r>
    <s v="P346"/>
    <n v="34"/>
    <x v="1"/>
    <x v="2"/>
    <s v="Not Reported"/>
    <s v="Not Reported"/>
    <s v="T018"/>
    <x v="3"/>
    <x v="2"/>
    <s v="2/16/2022"/>
    <s v="6/16/2023"/>
    <s v="100mg"/>
    <s v="Fatigue"/>
    <s v="TR0044"/>
    <s v="100mg"/>
    <x v="2"/>
    <x v="3"/>
    <x v="21"/>
    <n v="0"/>
    <x v="1"/>
    <x v="0"/>
    <n v="2.88"/>
    <n v="2.21"/>
    <x v="80"/>
    <n v="11.4"/>
    <x v="135"/>
    <x v="1"/>
    <n v="100"/>
    <x v="3"/>
  </r>
  <r>
    <s v="P347"/>
    <n v="38"/>
    <x v="1"/>
    <x v="3"/>
    <s v="Not Reported"/>
    <s v="TP53 Mutation"/>
    <s v="T016"/>
    <x v="1"/>
    <x v="2"/>
    <s v="11/24/2023"/>
    <s v="12/24/2024"/>
    <s v="50mg"/>
    <s v="Not Reported, Fatigue, Dizziness"/>
    <s v="TR0197"/>
    <s v="50mg"/>
    <x v="2"/>
    <x v="3"/>
    <x v="53"/>
    <n v="0"/>
    <x v="1"/>
    <x v="1"/>
    <n v="3.97"/>
    <n v="1.19"/>
    <x v="49"/>
    <n v="21.3"/>
    <x v="63"/>
    <x v="3"/>
    <n v="50"/>
    <x v="3"/>
  </r>
  <r>
    <s v="P348"/>
    <n v="73"/>
    <x v="0"/>
    <x v="4"/>
    <s v="Not Reported"/>
    <s v="BRCA1 Mutation"/>
    <s v="T004"/>
    <x v="1"/>
    <x v="3"/>
    <s v="4/24/2023"/>
    <s v="11/24/2023"/>
    <s v="150mg"/>
    <s v="Not Reported"/>
    <s v="TR0098"/>
    <s v="150mg"/>
    <x v="2"/>
    <x v="3"/>
    <x v="39"/>
    <n v="0"/>
    <x v="3"/>
    <x v="0"/>
    <n v="3.37"/>
    <n v="4.57"/>
    <x v="63"/>
    <n v="7.4"/>
    <x v="62"/>
    <x v="2"/>
    <n v="150"/>
    <x v="2"/>
  </r>
  <r>
    <s v="P349"/>
    <n v="67"/>
    <x v="1"/>
    <x v="0"/>
    <s v="Not Reported"/>
    <s v="Not Reported"/>
    <s v="T005"/>
    <x v="2"/>
    <x v="1"/>
    <s v="1/18/2022"/>
    <s v="2/18/2023"/>
    <s v="150mg"/>
    <s v="Not Reported"/>
    <s v="TR0057"/>
    <s v="150mg"/>
    <x v="1"/>
    <x v="0"/>
    <x v="114"/>
    <n v="0"/>
    <x v="2"/>
    <x v="1"/>
    <n v="4.18"/>
    <n v="1.1399999999999999"/>
    <x v="29"/>
    <n v="23.9"/>
    <x v="144"/>
    <x v="2"/>
    <n v="150"/>
    <x v="2"/>
  </r>
  <r>
    <s v="P350"/>
    <n v="36"/>
    <x v="2"/>
    <x v="2"/>
    <s v="Heart Disease"/>
    <s v="EGFR Mutation"/>
    <s v="T004"/>
    <x v="0"/>
    <x v="0"/>
    <s v="8/10/2020"/>
    <s v="1/10/2022"/>
    <s v="200mg"/>
    <s v="Not Reported"/>
    <s v="TR0040"/>
    <s v="200mg"/>
    <x v="2"/>
    <x v="1"/>
    <x v="42"/>
    <n v="0"/>
    <x v="3"/>
    <x v="0"/>
    <n v="3.09"/>
    <n v="1.25"/>
    <x v="48"/>
    <n v="16.8"/>
    <x v="22"/>
    <x v="0"/>
    <n v="200"/>
    <x v="3"/>
  </r>
  <r>
    <s v="P351"/>
    <n v="80"/>
    <x v="2"/>
    <x v="3"/>
    <s v="Not Reported"/>
    <s v="Not Reported"/>
    <s v="T006"/>
    <x v="1"/>
    <x v="0"/>
    <s v="7/22/2021"/>
    <s v="8/22/2022"/>
    <s v="150mg"/>
    <s v="Headache, Nausea"/>
    <s v="TR0136"/>
    <s v="150mg"/>
    <x v="2"/>
    <x v="4"/>
    <x v="36"/>
    <n v="0"/>
    <x v="0"/>
    <x v="1"/>
    <n v="1.38"/>
    <n v="4.6399999999999997"/>
    <x v="9"/>
    <n v="20.9"/>
    <x v="9"/>
    <x v="2"/>
    <n v="150"/>
    <x v="2"/>
  </r>
  <r>
    <s v="P352"/>
    <n v="30"/>
    <x v="0"/>
    <x v="0"/>
    <s v="Heart Disease"/>
    <s v="Not Reported"/>
    <s v="T002"/>
    <x v="0"/>
    <x v="0"/>
    <s v="10/5/2020"/>
    <s v="11/5/2021"/>
    <s v="200mg"/>
    <s v="Fatigue, Dizziness"/>
    <s v="TR0056"/>
    <s v="200mg"/>
    <x v="2"/>
    <x v="1"/>
    <x v="89"/>
    <n v="0"/>
    <x v="4"/>
    <x v="0"/>
    <n v="3.29"/>
    <n v="3.07"/>
    <x v="13"/>
    <n v="11.7"/>
    <x v="109"/>
    <x v="0"/>
    <n v="200"/>
    <x v="0"/>
  </r>
  <r>
    <s v="P353"/>
    <n v="36"/>
    <x v="1"/>
    <x v="3"/>
    <s v="Diabetes"/>
    <s v="Not Reported"/>
    <s v="T004"/>
    <x v="0"/>
    <x v="0"/>
    <s v="1/4/2020"/>
    <s v="3/4/2021"/>
    <s v="150mg"/>
    <s v="Headache, Fatigue, Not Reported"/>
    <s v="TR0185"/>
    <s v="150mg"/>
    <x v="1"/>
    <x v="1"/>
    <x v="92"/>
    <n v="0"/>
    <x v="3"/>
    <x v="0"/>
    <n v="4.0999999999999996"/>
    <n v="3.41"/>
    <x v="64"/>
    <n v="14"/>
    <x v="110"/>
    <x v="2"/>
    <n v="150"/>
    <x v="3"/>
  </r>
  <r>
    <s v="P354"/>
    <n v="68"/>
    <x v="1"/>
    <x v="0"/>
    <s v="Heart Disease"/>
    <s v="Not Reported"/>
    <s v="T013"/>
    <x v="1"/>
    <x v="0"/>
    <s v="5/21/2022"/>
    <s v="9/21/2023"/>
    <s v="200mg"/>
    <s v="Nausea, Dizziness"/>
    <s v="TR0030"/>
    <s v="200mg"/>
    <x v="0"/>
    <x v="3"/>
    <x v="104"/>
    <n v="1"/>
    <x v="2"/>
    <x v="0"/>
    <n v="3.53"/>
    <n v="3.37"/>
    <x v="70"/>
    <n v="10.3"/>
    <x v="142"/>
    <x v="0"/>
    <n v="200"/>
    <x v="2"/>
  </r>
  <r>
    <s v="P355"/>
    <n v="20"/>
    <x v="2"/>
    <x v="1"/>
    <s v="Heart Disease"/>
    <s v="BRCA1 Mutation"/>
    <s v="T019"/>
    <x v="2"/>
    <x v="0"/>
    <s v="11/23/2022"/>
    <s v="11/23/2023"/>
    <s v="150mg"/>
    <s v="Fatigue, Nausea, Dizziness"/>
    <s v="TR0017"/>
    <s v="150mg"/>
    <x v="2"/>
    <x v="2"/>
    <x v="9"/>
    <n v="0"/>
    <x v="1"/>
    <x v="0"/>
    <n v="1.42"/>
    <n v="2.54"/>
    <x v="16"/>
    <n v="17.7"/>
    <x v="145"/>
    <x v="2"/>
    <n v="150"/>
    <x v="0"/>
  </r>
  <r>
    <s v="P356"/>
    <n v="68"/>
    <x v="2"/>
    <x v="1"/>
    <s v="Heart Disease"/>
    <s v="EGFR Mutation"/>
    <s v="T019"/>
    <x v="1"/>
    <x v="2"/>
    <s v="3/28/2019"/>
    <s v="6/28/2020"/>
    <s v="100mg"/>
    <s v="Dizziness"/>
    <s v="TR0115"/>
    <s v="100mg"/>
    <x v="1"/>
    <x v="3"/>
    <x v="85"/>
    <n v="0"/>
    <x v="0"/>
    <x v="0"/>
    <n v="3.4"/>
    <n v="3.97"/>
    <x v="21"/>
    <n v="17.399999999999999"/>
    <x v="119"/>
    <x v="1"/>
    <n v="100"/>
    <x v="2"/>
  </r>
  <r>
    <s v="P357"/>
    <n v="38"/>
    <x v="0"/>
    <x v="1"/>
    <s v="Not Reported"/>
    <s v="Not Reported"/>
    <s v="T002"/>
    <x v="1"/>
    <x v="1"/>
    <s v="5/12/2023"/>
    <s v="7/12/2024"/>
    <s v="100mg"/>
    <s v="Nausea, Fatigue"/>
    <s v="TR0077"/>
    <s v="100mg"/>
    <x v="0"/>
    <x v="2"/>
    <x v="65"/>
    <n v="1"/>
    <x v="2"/>
    <x v="1"/>
    <n v="2.02"/>
    <n v="2.4500000000000002"/>
    <x v="72"/>
    <n v="6.8"/>
    <x v="39"/>
    <x v="1"/>
    <n v="100"/>
    <x v="3"/>
  </r>
  <r>
    <s v="P358"/>
    <n v="35"/>
    <x v="2"/>
    <x v="3"/>
    <s v="Not Reported"/>
    <s v="Not Reported"/>
    <s v="T012"/>
    <x v="2"/>
    <x v="1"/>
    <s v="4/2/2019"/>
    <s v="1/2/2020"/>
    <s v="100mg"/>
    <s v="Fatigue, Dizziness"/>
    <s v="TR0155"/>
    <s v="100mg"/>
    <x v="2"/>
    <x v="1"/>
    <x v="52"/>
    <n v="0"/>
    <x v="4"/>
    <x v="0"/>
    <n v="2.11"/>
    <n v="4.8899999999999997"/>
    <x v="30"/>
    <n v="14.7"/>
    <x v="112"/>
    <x v="1"/>
    <n v="100"/>
    <x v="3"/>
  </r>
  <r>
    <s v="P359"/>
    <n v="72"/>
    <x v="0"/>
    <x v="1"/>
    <s v="Not Reported"/>
    <s v="BRCA2 Mutation"/>
    <s v="T013"/>
    <x v="3"/>
    <x v="1"/>
    <s v="11/14/2021"/>
    <s v="4/14/2023"/>
    <s v="100mg"/>
    <s v="Fatigue, Nausea, Not Reported"/>
    <s v="TR0188"/>
    <s v="100mg"/>
    <x v="1"/>
    <x v="1"/>
    <x v="99"/>
    <n v="0"/>
    <x v="2"/>
    <x v="0"/>
    <n v="3.44"/>
    <n v="2.12"/>
    <x v="22"/>
    <n v="15.3"/>
    <x v="146"/>
    <x v="1"/>
    <n v="100"/>
    <x v="2"/>
  </r>
  <r>
    <s v="P360"/>
    <n v="71"/>
    <x v="0"/>
    <x v="0"/>
    <s v="Asthma"/>
    <s v="EGFR Mutation"/>
    <s v="T008"/>
    <x v="1"/>
    <x v="3"/>
    <s v="9/4/2019"/>
    <s v="1/4/2021"/>
    <s v="200mg"/>
    <s v="Not Reported"/>
    <s v="TR0164"/>
    <s v="200mg"/>
    <x v="0"/>
    <x v="4"/>
    <x v="111"/>
    <n v="1"/>
    <x v="4"/>
    <x v="0"/>
    <n v="1.03"/>
    <n v="1.88"/>
    <x v="11"/>
    <n v="7.9"/>
    <x v="147"/>
    <x v="0"/>
    <n v="200"/>
    <x v="2"/>
  </r>
  <r>
    <s v="P361"/>
    <n v="46"/>
    <x v="1"/>
    <x v="2"/>
    <s v="Hypertension"/>
    <s v="BRCA2 Mutation"/>
    <s v="T013"/>
    <x v="1"/>
    <x v="1"/>
    <s v="9/24/2020"/>
    <s v="7/24/2021"/>
    <s v="200mg"/>
    <s v="Dizziness"/>
    <s v="TR0090"/>
    <s v="200mg"/>
    <x v="2"/>
    <x v="2"/>
    <x v="36"/>
    <n v="0"/>
    <x v="2"/>
    <x v="1"/>
    <n v="4.21"/>
    <n v="3.29"/>
    <x v="21"/>
    <n v="11.3"/>
    <x v="29"/>
    <x v="0"/>
    <n v="200"/>
    <x v="3"/>
  </r>
  <r>
    <s v="P362"/>
    <n v="30"/>
    <x v="0"/>
    <x v="4"/>
    <s v="Not Reported"/>
    <s v="Not Reported"/>
    <s v="T013"/>
    <x v="2"/>
    <x v="3"/>
    <s v="9/20/2023"/>
    <s v="9/20/2024"/>
    <s v="200mg"/>
    <s v="Fatigue, Not Reported, Nausea"/>
    <s v="TR0176"/>
    <s v="200mg"/>
    <x v="2"/>
    <x v="1"/>
    <x v="132"/>
    <n v="0"/>
    <x v="0"/>
    <x v="1"/>
    <n v="2.59"/>
    <n v="1.35"/>
    <x v="35"/>
    <n v="8"/>
    <x v="11"/>
    <x v="0"/>
    <n v="200"/>
    <x v="0"/>
  </r>
  <r>
    <s v="P363"/>
    <n v="52"/>
    <x v="0"/>
    <x v="0"/>
    <s v="Diabetes"/>
    <s v="Not Reported"/>
    <s v="T014"/>
    <x v="3"/>
    <x v="2"/>
    <s v="6/26/2022"/>
    <s v="7/26/2023"/>
    <s v="150mg"/>
    <s v="Headache, Fatigue"/>
    <s v="TR0079"/>
    <s v="150mg"/>
    <x v="2"/>
    <x v="3"/>
    <x v="16"/>
    <n v="0"/>
    <x v="1"/>
    <x v="1"/>
    <n v="3.03"/>
    <n v="4.5"/>
    <x v="16"/>
    <n v="18.600000000000001"/>
    <x v="85"/>
    <x v="2"/>
    <n v="150"/>
    <x v="1"/>
  </r>
  <r>
    <s v="P364"/>
    <n v="29"/>
    <x v="2"/>
    <x v="2"/>
    <s v="Hypertension"/>
    <s v="Not Reported"/>
    <s v="T003"/>
    <x v="2"/>
    <x v="1"/>
    <s v="12/10/2019"/>
    <s v="2/10/2021"/>
    <s v="200mg"/>
    <s v="Headache"/>
    <s v="TR0174"/>
    <s v="200mg"/>
    <x v="2"/>
    <x v="1"/>
    <x v="11"/>
    <n v="0"/>
    <x v="1"/>
    <x v="0"/>
    <n v="1.53"/>
    <n v="2.1"/>
    <x v="14"/>
    <n v="13.6"/>
    <x v="28"/>
    <x v="0"/>
    <n v="200"/>
    <x v="0"/>
  </r>
  <r>
    <s v="P365"/>
    <n v="69"/>
    <x v="0"/>
    <x v="1"/>
    <s v="Diabetes"/>
    <s v="Not Reported"/>
    <s v="T001"/>
    <x v="3"/>
    <x v="3"/>
    <s v="12/22/2020"/>
    <s v="2/22/2022"/>
    <s v="50mg"/>
    <s v="Headache, Fatigue, Not Reported"/>
    <s v="TR0196"/>
    <s v="50mg"/>
    <x v="2"/>
    <x v="1"/>
    <x v="46"/>
    <n v="0"/>
    <x v="3"/>
    <x v="1"/>
    <n v="4.63"/>
    <n v="3.86"/>
    <x v="25"/>
    <n v="11.6"/>
    <x v="42"/>
    <x v="3"/>
    <n v="50"/>
    <x v="2"/>
  </r>
  <r>
    <s v="P366"/>
    <n v="35"/>
    <x v="2"/>
    <x v="0"/>
    <s v="Hypertension"/>
    <s v="HER2 Mutation"/>
    <s v="T006"/>
    <x v="0"/>
    <x v="1"/>
    <s v="11/8/2021"/>
    <s v="1/8/2023"/>
    <s v="50mg"/>
    <s v="Not Reported, Headache"/>
    <s v="TR0076"/>
    <s v="50mg"/>
    <x v="1"/>
    <x v="1"/>
    <x v="75"/>
    <n v="0"/>
    <x v="2"/>
    <x v="1"/>
    <n v="4.82"/>
    <n v="4.28"/>
    <x v="85"/>
    <n v="17.5"/>
    <x v="139"/>
    <x v="3"/>
    <n v="50"/>
    <x v="3"/>
  </r>
  <r>
    <s v="P367"/>
    <n v="45"/>
    <x v="1"/>
    <x v="1"/>
    <s v="Hypertension"/>
    <s v="Not Reported"/>
    <s v="T020"/>
    <x v="3"/>
    <x v="1"/>
    <s v="1/20/2021"/>
    <s v="2/20/2022"/>
    <s v="150mg"/>
    <s v="Not Reported, Nausea"/>
    <s v="TR0002"/>
    <s v="150mg"/>
    <x v="1"/>
    <x v="1"/>
    <x v="58"/>
    <n v="0"/>
    <x v="4"/>
    <x v="0"/>
    <n v="2.0299999999999998"/>
    <n v="1.24"/>
    <x v="80"/>
    <n v="18.399999999999999"/>
    <x v="50"/>
    <x v="2"/>
    <n v="150"/>
    <x v="3"/>
  </r>
  <r>
    <s v="P368"/>
    <n v="30"/>
    <x v="1"/>
    <x v="3"/>
    <s v="Diabetes"/>
    <s v="EGFR Mutation"/>
    <s v="T005"/>
    <x v="3"/>
    <x v="1"/>
    <s v="1/5/2022"/>
    <s v="7/5/2023"/>
    <s v="150mg"/>
    <s v="Headache"/>
    <s v="TR0102"/>
    <s v="150mg"/>
    <x v="1"/>
    <x v="4"/>
    <x v="136"/>
    <n v="0"/>
    <x v="1"/>
    <x v="0"/>
    <n v="2.54"/>
    <n v="2.82"/>
    <x v="18"/>
    <n v="8.1999999999999993"/>
    <x v="69"/>
    <x v="2"/>
    <n v="150"/>
    <x v="0"/>
  </r>
  <r>
    <s v="P369"/>
    <n v="52"/>
    <x v="0"/>
    <x v="3"/>
    <s v="Asthma"/>
    <s v="TP53 Mutation"/>
    <s v="T014"/>
    <x v="1"/>
    <x v="3"/>
    <s v="2/7/2020"/>
    <s v="12/7/2020"/>
    <s v="50mg"/>
    <s v="Headache"/>
    <s v="TR0108"/>
    <s v="50mg"/>
    <x v="2"/>
    <x v="4"/>
    <x v="92"/>
    <n v="0"/>
    <x v="0"/>
    <x v="0"/>
    <n v="4"/>
    <n v="1.28"/>
    <x v="27"/>
    <n v="12.4"/>
    <x v="128"/>
    <x v="3"/>
    <n v="50"/>
    <x v="1"/>
  </r>
  <r>
    <s v="P370"/>
    <n v="79"/>
    <x v="2"/>
    <x v="0"/>
    <s v="Hypertension"/>
    <s v="EGFR Mutation"/>
    <s v="T016"/>
    <x v="2"/>
    <x v="3"/>
    <s v="9/24/2022"/>
    <s v="2/24/2024"/>
    <s v="200mg"/>
    <s v="Nausea"/>
    <s v="TR0028"/>
    <s v="200mg"/>
    <x v="0"/>
    <x v="1"/>
    <x v="126"/>
    <n v="1"/>
    <x v="4"/>
    <x v="0"/>
    <n v="3.67"/>
    <n v="3.71"/>
    <x v="18"/>
    <n v="16.7"/>
    <x v="94"/>
    <x v="0"/>
    <n v="200"/>
    <x v="2"/>
  </r>
  <r>
    <s v="P371"/>
    <n v="48"/>
    <x v="0"/>
    <x v="0"/>
    <s v="Asthma"/>
    <s v="Not Reported"/>
    <s v="T001"/>
    <x v="3"/>
    <x v="0"/>
    <s v="5/16/2021"/>
    <s v="12/16/2021"/>
    <s v="200mg"/>
    <s v="Dizziness"/>
    <s v="TR0040"/>
    <s v="200mg"/>
    <x v="2"/>
    <x v="2"/>
    <x v="9"/>
    <n v="0"/>
    <x v="0"/>
    <x v="1"/>
    <n v="3.54"/>
    <n v="4.6500000000000004"/>
    <x v="25"/>
    <n v="21.7"/>
    <x v="1"/>
    <x v="0"/>
    <n v="200"/>
    <x v="3"/>
  </r>
  <r>
    <s v="P372"/>
    <n v="32"/>
    <x v="1"/>
    <x v="4"/>
    <s v="Asthma"/>
    <s v="BRCA1 Mutation"/>
    <s v="T017"/>
    <x v="2"/>
    <x v="2"/>
    <s v="11/21/2023"/>
    <s v="7/21/2024"/>
    <s v="100mg"/>
    <s v="Fatigue"/>
    <s v="TR0103"/>
    <s v="100mg"/>
    <x v="0"/>
    <x v="4"/>
    <x v="134"/>
    <n v="1"/>
    <x v="0"/>
    <x v="1"/>
    <n v="1.48"/>
    <n v="4.6100000000000003"/>
    <x v="32"/>
    <n v="15.6"/>
    <x v="39"/>
    <x v="1"/>
    <n v="100"/>
    <x v="3"/>
  </r>
  <r>
    <s v="P373"/>
    <n v="20"/>
    <x v="2"/>
    <x v="4"/>
    <s v="Hypertension"/>
    <s v="Not Reported"/>
    <s v="T013"/>
    <x v="3"/>
    <x v="3"/>
    <s v="4/11/2020"/>
    <s v="4/11/2021"/>
    <s v="200mg"/>
    <s v="Dizziness"/>
    <s v="TR0110"/>
    <s v="200mg"/>
    <x v="2"/>
    <x v="3"/>
    <x v="137"/>
    <n v="0"/>
    <x v="3"/>
    <x v="1"/>
    <n v="1.05"/>
    <n v="2.69"/>
    <x v="54"/>
    <n v="14.7"/>
    <x v="34"/>
    <x v="0"/>
    <n v="200"/>
    <x v="0"/>
  </r>
  <r>
    <s v="P374"/>
    <n v="64"/>
    <x v="1"/>
    <x v="0"/>
    <s v="Asthma"/>
    <s v="BRCA1 Mutation"/>
    <s v="T006"/>
    <x v="1"/>
    <x v="1"/>
    <s v="11/24/2019"/>
    <s v="10/24/2020"/>
    <s v="100mg"/>
    <s v="Headache, Not Reported"/>
    <s v="TR0156"/>
    <s v="100mg"/>
    <x v="0"/>
    <x v="0"/>
    <x v="9"/>
    <n v="1"/>
    <x v="4"/>
    <x v="1"/>
    <n v="1.17"/>
    <n v="1.49"/>
    <x v="10"/>
    <n v="12.2"/>
    <x v="33"/>
    <x v="1"/>
    <n v="100"/>
    <x v="1"/>
  </r>
  <r>
    <s v="P375"/>
    <n v="64"/>
    <x v="1"/>
    <x v="0"/>
    <s v="Hypertension"/>
    <s v="BRCA1 Mutation"/>
    <s v="T018"/>
    <x v="2"/>
    <x v="3"/>
    <s v="12/26/2021"/>
    <s v="11/26/2022"/>
    <s v="150mg"/>
    <s v="Not Reported"/>
    <s v="TR0054"/>
    <s v="150mg"/>
    <x v="2"/>
    <x v="0"/>
    <x v="112"/>
    <n v="0"/>
    <x v="3"/>
    <x v="0"/>
    <n v="3.61"/>
    <n v="4.38"/>
    <x v="86"/>
    <n v="13.7"/>
    <x v="63"/>
    <x v="2"/>
    <n v="150"/>
    <x v="1"/>
  </r>
  <r>
    <s v="P376"/>
    <n v="33"/>
    <x v="0"/>
    <x v="1"/>
    <s v="Diabetes"/>
    <s v="HER2 Mutation"/>
    <s v="T004"/>
    <x v="1"/>
    <x v="3"/>
    <s v="12/16/2021"/>
    <s v="6/16/2023"/>
    <s v="100mg"/>
    <s v="Fatigue, Nausea, Headache"/>
    <s v="TR0050"/>
    <s v="100mg"/>
    <x v="1"/>
    <x v="2"/>
    <x v="86"/>
    <n v="0"/>
    <x v="2"/>
    <x v="1"/>
    <n v="2.1"/>
    <n v="2.23"/>
    <x v="76"/>
    <n v="14"/>
    <x v="43"/>
    <x v="1"/>
    <n v="100"/>
    <x v="3"/>
  </r>
  <r>
    <s v="P377"/>
    <n v="64"/>
    <x v="1"/>
    <x v="2"/>
    <s v="Asthma"/>
    <s v="HER2 Mutation"/>
    <s v="T017"/>
    <x v="1"/>
    <x v="2"/>
    <s v="5/23/2023"/>
    <s v="1/23/2024"/>
    <s v="150mg"/>
    <s v="Dizziness"/>
    <s v="TR0016"/>
    <s v="150mg"/>
    <x v="2"/>
    <x v="1"/>
    <x v="19"/>
    <n v="0"/>
    <x v="1"/>
    <x v="0"/>
    <n v="4.29"/>
    <n v="4.43"/>
    <x v="52"/>
    <n v="13.8"/>
    <x v="81"/>
    <x v="2"/>
    <n v="150"/>
    <x v="1"/>
  </r>
  <r>
    <s v="P378"/>
    <n v="39"/>
    <x v="1"/>
    <x v="1"/>
    <s v="Asthma"/>
    <s v="Not Reported"/>
    <s v="T013"/>
    <x v="3"/>
    <x v="3"/>
    <s v="3/1/2020"/>
    <s v="11/1/2020"/>
    <s v="100mg"/>
    <s v="Nausea, Headache, Not Reported"/>
    <s v="TR0182"/>
    <s v="100mg"/>
    <x v="2"/>
    <x v="2"/>
    <x v="40"/>
    <n v="0"/>
    <x v="4"/>
    <x v="0"/>
    <n v="3.33"/>
    <n v="2.48"/>
    <x v="80"/>
    <n v="18.7"/>
    <x v="17"/>
    <x v="1"/>
    <n v="100"/>
    <x v="3"/>
  </r>
  <r>
    <s v="P379"/>
    <n v="55"/>
    <x v="2"/>
    <x v="0"/>
    <s v="Heart Disease"/>
    <s v="BRCA2 Mutation"/>
    <s v="T002"/>
    <x v="2"/>
    <x v="3"/>
    <s v="11/5/2019"/>
    <s v="9/5/2020"/>
    <s v="100mg"/>
    <s v="Nausea, Fatigue"/>
    <s v="TR0054"/>
    <s v="100mg"/>
    <x v="2"/>
    <x v="3"/>
    <x v="75"/>
    <n v="0"/>
    <x v="4"/>
    <x v="1"/>
    <n v="2.5"/>
    <n v="1.67"/>
    <x v="13"/>
    <n v="8.6"/>
    <x v="82"/>
    <x v="1"/>
    <n v="100"/>
    <x v="1"/>
  </r>
  <r>
    <s v="P380"/>
    <n v="59"/>
    <x v="0"/>
    <x v="1"/>
    <s v="Not Reported"/>
    <s v="Not Reported"/>
    <s v="T014"/>
    <x v="0"/>
    <x v="3"/>
    <s v="11/27/2019"/>
    <s v="5/27/2020"/>
    <s v="150mg"/>
    <s v="Not Reported"/>
    <s v="TR0046"/>
    <s v="150mg"/>
    <x v="1"/>
    <x v="3"/>
    <x v="105"/>
    <n v="0"/>
    <x v="2"/>
    <x v="0"/>
    <n v="2.38"/>
    <n v="1.62"/>
    <x v="47"/>
    <n v="17.600000000000001"/>
    <x v="13"/>
    <x v="2"/>
    <n v="150"/>
    <x v="1"/>
  </r>
  <r>
    <s v="P381"/>
    <n v="66"/>
    <x v="2"/>
    <x v="0"/>
    <s v="Heart Disease"/>
    <s v="Not Reported"/>
    <s v="T015"/>
    <x v="2"/>
    <x v="3"/>
    <s v="4/19/2021"/>
    <s v="8/19/2022"/>
    <s v="200mg"/>
    <s v="Headache"/>
    <s v="TR0060"/>
    <s v="200mg"/>
    <x v="2"/>
    <x v="0"/>
    <x v="10"/>
    <n v="0"/>
    <x v="0"/>
    <x v="1"/>
    <n v="2.36"/>
    <n v="1.29"/>
    <x v="68"/>
    <n v="11.6"/>
    <x v="134"/>
    <x v="0"/>
    <n v="200"/>
    <x v="2"/>
  </r>
  <r>
    <s v="P382"/>
    <n v="29"/>
    <x v="1"/>
    <x v="4"/>
    <s v="Asthma"/>
    <s v="BRCA2 Mutation"/>
    <s v="T007"/>
    <x v="3"/>
    <x v="2"/>
    <s v="1/10/2021"/>
    <s v="9/10/2021"/>
    <s v="100mg"/>
    <s v="Dizziness, Fatigue"/>
    <s v="TR0018"/>
    <s v="100mg"/>
    <x v="0"/>
    <x v="3"/>
    <x v="33"/>
    <n v="1"/>
    <x v="0"/>
    <x v="1"/>
    <n v="3.42"/>
    <n v="2.46"/>
    <x v="66"/>
    <n v="23.8"/>
    <x v="54"/>
    <x v="1"/>
    <n v="100"/>
    <x v="0"/>
  </r>
  <r>
    <s v="P383"/>
    <n v="69"/>
    <x v="0"/>
    <x v="1"/>
    <s v="Diabetes"/>
    <s v="Not Reported"/>
    <s v="T001"/>
    <x v="1"/>
    <x v="0"/>
    <s v="1/4/2022"/>
    <s v="7/4/2022"/>
    <s v="50mg"/>
    <s v="Fatigue"/>
    <s v="TR0198"/>
    <s v="50mg"/>
    <x v="0"/>
    <x v="4"/>
    <x v="138"/>
    <n v="1"/>
    <x v="2"/>
    <x v="0"/>
    <n v="3.75"/>
    <n v="1.56"/>
    <x v="16"/>
    <n v="6.5"/>
    <x v="148"/>
    <x v="3"/>
    <n v="50"/>
    <x v="2"/>
  </r>
  <r>
    <s v="P384"/>
    <n v="19"/>
    <x v="0"/>
    <x v="1"/>
    <s v="Not Reported"/>
    <s v="Not Reported"/>
    <s v="T003"/>
    <x v="2"/>
    <x v="2"/>
    <s v="10/15/2022"/>
    <s v="6/15/2023"/>
    <s v="150mg"/>
    <s v="Headache, Fatigue"/>
    <s v="TR0063"/>
    <s v="150mg"/>
    <x v="0"/>
    <x v="2"/>
    <x v="139"/>
    <n v="1"/>
    <x v="2"/>
    <x v="0"/>
    <n v="4.8600000000000003"/>
    <n v="2.54"/>
    <x v="53"/>
    <n v="6.6"/>
    <x v="149"/>
    <x v="2"/>
    <n v="150"/>
    <x v="0"/>
  </r>
  <r>
    <s v="P385"/>
    <n v="20"/>
    <x v="0"/>
    <x v="2"/>
    <s v="Heart Disease"/>
    <s v="EGFR Mutation"/>
    <s v="T014"/>
    <x v="2"/>
    <x v="1"/>
    <s v="1/8/2020"/>
    <s v="1/8/2021"/>
    <s v="200mg"/>
    <s v="Not Reported"/>
    <s v="TR0168"/>
    <s v="200mg"/>
    <x v="1"/>
    <x v="1"/>
    <x v="140"/>
    <n v="0"/>
    <x v="3"/>
    <x v="1"/>
    <n v="1.64"/>
    <n v="1.0900000000000001"/>
    <x v="65"/>
    <n v="14.3"/>
    <x v="71"/>
    <x v="0"/>
    <n v="200"/>
    <x v="0"/>
  </r>
  <r>
    <s v="P386"/>
    <n v="39"/>
    <x v="0"/>
    <x v="4"/>
    <s v="Hypertension"/>
    <s v="Not Reported"/>
    <s v="T010"/>
    <x v="0"/>
    <x v="1"/>
    <s v="6/4/2023"/>
    <s v="5/4/2024"/>
    <s v="50mg"/>
    <s v="Dizziness"/>
    <s v="TR0039"/>
    <s v="50mg"/>
    <x v="0"/>
    <x v="0"/>
    <x v="141"/>
    <n v="1"/>
    <x v="4"/>
    <x v="0"/>
    <n v="4.5999999999999996"/>
    <n v="1.46"/>
    <x v="78"/>
    <n v="11.7"/>
    <x v="82"/>
    <x v="3"/>
    <n v="50"/>
    <x v="3"/>
  </r>
  <r>
    <s v="P387"/>
    <n v="72"/>
    <x v="0"/>
    <x v="0"/>
    <s v="Heart Disease"/>
    <s v="Not Reported"/>
    <s v="T012"/>
    <x v="1"/>
    <x v="3"/>
    <s v="11/12/2022"/>
    <s v="9/12/2023"/>
    <s v="50mg"/>
    <s v="Fatigue"/>
    <s v="TR0200"/>
    <s v="50mg"/>
    <x v="2"/>
    <x v="1"/>
    <x v="23"/>
    <n v="0"/>
    <x v="0"/>
    <x v="1"/>
    <n v="3.41"/>
    <n v="4.3099999999999996"/>
    <x v="51"/>
    <n v="11.2"/>
    <x v="150"/>
    <x v="3"/>
    <n v="50"/>
    <x v="2"/>
  </r>
  <r>
    <s v="P388"/>
    <n v="75"/>
    <x v="2"/>
    <x v="3"/>
    <s v="Hypertension"/>
    <s v="HER2 Mutation"/>
    <s v="T009"/>
    <x v="2"/>
    <x v="1"/>
    <s v="3/6/2021"/>
    <s v="9/6/2022"/>
    <s v="200mg"/>
    <s v="Not Reported, Headache"/>
    <s v="TR0109"/>
    <s v="200mg"/>
    <x v="1"/>
    <x v="0"/>
    <x v="111"/>
    <n v="0"/>
    <x v="0"/>
    <x v="0"/>
    <n v="2.56"/>
    <n v="2.54"/>
    <x v="42"/>
    <n v="15.7"/>
    <x v="3"/>
    <x v="0"/>
    <n v="200"/>
    <x v="2"/>
  </r>
  <r>
    <s v="P389"/>
    <n v="67"/>
    <x v="1"/>
    <x v="1"/>
    <s v="Asthma"/>
    <s v="Not Reported"/>
    <s v="T016"/>
    <x v="2"/>
    <x v="0"/>
    <s v="10/23/2019"/>
    <s v="10/23/2020"/>
    <s v="100mg"/>
    <s v="Nausea, Fatigue, Headache"/>
    <s v="TR0001"/>
    <s v="100mg"/>
    <x v="0"/>
    <x v="3"/>
    <x v="115"/>
    <n v="1"/>
    <x v="2"/>
    <x v="1"/>
    <n v="3.21"/>
    <n v="3.17"/>
    <x v="61"/>
    <n v="21"/>
    <x v="123"/>
    <x v="1"/>
    <n v="100"/>
    <x v="2"/>
  </r>
  <r>
    <s v="P390"/>
    <n v="35"/>
    <x v="0"/>
    <x v="2"/>
    <s v="Not Reported"/>
    <s v="BRCA2 Mutation"/>
    <s v="T010"/>
    <x v="3"/>
    <x v="2"/>
    <s v="7/8/2023"/>
    <s v="4/8/2024"/>
    <s v="100mg"/>
    <s v="Fatigue"/>
    <s v="TR0031"/>
    <s v="100mg"/>
    <x v="2"/>
    <x v="1"/>
    <x v="80"/>
    <n v="0"/>
    <x v="3"/>
    <x v="1"/>
    <n v="2.21"/>
    <n v="2.04"/>
    <x v="81"/>
    <n v="7"/>
    <x v="147"/>
    <x v="1"/>
    <n v="100"/>
    <x v="3"/>
  </r>
  <r>
    <s v="P391"/>
    <n v="65"/>
    <x v="0"/>
    <x v="2"/>
    <s v="Heart Disease"/>
    <s v="EGFR Mutation"/>
    <s v="T006"/>
    <x v="1"/>
    <x v="2"/>
    <s v="3/3/2021"/>
    <s v="12/3/2021"/>
    <s v="50mg"/>
    <s v="Dizziness"/>
    <s v="TR0107"/>
    <s v="50mg"/>
    <x v="0"/>
    <x v="1"/>
    <x v="124"/>
    <n v="1"/>
    <x v="0"/>
    <x v="1"/>
    <n v="2.08"/>
    <n v="4.87"/>
    <x v="10"/>
    <n v="12.3"/>
    <x v="93"/>
    <x v="3"/>
    <n v="50"/>
    <x v="1"/>
  </r>
  <r>
    <s v="P392"/>
    <n v="78"/>
    <x v="1"/>
    <x v="0"/>
    <s v="Asthma"/>
    <s v="Not Reported"/>
    <s v="T001"/>
    <x v="0"/>
    <x v="1"/>
    <s v="1/21/2020"/>
    <s v="7/21/2020"/>
    <s v="100mg"/>
    <s v="Fatigue, Nausea, Dizziness"/>
    <s v="TR0109"/>
    <s v="100mg"/>
    <x v="2"/>
    <x v="0"/>
    <x v="142"/>
    <n v="0"/>
    <x v="4"/>
    <x v="1"/>
    <n v="1.56"/>
    <n v="2.78"/>
    <x v="35"/>
    <n v="14.8"/>
    <x v="59"/>
    <x v="1"/>
    <n v="100"/>
    <x v="2"/>
  </r>
  <r>
    <s v="P393"/>
    <n v="47"/>
    <x v="1"/>
    <x v="4"/>
    <s v="Not Reported"/>
    <s v="Not Reported"/>
    <s v="T017"/>
    <x v="3"/>
    <x v="2"/>
    <s v="7/20/2020"/>
    <s v="1/20/2021"/>
    <s v="100mg"/>
    <s v="Fatigue, Nausea"/>
    <s v="TR0178"/>
    <s v="100mg"/>
    <x v="1"/>
    <x v="0"/>
    <x v="70"/>
    <n v="0"/>
    <x v="1"/>
    <x v="1"/>
    <n v="4.9800000000000004"/>
    <n v="4.5199999999999996"/>
    <x v="35"/>
    <n v="16.2"/>
    <x v="38"/>
    <x v="1"/>
    <n v="100"/>
    <x v="3"/>
  </r>
  <r>
    <s v="P394"/>
    <n v="39"/>
    <x v="0"/>
    <x v="0"/>
    <s v="Asthma"/>
    <s v="BRCA1 Mutation"/>
    <s v="T004"/>
    <x v="1"/>
    <x v="3"/>
    <s v="6/1/2023"/>
    <s v="3/1/2024"/>
    <s v="150mg"/>
    <s v="Dizziness"/>
    <s v="TR0028"/>
    <s v="150mg"/>
    <x v="0"/>
    <x v="1"/>
    <x v="89"/>
    <n v="1"/>
    <x v="4"/>
    <x v="0"/>
    <n v="1.81"/>
    <n v="2.58"/>
    <x v="53"/>
    <n v="14.6"/>
    <x v="89"/>
    <x v="2"/>
    <n v="150"/>
    <x v="3"/>
  </r>
  <r>
    <s v="P395"/>
    <n v="43"/>
    <x v="2"/>
    <x v="2"/>
    <s v="Diabetes"/>
    <s v="EGFR Mutation"/>
    <s v="T019"/>
    <x v="1"/>
    <x v="0"/>
    <s v="1/11/2019"/>
    <s v="8/11/2019"/>
    <s v="150mg"/>
    <s v="Not Reported"/>
    <s v="TR0193"/>
    <s v="150mg"/>
    <x v="1"/>
    <x v="0"/>
    <x v="106"/>
    <n v="0"/>
    <x v="0"/>
    <x v="1"/>
    <n v="1.91"/>
    <n v="4.8600000000000003"/>
    <x v="52"/>
    <n v="19"/>
    <x v="53"/>
    <x v="2"/>
    <n v="150"/>
    <x v="3"/>
  </r>
  <r>
    <s v="P396"/>
    <n v="68"/>
    <x v="2"/>
    <x v="0"/>
    <s v="Diabetes"/>
    <s v="Not Reported"/>
    <s v="T004"/>
    <x v="0"/>
    <x v="0"/>
    <s v="2/17/2023"/>
    <s v="8/17/2024"/>
    <s v="100mg"/>
    <s v="Dizziness"/>
    <s v="TR0098"/>
    <s v="100mg"/>
    <x v="1"/>
    <x v="2"/>
    <x v="118"/>
    <n v="0"/>
    <x v="4"/>
    <x v="0"/>
    <n v="4.4800000000000004"/>
    <n v="1.52"/>
    <x v="76"/>
    <n v="8.1999999999999993"/>
    <x v="133"/>
    <x v="1"/>
    <n v="100"/>
    <x v="2"/>
  </r>
  <r>
    <s v="P397"/>
    <n v="37"/>
    <x v="2"/>
    <x v="3"/>
    <s v="Hypertension"/>
    <s v="Not Reported"/>
    <s v="T003"/>
    <x v="2"/>
    <x v="2"/>
    <s v="12/6/2020"/>
    <s v="2/6/2022"/>
    <s v="150mg"/>
    <s v="Fatigue, Not Reported"/>
    <s v="TR0075"/>
    <s v="150mg"/>
    <x v="1"/>
    <x v="2"/>
    <x v="143"/>
    <n v="0"/>
    <x v="3"/>
    <x v="1"/>
    <n v="2.1"/>
    <n v="4.51"/>
    <x v="50"/>
    <n v="8.6999999999999993"/>
    <x v="151"/>
    <x v="2"/>
    <n v="150"/>
    <x v="3"/>
  </r>
  <r>
    <s v="P398"/>
    <n v="48"/>
    <x v="0"/>
    <x v="1"/>
    <s v="Heart Disease"/>
    <s v="BRCA2 Mutation"/>
    <s v="T019"/>
    <x v="3"/>
    <x v="1"/>
    <s v="3/25/2019"/>
    <s v="1/25/2020"/>
    <s v="50mg"/>
    <s v="Nausea, Headache"/>
    <s v="TR0081"/>
    <s v="50mg"/>
    <x v="0"/>
    <x v="4"/>
    <x v="144"/>
    <n v="1"/>
    <x v="3"/>
    <x v="1"/>
    <n v="4.92"/>
    <n v="2.93"/>
    <x v="67"/>
    <n v="16.600000000000001"/>
    <x v="21"/>
    <x v="3"/>
    <n v="50"/>
    <x v="3"/>
  </r>
  <r>
    <s v="P399"/>
    <n v="64"/>
    <x v="1"/>
    <x v="2"/>
    <s v="Hypertension"/>
    <s v="HER2 Mutation"/>
    <s v="T009"/>
    <x v="3"/>
    <x v="3"/>
    <s v="11/5/2022"/>
    <s v="6/5/2023"/>
    <s v="200mg"/>
    <s v="Not Reported"/>
    <s v="TR0074"/>
    <s v="200mg"/>
    <x v="1"/>
    <x v="0"/>
    <x v="37"/>
    <n v="0"/>
    <x v="1"/>
    <x v="1"/>
    <n v="2.14"/>
    <n v="1.81"/>
    <x v="61"/>
    <n v="13"/>
    <x v="142"/>
    <x v="0"/>
    <n v="200"/>
    <x v="1"/>
  </r>
  <r>
    <s v="P400"/>
    <n v="83"/>
    <x v="2"/>
    <x v="0"/>
    <s v="Not Reported"/>
    <s v="HER2 Mutation"/>
    <s v="T017"/>
    <x v="3"/>
    <x v="3"/>
    <s v="10/21/2019"/>
    <s v="4/21/2020"/>
    <s v="100mg"/>
    <s v="Dizziness, Nausea, Headache"/>
    <s v="TR0027"/>
    <s v="100mg"/>
    <x v="1"/>
    <x v="0"/>
    <x v="95"/>
    <n v="0"/>
    <x v="2"/>
    <x v="1"/>
    <n v="2.97"/>
    <n v="3.31"/>
    <x v="67"/>
    <n v="23.7"/>
    <x v="152"/>
    <x v="1"/>
    <n v="100"/>
    <x v="2"/>
  </r>
  <r>
    <s v="P401"/>
    <n v="27"/>
    <x v="0"/>
    <x v="3"/>
    <s v="Asthma"/>
    <s v="Not Reported"/>
    <s v="T012"/>
    <x v="3"/>
    <x v="0"/>
    <s v="8/4/2023"/>
    <s v="3/4/2024"/>
    <s v="100mg"/>
    <s v="Nausea, Headache, Fatigue"/>
    <s v="TR0052"/>
    <s v="100mg"/>
    <x v="1"/>
    <x v="4"/>
    <x v="31"/>
    <n v="0"/>
    <x v="4"/>
    <x v="1"/>
    <n v="4.3099999999999996"/>
    <n v="4.0599999999999996"/>
    <x v="29"/>
    <n v="23.2"/>
    <x v="153"/>
    <x v="1"/>
    <n v="100"/>
    <x v="0"/>
  </r>
  <r>
    <s v="P402"/>
    <n v="80"/>
    <x v="0"/>
    <x v="3"/>
    <s v="Hypertension"/>
    <s v="BRCA1 Mutation"/>
    <s v="T018"/>
    <x v="2"/>
    <x v="0"/>
    <s v="11/7/2020"/>
    <s v="10/7/2021"/>
    <s v="50mg"/>
    <s v="Headache, Nausea, Fatigue"/>
    <s v="TR0111"/>
    <s v="50mg"/>
    <x v="1"/>
    <x v="1"/>
    <x v="79"/>
    <n v="0"/>
    <x v="0"/>
    <x v="0"/>
    <n v="1.44"/>
    <n v="4.42"/>
    <x v="71"/>
    <n v="21.2"/>
    <x v="14"/>
    <x v="3"/>
    <n v="50"/>
    <x v="2"/>
  </r>
  <r>
    <s v="P403"/>
    <n v="72"/>
    <x v="1"/>
    <x v="0"/>
    <s v="Diabetes"/>
    <s v="BRCA1 Mutation"/>
    <s v="T009"/>
    <x v="3"/>
    <x v="1"/>
    <s v="12/15/2021"/>
    <s v="12/15/2022"/>
    <s v="100mg"/>
    <s v="Not Reported, Fatigue, Nausea"/>
    <s v="TR0024"/>
    <s v="100mg"/>
    <x v="1"/>
    <x v="4"/>
    <x v="109"/>
    <n v="0"/>
    <x v="0"/>
    <x v="0"/>
    <n v="1.25"/>
    <n v="4.53"/>
    <x v="71"/>
    <n v="15.2"/>
    <x v="55"/>
    <x v="1"/>
    <n v="100"/>
    <x v="2"/>
  </r>
  <r>
    <s v="P404"/>
    <n v="62"/>
    <x v="1"/>
    <x v="3"/>
    <s v="Asthma"/>
    <s v="Not Reported"/>
    <s v="T006"/>
    <x v="3"/>
    <x v="3"/>
    <s v="7/27/2023"/>
    <s v="1/27/2024"/>
    <s v="100mg"/>
    <s v="Dizziness"/>
    <s v="TR0158"/>
    <s v="100mg"/>
    <x v="0"/>
    <x v="4"/>
    <x v="23"/>
    <n v="1"/>
    <x v="3"/>
    <x v="0"/>
    <n v="4.71"/>
    <n v="1.08"/>
    <x v="72"/>
    <n v="18.399999999999999"/>
    <x v="1"/>
    <x v="1"/>
    <n v="100"/>
    <x v="1"/>
  </r>
  <r>
    <s v="P405"/>
    <n v="76"/>
    <x v="0"/>
    <x v="3"/>
    <s v="Not Reported"/>
    <s v="HER2 Mutation"/>
    <s v="T009"/>
    <x v="1"/>
    <x v="0"/>
    <s v="11/15/2020"/>
    <s v="3/15/2022"/>
    <s v="50mg"/>
    <s v="Fatigue"/>
    <s v="TR0191"/>
    <s v="50mg"/>
    <x v="0"/>
    <x v="0"/>
    <x v="145"/>
    <n v="1"/>
    <x v="0"/>
    <x v="1"/>
    <n v="3.77"/>
    <n v="1.54"/>
    <x v="54"/>
    <n v="12.5"/>
    <x v="76"/>
    <x v="3"/>
    <n v="50"/>
    <x v="2"/>
  </r>
  <r>
    <s v="P406"/>
    <n v="45"/>
    <x v="1"/>
    <x v="4"/>
    <s v="Diabetes"/>
    <s v="Not Reported"/>
    <s v="T019"/>
    <x v="1"/>
    <x v="3"/>
    <s v="1/10/2021"/>
    <s v="11/10/2021"/>
    <s v="50mg"/>
    <s v="Headache, Dizziness, Fatigue"/>
    <s v="TR0106"/>
    <s v="50mg"/>
    <x v="1"/>
    <x v="4"/>
    <x v="78"/>
    <n v="0"/>
    <x v="1"/>
    <x v="1"/>
    <n v="2.12"/>
    <n v="1.84"/>
    <x v="78"/>
    <n v="6.2"/>
    <x v="83"/>
    <x v="3"/>
    <n v="50"/>
    <x v="3"/>
  </r>
  <r>
    <s v="P407"/>
    <n v="32"/>
    <x v="0"/>
    <x v="3"/>
    <s v="Asthma"/>
    <s v="EGFR Mutation"/>
    <s v="T020"/>
    <x v="2"/>
    <x v="0"/>
    <s v="5/28/2022"/>
    <s v="9/28/2023"/>
    <s v="200mg"/>
    <s v="Not Reported, Nausea, Headache"/>
    <s v="TR0027"/>
    <s v="200mg"/>
    <x v="0"/>
    <x v="3"/>
    <x v="35"/>
    <n v="1"/>
    <x v="3"/>
    <x v="1"/>
    <n v="3.71"/>
    <n v="4.3099999999999996"/>
    <x v="54"/>
    <n v="6.3"/>
    <x v="70"/>
    <x v="0"/>
    <n v="200"/>
    <x v="3"/>
  </r>
  <r>
    <s v="P408"/>
    <n v="30"/>
    <x v="2"/>
    <x v="3"/>
    <s v="Heart Disease"/>
    <s v="Not Reported"/>
    <s v="T002"/>
    <x v="0"/>
    <x v="0"/>
    <s v="4/25/2020"/>
    <s v="5/25/2021"/>
    <s v="200mg"/>
    <s v="Fatigue"/>
    <s v="TR0121"/>
    <s v="200mg"/>
    <x v="0"/>
    <x v="4"/>
    <x v="66"/>
    <n v="1"/>
    <x v="1"/>
    <x v="1"/>
    <n v="4.34"/>
    <n v="3.96"/>
    <x v="43"/>
    <n v="19.600000000000001"/>
    <x v="6"/>
    <x v="0"/>
    <n v="200"/>
    <x v="0"/>
  </r>
  <r>
    <s v="P409"/>
    <n v="18"/>
    <x v="1"/>
    <x v="4"/>
    <s v="Heart Disease"/>
    <s v="TP53 Mutation"/>
    <s v="T010"/>
    <x v="3"/>
    <x v="2"/>
    <s v="7/2/2019"/>
    <s v="1/2/2020"/>
    <s v="50mg"/>
    <s v="Not Reported"/>
    <s v="TR0133"/>
    <s v="50mg"/>
    <x v="2"/>
    <x v="2"/>
    <x v="23"/>
    <n v="0"/>
    <x v="4"/>
    <x v="0"/>
    <n v="3.63"/>
    <n v="4.0599999999999996"/>
    <x v="59"/>
    <n v="17"/>
    <x v="64"/>
    <x v="3"/>
    <n v="50"/>
    <x v="0"/>
  </r>
  <r>
    <s v="P410"/>
    <n v="73"/>
    <x v="0"/>
    <x v="1"/>
    <s v="Asthma"/>
    <s v="HER2 Mutation"/>
    <s v="T002"/>
    <x v="3"/>
    <x v="2"/>
    <s v="12/6/2022"/>
    <s v="12/6/2023"/>
    <s v="150mg"/>
    <s v="Fatigue, Headache, Nausea"/>
    <s v="TR0026"/>
    <s v="150mg"/>
    <x v="2"/>
    <x v="1"/>
    <x v="3"/>
    <n v="0"/>
    <x v="3"/>
    <x v="1"/>
    <n v="2.95"/>
    <n v="1.31"/>
    <x v="68"/>
    <n v="13.3"/>
    <x v="32"/>
    <x v="2"/>
    <n v="150"/>
    <x v="2"/>
  </r>
  <r>
    <s v="P411"/>
    <n v="51"/>
    <x v="2"/>
    <x v="4"/>
    <s v="Not Reported"/>
    <s v="BRCA1 Mutation"/>
    <s v="T001"/>
    <x v="3"/>
    <x v="1"/>
    <s v="3/1/2023"/>
    <s v="6/1/2024"/>
    <s v="50mg"/>
    <s v="Headache, Nausea, Not Reported"/>
    <s v="TR0188"/>
    <s v="50mg"/>
    <x v="0"/>
    <x v="0"/>
    <x v="52"/>
    <n v="1"/>
    <x v="0"/>
    <x v="0"/>
    <n v="2.4"/>
    <n v="1.44"/>
    <x v="3"/>
    <n v="23.1"/>
    <x v="119"/>
    <x v="3"/>
    <n v="50"/>
    <x v="1"/>
  </r>
  <r>
    <s v="P412"/>
    <n v="46"/>
    <x v="1"/>
    <x v="4"/>
    <s v="Heart Disease"/>
    <s v="Not Reported"/>
    <s v="T013"/>
    <x v="0"/>
    <x v="1"/>
    <s v="2/5/2021"/>
    <s v="6/5/2022"/>
    <s v="50mg"/>
    <s v="Dizziness, Nausea, Headache"/>
    <s v="TR0118"/>
    <s v="50mg"/>
    <x v="2"/>
    <x v="3"/>
    <x v="21"/>
    <n v="0"/>
    <x v="0"/>
    <x v="1"/>
    <n v="4.82"/>
    <n v="3.09"/>
    <x v="54"/>
    <n v="7.4"/>
    <x v="23"/>
    <x v="3"/>
    <n v="50"/>
    <x v="3"/>
  </r>
  <r>
    <s v="P413"/>
    <n v="51"/>
    <x v="0"/>
    <x v="2"/>
    <s v="Hypertension"/>
    <s v="TP53 Mutation"/>
    <s v="T007"/>
    <x v="3"/>
    <x v="1"/>
    <s v="1/14/2022"/>
    <s v="8/14/2022"/>
    <s v="200mg"/>
    <s v="Nausea, Fatigue, Not Reported"/>
    <s v="TR0108"/>
    <s v="200mg"/>
    <x v="1"/>
    <x v="4"/>
    <x v="26"/>
    <n v="0"/>
    <x v="0"/>
    <x v="0"/>
    <n v="4.18"/>
    <n v="3.83"/>
    <x v="56"/>
    <n v="7.3"/>
    <x v="59"/>
    <x v="0"/>
    <n v="200"/>
    <x v="1"/>
  </r>
  <r>
    <s v="P414"/>
    <n v="56"/>
    <x v="0"/>
    <x v="4"/>
    <s v="Heart Disease"/>
    <s v="Not Reported"/>
    <s v="T002"/>
    <x v="1"/>
    <x v="3"/>
    <s v="8/20/2021"/>
    <s v="11/20/2022"/>
    <s v="50mg"/>
    <s v="Dizziness"/>
    <s v="TR0190"/>
    <s v="50mg"/>
    <x v="1"/>
    <x v="3"/>
    <x v="134"/>
    <n v="0"/>
    <x v="2"/>
    <x v="0"/>
    <n v="2.1800000000000002"/>
    <n v="1.93"/>
    <x v="5"/>
    <n v="20.5"/>
    <x v="29"/>
    <x v="3"/>
    <n v="50"/>
    <x v="1"/>
  </r>
  <r>
    <s v="P415"/>
    <n v="20"/>
    <x v="2"/>
    <x v="1"/>
    <s v="Diabetes"/>
    <s v="TP53 Mutation"/>
    <s v="T004"/>
    <x v="2"/>
    <x v="1"/>
    <s v="3/8/2021"/>
    <s v="10/8/2021"/>
    <s v="100mg"/>
    <s v="Not Reported, Headache"/>
    <s v="TR0052"/>
    <s v="100mg"/>
    <x v="0"/>
    <x v="4"/>
    <x v="142"/>
    <n v="1"/>
    <x v="4"/>
    <x v="1"/>
    <n v="2.62"/>
    <n v="4.62"/>
    <x v="60"/>
    <n v="14.6"/>
    <x v="61"/>
    <x v="1"/>
    <n v="100"/>
    <x v="0"/>
  </r>
  <r>
    <s v="P416"/>
    <n v="81"/>
    <x v="1"/>
    <x v="1"/>
    <s v="Asthma"/>
    <s v="Not Reported"/>
    <s v="T009"/>
    <x v="2"/>
    <x v="2"/>
    <s v="7/4/2021"/>
    <s v="10/4/2022"/>
    <s v="150mg"/>
    <s v="Fatigue"/>
    <s v="TR0185"/>
    <s v="150mg"/>
    <x v="1"/>
    <x v="0"/>
    <x v="101"/>
    <n v="0"/>
    <x v="1"/>
    <x v="1"/>
    <n v="3.56"/>
    <n v="4.92"/>
    <x v="80"/>
    <n v="12.4"/>
    <x v="129"/>
    <x v="2"/>
    <n v="150"/>
    <x v="2"/>
  </r>
  <r>
    <s v="P417"/>
    <n v="58"/>
    <x v="2"/>
    <x v="2"/>
    <s v="Heart Disease"/>
    <s v="BRCA2 Mutation"/>
    <s v="T019"/>
    <x v="0"/>
    <x v="3"/>
    <s v="8/6/2019"/>
    <s v="2/6/2020"/>
    <s v="150mg"/>
    <s v="Headache, Not Reported, Dizziness"/>
    <s v="TR0166"/>
    <s v="150mg"/>
    <x v="2"/>
    <x v="4"/>
    <x v="19"/>
    <n v="0"/>
    <x v="3"/>
    <x v="0"/>
    <n v="1.49"/>
    <n v="4.55"/>
    <x v="69"/>
    <n v="14.1"/>
    <x v="154"/>
    <x v="2"/>
    <n v="150"/>
    <x v="1"/>
  </r>
  <r>
    <s v="P418"/>
    <n v="41"/>
    <x v="1"/>
    <x v="3"/>
    <s v="Diabetes"/>
    <s v="BRCA1 Mutation"/>
    <s v="T007"/>
    <x v="0"/>
    <x v="3"/>
    <s v="6/4/2020"/>
    <s v="12/4/2020"/>
    <s v="150mg"/>
    <s v="Nausea, Not Reported, Dizziness"/>
    <s v="TR0120"/>
    <s v="150mg"/>
    <x v="2"/>
    <x v="4"/>
    <x v="44"/>
    <n v="0"/>
    <x v="2"/>
    <x v="0"/>
    <n v="3.5"/>
    <n v="1.29"/>
    <x v="23"/>
    <n v="10.4"/>
    <x v="97"/>
    <x v="2"/>
    <n v="150"/>
    <x v="3"/>
  </r>
  <r>
    <s v="P419"/>
    <n v="67"/>
    <x v="1"/>
    <x v="1"/>
    <s v="Diabetes"/>
    <s v="Not Reported"/>
    <s v="T004"/>
    <x v="0"/>
    <x v="1"/>
    <s v="11/14/2023"/>
    <s v="3/14/2025"/>
    <s v="200mg"/>
    <s v="Not Reported, Fatigue"/>
    <s v="TR0051"/>
    <s v="200mg"/>
    <x v="0"/>
    <x v="0"/>
    <x v="68"/>
    <n v="1"/>
    <x v="3"/>
    <x v="1"/>
    <n v="4.29"/>
    <n v="4.22"/>
    <x v="10"/>
    <n v="15.4"/>
    <x v="39"/>
    <x v="0"/>
    <n v="200"/>
    <x v="2"/>
  </r>
  <r>
    <s v="P420"/>
    <n v="71"/>
    <x v="0"/>
    <x v="2"/>
    <s v="Asthma"/>
    <s v="TP53 Mutation"/>
    <s v="T019"/>
    <x v="3"/>
    <x v="2"/>
    <s v="1/10/2023"/>
    <s v="7/10/2023"/>
    <s v="50mg"/>
    <s v="Not Reported, Fatigue"/>
    <s v="TR0104"/>
    <s v="50mg"/>
    <x v="0"/>
    <x v="2"/>
    <x v="141"/>
    <n v="1"/>
    <x v="3"/>
    <x v="1"/>
    <n v="4.0999999999999996"/>
    <n v="2.09"/>
    <x v="69"/>
    <n v="11.1"/>
    <x v="121"/>
    <x v="3"/>
    <n v="50"/>
    <x v="2"/>
  </r>
  <r>
    <s v="P421"/>
    <n v="20"/>
    <x v="0"/>
    <x v="3"/>
    <s v="Hypertension"/>
    <s v="Not Reported"/>
    <s v="T014"/>
    <x v="0"/>
    <x v="3"/>
    <s v="6/13/2021"/>
    <s v="1/13/2022"/>
    <s v="150mg"/>
    <s v="Dizziness, Nausea"/>
    <s v="TR0101"/>
    <s v="150mg"/>
    <x v="1"/>
    <x v="0"/>
    <x v="18"/>
    <n v="0"/>
    <x v="3"/>
    <x v="1"/>
    <n v="3.52"/>
    <n v="1.22"/>
    <x v="20"/>
    <n v="11.7"/>
    <x v="155"/>
    <x v="2"/>
    <n v="150"/>
    <x v="0"/>
  </r>
  <r>
    <s v="P422"/>
    <n v="31"/>
    <x v="0"/>
    <x v="4"/>
    <s v="Hypertension"/>
    <s v="Not Reported"/>
    <s v="T005"/>
    <x v="1"/>
    <x v="3"/>
    <s v="4/6/2022"/>
    <s v="11/6/2022"/>
    <s v="100mg"/>
    <s v="Not Reported, Nausea, Dizziness"/>
    <s v="TR0014"/>
    <s v="100mg"/>
    <x v="1"/>
    <x v="3"/>
    <x v="69"/>
    <n v="0"/>
    <x v="3"/>
    <x v="1"/>
    <n v="3.04"/>
    <n v="1.19"/>
    <x v="5"/>
    <n v="18.7"/>
    <x v="32"/>
    <x v="1"/>
    <n v="100"/>
    <x v="3"/>
  </r>
  <r>
    <s v="P423"/>
    <n v="27"/>
    <x v="1"/>
    <x v="0"/>
    <s v="Heart Disease"/>
    <s v="Not Reported"/>
    <s v="T013"/>
    <x v="0"/>
    <x v="2"/>
    <s v="10/15/2020"/>
    <s v="5/15/2021"/>
    <s v="100mg"/>
    <s v="Fatigue, Headache"/>
    <s v="TR0164"/>
    <s v="100mg"/>
    <x v="1"/>
    <x v="3"/>
    <x v="45"/>
    <n v="0"/>
    <x v="2"/>
    <x v="0"/>
    <n v="4.3600000000000003"/>
    <n v="1.02"/>
    <x v="7"/>
    <n v="19.3"/>
    <x v="81"/>
    <x v="1"/>
    <n v="100"/>
    <x v="0"/>
  </r>
  <r>
    <s v="P424"/>
    <n v="79"/>
    <x v="2"/>
    <x v="3"/>
    <s v="Not Reported"/>
    <s v="HER2 Mutation"/>
    <s v="T008"/>
    <x v="1"/>
    <x v="3"/>
    <s v="12/3/2021"/>
    <s v="11/3/2022"/>
    <s v="100mg"/>
    <s v="Fatigue, Nausea, Headache"/>
    <s v="TR0127"/>
    <s v="100mg"/>
    <x v="0"/>
    <x v="1"/>
    <x v="119"/>
    <n v="1"/>
    <x v="0"/>
    <x v="1"/>
    <n v="1.41"/>
    <n v="2.44"/>
    <x v="58"/>
    <n v="21.2"/>
    <x v="156"/>
    <x v="1"/>
    <n v="100"/>
    <x v="2"/>
  </r>
  <r>
    <s v="P425"/>
    <n v="67"/>
    <x v="0"/>
    <x v="3"/>
    <s v="Hypertension"/>
    <s v="EGFR Mutation"/>
    <s v="T017"/>
    <x v="0"/>
    <x v="3"/>
    <s v="11/5/2022"/>
    <s v="1/5/2024"/>
    <s v="50mg"/>
    <s v="Fatigue"/>
    <s v="TR0094"/>
    <s v="50mg"/>
    <x v="1"/>
    <x v="0"/>
    <x v="82"/>
    <n v="0"/>
    <x v="0"/>
    <x v="1"/>
    <n v="4.16"/>
    <n v="4.57"/>
    <x v="13"/>
    <n v="22.4"/>
    <x v="21"/>
    <x v="3"/>
    <n v="50"/>
    <x v="2"/>
  </r>
  <r>
    <s v="P426"/>
    <n v="42"/>
    <x v="0"/>
    <x v="0"/>
    <s v="Asthma"/>
    <s v="TP53 Mutation"/>
    <s v="T019"/>
    <x v="1"/>
    <x v="2"/>
    <s v="2/24/2022"/>
    <s v="9/24/2022"/>
    <s v="100mg"/>
    <s v="Headache"/>
    <s v="TR0048"/>
    <s v="100mg"/>
    <x v="1"/>
    <x v="3"/>
    <x v="62"/>
    <n v="0"/>
    <x v="2"/>
    <x v="1"/>
    <n v="4.8600000000000003"/>
    <n v="1.36"/>
    <x v="86"/>
    <n v="14.9"/>
    <x v="149"/>
    <x v="1"/>
    <n v="100"/>
    <x v="3"/>
  </r>
  <r>
    <s v="P427"/>
    <n v="63"/>
    <x v="1"/>
    <x v="2"/>
    <s v="Heart Disease"/>
    <s v="HER2 Mutation"/>
    <s v="T007"/>
    <x v="2"/>
    <x v="0"/>
    <s v="7/17/2023"/>
    <s v="6/17/2024"/>
    <s v="50mg"/>
    <s v="Not Reported, Dizziness"/>
    <s v="TR0026"/>
    <s v="50mg"/>
    <x v="0"/>
    <x v="0"/>
    <x v="6"/>
    <n v="1"/>
    <x v="0"/>
    <x v="1"/>
    <n v="3.53"/>
    <n v="3.82"/>
    <x v="85"/>
    <n v="9"/>
    <x v="97"/>
    <x v="3"/>
    <n v="50"/>
    <x v="1"/>
  </r>
  <r>
    <s v="P428"/>
    <n v="42"/>
    <x v="1"/>
    <x v="4"/>
    <s v="Heart Disease"/>
    <s v="EGFR Mutation"/>
    <s v="T016"/>
    <x v="3"/>
    <x v="1"/>
    <s v="11/8/2019"/>
    <s v="6/8/2020"/>
    <s v="100mg"/>
    <s v="Nausea"/>
    <s v="TR0010"/>
    <s v="100mg"/>
    <x v="2"/>
    <x v="4"/>
    <x v="25"/>
    <n v="0"/>
    <x v="3"/>
    <x v="0"/>
    <n v="3.67"/>
    <n v="4.8600000000000003"/>
    <x v="65"/>
    <n v="23.1"/>
    <x v="157"/>
    <x v="1"/>
    <n v="100"/>
    <x v="3"/>
  </r>
  <r>
    <s v="P429"/>
    <n v="53"/>
    <x v="0"/>
    <x v="1"/>
    <s v="Asthma"/>
    <s v="BRCA1 Mutation"/>
    <s v="T008"/>
    <x v="0"/>
    <x v="0"/>
    <s v="3/26/2020"/>
    <s v="12/26/2020"/>
    <s v="150mg"/>
    <s v="Not Reported, Dizziness, Headache"/>
    <s v="TR0001"/>
    <s v="150mg"/>
    <x v="0"/>
    <x v="1"/>
    <x v="106"/>
    <n v="1"/>
    <x v="2"/>
    <x v="1"/>
    <n v="2.19"/>
    <n v="1.42"/>
    <x v="73"/>
    <n v="17.600000000000001"/>
    <x v="2"/>
    <x v="2"/>
    <n v="150"/>
    <x v="1"/>
  </r>
  <r>
    <s v="P430"/>
    <n v="57"/>
    <x v="2"/>
    <x v="4"/>
    <s v="Diabetes"/>
    <s v="BRCA1 Mutation"/>
    <s v="T006"/>
    <x v="2"/>
    <x v="3"/>
    <s v="3/1/2022"/>
    <s v="7/1/2023"/>
    <s v="200mg"/>
    <s v="Not Reported, Nausea"/>
    <s v="TR0046"/>
    <s v="200mg"/>
    <x v="1"/>
    <x v="3"/>
    <x v="146"/>
    <n v="0"/>
    <x v="3"/>
    <x v="1"/>
    <n v="2.44"/>
    <n v="4.83"/>
    <x v="69"/>
    <n v="13.8"/>
    <x v="158"/>
    <x v="0"/>
    <n v="200"/>
    <x v="1"/>
  </r>
  <r>
    <s v="P431"/>
    <n v="78"/>
    <x v="2"/>
    <x v="2"/>
    <s v="Asthma"/>
    <s v="Not Reported"/>
    <s v="T016"/>
    <x v="1"/>
    <x v="1"/>
    <s v="10/22/2019"/>
    <s v="8/22/2020"/>
    <s v="100mg"/>
    <s v="Dizziness, Fatigue, Nausea"/>
    <s v="TR0199"/>
    <s v="100mg"/>
    <x v="0"/>
    <x v="3"/>
    <x v="137"/>
    <n v="1"/>
    <x v="4"/>
    <x v="1"/>
    <n v="1.84"/>
    <n v="2.4700000000000002"/>
    <x v="18"/>
    <n v="6.9"/>
    <x v="111"/>
    <x v="1"/>
    <n v="100"/>
    <x v="2"/>
  </r>
  <r>
    <s v="P432"/>
    <n v="80"/>
    <x v="2"/>
    <x v="0"/>
    <s v="Heart Disease"/>
    <s v="HER2 Mutation"/>
    <s v="T009"/>
    <x v="0"/>
    <x v="0"/>
    <s v="6/10/2019"/>
    <s v="11/10/2020"/>
    <s v="150mg"/>
    <s v="Dizziness, Headache, Nausea"/>
    <s v="TR0070"/>
    <s v="150mg"/>
    <x v="2"/>
    <x v="2"/>
    <x v="129"/>
    <n v="0"/>
    <x v="0"/>
    <x v="1"/>
    <n v="2.67"/>
    <n v="4.29"/>
    <x v="77"/>
    <n v="9.8000000000000007"/>
    <x v="103"/>
    <x v="2"/>
    <n v="150"/>
    <x v="2"/>
  </r>
  <r>
    <s v="P433"/>
    <n v="46"/>
    <x v="2"/>
    <x v="4"/>
    <s v="Not Reported"/>
    <s v="BRCA2 Mutation"/>
    <s v="T019"/>
    <x v="3"/>
    <x v="3"/>
    <s v="12/3/2020"/>
    <s v="9/3/2021"/>
    <s v="200mg"/>
    <s v="Nausea, Not Reported, Headache"/>
    <s v="TR0174"/>
    <s v="200mg"/>
    <x v="2"/>
    <x v="0"/>
    <x v="135"/>
    <n v="0"/>
    <x v="0"/>
    <x v="1"/>
    <n v="2.89"/>
    <n v="4.5199999999999996"/>
    <x v="22"/>
    <n v="18.2"/>
    <x v="110"/>
    <x v="0"/>
    <n v="200"/>
    <x v="3"/>
  </r>
  <r>
    <s v="P434"/>
    <n v="62"/>
    <x v="1"/>
    <x v="3"/>
    <s v="Heart Disease"/>
    <s v="TP53 Mutation"/>
    <s v="T010"/>
    <x v="2"/>
    <x v="1"/>
    <s v="9/23/2023"/>
    <s v="8/23/2024"/>
    <s v="50mg"/>
    <s v="Headache, Not Reported"/>
    <s v="TR0074"/>
    <s v="50mg"/>
    <x v="0"/>
    <x v="3"/>
    <x v="68"/>
    <n v="1"/>
    <x v="0"/>
    <x v="1"/>
    <n v="2.1800000000000002"/>
    <n v="1.55"/>
    <x v="46"/>
    <n v="19.3"/>
    <x v="81"/>
    <x v="3"/>
    <n v="50"/>
    <x v="1"/>
  </r>
  <r>
    <s v="P435"/>
    <n v="37"/>
    <x v="2"/>
    <x v="0"/>
    <s v="Heart Disease"/>
    <s v="Not Reported"/>
    <s v="T006"/>
    <x v="0"/>
    <x v="0"/>
    <s v="2/26/2021"/>
    <s v="12/26/2021"/>
    <s v="50mg"/>
    <s v="Nausea, Fatigue"/>
    <s v="TR0073"/>
    <s v="50mg"/>
    <x v="2"/>
    <x v="3"/>
    <x v="79"/>
    <n v="0"/>
    <x v="1"/>
    <x v="1"/>
    <n v="3.58"/>
    <n v="2.58"/>
    <x v="79"/>
    <n v="9.6"/>
    <x v="82"/>
    <x v="3"/>
    <n v="50"/>
    <x v="3"/>
  </r>
  <r>
    <s v="P436"/>
    <n v="18"/>
    <x v="1"/>
    <x v="0"/>
    <s v="Hypertension"/>
    <s v="BRCA2 Mutation"/>
    <s v="T012"/>
    <x v="0"/>
    <x v="2"/>
    <s v="12/9/2019"/>
    <s v="8/9/2020"/>
    <s v="100mg"/>
    <s v="Dizziness, Nausea"/>
    <s v="TR0075"/>
    <s v="100mg"/>
    <x v="0"/>
    <x v="3"/>
    <x v="62"/>
    <n v="1"/>
    <x v="4"/>
    <x v="0"/>
    <n v="2.15"/>
    <n v="2.4700000000000002"/>
    <x v="56"/>
    <n v="8"/>
    <x v="125"/>
    <x v="1"/>
    <n v="100"/>
    <x v="0"/>
  </r>
  <r>
    <s v="P437"/>
    <n v="67"/>
    <x v="1"/>
    <x v="3"/>
    <s v="Hypertension"/>
    <s v="Not Reported"/>
    <s v="T010"/>
    <x v="0"/>
    <x v="2"/>
    <s v="7/22/2023"/>
    <s v="6/22/2024"/>
    <s v="100mg"/>
    <s v="Fatigue, Not Reported, Nausea"/>
    <s v="TR0107"/>
    <s v="100mg"/>
    <x v="2"/>
    <x v="1"/>
    <x v="137"/>
    <n v="0"/>
    <x v="4"/>
    <x v="0"/>
    <n v="2.0699999999999998"/>
    <n v="4.34"/>
    <x v="82"/>
    <n v="12.8"/>
    <x v="52"/>
    <x v="1"/>
    <n v="100"/>
    <x v="2"/>
  </r>
  <r>
    <s v="P438"/>
    <n v="56"/>
    <x v="2"/>
    <x v="3"/>
    <s v="Heart Disease"/>
    <s v="HER2 Mutation"/>
    <s v="T004"/>
    <x v="2"/>
    <x v="0"/>
    <s v="9/22/2021"/>
    <s v="2/22/2023"/>
    <s v="150mg"/>
    <s v="Not Reported, Headache"/>
    <s v="TR0120"/>
    <s v="150mg"/>
    <x v="1"/>
    <x v="0"/>
    <x v="66"/>
    <n v="0"/>
    <x v="3"/>
    <x v="0"/>
    <n v="1.08"/>
    <n v="1.5"/>
    <x v="68"/>
    <n v="14.9"/>
    <x v="152"/>
    <x v="2"/>
    <n v="150"/>
    <x v="1"/>
  </r>
  <r>
    <s v="P439"/>
    <n v="71"/>
    <x v="0"/>
    <x v="4"/>
    <s v="Heart Disease"/>
    <s v="Not Reported"/>
    <s v="T008"/>
    <x v="0"/>
    <x v="2"/>
    <s v="9/19/2023"/>
    <s v="7/19/2024"/>
    <s v="50mg"/>
    <s v="Fatigue, Headache"/>
    <s v="TR0172"/>
    <s v="50mg"/>
    <x v="0"/>
    <x v="0"/>
    <x v="147"/>
    <n v="1"/>
    <x v="1"/>
    <x v="0"/>
    <n v="3.12"/>
    <n v="3.38"/>
    <x v="82"/>
    <n v="14.4"/>
    <x v="114"/>
    <x v="3"/>
    <n v="50"/>
    <x v="2"/>
  </r>
  <r>
    <s v="P440"/>
    <n v="28"/>
    <x v="0"/>
    <x v="0"/>
    <s v="Hypertension"/>
    <s v="BRCA1 Mutation"/>
    <s v="T010"/>
    <x v="3"/>
    <x v="3"/>
    <s v="2/24/2019"/>
    <s v="5/24/2020"/>
    <s v="50mg"/>
    <s v="Fatigue, Dizziness, Not Reported"/>
    <s v="TR0190"/>
    <s v="50mg"/>
    <x v="1"/>
    <x v="1"/>
    <x v="42"/>
    <n v="0"/>
    <x v="0"/>
    <x v="1"/>
    <n v="3.08"/>
    <n v="3.71"/>
    <x v="0"/>
    <n v="19.899999999999999"/>
    <x v="6"/>
    <x v="3"/>
    <n v="50"/>
    <x v="0"/>
  </r>
  <r>
    <s v="P441"/>
    <n v="57"/>
    <x v="2"/>
    <x v="2"/>
    <s v="Asthma"/>
    <s v="Not Reported"/>
    <s v="T007"/>
    <x v="1"/>
    <x v="1"/>
    <s v="3/20/2019"/>
    <s v="10/20/2019"/>
    <s v="50mg"/>
    <s v="Fatigue"/>
    <s v="TR0027"/>
    <s v="50mg"/>
    <x v="1"/>
    <x v="3"/>
    <x v="3"/>
    <n v="0"/>
    <x v="1"/>
    <x v="1"/>
    <n v="3.09"/>
    <n v="4.9000000000000004"/>
    <x v="38"/>
    <n v="6.3"/>
    <x v="6"/>
    <x v="3"/>
    <n v="50"/>
    <x v="1"/>
  </r>
  <r>
    <s v="P442"/>
    <n v="25"/>
    <x v="0"/>
    <x v="0"/>
    <s v="Asthma"/>
    <s v="BRCA2 Mutation"/>
    <s v="T008"/>
    <x v="0"/>
    <x v="0"/>
    <s v="2/14/2023"/>
    <s v="10/14/2023"/>
    <s v="50mg"/>
    <s v="Fatigue"/>
    <s v="TR0191"/>
    <s v="50mg"/>
    <x v="2"/>
    <x v="1"/>
    <x v="146"/>
    <n v="0"/>
    <x v="2"/>
    <x v="0"/>
    <n v="4.2300000000000004"/>
    <n v="1.48"/>
    <x v="58"/>
    <n v="6.3"/>
    <x v="95"/>
    <x v="3"/>
    <n v="50"/>
    <x v="0"/>
  </r>
  <r>
    <s v="P443"/>
    <n v="78"/>
    <x v="1"/>
    <x v="0"/>
    <s v="Not Reported"/>
    <s v="Not Reported"/>
    <s v="T019"/>
    <x v="3"/>
    <x v="3"/>
    <s v="7/13/2021"/>
    <s v="12/13/2022"/>
    <s v="50mg"/>
    <s v="Headache, Dizziness"/>
    <s v="TR0038"/>
    <s v="50mg"/>
    <x v="0"/>
    <x v="4"/>
    <x v="121"/>
    <n v="1"/>
    <x v="3"/>
    <x v="1"/>
    <n v="4.09"/>
    <n v="3.07"/>
    <x v="42"/>
    <n v="12.7"/>
    <x v="155"/>
    <x v="3"/>
    <n v="50"/>
    <x v="2"/>
  </r>
  <r>
    <s v="P444"/>
    <n v="19"/>
    <x v="2"/>
    <x v="0"/>
    <s v="Hypertension"/>
    <s v="Not Reported"/>
    <s v="T020"/>
    <x v="3"/>
    <x v="1"/>
    <s v="3/15/2021"/>
    <s v="8/15/2022"/>
    <s v="200mg"/>
    <s v="Nausea, Fatigue"/>
    <s v="TR0092"/>
    <s v="200mg"/>
    <x v="2"/>
    <x v="2"/>
    <x v="110"/>
    <n v="0"/>
    <x v="4"/>
    <x v="1"/>
    <n v="2.2000000000000002"/>
    <n v="3.59"/>
    <x v="84"/>
    <n v="21.2"/>
    <x v="60"/>
    <x v="0"/>
    <n v="200"/>
    <x v="0"/>
  </r>
  <r>
    <s v="P445"/>
    <n v="83"/>
    <x v="0"/>
    <x v="4"/>
    <s v="Diabetes"/>
    <s v="EGFR Mutation"/>
    <s v="T011"/>
    <x v="3"/>
    <x v="2"/>
    <s v="11/10/2021"/>
    <s v="11/10/2022"/>
    <s v="50mg"/>
    <s v="Headache, Dizziness, Fatigue"/>
    <s v="TR0156"/>
    <s v="50mg"/>
    <x v="2"/>
    <x v="1"/>
    <x v="122"/>
    <n v="0"/>
    <x v="2"/>
    <x v="1"/>
    <n v="4.59"/>
    <n v="4.13"/>
    <x v="73"/>
    <n v="14.2"/>
    <x v="59"/>
    <x v="3"/>
    <n v="50"/>
    <x v="2"/>
  </r>
  <r>
    <s v="P446"/>
    <n v="34"/>
    <x v="2"/>
    <x v="0"/>
    <s v="Heart Disease"/>
    <s v="Not Reported"/>
    <s v="T012"/>
    <x v="3"/>
    <x v="1"/>
    <s v="1/28/2019"/>
    <s v="6/28/2020"/>
    <s v="100mg"/>
    <s v="Nausea"/>
    <s v="TR0171"/>
    <s v="100mg"/>
    <x v="0"/>
    <x v="0"/>
    <x v="62"/>
    <n v="1"/>
    <x v="4"/>
    <x v="0"/>
    <n v="2.21"/>
    <n v="1.26"/>
    <x v="8"/>
    <n v="10.4"/>
    <x v="31"/>
    <x v="1"/>
    <n v="100"/>
    <x v="3"/>
  </r>
  <r>
    <s v="P447"/>
    <n v="48"/>
    <x v="0"/>
    <x v="4"/>
    <s v="Asthma"/>
    <s v="Not Reported"/>
    <s v="T014"/>
    <x v="1"/>
    <x v="1"/>
    <s v="5/4/2023"/>
    <s v="11/4/2023"/>
    <s v="50mg"/>
    <s v="Not Reported, Nausea"/>
    <s v="TR0045"/>
    <s v="50mg"/>
    <x v="1"/>
    <x v="3"/>
    <x v="26"/>
    <n v="0"/>
    <x v="1"/>
    <x v="0"/>
    <n v="3.99"/>
    <n v="2.9"/>
    <x v="56"/>
    <n v="23.2"/>
    <x v="128"/>
    <x v="3"/>
    <n v="50"/>
    <x v="3"/>
  </r>
  <r>
    <s v="P448"/>
    <n v="43"/>
    <x v="0"/>
    <x v="0"/>
    <s v="Asthma"/>
    <s v="TP53 Mutation"/>
    <s v="T008"/>
    <x v="2"/>
    <x v="2"/>
    <s v="9/26/2022"/>
    <s v="3/26/2024"/>
    <s v="100mg"/>
    <s v="Dizziness"/>
    <s v="TR0007"/>
    <s v="100mg"/>
    <x v="2"/>
    <x v="3"/>
    <x v="55"/>
    <n v="0"/>
    <x v="3"/>
    <x v="0"/>
    <n v="4.1399999999999997"/>
    <n v="4.97"/>
    <x v="34"/>
    <n v="23.3"/>
    <x v="80"/>
    <x v="1"/>
    <n v="100"/>
    <x v="3"/>
  </r>
  <r>
    <s v="P449"/>
    <n v="18"/>
    <x v="1"/>
    <x v="3"/>
    <s v="Heart Disease"/>
    <s v="Not Reported"/>
    <s v="T003"/>
    <x v="0"/>
    <x v="2"/>
    <s v="8/7/2023"/>
    <s v="5/7/2024"/>
    <s v="200mg"/>
    <s v="Not Reported, Dizziness, Headache"/>
    <s v="TR0144"/>
    <s v="200mg"/>
    <x v="0"/>
    <x v="3"/>
    <x v="32"/>
    <n v="1"/>
    <x v="1"/>
    <x v="1"/>
    <n v="2.46"/>
    <n v="1.9"/>
    <x v="81"/>
    <n v="8.5"/>
    <x v="38"/>
    <x v="0"/>
    <n v="200"/>
    <x v="0"/>
  </r>
  <r>
    <s v="P450"/>
    <n v="27"/>
    <x v="2"/>
    <x v="2"/>
    <s v="Diabetes"/>
    <s v="Not Reported"/>
    <s v="T010"/>
    <x v="1"/>
    <x v="1"/>
    <s v="4/2/2022"/>
    <s v="7/2/2023"/>
    <s v="150mg"/>
    <s v="Fatigue"/>
    <s v="TR0075"/>
    <s v="150mg"/>
    <x v="1"/>
    <x v="0"/>
    <x v="52"/>
    <n v="0"/>
    <x v="3"/>
    <x v="0"/>
    <n v="4.13"/>
    <n v="3.31"/>
    <x v="43"/>
    <n v="20.6"/>
    <x v="13"/>
    <x v="2"/>
    <n v="150"/>
    <x v="0"/>
  </r>
  <r>
    <s v="P451"/>
    <n v="54"/>
    <x v="0"/>
    <x v="1"/>
    <s v="Heart Disease"/>
    <s v="EGFR Mutation"/>
    <s v="T020"/>
    <x v="0"/>
    <x v="0"/>
    <s v="1/18/2023"/>
    <s v="6/18/2024"/>
    <s v="50mg"/>
    <s v="Headache, Not Reported, Dizziness"/>
    <s v="TR0008"/>
    <s v="50mg"/>
    <x v="0"/>
    <x v="4"/>
    <x v="108"/>
    <n v="1"/>
    <x v="4"/>
    <x v="0"/>
    <n v="2.5499999999999998"/>
    <n v="3.7"/>
    <x v="40"/>
    <n v="12.2"/>
    <x v="130"/>
    <x v="3"/>
    <n v="50"/>
    <x v="1"/>
  </r>
  <r>
    <s v="P452"/>
    <n v="60"/>
    <x v="0"/>
    <x v="4"/>
    <s v="Diabetes"/>
    <s v="Not Reported"/>
    <s v="T011"/>
    <x v="1"/>
    <x v="2"/>
    <s v="2/26/2022"/>
    <s v="5/26/2023"/>
    <s v="50mg"/>
    <s v="Nausea, Headache"/>
    <s v="TR0154"/>
    <s v="50mg"/>
    <x v="2"/>
    <x v="2"/>
    <x v="14"/>
    <n v="0"/>
    <x v="2"/>
    <x v="1"/>
    <n v="2.16"/>
    <n v="2.88"/>
    <x v="64"/>
    <n v="18.7"/>
    <x v="32"/>
    <x v="3"/>
    <n v="50"/>
    <x v="1"/>
  </r>
  <r>
    <s v="P453"/>
    <n v="34"/>
    <x v="1"/>
    <x v="2"/>
    <s v="Hypertension"/>
    <s v="EGFR Mutation"/>
    <s v="T008"/>
    <x v="0"/>
    <x v="0"/>
    <s v="5/26/2022"/>
    <s v="2/26/2023"/>
    <s v="50mg"/>
    <s v="Nausea"/>
    <s v="TR0199"/>
    <s v="50mg"/>
    <x v="0"/>
    <x v="2"/>
    <x v="49"/>
    <n v="1"/>
    <x v="3"/>
    <x v="1"/>
    <n v="1.59"/>
    <n v="1.03"/>
    <x v="19"/>
    <n v="14.1"/>
    <x v="121"/>
    <x v="3"/>
    <n v="50"/>
    <x v="3"/>
  </r>
  <r>
    <s v="P454"/>
    <n v="24"/>
    <x v="1"/>
    <x v="3"/>
    <s v="Diabetes"/>
    <s v="HER2 Mutation"/>
    <s v="T018"/>
    <x v="2"/>
    <x v="1"/>
    <s v="2/20/2022"/>
    <s v="1/20/2023"/>
    <s v="150mg"/>
    <s v="Not Reported"/>
    <s v="TR0112"/>
    <s v="150mg"/>
    <x v="0"/>
    <x v="1"/>
    <x v="44"/>
    <n v="1"/>
    <x v="3"/>
    <x v="0"/>
    <n v="4.83"/>
    <n v="3.12"/>
    <x v="7"/>
    <n v="15"/>
    <x v="0"/>
    <x v="2"/>
    <n v="150"/>
    <x v="0"/>
  </r>
  <r>
    <s v="P455"/>
    <n v="47"/>
    <x v="1"/>
    <x v="1"/>
    <s v="Heart Disease"/>
    <s v="BRCA1 Mutation"/>
    <s v="T008"/>
    <x v="1"/>
    <x v="1"/>
    <s v="3/15/2019"/>
    <s v="11/15/2019"/>
    <s v="150mg"/>
    <s v="Not Reported"/>
    <s v="TR0090"/>
    <s v="150mg"/>
    <x v="2"/>
    <x v="1"/>
    <x v="27"/>
    <n v="0"/>
    <x v="0"/>
    <x v="1"/>
    <n v="1.3"/>
    <n v="2.1"/>
    <x v="3"/>
    <n v="14.3"/>
    <x v="117"/>
    <x v="2"/>
    <n v="150"/>
    <x v="3"/>
  </r>
  <r>
    <s v="P456"/>
    <n v="79"/>
    <x v="2"/>
    <x v="2"/>
    <s v="Hypertension"/>
    <s v="EGFR Mutation"/>
    <s v="T007"/>
    <x v="3"/>
    <x v="3"/>
    <s v="8/23/2020"/>
    <s v="6/23/2021"/>
    <s v="150mg"/>
    <s v="Not Reported, Fatigue, Dizziness"/>
    <s v="TR0069"/>
    <s v="150mg"/>
    <x v="1"/>
    <x v="2"/>
    <x v="106"/>
    <n v="0"/>
    <x v="3"/>
    <x v="0"/>
    <n v="2.73"/>
    <n v="1.18"/>
    <x v="28"/>
    <n v="14"/>
    <x v="159"/>
    <x v="2"/>
    <n v="150"/>
    <x v="2"/>
  </r>
  <r>
    <s v="P457"/>
    <n v="62"/>
    <x v="1"/>
    <x v="1"/>
    <s v="Asthma"/>
    <s v="BRCA2 Mutation"/>
    <s v="T005"/>
    <x v="2"/>
    <x v="3"/>
    <s v="4/4/2023"/>
    <s v="3/4/2024"/>
    <s v="100mg"/>
    <s v="Fatigue"/>
    <s v="TR0179"/>
    <s v="100mg"/>
    <x v="1"/>
    <x v="0"/>
    <x v="24"/>
    <n v="0"/>
    <x v="3"/>
    <x v="1"/>
    <n v="1.2"/>
    <n v="4.37"/>
    <x v="84"/>
    <n v="20.3"/>
    <x v="144"/>
    <x v="1"/>
    <n v="100"/>
    <x v="1"/>
  </r>
  <r>
    <s v="P458"/>
    <n v="22"/>
    <x v="1"/>
    <x v="0"/>
    <s v="Heart Disease"/>
    <s v="BRCA1 Mutation"/>
    <s v="T002"/>
    <x v="0"/>
    <x v="0"/>
    <s v="1/28/2022"/>
    <s v="1/28/2023"/>
    <s v="200mg"/>
    <s v="Nausea, Fatigue"/>
    <s v="TR0053"/>
    <s v="200mg"/>
    <x v="1"/>
    <x v="1"/>
    <x v="143"/>
    <n v="0"/>
    <x v="2"/>
    <x v="0"/>
    <n v="1.97"/>
    <n v="4.84"/>
    <x v="81"/>
    <n v="23.1"/>
    <x v="85"/>
    <x v="0"/>
    <n v="200"/>
    <x v="0"/>
  </r>
  <r>
    <s v="P459"/>
    <n v="57"/>
    <x v="0"/>
    <x v="1"/>
    <s v="Not Reported"/>
    <s v="Not Reported"/>
    <s v="T020"/>
    <x v="0"/>
    <x v="3"/>
    <s v="4/25/2023"/>
    <s v="10/25/2023"/>
    <s v="150mg"/>
    <s v="Dizziness, Headache, Fatigue"/>
    <s v="TR0187"/>
    <s v="150mg"/>
    <x v="2"/>
    <x v="3"/>
    <x v="21"/>
    <n v="0"/>
    <x v="2"/>
    <x v="1"/>
    <n v="3.85"/>
    <n v="4.92"/>
    <x v="41"/>
    <n v="10.7"/>
    <x v="109"/>
    <x v="2"/>
    <n v="150"/>
    <x v="1"/>
  </r>
  <r>
    <s v="P460"/>
    <n v="54"/>
    <x v="2"/>
    <x v="3"/>
    <s v="Asthma"/>
    <s v="Not Reported"/>
    <s v="T019"/>
    <x v="0"/>
    <x v="2"/>
    <s v="8/24/2022"/>
    <s v="5/24/2023"/>
    <s v="100mg"/>
    <s v="Not Reported"/>
    <s v="TR0175"/>
    <s v="100mg"/>
    <x v="1"/>
    <x v="3"/>
    <x v="28"/>
    <n v="0"/>
    <x v="2"/>
    <x v="1"/>
    <n v="3.37"/>
    <n v="1.29"/>
    <x v="35"/>
    <n v="23.7"/>
    <x v="30"/>
    <x v="1"/>
    <n v="100"/>
    <x v="1"/>
  </r>
  <r>
    <s v="P461"/>
    <n v="61"/>
    <x v="2"/>
    <x v="3"/>
    <s v="Hypertension"/>
    <s v="Not Reported"/>
    <s v="T012"/>
    <x v="0"/>
    <x v="3"/>
    <s v="1/4/2023"/>
    <s v="11/4/2023"/>
    <s v="150mg"/>
    <s v="Fatigue, Headache"/>
    <s v="TR0119"/>
    <s v="150mg"/>
    <x v="0"/>
    <x v="0"/>
    <x v="89"/>
    <n v="1"/>
    <x v="1"/>
    <x v="0"/>
    <n v="4.17"/>
    <n v="4.63"/>
    <x v="50"/>
    <n v="23.3"/>
    <x v="113"/>
    <x v="2"/>
    <n v="150"/>
    <x v="1"/>
  </r>
  <r>
    <s v="P462"/>
    <n v="63"/>
    <x v="1"/>
    <x v="1"/>
    <s v="Diabetes"/>
    <s v="EGFR Mutation"/>
    <s v="T003"/>
    <x v="0"/>
    <x v="3"/>
    <s v="8/6/2019"/>
    <s v="6/6/2020"/>
    <s v="150mg"/>
    <s v="Headache, Fatigue"/>
    <s v="TR0059"/>
    <s v="150mg"/>
    <x v="2"/>
    <x v="1"/>
    <x v="114"/>
    <n v="0"/>
    <x v="2"/>
    <x v="0"/>
    <n v="4.91"/>
    <n v="4.03"/>
    <x v="28"/>
    <n v="14.6"/>
    <x v="118"/>
    <x v="2"/>
    <n v="150"/>
    <x v="1"/>
  </r>
  <r>
    <s v="P463"/>
    <n v="47"/>
    <x v="0"/>
    <x v="2"/>
    <s v="Diabetes"/>
    <s v="Not Reported"/>
    <s v="T015"/>
    <x v="0"/>
    <x v="1"/>
    <s v="12/8/2023"/>
    <s v="6/8/2024"/>
    <s v="150mg"/>
    <s v="Nausea, Not Reported"/>
    <s v="TR0139"/>
    <s v="150mg"/>
    <x v="2"/>
    <x v="3"/>
    <x v="1"/>
    <n v="0"/>
    <x v="4"/>
    <x v="0"/>
    <n v="1.99"/>
    <n v="3.56"/>
    <x v="9"/>
    <n v="8.9"/>
    <x v="132"/>
    <x v="2"/>
    <n v="150"/>
    <x v="3"/>
  </r>
  <r>
    <s v="P464"/>
    <n v="27"/>
    <x v="2"/>
    <x v="3"/>
    <s v="Hypertension"/>
    <s v="Not Reported"/>
    <s v="T008"/>
    <x v="2"/>
    <x v="3"/>
    <s v="6/27/2023"/>
    <s v="10/27/2024"/>
    <s v="200mg"/>
    <s v="Headache"/>
    <s v="TR0073"/>
    <s v="200mg"/>
    <x v="0"/>
    <x v="3"/>
    <x v="43"/>
    <n v="1"/>
    <x v="2"/>
    <x v="1"/>
    <n v="4.09"/>
    <n v="3"/>
    <x v="82"/>
    <n v="6.2"/>
    <x v="36"/>
    <x v="0"/>
    <n v="200"/>
    <x v="0"/>
  </r>
  <r>
    <s v="P465"/>
    <n v="60"/>
    <x v="1"/>
    <x v="0"/>
    <s v="Asthma"/>
    <s v="Not Reported"/>
    <s v="T010"/>
    <x v="1"/>
    <x v="2"/>
    <s v="1/10/2021"/>
    <s v="9/10/2021"/>
    <s v="50mg"/>
    <s v="Dizziness"/>
    <s v="TR0055"/>
    <s v="50mg"/>
    <x v="1"/>
    <x v="2"/>
    <x v="63"/>
    <n v="0"/>
    <x v="2"/>
    <x v="1"/>
    <n v="4.7"/>
    <n v="1.91"/>
    <x v="19"/>
    <n v="10"/>
    <x v="96"/>
    <x v="3"/>
    <n v="50"/>
    <x v="1"/>
  </r>
  <r>
    <s v="P466"/>
    <n v="45"/>
    <x v="1"/>
    <x v="1"/>
    <s v="Hypertension"/>
    <s v="Not Reported"/>
    <s v="T005"/>
    <x v="3"/>
    <x v="1"/>
    <s v="4/19/2019"/>
    <s v="6/19/2020"/>
    <s v="200mg"/>
    <s v="Nausea, Dizziness, Not Reported"/>
    <s v="TR0121"/>
    <s v="200mg"/>
    <x v="2"/>
    <x v="2"/>
    <x v="45"/>
    <n v="0"/>
    <x v="1"/>
    <x v="1"/>
    <n v="4.3899999999999997"/>
    <n v="3.92"/>
    <x v="75"/>
    <n v="13.7"/>
    <x v="73"/>
    <x v="0"/>
    <n v="200"/>
    <x v="3"/>
  </r>
  <r>
    <s v="P467"/>
    <n v="52"/>
    <x v="0"/>
    <x v="1"/>
    <s v="Not Reported"/>
    <s v="Not Reported"/>
    <s v="T011"/>
    <x v="2"/>
    <x v="3"/>
    <s v="8/11/2020"/>
    <s v="1/11/2022"/>
    <s v="50mg"/>
    <s v="Fatigue, Headache, Not Reported"/>
    <s v="TR0105"/>
    <s v="50mg"/>
    <x v="1"/>
    <x v="3"/>
    <x v="90"/>
    <n v="0"/>
    <x v="2"/>
    <x v="0"/>
    <n v="2.92"/>
    <n v="3.65"/>
    <x v="38"/>
    <n v="11.2"/>
    <x v="59"/>
    <x v="3"/>
    <n v="50"/>
    <x v="1"/>
  </r>
  <r>
    <s v="P468"/>
    <n v="64"/>
    <x v="2"/>
    <x v="3"/>
    <s v="Heart Disease"/>
    <s v="HER2 Mutation"/>
    <s v="T008"/>
    <x v="2"/>
    <x v="2"/>
    <s v="11/19/2022"/>
    <s v="3/19/2024"/>
    <s v="100mg"/>
    <s v="Not Reported, Dizziness, Fatigue"/>
    <s v="TR0081"/>
    <s v="100mg"/>
    <x v="0"/>
    <x v="3"/>
    <x v="20"/>
    <n v="1"/>
    <x v="1"/>
    <x v="0"/>
    <n v="4.68"/>
    <n v="4.97"/>
    <x v="53"/>
    <n v="19.7"/>
    <x v="160"/>
    <x v="1"/>
    <n v="100"/>
    <x v="1"/>
  </r>
  <r>
    <s v="P469"/>
    <n v="81"/>
    <x v="2"/>
    <x v="4"/>
    <s v="Diabetes"/>
    <s v="Not Reported"/>
    <s v="T001"/>
    <x v="2"/>
    <x v="1"/>
    <s v="5/25/2022"/>
    <s v="7/25/2023"/>
    <s v="200mg"/>
    <s v="Nausea, Fatigue, Dizziness"/>
    <s v="TR0111"/>
    <s v="200mg"/>
    <x v="0"/>
    <x v="1"/>
    <x v="81"/>
    <n v="1"/>
    <x v="0"/>
    <x v="1"/>
    <n v="2.57"/>
    <n v="4.0199999999999996"/>
    <x v="15"/>
    <n v="23.1"/>
    <x v="34"/>
    <x v="0"/>
    <n v="200"/>
    <x v="2"/>
  </r>
  <r>
    <s v="P470"/>
    <n v="72"/>
    <x v="1"/>
    <x v="4"/>
    <s v="Asthma"/>
    <s v="Not Reported"/>
    <s v="T008"/>
    <x v="0"/>
    <x v="1"/>
    <s v="6/19/2021"/>
    <s v="9/19/2022"/>
    <s v="50mg"/>
    <s v="Nausea, Dizziness, Not Reported"/>
    <s v="TR0091"/>
    <s v="50mg"/>
    <x v="1"/>
    <x v="0"/>
    <x v="26"/>
    <n v="0"/>
    <x v="1"/>
    <x v="1"/>
    <n v="2.4300000000000002"/>
    <n v="4.1500000000000004"/>
    <x v="40"/>
    <n v="16.2"/>
    <x v="36"/>
    <x v="3"/>
    <n v="50"/>
    <x v="2"/>
  </r>
  <r>
    <s v="P471"/>
    <n v="79"/>
    <x v="2"/>
    <x v="4"/>
    <s v="Diabetes"/>
    <s v="Not Reported"/>
    <s v="T019"/>
    <x v="1"/>
    <x v="2"/>
    <s v="10/19/2019"/>
    <s v="9/19/2020"/>
    <s v="200mg"/>
    <s v="Not Reported, Headache"/>
    <s v="TR0046"/>
    <s v="200mg"/>
    <x v="2"/>
    <x v="2"/>
    <x v="48"/>
    <n v="0"/>
    <x v="3"/>
    <x v="0"/>
    <n v="3.63"/>
    <n v="1.96"/>
    <x v="63"/>
    <n v="22.5"/>
    <x v="26"/>
    <x v="0"/>
    <n v="200"/>
    <x v="2"/>
  </r>
  <r>
    <s v="P472"/>
    <n v="56"/>
    <x v="1"/>
    <x v="0"/>
    <s v="Hypertension"/>
    <s v="Not Reported"/>
    <s v="T017"/>
    <x v="3"/>
    <x v="3"/>
    <s v="7/11/2021"/>
    <s v="1/11/2023"/>
    <s v="100mg"/>
    <s v="Nausea"/>
    <s v="TR0189"/>
    <s v="100mg"/>
    <x v="2"/>
    <x v="1"/>
    <x v="143"/>
    <n v="0"/>
    <x v="2"/>
    <x v="1"/>
    <n v="3.02"/>
    <n v="1.88"/>
    <x v="53"/>
    <n v="6.6"/>
    <x v="120"/>
    <x v="1"/>
    <n v="100"/>
    <x v="1"/>
  </r>
  <r>
    <s v="P473"/>
    <n v="58"/>
    <x v="0"/>
    <x v="0"/>
    <s v="Not Reported"/>
    <s v="TP53 Mutation"/>
    <s v="T009"/>
    <x v="3"/>
    <x v="0"/>
    <s v="3/10/2020"/>
    <s v="1/10/2021"/>
    <s v="50mg"/>
    <s v="Not Reported"/>
    <s v="TR0037"/>
    <s v="50mg"/>
    <x v="0"/>
    <x v="1"/>
    <x v="142"/>
    <n v="1"/>
    <x v="2"/>
    <x v="0"/>
    <n v="4.47"/>
    <n v="2.13"/>
    <x v="78"/>
    <n v="16.5"/>
    <x v="109"/>
    <x v="3"/>
    <n v="50"/>
    <x v="1"/>
  </r>
  <r>
    <s v="P474"/>
    <n v="21"/>
    <x v="2"/>
    <x v="2"/>
    <s v="Heart Disease"/>
    <s v="Not Reported"/>
    <s v="T007"/>
    <x v="1"/>
    <x v="0"/>
    <s v="6/7/2019"/>
    <s v="4/7/2020"/>
    <s v="200mg"/>
    <s v="Headache, Fatigue, Dizziness"/>
    <s v="TR0076"/>
    <s v="200mg"/>
    <x v="0"/>
    <x v="3"/>
    <x v="67"/>
    <n v="1"/>
    <x v="1"/>
    <x v="1"/>
    <n v="3.32"/>
    <n v="3.07"/>
    <x v="65"/>
    <n v="11.1"/>
    <x v="10"/>
    <x v="0"/>
    <n v="200"/>
    <x v="0"/>
  </r>
  <r>
    <s v="P475"/>
    <n v="51"/>
    <x v="0"/>
    <x v="4"/>
    <s v="Not Reported"/>
    <s v="Not Reported"/>
    <s v="T004"/>
    <x v="0"/>
    <x v="1"/>
    <s v="12/3/2020"/>
    <s v="11/3/2021"/>
    <s v="100mg"/>
    <s v="Not Reported, Dizziness, Fatigue"/>
    <s v="TR0162"/>
    <s v="100mg"/>
    <x v="2"/>
    <x v="2"/>
    <x v="81"/>
    <n v="0"/>
    <x v="4"/>
    <x v="0"/>
    <n v="4.58"/>
    <n v="4.79"/>
    <x v="64"/>
    <n v="13.6"/>
    <x v="107"/>
    <x v="1"/>
    <n v="100"/>
    <x v="1"/>
  </r>
  <r>
    <s v="P476"/>
    <n v="73"/>
    <x v="0"/>
    <x v="1"/>
    <s v="Not Reported"/>
    <s v="EGFR Mutation"/>
    <s v="T002"/>
    <x v="1"/>
    <x v="2"/>
    <s v="10/13/2020"/>
    <s v="7/13/2021"/>
    <s v="100mg"/>
    <s v="Headache, Fatigue"/>
    <s v="TR0125"/>
    <s v="100mg"/>
    <x v="0"/>
    <x v="0"/>
    <x v="36"/>
    <n v="1"/>
    <x v="0"/>
    <x v="0"/>
    <n v="2.91"/>
    <n v="2.99"/>
    <x v="81"/>
    <n v="16.600000000000001"/>
    <x v="30"/>
    <x v="1"/>
    <n v="100"/>
    <x v="2"/>
  </r>
  <r>
    <s v="P477"/>
    <n v="29"/>
    <x v="2"/>
    <x v="4"/>
    <s v="Hypertension"/>
    <s v="HER2 Mutation"/>
    <s v="T018"/>
    <x v="2"/>
    <x v="2"/>
    <s v="7/23/2019"/>
    <s v="5/23/2020"/>
    <s v="200mg"/>
    <s v="Dizziness, Fatigue, Not Reported"/>
    <s v="TR0090"/>
    <s v="200mg"/>
    <x v="1"/>
    <x v="2"/>
    <x v="5"/>
    <n v="0"/>
    <x v="4"/>
    <x v="0"/>
    <n v="2.33"/>
    <n v="4.42"/>
    <x v="22"/>
    <n v="7.3"/>
    <x v="119"/>
    <x v="0"/>
    <n v="200"/>
    <x v="0"/>
  </r>
  <r>
    <s v="P478"/>
    <n v="55"/>
    <x v="2"/>
    <x v="3"/>
    <s v="Asthma"/>
    <s v="Not Reported"/>
    <s v="T013"/>
    <x v="0"/>
    <x v="0"/>
    <s v="2/8/2021"/>
    <s v="9/8/2021"/>
    <s v="150mg"/>
    <s v="Headache, Not Reported"/>
    <s v="TR0064"/>
    <s v="150mg"/>
    <x v="2"/>
    <x v="0"/>
    <x v="24"/>
    <n v="0"/>
    <x v="0"/>
    <x v="1"/>
    <n v="4.76"/>
    <n v="3.03"/>
    <x v="68"/>
    <n v="20.6"/>
    <x v="161"/>
    <x v="2"/>
    <n v="150"/>
    <x v="1"/>
  </r>
  <r>
    <s v="P479"/>
    <n v="58"/>
    <x v="2"/>
    <x v="2"/>
    <s v="Not Reported"/>
    <s v="Not Reported"/>
    <s v="T005"/>
    <x v="3"/>
    <x v="0"/>
    <s v="7/22/2023"/>
    <s v="4/22/2024"/>
    <s v="50mg"/>
    <s v="Not Reported, Fatigue"/>
    <s v="TR0105"/>
    <s v="50mg"/>
    <x v="0"/>
    <x v="2"/>
    <x v="59"/>
    <n v="1"/>
    <x v="4"/>
    <x v="1"/>
    <n v="2.33"/>
    <n v="3.77"/>
    <x v="61"/>
    <n v="17.8"/>
    <x v="3"/>
    <x v="3"/>
    <n v="50"/>
    <x v="1"/>
  </r>
  <r>
    <s v="P480"/>
    <n v="70"/>
    <x v="1"/>
    <x v="3"/>
    <s v="Asthma"/>
    <s v="BRCA1 Mutation"/>
    <s v="T009"/>
    <x v="3"/>
    <x v="2"/>
    <s v="11/27/2021"/>
    <s v="5/27/2022"/>
    <s v="150mg"/>
    <s v="Headache, Fatigue"/>
    <s v="TR0147"/>
    <s v="150mg"/>
    <x v="0"/>
    <x v="2"/>
    <x v="55"/>
    <n v="1"/>
    <x v="3"/>
    <x v="1"/>
    <n v="4.5"/>
    <n v="3.16"/>
    <x v="5"/>
    <n v="13.7"/>
    <x v="41"/>
    <x v="2"/>
    <n v="150"/>
    <x v="2"/>
  </r>
  <r>
    <s v="P481"/>
    <n v="34"/>
    <x v="2"/>
    <x v="1"/>
    <s v="Hypertension"/>
    <s v="Not Reported"/>
    <s v="T001"/>
    <x v="3"/>
    <x v="1"/>
    <s v="6/25/2021"/>
    <s v="12/25/2022"/>
    <s v="50mg"/>
    <s v="Nausea, Fatigue, Headache"/>
    <s v="TR0138"/>
    <s v="50mg"/>
    <x v="0"/>
    <x v="1"/>
    <x v="105"/>
    <n v="1"/>
    <x v="1"/>
    <x v="0"/>
    <n v="1.51"/>
    <n v="4.0599999999999996"/>
    <x v="85"/>
    <n v="13.5"/>
    <x v="113"/>
    <x v="3"/>
    <n v="50"/>
    <x v="3"/>
  </r>
  <r>
    <s v="P482"/>
    <n v="55"/>
    <x v="0"/>
    <x v="0"/>
    <s v="Not Reported"/>
    <s v="EGFR Mutation"/>
    <s v="T008"/>
    <x v="1"/>
    <x v="1"/>
    <s v="9/4/2019"/>
    <s v="11/4/2020"/>
    <s v="200mg"/>
    <s v="Nausea, Fatigue"/>
    <s v="TR0073"/>
    <s v="200mg"/>
    <x v="1"/>
    <x v="3"/>
    <x v="131"/>
    <n v="0"/>
    <x v="0"/>
    <x v="0"/>
    <n v="1.22"/>
    <n v="4.8899999999999997"/>
    <x v="66"/>
    <n v="11.5"/>
    <x v="162"/>
    <x v="0"/>
    <n v="200"/>
    <x v="1"/>
  </r>
  <r>
    <s v="P483"/>
    <n v="52"/>
    <x v="2"/>
    <x v="2"/>
    <s v="Asthma"/>
    <s v="Not Reported"/>
    <s v="T005"/>
    <x v="0"/>
    <x v="1"/>
    <s v="2/17/2019"/>
    <s v="7/17/2020"/>
    <s v="200mg"/>
    <s v="Nausea"/>
    <s v="TR0191"/>
    <s v="200mg"/>
    <x v="2"/>
    <x v="2"/>
    <x v="72"/>
    <n v="0"/>
    <x v="3"/>
    <x v="1"/>
    <n v="1.92"/>
    <n v="1.01"/>
    <x v="55"/>
    <n v="23.4"/>
    <x v="61"/>
    <x v="0"/>
    <n v="200"/>
    <x v="1"/>
  </r>
  <r>
    <s v="P484"/>
    <n v="42"/>
    <x v="2"/>
    <x v="0"/>
    <s v="Not Reported"/>
    <s v="BRCA1 Mutation"/>
    <s v="T010"/>
    <x v="0"/>
    <x v="0"/>
    <s v="2/9/2020"/>
    <s v="6/9/2021"/>
    <s v="200mg"/>
    <s v="Not Reported, Headache"/>
    <s v="TR0024"/>
    <s v="200mg"/>
    <x v="0"/>
    <x v="0"/>
    <x v="123"/>
    <n v="1"/>
    <x v="4"/>
    <x v="1"/>
    <n v="3.65"/>
    <n v="3.97"/>
    <x v="59"/>
    <n v="13.6"/>
    <x v="135"/>
    <x v="0"/>
    <n v="200"/>
    <x v="3"/>
  </r>
  <r>
    <s v="P485"/>
    <n v="54"/>
    <x v="2"/>
    <x v="1"/>
    <s v="Heart Disease"/>
    <s v="BRCA1 Mutation"/>
    <s v="T016"/>
    <x v="3"/>
    <x v="3"/>
    <s v="12/4/2023"/>
    <s v="1/4/2025"/>
    <s v="100mg"/>
    <s v="Nausea, Headache, Dizziness"/>
    <s v="TR0115"/>
    <s v="100mg"/>
    <x v="1"/>
    <x v="0"/>
    <x v="50"/>
    <n v="0"/>
    <x v="3"/>
    <x v="1"/>
    <n v="2.2999999999999998"/>
    <n v="3.85"/>
    <x v="1"/>
    <n v="9.3000000000000007"/>
    <x v="160"/>
    <x v="1"/>
    <n v="100"/>
    <x v="1"/>
  </r>
  <r>
    <s v="P486"/>
    <n v="60"/>
    <x v="0"/>
    <x v="2"/>
    <s v="Hypertension"/>
    <s v="Not Reported"/>
    <s v="T007"/>
    <x v="3"/>
    <x v="2"/>
    <s v="3/13/2019"/>
    <s v="6/13/2020"/>
    <s v="200mg"/>
    <s v="Dizziness, Fatigue, Nausea"/>
    <s v="TR0197"/>
    <s v="200mg"/>
    <x v="1"/>
    <x v="4"/>
    <x v="35"/>
    <n v="0"/>
    <x v="4"/>
    <x v="1"/>
    <n v="4.6100000000000003"/>
    <n v="4.2300000000000004"/>
    <x v="51"/>
    <n v="19.600000000000001"/>
    <x v="124"/>
    <x v="0"/>
    <n v="200"/>
    <x v="1"/>
  </r>
  <r>
    <s v="P487"/>
    <n v="37"/>
    <x v="0"/>
    <x v="0"/>
    <s v="Heart Disease"/>
    <s v="Not Reported"/>
    <s v="T001"/>
    <x v="0"/>
    <x v="2"/>
    <s v="8/18/2023"/>
    <s v="9/18/2024"/>
    <s v="150mg"/>
    <s v="Fatigue, Not Reported, Dizziness"/>
    <s v="TR0182"/>
    <s v="150mg"/>
    <x v="1"/>
    <x v="2"/>
    <x v="148"/>
    <n v="0"/>
    <x v="3"/>
    <x v="0"/>
    <n v="3.36"/>
    <n v="3.64"/>
    <x v="27"/>
    <n v="15.8"/>
    <x v="97"/>
    <x v="2"/>
    <n v="150"/>
    <x v="3"/>
  </r>
  <r>
    <s v="P488"/>
    <n v="72"/>
    <x v="2"/>
    <x v="2"/>
    <s v="Asthma"/>
    <s v="BRCA1 Mutation"/>
    <s v="T006"/>
    <x v="1"/>
    <x v="2"/>
    <s v="8/28/2020"/>
    <s v="3/28/2021"/>
    <s v="50mg"/>
    <s v="Headache, Fatigue"/>
    <s v="TR0161"/>
    <s v="50mg"/>
    <x v="2"/>
    <x v="0"/>
    <x v="64"/>
    <n v="0"/>
    <x v="2"/>
    <x v="1"/>
    <n v="1.67"/>
    <n v="4.12"/>
    <x v="24"/>
    <n v="23.1"/>
    <x v="15"/>
    <x v="3"/>
    <n v="50"/>
    <x v="2"/>
  </r>
  <r>
    <s v="P489"/>
    <n v="69"/>
    <x v="0"/>
    <x v="0"/>
    <s v="Hypertension"/>
    <s v="TP53 Mutation"/>
    <s v="T009"/>
    <x v="0"/>
    <x v="3"/>
    <s v="11/6/2023"/>
    <s v="7/6/2024"/>
    <s v="150mg"/>
    <s v="Fatigue, Not Reported, Headache"/>
    <s v="TR0155"/>
    <s v="150mg"/>
    <x v="1"/>
    <x v="0"/>
    <x v="66"/>
    <n v="0"/>
    <x v="0"/>
    <x v="1"/>
    <n v="2.06"/>
    <n v="3.41"/>
    <x v="54"/>
    <n v="18.899999999999999"/>
    <x v="92"/>
    <x v="2"/>
    <n v="150"/>
    <x v="2"/>
  </r>
  <r>
    <s v="P490"/>
    <n v="35"/>
    <x v="0"/>
    <x v="1"/>
    <s v="Asthma"/>
    <s v="HER2 Mutation"/>
    <s v="T006"/>
    <x v="2"/>
    <x v="0"/>
    <s v="1/10/2019"/>
    <s v="6/10/2020"/>
    <s v="100mg"/>
    <s v="Nausea"/>
    <s v="TR0138"/>
    <s v="100mg"/>
    <x v="1"/>
    <x v="4"/>
    <x v="113"/>
    <n v="0"/>
    <x v="3"/>
    <x v="1"/>
    <n v="1.41"/>
    <n v="3.06"/>
    <x v="21"/>
    <n v="12.6"/>
    <x v="106"/>
    <x v="1"/>
    <n v="100"/>
    <x v="3"/>
  </r>
  <r>
    <s v="P491"/>
    <n v="38"/>
    <x v="0"/>
    <x v="0"/>
    <s v="Heart Disease"/>
    <s v="Not Reported"/>
    <s v="T012"/>
    <x v="1"/>
    <x v="2"/>
    <s v="5/27/2021"/>
    <s v="5/27/2022"/>
    <s v="150mg"/>
    <s v="Dizziness, Headache"/>
    <s v="TR0066"/>
    <s v="150mg"/>
    <x v="2"/>
    <x v="2"/>
    <x v="57"/>
    <n v="0"/>
    <x v="3"/>
    <x v="0"/>
    <n v="4.3099999999999996"/>
    <n v="3.79"/>
    <x v="79"/>
    <n v="14.3"/>
    <x v="48"/>
    <x v="2"/>
    <n v="150"/>
    <x v="3"/>
  </r>
  <r>
    <s v="P492"/>
    <n v="31"/>
    <x v="2"/>
    <x v="4"/>
    <s v="Not Reported"/>
    <s v="EGFR Mutation"/>
    <s v="T004"/>
    <x v="2"/>
    <x v="0"/>
    <s v="10/25/2021"/>
    <s v="1/25/2023"/>
    <s v="150mg"/>
    <s v="Dizziness, Headache, Nausea"/>
    <s v="TR0044"/>
    <s v="150mg"/>
    <x v="0"/>
    <x v="1"/>
    <x v="94"/>
    <n v="1"/>
    <x v="3"/>
    <x v="0"/>
    <n v="3.78"/>
    <n v="3.92"/>
    <x v="67"/>
    <n v="10.9"/>
    <x v="76"/>
    <x v="2"/>
    <n v="150"/>
    <x v="3"/>
  </r>
  <r>
    <s v="P493"/>
    <n v="36"/>
    <x v="0"/>
    <x v="3"/>
    <s v="Hypertension"/>
    <s v="BRCA1 Mutation"/>
    <s v="T005"/>
    <x v="3"/>
    <x v="0"/>
    <s v="6/10/2022"/>
    <s v="8/10/2023"/>
    <s v="50mg"/>
    <s v="Dizziness"/>
    <s v="TR0101"/>
    <s v="50mg"/>
    <x v="1"/>
    <x v="0"/>
    <x v="62"/>
    <n v="0"/>
    <x v="4"/>
    <x v="1"/>
    <n v="1.78"/>
    <n v="2.38"/>
    <x v="30"/>
    <n v="23.6"/>
    <x v="137"/>
    <x v="3"/>
    <n v="50"/>
    <x v="3"/>
  </r>
  <r>
    <s v="P494"/>
    <n v="84"/>
    <x v="1"/>
    <x v="1"/>
    <s v="Hypertension"/>
    <s v="Not Reported"/>
    <s v="T007"/>
    <x v="2"/>
    <x v="3"/>
    <s v="7/18/2020"/>
    <s v="8/18/2021"/>
    <s v="200mg"/>
    <s v="Not Reported, Nausea, Dizziness"/>
    <s v="TR0112"/>
    <s v="200mg"/>
    <x v="2"/>
    <x v="4"/>
    <x v="61"/>
    <n v="0"/>
    <x v="3"/>
    <x v="1"/>
    <n v="3.8"/>
    <n v="3.91"/>
    <x v="41"/>
    <n v="23"/>
    <x v="163"/>
    <x v="0"/>
    <n v="200"/>
    <x v="2"/>
  </r>
  <r>
    <s v="P495"/>
    <n v="77"/>
    <x v="2"/>
    <x v="0"/>
    <s v="Asthma"/>
    <s v="EGFR Mutation"/>
    <s v="T007"/>
    <x v="3"/>
    <x v="3"/>
    <s v="12/1/2020"/>
    <s v="9/1/2021"/>
    <s v="200mg"/>
    <s v="Dizziness, Fatigue"/>
    <s v="TR0002"/>
    <s v="200mg"/>
    <x v="2"/>
    <x v="4"/>
    <x v="130"/>
    <n v="0"/>
    <x v="3"/>
    <x v="1"/>
    <n v="2.52"/>
    <n v="1.65"/>
    <x v="76"/>
    <n v="19.2"/>
    <x v="65"/>
    <x v="0"/>
    <n v="200"/>
    <x v="2"/>
  </r>
  <r>
    <s v="P496"/>
    <n v="50"/>
    <x v="2"/>
    <x v="2"/>
    <s v="Heart Disease"/>
    <s v="TP53 Mutation"/>
    <s v="T016"/>
    <x v="3"/>
    <x v="1"/>
    <s v="5/21/2021"/>
    <s v="11/21/2021"/>
    <s v="50mg"/>
    <s v="Headache, Dizziness, Fatigue"/>
    <s v="TR0045"/>
    <s v="50mg"/>
    <x v="1"/>
    <x v="2"/>
    <x v="34"/>
    <n v="0"/>
    <x v="3"/>
    <x v="1"/>
    <n v="1.1000000000000001"/>
    <n v="4.3600000000000003"/>
    <x v="82"/>
    <n v="18.7"/>
    <x v="164"/>
    <x v="3"/>
    <n v="50"/>
    <x v="3"/>
  </r>
  <r>
    <s v="P497"/>
    <n v="21"/>
    <x v="2"/>
    <x v="4"/>
    <s v="Diabetes"/>
    <s v="Not Reported"/>
    <s v="T005"/>
    <x v="1"/>
    <x v="0"/>
    <s v="1/15/2019"/>
    <s v="5/15/2020"/>
    <s v="50mg"/>
    <s v="Nausea, Not Reported"/>
    <s v="TR0050"/>
    <s v="50mg"/>
    <x v="2"/>
    <x v="2"/>
    <x v="125"/>
    <n v="0"/>
    <x v="4"/>
    <x v="1"/>
    <n v="2.75"/>
    <n v="1.94"/>
    <x v="70"/>
    <n v="20.7"/>
    <x v="117"/>
    <x v="3"/>
    <n v="50"/>
    <x v="0"/>
  </r>
  <r>
    <s v="P498"/>
    <n v="39"/>
    <x v="2"/>
    <x v="0"/>
    <s v="Heart Disease"/>
    <s v="HER2 Mutation"/>
    <s v="T014"/>
    <x v="1"/>
    <x v="1"/>
    <s v="9/5/2020"/>
    <s v="2/5/2022"/>
    <s v="150mg"/>
    <s v="Fatigue"/>
    <s v="TR0114"/>
    <s v="150mg"/>
    <x v="0"/>
    <x v="4"/>
    <x v="47"/>
    <n v="1"/>
    <x v="2"/>
    <x v="1"/>
    <n v="4.87"/>
    <n v="1.21"/>
    <x v="69"/>
    <n v="18.899999999999999"/>
    <x v="5"/>
    <x v="2"/>
    <n v="150"/>
    <x v="3"/>
  </r>
  <r>
    <s v="P499"/>
    <n v="40"/>
    <x v="2"/>
    <x v="2"/>
    <s v="Not Reported"/>
    <s v="TP53 Mutation"/>
    <s v="T004"/>
    <x v="0"/>
    <x v="0"/>
    <s v="12/3/2023"/>
    <s v="3/3/2025"/>
    <s v="200mg"/>
    <s v="Nausea"/>
    <s v="TR0024"/>
    <s v="200mg"/>
    <x v="0"/>
    <x v="3"/>
    <x v="9"/>
    <n v="1"/>
    <x v="4"/>
    <x v="0"/>
    <n v="1.72"/>
    <n v="4.2"/>
    <x v="10"/>
    <n v="13.1"/>
    <x v="7"/>
    <x v="0"/>
    <n v="200"/>
    <x v="3"/>
  </r>
  <r>
    <s v="P500"/>
    <n v="39"/>
    <x v="0"/>
    <x v="4"/>
    <s v="Not Reported"/>
    <s v="BRCA2 Mutation"/>
    <s v="T010"/>
    <x v="2"/>
    <x v="2"/>
    <s v="1/13/2021"/>
    <s v="6/13/2022"/>
    <s v="150mg"/>
    <s v="Not Reported"/>
    <s v="TR0036"/>
    <s v="150mg"/>
    <x v="2"/>
    <x v="4"/>
    <x v="35"/>
    <n v="0"/>
    <x v="0"/>
    <x v="0"/>
    <n v="4.46"/>
    <n v="1.63"/>
    <x v="0"/>
    <n v="11.2"/>
    <x v="51"/>
    <x v="2"/>
    <n v="150"/>
    <x v="3"/>
  </r>
  <r>
    <s v="P501"/>
    <n v="52"/>
    <x v="0"/>
    <x v="4"/>
    <s v="Not Reported"/>
    <s v="HER2 Mutation"/>
    <s v="T009"/>
    <x v="1"/>
    <x v="0"/>
    <s v="10/12/2021"/>
    <s v="9/12/2022"/>
    <s v="200mg"/>
    <s v="Fatigue, Nausea, Not Reported"/>
    <s v="TR0099"/>
    <s v="200mg"/>
    <x v="0"/>
    <x v="2"/>
    <x v="98"/>
    <n v="1"/>
    <x v="0"/>
    <x v="1"/>
    <n v="3.69"/>
    <n v="4.1900000000000004"/>
    <x v="40"/>
    <n v="17.2"/>
    <x v="25"/>
    <x v="0"/>
    <n v="200"/>
    <x v="1"/>
  </r>
  <r>
    <s v="P502"/>
    <n v="62"/>
    <x v="2"/>
    <x v="0"/>
    <s v="Diabetes"/>
    <s v="EGFR Mutation"/>
    <s v="T018"/>
    <x v="0"/>
    <x v="1"/>
    <s v="4/9/2023"/>
    <s v="1/9/2024"/>
    <s v="200mg"/>
    <s v="Nausea, Dizziness"/>
    <s v="TR0133"/>
    <s v="200mg"/>
    <x v="2"/>
    <x v="1"/>
    <x v="62"/>
    <n v="0"/>
    <x v="0"/>
    <x v="1"/>
    <n v="4.33"/>
    <n v="4.62"/>
    <x v="82"/>
    <n v="18.100000000000001"/>
    <x v="139"/>
    <x v="0"/>
    <n v="200"/>
    <x v="1"/>
  </r>
  <r>
    <s v="P503"/>
    <n v="59"/>
    <x v="1"/>
    <x v="1"/>
    <s v="Asthma"/>
    <s v="Not Reported"/>
    <s v="T002"/>
    <x v="0"/>
    <x v="1"/>
    <s v="1/6/2021"/>
    <s v="1/6/2022"/>
    <s v="200mg"/>
    <s v="Not Reported, Nausea"/>
    <s v="TR0048"/>
    <s v="200mg"/>
    <x v="1"/>
    <x v="4"/>
    <x v="144"/>
    <n v="0"/>
    <x v="1"/>
    <x v="0"/>
    <n v="3.2"/>
    <n v="2.15"/>
    <x v="0"/>
    <n v="12.4"/>
    <x v="38"/>
    <x v="0"/>
    <n v="200"/>
    <x v="1"/>
  </r>
  <r>
    <s v="P504"/>
    <n v="20"/>
    <x v="1"/>
    <x v="1"/>
    <s v="Asthma"/>
    <s v="Not Reported"/>
    <s v="T014"/>
    <x v="3"/>
    <x v="0"/>
    <s v="5/24/2020"/>
    <s v="4/24/2021"/>
    <s v="150mg"/>
    <s v="Headache, Not Reported"/>
    <s v="TR0011"/>
    <s v="150mg"/>
    <x v="0"/>
    <x v="2"/>
    <x v="21"/>
    <n v="1"/>
    <x v="1"/>
    <x v="1"/>
    <n v="2.34"/>
    <n v="3.93"/>
    <x v="14"/>
    <n v="7.2"/>
    <x v="107"/>
    <x v="2"/>
    <n v="150"/>
    <x v="0"/>
  </r>
  <r>
    <s v="P505"/>
    <n v="52"/>
    <x v="2"/>
    <x v="3"/>
    <s v="Heart Disease"/>
    <s v="EGFR Mutation"/>
    <s v="T006"/>
    <x v="0"/>
    <x v="2"/>
    <s v="3/5/2023"/>
    <s v="7/5/2024"/>
    <s v="150mg"/>
    <s v="Nausea"/>
    <s v="TR0080"/>
    <s v="150mg"/>
    <x v="0"/>
    <x v="4"/>
    <x v="121"/>
    <n v="1"/>
    <x v="1"/>
    <x v="0"/>
    <n v="2.14"/>
    <n v="2.73"/>
    <x v="86"/>
    <n v="12"/>
    <x v="98"/>
    <x v="2"/>
    <n v="150"/>
    <x v="1"/>
  </r>
  <r>
    <s v="P506"/>
    <n v="76"/>
    <x v="0"/>
    <x v="4"/>
    <s v="Diabetes"/>
    <s v="Not Reported"/>
    <s v="T010"/>
    <x v="0"/>
    <x v="1"/>
    <s v="4/28/2020"/>
    <s v="1/28/2021"/>
    <s v="200mg"/>
    <s v="Fatigue"/>
    <s v="TR0040"/>
    <s v="200mg"/>
    <x v="2"/>
    <x v="2"/>
    <x v="99"/>
    <n v="0"/>
    <x v="3"/>
    <x v="1"/>
    <n v="2.5"/>
    <n v="4.78"/>
    <x v="45"/>
    <n v="18.100000000000001"/>
    <x v="55"/>
    <x v="0"/>
    <n v="200"/>
    <x v="2"/>
  </r>
  <r>
    <s v="P507"/>
    <n v="38"/>
    <x v="1"/>
    <x v="2"/>
    <s v="Asthma"/>
    <s v="Not Reported"/>
    <s v="T013"/>
    <x v="2"/>
    <x v="0"/>
    <s v="8/23/2022"/>
    <s v="5/23/2023"/>
    <s v="50mg"/>
    <s v="Fatigue, Not Reported"/>
    <s v="TR0196"/>
    <s v="50mg"/>
    <x v="0"/>
    <x v="0"/>
    <x v="43"/>
    <n v="1"/>
    <x v="4"/>
    <x v="1"/>
    <n v="1.8"/>
    <n v="2.67"/>
    <x v="65"/>
    <n v="7.8"/>
    <x v="165"/>
    <x v="3"/>
    <n v="50"/>
    <x v="3"/>
  </r>
  <r>
    <s v="P508"/>
    <n v="68"/>
    <x v="2"/>
    <x v="2"/>
    <s v="Not Reported"/>
    <s v="EGFR Mutation"/>
    <s v="T001"/>
    <x v="2"/>
    <x v="2"/>
    <s v="6/12/2020"/>
    <s v="5/12/2021"/>
    <s v="50mg"/>
    <s v="Dizziness, Headache, Nausea"/>
    <s v="TR0166"/>
    <s v="50mg"/>
    <x v="0"/>
    <x v="1"/>
    <x v="68"/>
    <n v="1"/>
    <x v="0"/>
    <x v="0"/>
    <n v="2.11"/>
    <n v="2.73"/>
    <x v="84"/>
    <n v="7.2"/>
    <x v="125"/>
    <x v="3"/>
    <n v="50"/>
    <x v="2"/>
  </r>
  <r>
    <s v="P509"/>
    <n v="45"/>
    <x v="1"/>
    <x v="3"/>
    <s v="Hypertension"/>
    <s v="BRCA2 Mutation"/>
    <s v="T014"/>
    <x v="2"/>
    <x v="3"/>
    <s v="7/22/2021"/>
    <s v="8/22/2022"/>
    <s v="50mg"/>
    <s v="Headache, Fatigue"/>
    <s v="TR0042"/>
    <s v="50mg"/>
    <x v="1"/>
    <x v="2"/>
    <x v="21"/>
    <n v="0"/>
    <x v="1"/>
    <x v="0"/>
    <n v="1.72"/>
    <n v="4.88"/>
    <x v="57"/>
    <n v="13.3"/>
    <x v="70"/>
    <x v="3"/>
    <n v="50"/>
    <x v="3"/>
  </r>
  <r>
    <s v="P510"/>
    <n v="62"/>
    <x v="2"/>
    <x v="2"/>
    <s v="Asthma"/>
    <s v="Not Reported"/>
    <s v="T001"/>
    <x v="2"/>
    <x v="3"/>
    <s v="10/17/2020"/>
    <s v="10/17/2021"/>
    <s v="200mg"/>
    <s v="Headache"/>
    <s v="TR0168"/>
    <s v="200mg"/>
    <x v="2"/>
    <x v="0"/>
    <x v="6"/>
    <n v="0"/>
    <x v="3"/>
    <x v="1"/>
    <n v="3.82"/>
    <n v="2.69"/>
    <x v="42"/>
    <n v="13.2"/>
    <x v="87"/>
    <x v="0"/>
    <n v="200"/>
    <x v="1"/>
  </r>
  <r>
    <s v="P511"/>
    <n v="72"/>
    <x v="1"/>
    <x v="2"/>
    <s v="Heart Disease"/>
    <s v="Not Reported"/>
    <s v="T015"/>
    <x v="0"/>
    <x v="0"/>
    <s v="9/12/2021"/>
    <s v="4/12/2022"/>
    <s v="100mg"/>
    <s v="Dizziness, Headache"/>
    <s v="TR0173"/>
    <s v="100mg"/>
    <x v="0"/>
    <x v="1"/>
    <x v="91"/>
    <n v="1"/>
    <x v="4"/>
    <x v="1"/>
    <n v="1.82"/>
    <n v="2.93"/>
    <x v="58"/>
    <n v="11.2"/>
    <x v="103"/>
    <x v="1"/>
    <n v="100"/>
    <x v="2"/>
  </r>
  <r>
    <s v="P512"/>
    <n v="43"/>
    <x v="2"/>
    <x v="1"/>
    <s v="Asthma"/>
    <s v="HER2 Mutation"/>
    <s v="T010"/>
    <x v="1"/>
    <x v="1"/>
    <s v="8/12/2022"/>
    <s v="2/12/2023"/>
    <s v="150mg"/>
    <s v="Headache, Not Reported"/>
    <s v="TR0173"/>
    <s v="150mg"/>
    <x v="1"/>
    <x v="3"/>
    <x v="78"/>
    <n v="0"/>
    <x v="4"/>
    <x v="0"/>
    <n v="4.87"/>
    <n v="3.41"/>
    <x v="27"/>
    <n v="7.4"/>
    <x v="145"/>
    <x v="2"/>
    <n v="150"/>
    <x v="3"/>
  </r>
  <r>
    <s v="P513"/>
    <n v="55"/>
    <x v="1"/>
    <x v="3"/>
    <s v="Hypertension"/>
    <s v="TP53 Mutation"/>
    <s v="T002"/>
    <x v="1"/>
    <x v="3"/>
    <s v="9/24/2019"/>
    <s v="9/24/2020"/>
    <s v="100mg"/>
    <s v="Nausea"/>
    <s v="TR0137"/>
    <s v="100mg"/>
    <x v="0"/>
    <x v="1"/>
    <x v="114"/>
    <n v="1"/>
    <x v="1"/>
    <x v="1"/>
    <n v="2.19"/>
    <n v="1.37"/>
    <x v="80"/>
    <n v="17.2"/>
    <x v="129"/>
    <x v="1"/>
    <n v="100"/>
    <x v="1"/>
  </r>
  <r>
    <s v="P514"/>
    <n v="53"/>
    <x v="1"/>
    <x v="3"/>
    <s v="Heart Disease"/>
    <s v="EGFR Mutation"/>
    <s v="T019"/>
    <x v="3"/>
    <x v="1"/>
    <s v="6/12/2019"/>
    <s v="12/12/2019"/>
    <s v="100mg"/>
    <s v="Nausea, Headache, Not Reported"/>
    <s v="TR0186"/>
    <s v="100mg"/>
    <x v="0"/>
    <x v="4"/>
    <x v="137"/>
    <n v="1"/>
    <x v="1"/>
    <x v="1"/>
    <n v="2.0699999999999998"/>
    <n v="1.06"/>
    <x v="4"/>
    <n v="10.5"/>
    <x v="134"/>
    <x v="1"/>
    <n v="100"/>
    <x v="1"/>
  </r>
  <r>
    <s v="P515"/>
    <n v="20"/>
    <x v="0"/>
    <x v="0"/>
    <s v="Hypertension"/>
    <s v="Not Reported"/>
    <s v="T014"/>
    <x v="1"/>
    <x v="2"/>
    <s v="5/10/2023"/>
    <s v="8/10/2024"/>
    <s v="100mg"/>
    <s v="Nausea, Not Reported, Headache"/>
    <s v="TR0122"/>
    <s v="100mg"/>
    <x v="0"/>
    <x v="0"/>
    <x v="120"/>
    <n v="1"/>
    <x v="0"/>
    <x v="1"/>
    <n v="3.83"/>
    <n v="3.44"/>
    <x v="0"/>
    <n v="10.9"/>
    <x v="68"/>
    <x v="1"/>
    <n v="100"/>
    <x v="0"/>
  </r>
  <r>
    <s v="P516"/>
    <n v="82"/>
    <x v="2"/>
    <x v="2"/>
    <s v="Heart Disease"/>
    <s v="BRCA2 Mutation"/>
    <s v="T010"/>
    <x v="0"/>
    <x v="1"/>
    <s v="4/1/2022"/>
    <s v="10/1/2023"/>
    <s v="200mg"/>
    <s v="Fatigue, Not Reported, Dizziness"/>
    <s v="TR0119"/>
    <s v="200mg"/>
    <x v="2"/>
    <x v="4"/>
    <x v="113"/>
    <n v="0"/>
    <x v="0"/>
    <x v="0"/>
    <n v="4.46"/>
    <n v="4.79"/>
    <x v="57"/>
    <n v="8.8000000000000007"/>
    <x v="46"/>
    <x v="0"/>
    <n v="200"/>
    <x v="2"/>
  </r>
  <r>
    <s v="P517"/>
    <n v="20"/>
    <x v="2"/>
    <x v="0"/>
    <s v="Diabetes"/>
    <s v="TP53 Mutation"/>
    <s v="T020"/>
    <x v="3"/>
    <x v="0"/>
    <s v="6/18/2023"/>
    <s v="6/18/2024"/>
    <s v="200mg"/>
    <s v="Nausea, Not Reported, Fatigue"/>
    <s v="TR0082"/>
    <s v="200mg"/>
    <x v="1"/>
    <x v="0"/>
    <x v="72"/>
    <n v="0"/>
    <x v="1"/>
    <x v="1"/>
    <n v="3.95"/>
    <n v="4.53"/>
    <x v="81"/>
    <n v="16.600000000000001"/>
    <x v="157"/>
    <x v="0"/>
    <n v="200"/>
    <x v="0"/>
  </r>
  <r>
    <s v="P518"/>
    <n v="44"/>
    <x v="2"/>
    <x v="4"/>
    <s v="Asthma"/>
    <s v="BRCA1 Mutation"/>
    <s v="T019"/>
    <x v="1"/>
    <x v="0"/>
    <s v="6/3/2023"/>
    <s v="3/3/2024"/>
    <s v="150mg"/>
    <s v="Not Reported, Dizziness"/>
    <s v="TR0116"/>
    <s v="150mg"/>
    <x v="2"/>
    <x v="0"/>
    <x v="60"/>
    <n v="0"/>
    <x v="0"/>
    <x v="0"/>
    <n v="3.72"/>
    <n v="2.63"/>
    <x v="82"/>
    <n v="16.5"/>
    <x v="19"/>
    <x v="2"/>
    <n v="150"/>
    <x v="3"/>
  </r>
  <r>
    <s v="P519"/>
    <n v="63"/>
    <x v="2"/>
    <x v="3"/>
    <s v="Asthma"/>
    <s v="Not Reported"/>
    <s v="T001"/>
    <x v="0"/>
    <x v="0"/>
    <s v="7/18/2020"/>
    <s v="3/18/2021"/>
    <s v="200mg"/>
    <s v="Nausea, Dizziness, Fatigue"/>
    <s v="TR0056"/>
    <s v="200mg"/>
    <x v="0"/>
    <x v="3"/>
    <x v="87"/>
    <n v="1"/>
    <x v="4"/>
    <x v="0"/>
    <n v="2.8"/>
    <n v="4.83"/>
    <x v="14"/>
    <n v="21.1"/>
    <x v="30"/>
    <x v="0"/>
    <n v="200"/>
    <x v="1"/>
  </r>
  <r>
    <s v="P520"/>
    <n v="38"/>
    <x v="2"/>
    <x v="3"/>
    <s v="Heart Disease"/>
    <s v="BRCA2 Mutation"/>
    <s v="T014"/>
    <x v="0"/>
    <x v="3"/>
    <s v="11/4/2021"/>
    <s v="3/4/2023"/>
    <s v="150mg"/>
    <s v="Dizziness, Headache, Nausea"/>
    <s v="TR0104"/>
    <s v="150mg"/>
    <x v="1"/>
    <x v="0"/>
    <x v="13"/>
    <n v="0"/>
    <x v="1"/>
    <x v="0"/>
    <n v="3.69"/>
    <n v="4.91"/>
    <x v="75"/>
    <n v="6.1"/>
    <x v="109"/>
    <x v="2"/>
    <n v="150"/>
    <x v="3"/>
  </r>
  <r>
    <s v="P521"/>
    <n v="40"/>
    <x v="1"/>
    <x v="0"/>
    <s v="Hypertension"/>
    <s v="Not Reported"/>
    <s v="T011"/>
    <x v="3"/>
    <x v="2"/>
    <s v="7/19/2019"/>
    <s v="11/19/2020"/>
    <s v="200mg"/>
    <s v="Headache, Fatigue"/>
    <s v="TR0163"/>
    <s v="200mg"/>
    <x v="0"/>
    <x v="2"/>
    <x v="42"/>
    <n v="1"/>
    <x v="0"/>
    <x v="0"/>
    <n v="1.37"/>
    <n v="3.99"/>
    <x v="52"/>
    <n v="13.8"/>
    <x v="12"/>
    <x v="0"/>
    <n v="200"/>
    <x v="3"/>
  </r>
  <r>
    <s v="P522"/>
    <n v="70"/>
    <x v="0"/>
    <x v="0"/>
    <s v="Heart Disease"/>
    <s v="EGFR Mutation"/>
    <s v="T016"/>
    <x v="1"/>
    <x v="3"/>
    <s v="12/20/2019"/>
    <s v="6/20/2021"/>
    <s v="200mg"/>
    <s v="Dizziness, Fatigue, Nausea"/>
    <s v="TR0118"/>
    <s v="200mg"/>
    <x v="1"/>
    <x v="1"/>
    <x v="46"/>
    <n v="0"/>
    <x v="1"/>
    <x v="0"/>
    <n v="2.74"/>
    <n v="3.89"/>
    <x v="82"/>
    <n v="16.600000000000001"/>
    <x v="166"/>
    <x v="0"/>
    <n v="200"/>
    <x v="2"/>
  </r>
  <r>
    <s v="P523"/>
    <n v="59"/>
    <x v="0"/>
    <x v="0"/>
    <s v="Hypertension"/>
    <s v="Not Reported"/>
    <s v="T007"/>
    <x v="3"/>
    <x v="0"/>
    <s v="11/20/2020"/>
    <s v="12/20/2021"/>
    <s v="100mg"/>
    <s v="Headache"/>
    <s v="TR0129"/>
    <s v="100mg"/>
    <x v="2"/>
    <x v="3"/>
    <x v="130"/>
    <n v="0"/>
    <x v="0"/>
    <x v="0"/>
    <n v="3.55"/>
    <n v="1.97"/>
    <x v="79"/>
    <n v="7.6"/>
    <x v="153"/>
    <x v="1"/>
    <n v="100"/>
    <x v="1"/>
  </r>
  <r>
    <s v="P524"/>
    <n v="77"/>
    <x v="2"/>
    <x v="2"/>
    <s v="Hypertension"/>
    <s v="Not Reported"/>
    <s v="T014"/>
    <x v="3"/>
    <x v="0"/>
    <s v="7/9/2019"/>
    <s v="12/9/2020"/>
    <s v="50mg"/>
    <s v="Dizziness, Nausea, Fatigue"/>
    <s v="TR0124"/>
    <s v="50mg"/>
    <x v="2"/>
    <x v="3"/>
    <x v="27"/>
    <n v="0"/>
    <x v="1"/>
    <x v="0"/>
    <n v="4.51"/>
    <n v="3.95"/>
    <x v="82"/>
    <n v="10.5"/>
    <x v="159"/>
    <x v="3"/>
    <n v="50"/>
    <x v="2"/>
  </r>
  <r>
    <s v="P525"/>
    <n v="64"/>
    <x v="1"/>
    <x v="1"/>
    <s v="Asthma"/>
    <s v="BRCA1 Mutation"/>
    <s v="T004"/>
    <x v="2"/>
    <x v="3"/>
    <s v="2/24/2023"/>
    <s v="10/24/2023"/>
    <s v="150mg"/>
    <s v="Not Reported, Fatigue"/>
    <s v="TR0063"/>
    <s v="150mg"/>
    <x v="1"/>
    <x v="1"/>
    <x v="56"/>
    <n v="0"/>
    <x v="3"/>
    <x v="1"/>
    <n v="2.08"/>
    <n v="1.99"/>
    <x v="32"/>
    <n v="14.3"/>
    <x v="70"/>
    <x v="2"/>
    <n v="150"/>
    <x v="1"/>
  </r>
  <r>
    <s v="P526"/>
    <n v="27"/>
    <x v="1"/>
    <x v="3"/>
    <s v="Diabetes"/>
    <s v="Not Reported"/>
    <s v="T011"/>
    <x v="0"/>
    <x v="0"/>
    <s v="8/23/2021"/>
    <s v="6/23/2022"/>
    <s v="150mg"/>
    <s v="Nausea, Fatigue, Dizziness"/>
    <s v="TR0134"/>
    <s v="150mg"/>
    <x v="1"/>
    <x v="3"/>
    <x v="8"/>
    <n v="0"/>
    <x v="4"/>
    <x v="1"/>
    <n v="3.43"/>
    <n v="3.69"/>
    <x v="27"/>
    <n v="23.1"/>
    <x v="4"/>
    <x v="2"/>
    <n v="150"/>
    <x v="0"/>
  </r>
  <r>
    <s v="P527"/>
    <n v="55"/>
    <x v="1"/>
    <x v="4"/>
    <s v="Heart Disease"/>
    <s v="Not Reported"/>
    <s v="T016"/>
    <x v="3"/>
    <x v="3"/>
    <s v="12/26/2020"/>
    <s v="5/26/2022"/>
    <s v="100mg"/>
    <s v="Dizziness"/>
    <s v="TR0075"/>
    <s v="100mg"/>
    <x v="1"/>
    <x v="4"/>
    <x v="131"/>
    <n v="0"/>
    <x v="3"/>
    <x v="0"/>
    <n v="4.22"/>
    <n v="4.29"/>
    <x v="2"/>
    <n v="15.8"/>
    <x v="153"/>
    <x v="1"/>
    <n v="100"/>
    <x v="1"/>
  </r>
  <r>
    <s v="P528"/>
    <n v="56"/>
    <x v="0"/>
    <x v="1"/>
    <s v="Hypertension"/>
    <s v="EGFR Mutation"/>
    <s v="T017"/>
    <x v="3"/>
    <x v="0"/>
    <s v="3/12/2023"/>
    <s v="7/12/2024"/>
    <s v="100mg"/>
    <s v="Dizziness, Not Reported, Headache"/>
    <s v="TR0096"/>
    <s v="100mg"/>
    <x v="1"/>
    <x v="0"/>
    <x v="146"/>
    <n v="0"/>
    <x v="2"/>
    <x v="1"/>
    <n v="3.47"/>
    <n v="3.97"/>
    <x v="55"/>
    <n v="15.4"/>
    <x v="119"/>
    <x v="1"/>
    <n v="100"/>
    <x v="1"/>
  </r>
  <r>
    <s v="P529"/>
    <n v="40"/>
    <x v="1"/>
    <x v="3"/>
    <s v="Hypertension"/>
    <s v="Not Reported"/>
    <s v="T003"/>
    <x v="0"/>
    <x v="2"/>
    <s v="4/8/2021"/>
    <s v="12/8/2021"/>
    <s v="150mg"/>
    <s v="Nausea, Fatigue, Headache"/>
    <s v="TR0128"/>
    <s v="150mg"/>
    <x v="1"/>
    <x v="2"/>
    <x v="119"/>
    <n v="0"/>
    <x v="2"/>
    <x v="0"/>
    <n v="2.48"/>
    <n v="4.68"/>
    <x v="24"/>
    <n v="15.7"/>
    <x v="91"/>
    <x v="2"/>
    <n v="150"/>
    <x v="3"/>
  </r>
  <r>
    <s v="P530"/>
    <n v="43"/>
    <x v="1"/>
    <x v="2"/>
    <s v="Asthma"/>
    <s v="Not Reported"/>
    <s v="T011"/>
    <x v="1"/>
    <x v="3"/>
    <s v="9/28/2023"/>
    <s v="2/28/2025"/>
    <s v="50mg"/>
    <s v="Headache"/>
    <s v="TR0146"/>
    <s v="50mg"/>
    <x v="2"/>
    <x v="1"/>
    <x v="128"/>
    <n v="0"/>
    <x v="4"/>
    <x v="0"/>
    <n v="2.4700000000000002"/>
    <n v="4.58"/>
    <x v="9"/>
    <n v="20.2"/>
    <x v="54"/>
    <x v="3"/>
    <n v="50"/>
    <x v="3"/>
  </r>
  <r>
    <s v="P531"/>
    <n v="49"/>
    <x v="0"/>
    <x v="3"/>
    <s v="Diabetes"/>
    <s v="EGFR Mutation"/>
    <s v="T009"/>
    <x v="0"/>
    <x v="1"/>
    <s v="12/27/2020"/>
    <s v="7/27/2021"/>
    <s v="100mg"/>
    <s v="Not Reported, Nausea, Headache"/>
    <s v="TR0059"/>
    <s v="100mg"/>
    <x v="0"/>
    <x v="2"/>
    <x v="84"/>
    <n v="1"/>
    <x v="1"/>
    <x v="1"/>
    <n v="3.52"/>
    <n v="1.99"/>
    <x v="70"/>
    <n v="13.7"/>
    <x v="123"/>
    <x v="1"/>
    <n v="100"/>
    <x v="3"/>
  </r>
  <r>
    <s v="P532"/>
    <n v="30"/>
    <x v="2"/>
    <x v="2"/>
    <s v="Not Reported"/>
    <s v="Not Reported"/>
    <s v="T003"/>
    <x v="2"/>
    <x v="0"/>
    <s v="8/3/2019"/>
    <s v="9/3/2020"/>
    <s v="100mg"/>
    <s v="Dizziness"/>
    <s v="TR0151"/>
    <s v="100mg"/>
    <x v="0"/>
    <x v="2"/>
    <x v="102"/>
    <n v="1"/>
    <x v="4"/>
    <x v="0"/>
    <n v="3.6"/>
    <n v="4.75"/>
    <x v="32"/>
    <n v="20.8"/>
    <x v="95"/>
    <x v="1"/>
    <n v="100"/>
    <x v="0"/>
  </r>
  <r>
    <s v="P533"/>
    <n v="73"/>
    <x v="0"/>
    <x v="3"/>
    <s v="Diabetes"/>
    <s v="Not Reported"/>
    <s v="T020"/>
    <x v="3"/>
    <x v="1"/>
    <s v="7/20/2021"/>
    <s v="5/20/2022"/>
    <s v="200mg"/>
    <s v="Fatigue, Not Reported, Headache"/>
    <s v="TR0124"/>
    <s v="200mg"/>
    <x v="2"/>
    <x v="4"/>
    <x v="109"/>
    <n v="0"/>
    <x v="4"/>
    <x v="0"/>
    <n v="2.78"/>
    <n v="1.0900000000000001"/>
    <x v="54"/>
    <n v="15"/>
    <x v="98"/>
    <x v="0"/>
    <n v="200"/>
    <x v="2"/>
  </r>
  <r>
    <s v="P534"/>
    <n v="61"/>
    <x v="1"/>
    <x v="1"/>
    <s v="Heart Disease"/>
    <s v="HER2 Mutation"/>
    <s v="T004"/>
    <x v="2"/>
    <x v="0"/>
    <s v="6/17/2019"/>
    <s v="7/17/2020"/>
    <s v="200mg"/>
    <s v="Fatigue"/>
    <s v="TR0017"/>
    <s v="200mg"/>
    <x v="1"/>
    <x v="4"/>
    <x v="113"/>
    <n v="0"/>
    <x v="1"/>
    <x v="1"/>
    <n v="2.96"/>
    <n v="4.71"/>
    <x v="75"/>
    <n v="19.8"/>
    <x v="28"/>
    <x v="0"/>
    <n v="200"/>
    <x v="1"/>
  </r>
  <r>
    <s v="P535"/>
    <n v="41"/>
    <x v="0"/>
    <x v="2"/>
    <s v="Diabetes"/>
    <s v="EGFR Mutation"/>
    <s v="T010"/>
    <x v="0"/>
    <x v="0"/>
    <s v="11/10/2019"/>
    <s v="2/10/2021"/>
    <s v="100mg"/>
    <s v="Fatigue, Not Reported, Nausea"/>
    <s v="TR0050"/>
    <s v="100mg"/>
    <x v="1"/>
    <x v="1"/>
    <x v="95"/>
    <n v="0"/>
    <x v="2"/>
    <x v="0"/>
    <n v="3.62"/>
    <n v="2.04"/>
    <x v="26"/>
    <n v="8.9"/>
    <x v="119"/>
    <x v="1"/>
    <n v="100"/>
    <x v="3"/>
  </r>
  <r>
    <s v="P536"/>
    <n v="59"/>
    <x v="2"/>
    <x v="3"/>
    <s v="Heart Disease"/>
    <s v="Not Reported"/>
    <s v="T009"/>
    <x v="2"/>
    <x v="3"/>
    <s v="5/12/2022"/>
    <s v="1/12/2023"/>
    <s v="150mg"/>
    <s v="Not Reported, Dizziness"/>
    <s v="TR0116"/>
    <s v="150mg"/>
    <x v="1"/>
    <x v="0"/>
    <x v="50"/>
    <n v="0"/>
    <x v="1"/>
    <x v="1"/>
    <n v="1.74"/>
    <n v="3.66"/>
    <x v="37"/>
    <n v="20.7"/>
    <x v="0"/>
    <x v="2"/>
    <n v="150"/>
    <x v="1"/>
  </r>
  <r>
    <s v="P537"/>
    <n v="18"/>
    <x v="1"/>
    <x v="2"/>
    <s v="Asthma"/>
    <s v="BRCA2 Mutation"/>
    <s v="T015"/>
    <x v="0"/>
    <x v="1"/>
    <s v="4/22/2020"/>
    <s v="9/22/2021"/>
    <s v="150mg"/>
    <s v="Not Reported, Nausea"/>
    <s v="TR0083"/>
    <s v="150mg"/>
    <x v="1"/>
    <x v="0"/>
    <x v="43"/>
    <n v="0"/>
    <x v="2"/>
    <x v="0"/>
    <n v="1.44"/>
    <n v="2.16"/>
    <x v="0"/>
    <n v="10.5"/>
    <x v="125"/>
    <x v="2"/>
    <n v="150"/>
    <x v="0"/>
  </r>
  <r>
    <s v="P538"/>
    <n v="45"/>
    <x v="2"/>
    <x v="1"/>
    <s v="Asthma"/>
    <s v="Not Reported"/>
    <s v="T004"/>
    <x v="1"/>
    <x v="2"/>
    <s v="6/24/2020"/>
    <s v="7/24/2021"/>
    <s v="200mg"/>
    <s v="Headache"/>
    <s v="TR0177"/>
    <s v="200mg"/>
    <x v="2"/>
    <x v="0"/>
    <x v="28"/>
    <n v="0"/>
    <x v="4"/>
    <x v="1"/>
    <n v="3.14"/>
    <n v="2.4300000000000002"/>
    <x v="74"/>
    <n v="20.9"/>
    <x v="40"/>
    <x v="0"/>
    <n v="200"/>
    <x v="3"/>
  </r>
  <r>
    <s v="P539"/>
    <n v="25"/>
    <x v="0"/>
    <x v="2"/>
    <s v="Not Reported"/>
    <s v="TP53 Mutation"/>
    <s v="T015"/>
    <x v="0"/>
    <x v="1"/>
    <s v="3/24/2022"/>
    <s v="10/24/2022"/>
    <s v="150mg"/>
    <s v="Headache, Fatigue, Nausea"/>
    <s v="TR0151"/>
    <s v="150mg"/>
    <x v="1"/>
    <x v="2"/>
    <x v="57"/>
    <n v="0"/>
    <x v="2"/>
    <x v="0"/>
    <n v="2.23"/>
    <n v="4.66"/>
    <x v="78"/>
    <n v="11.9"/>
    <x v="10"/>
    <x v="2"/>
    <n v="150"/>
    <x v="0"/>
  </r>
  <r>
    <s v="P540"/>
    <n v="74"/>
    <x v="0"/>
    <x v="0"/>
    <s v="Heart Disease"/>
    <s v="Not Reported"/>
    <s v="T009"/>
    <x v="0"/>
    <x v="1"/>
    <s v="2/28/2020"/>
    <s v="8/28/2021"/>
    <s v="150mg"/>
    <s v="Headache, Fatigue"/>
    <s v="TR0048"/>
    <s v="150mg"/>
    <x v="1"/>
    <x v="0"/>
    <x v="131"/>
    <n v="0"/>
    <x v="1"/>
    <x v="1"/>
    <n v="3.02"/>
    <n v="4.76"/>
    <x v="37"/>
    <n v="7.8"/>
    <x v="124"/>
    <x v="2"/>
    <n v="150"/>
    <x v="2"/>
  </r>
  <r>
    <s v="P541"/>
    <n v="60"/>
    <x v="0"/>
    <x v="0"/>
    <s v="Not Reported"/>
    <s v="Not Reported"/>
    <s v="T001"/>
    <x v="2"/>
    <x v="1"/>
    <s v="7/13/2022"/>
    <s v="1/13/2024"/>
    <s v="200mg"/>
    <s v="Dizziness"/>
    <s v="TR0016"/>
    <s v="200mg"/>
    <x v="2"/>
    <x v="4"/>
    <x v="125"/>
    <n v="0"/>
    <x v="2"/>
    <x v="1"/>
    <n v="3.21"/>
    <n v="3.01"/>
    <x v="63"/>
    <n v="21.5"/>
    <x v="134"/>
    <x v="0"/>
    <n v="200"/>
    <x v="1"/>
  </r>
  <r>
    <s v="P542"/>
    <n v="22"/>
    <x v="2"/>
    <x v="0"/>
    <s v="Heart Disease"/>
    <s v="EGFR Mutation"/>
    <s v="T011"/>
    <x v="1"/>
    <x v="1"/>
    <s v="2/18/2023"/>
    <s v="8/18/2024"/>
    <s v="50mg"/>
    <s v="Fatigue, Nausea, Not Reported"/>
    <s v="TR0120"/>
    <s v="50mg"/>
    <x v="2"/>
    <x v="1"/>
    <x v="81"/>
    <n v="0"/>
    <x v="1"/>
    <x v="1"/>
    <n v="4.3499999999999996"/>
    <n v="4.4400000000000004"/>
    <x v="20"/>
    <n v="13.9"/>
    <x v="166"/>
    <x v="3"/>
    <n v="50"/>
    <x v="0"/>
  </r>
  <r>
    <s v="P543"/>
    <n v="77"/>
    <x v="1"/>
    <x v="4"/>
    <s v="Not Reported"/>
    <s v="EGFR Mutation"/>
    <s v="T011"/>
    <x v="3"/>
    <x v="0"/>
    <s v="7/19/2019"/>
    <s v="5/19/2020"/>
    <s v="50mg"/>
    <s v="Headache, Nausea, Dizziness"/>
    <s v="TR0058"/>
    <s v="50mg"/>
    <x v="1"/>
    <x v="0"/>
    <x v="72"/>
    <n v="0"/>
    <x v="4"/>
    <x v="0"/>
    <n v="1.64"/>
    <n v="3.69"/>
    <x v="17"/>
    <n v="18.5"/>
    <x v="37"/>
    <x v="3"/>
    <n v="50"/>
    <x v="2"/>
  </r>
  <r>
    <s v="P544"/>
    <n v="59"/>
    <x v="2"/>
    <x v="3"/>
    <s v="Diabetes"/>
    <s v="Not Reported"/>
    <s v="T019"/>
    <x v="0"/>
    <x v="2"/>
    <s v="3/7/2020"/>
    <s v="1/7/2021"/>
    <s v="100mg"/>
    <s v="Nausea"/>
    <s v="TR0137"/>
    <s v="100mg"/>
    <x v="2"/>
    <x v="3"/>
    <x v="132"/>
    <n v="0"/>
    <x v="2"/>
    <x v="1"/>
    <n v="1.47"/>
    <n v="1.66"/>
    <x v="85"/>
    <n v="18.899999999999999"/>
    <x v="70"/>
    <x v="1"/>
    <n v="100"/>
    <x v="1"/>
  </r>
  <r>
    <s v="P545"/>
    <n v="26"/>
    <x v="1"/>
    <x v="0"/>
    <s v="Diabetes"/>
    <s v="Not Reported"/>
    <s v="T007"/>
    <x v="0"/>
    <x v="2"/>
    <s v="5/8/2022"/>
    <s v="2/8/2023"/>
    <s v="150mg"/>
    <s v="Fatigue"/>
    <s v="TR0113"/>
    <s v="150mg"/>
    <x v="0"/>
    <x v="0"/>
    <x v="116"/>
    <n v="1"/>
    <x v="1"/>
    <x v="0"/>
    <n v="3.06"/>
    <n v="1.65"/>
    <x v="87"/>
    <n v="6.3"/>
    <x v="35"/>
    <x v="2"/>
    <n v="150"/>
    <x v="0"/>
  </r>
  <r>
    <s v="P546"/>
    <n v="66"/>
    <x v="0"/>
    <x v="3"/>
    <s v="Asthma"/>
    <s v="BRCA2 Mutation"/>
    <s v="T013"/>
    <x v="1"/>
    <x v="1"/>
    <s v="9/19/2020"/>
    <s v="2/19/2022"/>
    <s v="50mg"/>
    <s v="Fatigue"/>
    <s v="TR0031"/>
    <s v="50mg"/>
    <x v="1"/>
    <x v="2"/>
    <x v="52"/>
    <n v="0"/>
    <x v="4"/>
    <x v="1"/>
    <n v="4.5599999999999996"/>
    <n v="1.97"/>
    <x v="74"/>
    <n v="7.9"/>
    <x v="61"/>
    <x v="3"/>
    <n v="50"/>
    <x v="2"/>
  </r>
  <r>
    <s v="P547"/>
    <n v="42"/>
    <x v="0"/>
    <x v="2"/>
    <s v="Heart Disease"/>
    <s v="TP53 Mutation"/>
    <s v="T017"/>
    <x v="1"/>
    <x v="0"/>
    <s v="1/13/2019"/>
    <s v="7/13/2020"/>
    <s v="200mg"/>
    <s v="Nausea, Not Reported"/>
    <s v="TR0093"/>
    <s v="200mg"/>
    <x v="1"/>
    <x v="3"/>
    <x v="100"/>
    <n v="0"/>
    <x v="4"/>
    <x v="0"/>
    <n v="3.08"/>
    <n v="3.43"/>
    <x v="7"/>
    <n v="7"/>
    <x v="149"/>
    <x v="0"/>
    <n v="200"/>
    <x v="3"/>
  </r>
  <r>
    <s v="P548"/>
    <n v="28"/>
    <x v="2"/>
    <x v="3"/>
    <s v="Asthma"/>
    <s v="TP53 Mutation"/>
    <s v="T011"/>
    <x v="1"/>
    <x v="2"/>
    <s v="3/19/2020"/>
    <s v="9/19/2020"/>
    <s v="100mg"/>
    <s v="Fatigue, Dizziness, Not Reported"/>
    <s v="TR0121"/>
    <s v="100mg"/>
    <x v="0"/>
    <x v="3"/>
    <x v="110"/>
    <n v="1"/>
    <x v="4"/>
    <x v="1"/>
    <n v="1.94"/>
    <n v="1.88"/>
    <x v="78"/>
    <n v="17.100000000000001"/>
    <x v="167"/>
    <x v="1"/>
    <n v="100"/>
    <x v="0"/>
  </r>
  <r>
    <s v="P549"/>
    <n v="71"/>
    <x v="0"/>
    <x v="3"/>
    <s v="Diabetes"/>
    <s v="EGFR Mutation"/>
    <s v="T005"/>
    <x v="2"/>
    <x v="3"/>
    <s v="3/1/2019"/>
    <s v="4/1/2020"/>
    <s v="100mg"/>
    <s v="Headache, Not Reported"/>
    <s v="TR0068"/>
    <s v="100mg"/>
    <x v="2"/>
    <x v="4"/>
    <x v="60"/>
    <n v="0"/>
    <x v="3"/>
    <x v="1"/>
    <n v="2.66"/>
    <n v="2.72"/>
    <x v="34"/>
    <n v="18.5"/>
    <x v="157"/>
    <x v="1"/>
    <n v="100"/>
    <x v="2"/>
  </r>
  <r>
    <s v="P550"/>
    <n v="21"/>
    <x v="1"/>
    <x v="2"/>
    <s v="Diabetes"/>
    <s v="Not Reported"/>
    <s v="T002"/>
    <x v="3"/>
    <x v="2"/>
    <s v="2/1/2020"/>
    <s v="1/1/2021"/>
    <s v="100mg"/>
    <s v="Headache"/>
    <s v="TR0017"/>
    <s v="100mg"/>
    <x v="0"/>
    <x v="0"/>
    <x v="66"/>
    <n v="1"/>
    <x v="1"/>
    <x v="1"/>
    <n v="1.69"/>
    <n v="3"/>
    <x v="68"/>
    <n v="21.7"/>
    <x v="55"/>
    <x v="1"/>
    <n v="100"/>
    <x v="0"/>
  </r>
  <r>
    <s v="P551"/>
    <n v="35"/>
    <x v="2"/>
    <x v="2"/>
    <s v="Not Reported"/>
    <s v="TP53 Mutation"/>
    <s v="T005"/>
    <x v="0"/>
    <x v="3"/>
    <s v="11/23/2023"/>
    <s v="6/23/2024"/>
    <s v="200mg"/>
    <s v="Dizziness, Fatigue"/>
    <s v="TR0033"/>
    <s v="200mg"/>
    <x v="0"/>
    <x v="2"/>
    <x v="37"/>
    <n v="1"/>
    <x v="0"/>
    <x v="0"/>
    <n v="3.13"/>
    <n v="1.46"/>
    <x v="25"/>
    <n v="8.1"/>
    <x v="52"/>
    <x v="0"/>
    <n v="200"/>
    <x v="3"/>
  </r>
  <r>
    <s v="P552"/>
    <n v="28"/>
    <x v="2"/>
    <x v="2"/>
    <s v="Asthma"/>
    <s v="EGFR Mutation"/>
    <s v="T004"/>
    <x v="2"/>
    <x v="2"/>
    <s v="3/24/2021"/>
    <s v="7/24/2022"/>
    <s v="150mg"/>
    <s v="Headache, Not Reported"/>
    <s v="TR0195"/>
    <s v="150mg"/>
    <x v="0"/>
    <x v="4"/>
    <x v="6"/>
    <n v="1"/>
    <x v="4"/>
    <x v="0"/>
    <n v="1.57"/>
    <n v="3.77"/>
    <x v="22"/>
    <n v="13.1"/>
    <x v="14"/>
    <x v="2"/>
    <n v="150"/>
    <x v="0"/>
  </r>
  <r>
    <s v="P553"/>
    <n v="22"/>
    <x v="2"/>
    <x v="3"/>
    <s v="Hypertension"/>
    <s v="Not Reported"/>
    <s v="T006"/>
    <x v="1"/>
    <x v="2"/>
    <s v="4/6/2019"/>
    <s v="4/6/2020"/>
    <s v="150mg"/>
    <s v="Dizziness"/>
    <s v="TR0124"/>
    <s v="150mg"/>
    <x v="1"/>
    <x v="4"/>
    <x v="54"/>
    <n v="0"/>
    <x v="2"/>
    <x v="1"/>
    <n v="1.82"/>
    <n v="3.03"/>
    <x v="62"/>
    <n v="6.3"/>
    <x v="133"/>
    <x v="2"/>
    <n v="150"/>
    <x v="0"/>
  </r>
  <r>
    <s v="P554"/>
    <n v="75"/>
    <x v="0"/>
    <x v="3"/>
    <s v="Heart Disease"/>
    <s v="HER2 Mutation"/>
    <s v="T004"/>
    <x v="0"/>
    <x v="3"/>
    <s v="3/9/2021"/>
    <s v="2/9/2022"/>
    <s v="200mg"/>
    <s v="Headache, Nausea, Not Reported"/>
    <s v="TR0088"/>
    <s v="200mg"/>
    <x v="2"/>
    <x v="4"/>
    <x v="31"/>
    <n v="0"/>
    <x v="4"/>
    <x v="1"/>
    <n v="1.28"/>
    <n v="2.9"/>
    <x v="10"/>
    <n v="17.3"/>
    <x v="17"/>
    <x v="0"/>
    <n v="200"/>
    <x v="2"/>
  </r>
  <r>
    <s v="P555"/>
    <n v="21"/>
    <x v="2"/>
    <x v="4"/>
    <s v="Hypertension"/>
    <s v="HER2 Mutation"/>
    <s v="T004"/>
    <x v="1"/>
    <x v="3"/>
    <s v="6/10/2020"/>
    <s v="7/10/2021"/>
    <s v="200mg"/>
    <s v="Nausea, Fatigue, Headache"/>
    <s v="TR0131"/>
    <s v="200mg"/>
    <x v="0"/>
    <x v="1"/>
    <x v="8"/>
    <n v="1"/>
    <x v="3"/>
    <x v="0"/>
    <n v="2.0099999999999998"/>
    <n v="1.04"/>
    <x v="39"/>
    <n v="15.6"/>
    <x v="161"/>
    <x v="0"/>
    <n v="200"/>
    <x v="0"/>
  </r>
  <r>
    <s v="P556"/>
    <n v="63"/>
    <x v="2"/>
    <x v="1"/>
    <s v="Diabetes"/>
    <s v="Not Reported"/>
    <s v="T017"/>
    <x v="1"/>
    <x v="3"/>
    <s v="4/23/2023"/>
    <s v="6/23/2024"/>
    <s v="100mg"/>
    <s v="Fatigue, Nausea"/>
    <s v="TR0175"/>
    <s v="100mg"/>
    <x v="0"/>
    <x v="2"/>
    <x v="42"/>
    <n v="1"/>
    <x v="0"/>
    <x v="1"/>
    <n v="4.29"/>
    <n v="4.37"/>
    <x v="16"/>
    <n v="12"/>
    <x v="133"/>
    <x v="1"/>
    <n v="100"/>
    <x v="1"/>
  </r>
  <r>
    <s v="P557"/>
    <n v="43"/>
    <x v="1"/>
    <x v="2"/>
    <s v="Asthma"/>
    <s v="EGFR Mutation"/>
    <s v="T014"/>
    <x v="3"/>
    <x v="0"/>
    <s v="3/24/2021"/>
    <s v="1/24/2022"/>
    <s v="50mg"/>
    <s v="Not Reported"/>
    <s v="TR0182"/>
    <s v="50mg"/>
    <x v="2"/>
    <x v="4"/>
    <x v="110"/>
    <n v="0"/>
    <x v="2"/>
    <x v="0"/>
    <n v="2.81"/>
    <n v="1.73"/>
    <x v="77"/>
    <n v="21.9"/>
    <x v="151"/>
    <x v="3"/>
    <n v="50"/>
    <x v="3"/>
  </r>
  <r>
    <s v="P558"/>
    <n v="25"/>
    <x v="1"/>
    <x v="4"/>
    <s v="Diabetes"/>
    <s v="BRCA2 Mutation"/>
    <s v="T008"/>
    <x v="3"/>
    <x v="2"/>
    <s v="7/19/2022"/>
    <s v="4/19/2023"/>
    <s v="100mg"/>
    <s v="Nausea, Fatigue"/>
    <s v="TR0071"/>
    <s v="100mg"/>
    <x v="0"/>
    <x v="0"/>
    <x v="133"/>
    <n v="1"/>
    <x v="2"/>
    <x v="0"/>
    <n v="1.3"/>
    <n v="2.5499999999999998"/>
    <x v="33"/>
    <n v="22.2"/>
    <x v="58"/>
    <x v="1"/>
    <n v="100"/>
    <x v="0"/>
  </r>
  <r>
    <s v="P559"/>
    <n v="44"/>
    <x v="1"/>
    <x v="4"/>
    <s v="Not Reported"/>
    <s v="Not Reported"/>
    <s v="T001"/>
    <x v="1"/>
    <x v="3"/>
    <s v="2/25/2023"/>
    <s v="6/25/2024"/>
    <s v="200mg"/>
    <s v="Headache"/>
    <s v="TR0077"/>
    <s v="200mg"/>
    <x v="0"/>
    <x v="2"/>
    <x v="71"/>
    <n v="1"/>
    <x v="0"/>
    <x v="0"/>
    <n v="1.27"/>
    <n v="4.51"/>
    <x v="88"/>
    <n v="15.8"/>
    <x v="164"/>
    <x v="0"/>
    <n v="200"/>
    <x v="3"/>
  </r>
  <r>
    <s v="P560"/>
    <n v="61"/>
    <x v="1"/>
    <x v="2"/>
    <s v="Asthma"/>
    <s v="Not Reported"/>
    <s v="T009"/>
    <x v="1"/>
    <x v="0"/>
    <s v="10/6/2022"/>
    <s v="3/6/2024"/>
    <s v="200mg"/>
    <s v="Fatigue, Nausea"/>
    <s v="TR0023"/>
    <s v="200mg"/>
    <x v="2"/>
    <x v="2"/>
    <x v="115"/>
    <n v="0"/>
    <x v="0"/>
    <x v="1"/>
    <n v="1.27"/>
    <n v="3.59"/>
    <x v="27"/>
    <n v="12.8"/>
    <x v="76"/>
    <x v="0"/>
    <n v="200"/>
    <x v="1"/>
  </r>
  <r>
    <s v="P561"/>
    <n v="73"/>
    <x v="1"/>
    <x v="2"/>
    <s v="Hypertension"/>
    <s v="Not Reported"/>
    <s v="T009"/>
    <x v="0"/>
    <x v="3"/>
    <s v="6/14/2023"/>
    <s v="10/14/2024"/>
    <s v="150mg"/>
    <s v="Nausea, Dizziness"/>
    <s v="TR0026"/>
    <s v="150mg"/>
    <x v="2"/>
    <x v="0"/>
    <x v="128"/>
    <n v="0"/>
    <x v="2"/>
    <x v="1"/>
    <n v="2.73"/>
    <n v="4.99"/>
    <x v="10"/>
    <n v="11.8"/>
    <x v="116"/>
    <x v="2"/>
    <n v="150"/>
    <x v="2"/>
  </r>
  <r>
    <s v="P562"/>
    <n v="46"/>
    <x v="2"/>
    <x v="3"/>
    <s v="Not Reported"/>
    <s v="HER2 Mutation"/>
    <s v="T018"/>
    <x v="3"/>
    <x v="0"/>
    <s v="10/4/2019"/>
    <s v="1/4/2021"/>
    <s v="50mg"/>
    <s v="Nausea, Dizziness, Headache"/>
    <s v="TR0093"/>
    <s v="50mg"/>
    <x v="2"/>
    <x v="2"/>
    <x v="108"/>
    <n v="0"/>
    <x v="1"/>
    <x v="0"/>
    <n v="2.4"/>
    <n v="2.4900000000000002"/>
    <x v="32"/>
    <n v="12.7"/>
    <x v="151"/>
    <x v="3"/>
    <n v="50"/>
    <x v="3"/>
  </r>
  <r>
    <s v="P563"/>
    <n v="62"/>
    <x v="2"/>
    <x v="3"/>
    <s v="Asthma"/>
    <s v="Not Reported"/>
    <s v="T017"/>
    <x v="1"/>
    <x v="0"/>
    <s v="11/1/2022"/>
    <s v="8/1/2023"/>
    <s v="100mg"/>
    <s v="Not Reported"/>
    <s v="TR0026"/>
    <s v="100mg"/>
    <x v="1"/>
    <x v="0"/>
    <x v="60"/>
    <n v="0"/>
    <x v="1"/>
    <x v="1"/>
    <n v="3.89"/>
    <n v="3.63"/>
    <x v="79"/>
    <n v="6.2"/>
    <x v="116"/>
    <x v="1"/>
    <n v="100"/>
    <x v="1"/>
  </r>
  <r>
    <s v="P564"/>
    <n v="63"/>
    <x v="2"/>
    <x v="0"/>
    <s v="Not Reported"/>
    <s v="Not Reported"/>
    <s v="T008"/>
    <x v="0"/>
    <x v="0"/>
    <s v="6/15/2019"/>
    <s v="11/15/2020"/>
    <s v="150mg"/>
    <s v="Fatigue"/>
    <s v="TR0143"/>
    <s v="150mg"/>
    <x v="2"/>
    <x v="4"/>
    <x v="58"/>
    <n v="0"/>
    <x v="4"/>
    <x v="0"/>
    <n v="3.65"/>
    <n v="2.94"/>
    <x v="85"/>
    <n v="20.5"/>
    <x v="6"/>
    <x v="2"/>
    <n v="150"/>
    <x v="1"/>
  </r>
  <r>
    <s v="P565"/>
    <n v="81"/>
    <x v="0"/>
    <x v="0"/>
    <s v="Not Reported"/>
    <s v="Not Reported"/>
    <s v="T008"/>
    <x v="0"/>
    <x v="3"/>
    <s v="12/3/2019"/>
    <s v="4/3/2021"/>
    <s v="200mg"/>
    <s v="Dizziness, Headache"/>
    <s v="TR0164"/>
    <s v="200mg"/>
    <x v="0"/>
    <x v="0"/>
    <x v="57"/>
    <n v="1"/>
    <x v="4"/>
    <x v="1"/>
    <n v="3.19"/>
    <n v="1.27"/>
    <x v="61"/>
    <n v="16.5"/>
    <x v="107"/>
    <x v="0"/>
    <n v="200"/>
    <x v="2"/>
  </r>
  <r>
    <s v="P566"/>
    <n v="62"/>
    <x v="1"/>
    <x v="3"/>
    <s v="Not Reported"/>
    <s v="Not Reported"/>
    <s v="T006"/>
    <x v="0"/>
    <x v="1"/>
    <s v="4/19/2019"/>
    <s v="2/19/2020"/>
    <s v="150mg"/>
    <s v="Dizziness, Fatigue, Headache"/>
    <s v="TR0159"/>
    <s v="150mg"/>
    <x v="2"/>
    <x v="3"/>
    <x v="47"/>
    <n v="0"/>
    <x v="3"/>
    <x v="0"/>
    <n v="4.01"/>
    <n v="4.21"/>
    <x v="44"/>
    <n v="8.5"/>
    <x v="63"/>
    <x v="2"/>
    <n v="150"/>
    <x v="1"/>
  </r>
  <r>
    <s v="P567"/>
    <n v="69"/>
    <x v="1"/>
    <x v="4"/>
    <s v="Not Reported"/>
    <s v="Not Reported"/>
    <s v="T013"/>
    <x v="2"/>
    <x v="0"/>
    <s v="12/27/2019"/>
    <s v="6/27/2021"/>
    <s v="150mg"/>
    <s v="Dizziness, Nausea, Fatigue"/>
    <s v="TR0058"/>
    <s v="150mg"/>
    <x v="1"/>
    <x v="3"/>
    <x v="128"/>
    <n v="0"/>
    <x v="2"/>
    <x v="0"/>
    <n v="3.48"/>
    <n v="3.97"/>
    <x v="28"/>
    <n v="9.5"/>
    <x v="82"/>
    <x v="2"/>
    <n v="150"/>
    <x v="2"/>
  </r>
  <r>
    <s v="P568"/>
    <n v="53"/>
    <x v="0"/>
    <x v="3"/>
    <s v="Diabetes"/>
    <s v="Not Reported"/>
    <s v="T008"/>
    <x v="2"/>
    <x v="2"/>
    <s v="11/26/2022"/>
    <s v="8/26/2023"/>
    <s v="100mg"/>
    <s v="Not Reported"/>
    <s v="TR0063"/>
    <s v="100mg"/>
    <x v="0"/>
    <x v="2"/>
    <x v="77"/>
    <n v="1"/>
    <x v="1"/>
    <x v="1"/>
    <n v="4"/>
    <n v="4.63"/>
    <x v="65"/>
    <n v="16.7"/>
    <x v="86"/>
    <x v="1"/>
    <n v="100"/>
    <x v="1"/>
  </r>
  <r>
    <s v="P569"/>
    <n v="42"/>
    <x v="1"/>
    <x v="4"/>
    <s v="Heart Disease"/>
    <s v="Not Reported"/>
    <s v="T019"/>
    <x v="3"/>
    <x v="3"/>
    <s v="5/14/2021"/>
    <s v="4/14/2022"/>
    <s v="150mg"/>
    <s v="Not Reported"/>
    <s v="TR0139"/>
    <s v="150mg"/>
    <x v="1"/>
    <x v="3"/>
    <x v="2"/>
    <n v="0"/>
    <x v="4"/>
    <x v="0"/>
    <n v="4.5599999999999996"/>
    <n v="3.32"/>
    <x v="19"/>
    <n v="8.8000000000000007"/>
    <x v="72"/>
    <x v="2"/>
    <n v="150"/>
    <x v="3"/>
  </r>
  <r>
    <s v="P570"/>
    <n v="34"/>
    <x v="0"/>
    <x v="1"/>
    <s v="Asthma"/>
    <s v="Not Reported"/>
    <s v="T004"/>
    <x v="2"/>
    <x v="3"/>
    <s v="4/15/2023"/>
    <s v="2/15/2024"/>
    <s v="50mg"/>
    <s v="Dizziness, Headache"/>
    <s v="TR0128"/>
    <s v="50mg"/>
    <x v="2"/>
    <x v="0"/>
    <x v="31"/>
    <n v="0"/>
    <x v="0"/>
    <x v="0"/>
    <n v="3.87"/>
    <n v="2.08"/>
    <x v="81"/>
    <n v="11.6"/>
    <x v="62"/>
    <x v="3"/>
    <n v="50"/>
    <x v="3"/>
  </r>
  <r>
    <s v="P571"/>
    <n v="75"/>
    <x v="2"/>
    <x v="2"/>
    <s v="Not Reported"/>
    <s v="BRCA2 Mutation"/>
    <s v="T003"/>
    <x v="0"/>
    <x v="1"/>
    <s v="10/9/2021"/>
    <s v="3/9/2023"/>
    <s v="50mg"/>
    <s v="Dizziness, Headache, Fatigue"/>
    <s v="TR0181"/>
    <s v="50mg"/>
    <x v="0"/>
    <x v="0"/>
    <x v="94"/>
    <n v="1"/>
    <x v="1"/>
    <x v="1"/>
    <n v="1.86"/>
    <n v="2.7"/>
    <x v="52"/>
    <n v="15.1"/>
    <x v="30"/>
    <x v="3"/>
    <n v="50"/>
    <x v="2"/>
  </r>
  <r>
    <s v="P572"/>
    <n v="56"/>
    <x v="1"/>
    <x v="4"/>
    <s v="Heart Disease"/>
    <s v="Not Reported"/>
    <s v="T017"/>
    <x v="3"/>
    <x v="2"/>
    <s v="11/19/2023"/>
    <s v="10/19/2024"/>
    <s v="50mg"/>
    <s v="Nausea, Not Reported, Headache"/>
    <s v="TR0031"/>
    <s v="50mg"/>
    <x v="0"/>
    <x v="2"/>
    <x v="31"/>
    <n v="1"/>
    <x v="2"/>
    <x v="1"/>
    <n v="1.31"/>
    <n v="3.78"/>
    <x v="89"/>
    <n v="20.8"/>
    <x v="103"/>
    <x v="3"/>
    <n v="50"/>
    <x v="1"/>
  </r>
  <r>
    <s v="P573"/>
    <n v="38"/>
    <x v="2"/>
    <x v="4"/>
    <s v="Diabetes"/>
    <s v="Not Reported"/>
    <s v="T006"/>
    <x v="2"/>
    <x v="1"/>
    <s v="12/4/2022"/>
    <s v="11/4/2023"/>
    <s v="50mg"/>
    <s v="Headache"/>
    <s v="TR0147"/>
    <s v="50mg"/>
    <x v="2"/>
    <x v="0"/>
    <x v="20"/>
    <n v="0"/>
    <x v="1"/>
    <x v="1"/>
    <n v="4.18"/>
    <n v="2.09"/>
    <x v="86"/>
    <n v="10.8"/>
    <x v="128"/>
    <x v="3"/>
    <n v="50"/>
    <x v="3"/>
  </r>
  <r>
    <s v="P574"/>
    <n v="35"/>
    <x v="1"/>
    <x v="4"/>
    <s v="Hypertension"/>
    <s v="BRCA2 Mutation"/>
    <s v="T014"/>
    <x v="0"/>
    <x v="0"/>
    <s v="3/9/2019"/>
    <s v="3/9/2020"/>
    <s v="100mg"/>
    <s v="Not Reported"/>
    <s v="TR0166"/>
    <s v="100mg"/>
    <x v="2"/>
    <x v="3"/>
    <x v="127"/>
    <n v="0"/>
    <x v="1"/>
    <x v="0"/>
    <n v="3.55"/>
    <n v="2.2999999999999998"/>
    <x v="58"/>
    <n v="9.4"/>
    <x v="90"/>
    <x v="1"/>
    <n v="100"/>
    <x v="3"/>
  </r>
  <r>
    <s v="P575"/>
    <n v="85"/>
    <x v="1"/>
    <x v="2"/>
    <s v="Heart Disease"/>
    <s v="EGFR Mutation"/>
    <s v="T002"/>
    <x v="0"/>
    <x v="1"/>
    <s v="1/17/2020"/>
    <s v="7/17/2020"/>
    <s v="50mg"/>
    <s v="Headache, Not Reported"/>
    <s v="TR0008"/>
    <s v="50mg"/>
    <x v="2"/>
    <x v="2"/>
    <x v="99"/>
    <n v="0"/>
    <x v="3"/>
    <x v="0"/>
    <n v="1.87"/>
    <n v="3.38"/>
    <x v="58"/>
    <n v="17.899999999999999"/>
    <x v="74"/>
    <x v="3"/>
    <n v="50"/>
    <x v="2"/>
  </r>
  <r>
    <s v="P576"/>
    <n v="42"/>
    <x v="2"/>
    <x v="1"/>
    <s v="Asthma"/>
    <s v="BRCA2 Mutation"/>
    <s v="T012"/>
    <x v="1"/>
    <x v="2"/>
    <s v="6/19/2023"/>
    <s v="2/19/2024"/>
    <s v="200mg"/>
    <s v="Fatigue, Dizziness, Headache"/>
    <s v="TR0008"/>
    <s v="200mg"/>
    <x v="2"/>
    <x v="3"/>
    <x v="105"/>
    <n v="0"/>
    <x v="3"/>
    <x v="1"/>
    <n v="4.1100000000000003"/>
    <n v="4.04"/>
    <x v="63"/>
    <n v="7.6"/>
    <x v="157"/>
    <x v="0"/>
    <n v="200"/>
    <x v="3"/>
  </r>
  <r>
    <s v="P577"/>
    <n v="55"/>
    <x v="0"/>
    <x v="0"/>
    <s v="Diabetes"/>
    <s v="Not Reported"/>
    <s v="T006"/>
    <x v="1"/>
    <x v="0"/>
    <s v="10/5/2020"/>
    <s v="1/5/2022"/>
    <s v="150mg"/>
    <s v="Dizziness, Headache"/>
    <s v="TR0115"/>
    <s v="150mg"/>
    <x v="0"/>
    <x v="2"/>
    <x v="31"/>
    <n v="1"/>
    <x v="4"/>
    <x v="0"/>
    <n v="2.4700000000000002"/>
    <n v="2.73"/>
    <x v="11"/>
    <n v="10.7"/>
    <x v="41"/>
    <x v="2"/>
    <n v="150"/>
    <x v="1"/>
  </r>
  <r>
    <s v="P578"/>
    <n v="64"/>
    <x v="0"/>
    <x v="4"/>
    <s v="Asthma"/>
    <s v="HER2 Mutation"/>
    <s v="T002"/>
    <x v="0"/>
    <x v="1"/>
    <s v="11/23/2022"/>
    <s v="5/23/2024"/>
    <s v="50mg"/>
    <s v="Nausea, Not Reported, Headache"/>
    <s v="TR0145"/>
    <s v="50mg"/>
    <x v="2"/>
    <x v="2"/>
    <x v="45"/>
    <n v="0"/>
    <x v="1"/>
    <x v="0"/>
    <n v="4.5199999999999996"/>
    <n v="1.97"/>
    <x v="10"/>
    <n v="6.7"/>
    <x v="104"/>
    <x v="3"/>
    <n v="50"/>
    <x v="1"/>
  </r>
  <r>
    <s v="P579"/>
    <n v="54"/>
    <x v="1"/>
    <x v="4"/>
    <s v="Asthma"/>
    <s v="Not Reported"/>
    <s v="T010"/>
    <x v="3"/>
    <x v="0"/>
    <s v="7/3/2022"/>
    <s v="8/3/2023"/>
    <s v="50mg"/>
    <s v="Nausea, Not Reported"/>
    <s v="TR0144"/>
    <s v="50mg"/>
    <x v="1"/>
    <x v="2"/>
    <x v="17"/>
    <n v="0"/>
    <x v="4"/>
    <x v="1"/>
    <n v="2.29"/>
    <n v="4.59"/>
    <x v="64"/>
    <n v="11.9"/>
    <x v="115"/>
    <x v="3"/>
    <n v="50"/>
    <x v="1"/>
  </r>
  <r>
    <s v="P580"/>
    <n v="54"/>
    <x v="2"/>
    <x v="2"/>
    <s v="Heart Disease"/>
    <s v="Not Reported"/>
    <s v="T007"/>
    <x v="1"/>
    <x v="3"/>
    <s v="12/19/2023"/>
    <s v="2/19/2025"/>
    <s v="100mg"/>
    <s v="Not Reported, Nausea, Dizziness"/>
    <s v="TR0008"/>
    <s v="100mg"/>
    <x v="0"/>
    <x v="4"/>
    <x v="140"/>
    <n v="1"/>
    <x v="0"/>
    <x v="1"/>
    <n v="4.9800000000000004"/>
    <n v="4.3"/>
    <x v="59"/>
    <n v="10.5"/>
    <x v="34"/>
    <x v="1"/>
    <n v="100"/>
    <x v="1"/>
  </r>
  <r>
    <s v="P581"/>
    <n v="24"/>
    <x v="2"/>
    <x v="3"/>
    <s v="Heart Disease"/>
    <s v="Not Reported"/>
    <s v="T006"/>
    <x v="0"/>
    <x v="1"/>
    <s v="2/15/2020"/>
    <s v="10/15/2020"/>
    <s v="100mg"/>
    <s v="Not Reported, Nausea, Dizziness"/>
    <s v="TR0053"/>
    <s v="100mg"/>
    <x v="1"/>
    <x v="1"/>
    <x v="87"/>
    <n v="0"/>
    <x v="2"/>
    <x v="0"/>
    <n v="1.27"/>
    <n v="1.38"/>
    <x v="6"/>
    <n v="11.9"/>
    <x v="18"/>
    <x v="1"/>
    <n v="100"/>
    <x v="0"/>
  </r>
  <r>
    <s v="P582"/>
    <n v="23"/>
    <x v="1"/>
    <x v="4"/>
    <s v="Hypertension"/>
    <s v="Not Reported"/>
    <s v="T001"/>
    <x v="2"/>
    <x v="3"/>
    <s v="7/27/2020"/>
    <s v="4/27/2021"/>
    <s v="150mg"/>
    <s v="Nausea, Fatigue"/>
    <s v="TR0037"/>
    <s v="150mg"/>
    <x v="2"/>
    <x v="1"/>
    <x v="40"/>
    <n v="0"/>
    <x v="1"/>
    <x v="1"/>
    <n v="4.2300000000000004"/>
    <n v="4.43"/>
    <x v="6"/>
    <n v="10.3"/>
    <x v="15"/>
    <x v="2"/>
    <n v="150"/>
    <x v="0"/>
  </r>
  <r>
    <s v="P583"/>
    <n v="44"/>
    <x v="2"/>
    <x v="0"/>
    <s v="Asthma"/>
    <s v="Not Reported"/>
    <s v="T014"/>
    <x v="3"/>
    <x v="0"/>
    <s v="4/27/2021"/>
    <s v="10/27/2022"/>
    <s v="200mg"/>
    <s v="Dizziness, Nausea"/>
    <s v="TR0161"/>
    <s v="200mg"/>
    <x v="2"/>
    <x v="0"/>
    <x v="85"/>
    <n v="0"/>
    <x v="1"/>
    <x v="0"/>
    <n v="2.64"/>
    <n v="1.52"/>
    <x v="47"/>
    <n v="12.5"/>
    <x v="107"/>
    <x v="0"/>
    <n v="200"/>
    <x v="3"/>
  </r>
  <r>
    <s v="P584"/>
    <n v="46"/>
    <x v="0"/>
    <x v="2"/>
    <s v="Hypertension"/>
    <s v="HER2 Mutation"/>
    <s v="T003"/>
    <x v="2"/>
    <x v="3"/>
    <s v="12/9/2020"/>
    <s v="4/9/2022"/>
    <s v="200mg"/>
    <s v="Dizziness, Not Reported"/>
    <s v="TR0073"/>
    <s v="200mg"/>
    <x v="2"/>
    <x v="4"/>
    <x v="21"/>
    <n v="0"/>
    <x v="3"/>
    <x v="1"/>
    <n v="3.26"/>
    <n v="2.25"/>
    <x v="46"/>
    <n v="10.199999999999999"/>
    <x v="94"/>
    <x v="0"/>
    <n v="200"/>
    <x v="3"/>
  </r>
  <r>
    <s v="P585"/>
    <n v="43"/>
    <x v="0"/>
    <x v="1"/>
    <s v="Asthma"/>
    <s v="EGFR Mutation"/>
    <s v="T002"/>
    <x v="3"/>
    <x v="0"/>
    <s v="2/8/2019"/>
    <s v="8/8/2019"/>
    <s v="200mg"/>
    <s v="Nausea"/>
    <s v="TR0196"/>
    <s v="200mg"/>
    <x v="2"/>
    <x v="3"/>
    <x v="25"/>
    <n v="0"/>
    <x v="1"/>
    <x v="1"/>
    <n v="4.0599999999999996"/>
    <n v="3.49"/>
    <x v="61"/>
    <n v="6.7"/>
    <x v="161"/>
    <x v="0"/>
    <n v="200"/>
    <x v="3"/>
  </r>
  <r>
    <s v="P586"/>
    <n v="74"/>
    <x v="2"/>
    <x v="4"/>
    <s v="Asthma"/>
    <s v="Not Reported"/>
    <s v="T002"/>
    <x v="2"/>
    <x v="2"/>
    <s v="1/19/2021"/>
    <s v="7/19/2021"/>
    <s v="100mg"/>
    <s v="Not Reported, Fatigue"/>
    <s v="TR0090"/>
    <s v="100mg"/>
    <x v="1"/>
    <x v="1"/>
    <x v="4"/>
    <n v="0"/>
    <x v="1"/>
    <x v="1"/>
    <n v="3.48"/>
    <n v="3.25"/>
    <x v="35"/>
    <n v="21.6"/>
    <x v="154"/>
    <x v="1"/>
    <n v="100"/>
    <x v="2"/>
  </r>
  <r>
    <s v="P587"/>
    <n v="37"/>
    <x v="1"/>
    <x v="1"/>
    <s v="Hypertension"/>
    <s v="BRCA2 Mutation"/>
    <s v="T011"/>
    <x v="3"/>
    <x v="1"/>
    <s v="2/27/2022"/>
    <s v="11/27/2022"/>
    <s v="150mg"/>
    <s v="Fatigue, Dizziness, Not Reported"/>
    <s v="TR0082"/>
    <s v="150mg"/>
    <x v="0"/>
    <x v="3"/>
    <x v="31"/>
    <n v="1"/>
    <x v="1"/>
    <x v="0"/>
    <n v="3.32"/>
    <n v="4.96"/>
    <x v="65"/>
    <n v="14"/>
    <x v="78"/>
    <x v="2"/>
    <n v="150"/>
    <x v="3"/>
  </r>
  <r>
    <s v="P588"/>
    <n v="39"/>
    <x v="2"/>
    <x v="0"/>
    <s v="Not Reported"/>
    <s v="BRCA1 Mutation"/>
    <s v="T008"/>
    <x v="1"/>
    <x v="0"/>
    <s v="10/2/2019"/>
    <s v="10/2/2020"/>
    <s v="50mg"/>
    <s v="Nausea"/>
    <s v="TR0145"/>
    <s v="50mg"/>
    <x v="2"/>
    <x v="3"/>
    <x v="129"/>
    <n v="0"/>
    <x v="1"/>
    <x v="1"/>
    <n v="2.56"/>
    <n v="1.92"/>
    <x v="80"/>
    <n v="22.7"/>
    <x v="29"/>
    <x v="3"/>
    <n v="50"/>
    <x v="3"/>
  </r>
  <r>
    <s v="P589"/>
    <n v="54"/>
    <x v="2"/>
    <x v="1"/>
    <s v="Asthma"/>
    <s v="BRCA2 Mutation"/>
    <s v="T016"/>
    <x v="0"/>
    <x v="3"/>
    <s v="8/5/2022"/>
    <s v="9/5/2023"/>
    <s v="150mg"/>
    <s v="Fatigue"/>
    <s v="TR0074"/>
    <s v="150mg"/>
    <x v="2"/>
    <x v="1"/>
    <x v="17"/>
    <n v="0"/>
    <x v="4"/>
    <x v="0"/>
    <n v="2.37"/>
    <n v="3.11"/>
    <x v="22"/>
    <n v="23.9"/>
    <x v="131"/>
    <x v="2"/>
    <n v="150"/>
    <x v="1"/>
  </r>
  <r>
    <s v="P590"/>
    <n v="65"/>
    <x v="2"/>
    <x v="2"/>
    <s v="Asthma"/>
    <s v="Not Reported"/>
    <s v="T005"/>
    <x v="1"/>
    <x v="0"/>
    <s v="12/18/2022"/>
    <s v="9/18/2023"/>
    <s v="200mg"/>
    <s v="Not Reported"/>
    <s v="TR0054"/>
    <s v="200mg"/>
    <x v="1"/>
    <x v="0"/>
    <x v="38"/>
    <n v="0"/>
    <x v="1"/>
    <x v="1"/>
    <n v="3.6"/>
    <n v="4.22"/>
    <x v="79"/>
    <n v="16.7"/>
    <x v="139"/>
    <x v="0"/>
    <n v="200"/>
    <x v="1"/>
  </r>
  <r>
    <s v="P591"/>
    <n v="74"/>
    <x v="1"/>
    <x v="3"/>
    <s v="Not Reported"/>
    <s v="HER2 Mutation"/>
    <s v="T005"/>
    <x v="2"/>
    <x v="2"/>
    <s v="12/7/2020"/>
    <s v="3/7/2022"/>
    <s v="100mg"/>
    <s v="Dizziness, Not Reported, Fatigue"/>
    <s v="TR0141"/>
    <s v="100mg"/>
    <x v="1"/>
    <x v="4"/>
    <x v="16"/>
    <n v="0"/>
    <x v="0"/>
    <x v="1"/>
    <n v="2.82"/>
    <n v="3.7"/>
    <x v="23"/>
    <n v="12.7"/>
    <x v="128"/>
    <x v="1"/>
    <n v="100"/>
    <x v="2"/>
  </r>
  <r>
    <s v="P592"/>
    <n v="36"/>
    <x v="1"/>
    <x v="2"/>
    <s v="Heart Disease"/>
    <s v="Not Reported"/>
    <s v="T010"/>
    <x v="3"/>
    <x v="1"/>
    <s v="4/11/2020"/>
    <s v="6/11/2021"/>
    <s v="100mg"/>
    <s v="Headache, Dizziness, Nausea"/>
    <s v="TR0114"/>
    <s v="100mg"/>
    <x v="0"/>
    <x v="1"/>
    <x v="140"/>
    <n v="1"/>
    <x v="2"/>
    <x v="0"/>
    <n v="1.67"/>
    <n v="3"/>
    <x v="86"/>
    <n v="18.5"/>
    <x v="129"/>
    <x v="1"/>
    <n v="100"/>
    <x v="3"/>
  </r>
  <r>
    <s v="P593"/>
    <n v="52"/>
    <x v="2"/>
    <x v="1"/>
    <s v="Diabetes"/>
    <s v="Not Reported"/>
    <s v="T019"/>
    <x v="2"/>
    <x v="2"/>
    <s v="6/15/2022"/>
    <s v="3/15/2023"/>
    <s v="100mg"/>
    <s v="Not Reported, Nausea"/>
    <s v="TR0174"/>
    <s v="100mg"/>
    <x v="0"/>
    <x v="3"/>
    <x v="107"/>
    <n v="1"/>
    <x v="3"/>
    <x v="0"/>
    <n v="2.1"/>
    <n v="1.62"/>
    <x v="19"/>
    <n v="16.8"/>
    <x v="120"/>
    <x v="1"/>
    <n v="100"/>
    <x v="1"/>
  </r>
  <r>
    <s v="P594"/>
    <n v="24"/>
    <x v="1"/>
    <x v="2"/>
    <s v="Not Reported"/>
    <s v="Not Reported"/>
    <s v="T012"/>
    <x v="2"/>
    <x v="2"/>
    <s v="5/27/2020"/>
    <s v="12/27/2020"/>
    <s v="150mg"/>
    <s v="Not Reported, Headache, Fatigue"/>
    <s v="TR0087"/>
    <s v="150mg"/>
    <x v="2"/>
    <x v="1"/>
    <x v="27"/>
    <n v="0"/>
    <x v="4"/>
    <x v="0"/>
    <n v="3.82"/>
    <n v="2.82"/>
    <x v="9"/>
    <n v="21.1"/>
    <x v="67"/>
    <x v="2"/>
    <n v="150"/>
    <x v="0"/>
  </r>
  <r>
    <s v="P595"/>
    <n v="38"/>
    <x v="0"/>
    <x v="4"/>
    <s v="Asthma"/>
    <s v="EGFR Mutation"/>
    <s v="T014"/>
    <x v="2"/>
    <x v="0"/>
    <s v="12/28/2021"/>
    <s v="9/28/2022"/>
    <s v="50mg"/>
    <s v="Fatigue, Headache, Nausea"/>
    <s v="TR0194"/>
    <s v="50mg"/>
    <x v="0"/>
    <x v="1"/>
    <x v="49"/>
    <n v="1"/>
    <x v="1"/>
    <x v="1"/>
    <n v="1.08"/>
    <n v="4.12"/>
    <x v="25"/>
    <n v="18.600000000000001"/>
    <x v="161"/>
    <x v="3"/>
    <n v="50"/>
    <x v="3"/>
  </r>
  <r>
    <s v="P596"/>
    <n v="79"/>
    <x v="0"/>
    <x v="2"/>
    <s v="Heart Disease"/>
    <s v="Not Reported"/>
    <s v="T012"/>
    <x v="3"/>
    <x v="2"/>
    <s v="1/16/2022"/>
    <s v="5/16/2023"/>
    <s v="150mg"/>
    <s v="Nausea, Not Reported"/>
    <s v="TR0018"/>
    <s v="150mg"/>
    <x v="0"/>
    <x v="1"/>
    <x v="109"/>
    <n v="1"/>
    <x v="1"/>
    <x v="0"/>
    <n v="4.21"/>
    <n v="4.84"/>
    <x v="36"/>
    <n v="14.8"/>
    <x v="59"/>
    <x v="2"/>
    <n v="150"/>
    <x v="2"/>
  </r>
  <r>
    <s v="P597"/>
    <n v="32"/>
    <x v="2"/>
    <x v="4"/>
    <s v="Not Reported"/>
    <s v="BRCA1 Mutation"/>
    <s v="T012"/>
    <x v="3"/>
    <x v="1"/>
    <s v="10/14/2023"/>
    <s v="6/14/2024"/>
    <s v="150mg"/>
    <s v="Fatigue, Not Reported"/>
    <s v="TR0134"/>
    <s v="150mg"/>
    <x v="0"/>
    <x v="0"/>
    <x v="23"/>
    <n v="1"/>
    <x v="0"/>
    <x v="0"/>
    <n v="1.61"/>
    <n v="3.29"/>
    <x v="5"/>
    <n v="22.6"/>
    <x v="93"/>
    <x v="2"/>
    <n v="150"/>
    <x v="3"/>
  </r>
  <r>
    <s v="P598"/>
    <n v="48"/>
    <x v="2"/>
    <x v="0"/>
    <s v="Not Reported"/>
    <s v="HER2 Mutation"/>
    <s v="T011"/>
    <x v="1"/>
    <x v="3"/>
    <s v="11/3/2022"/>
    <s v="10/3/2023"/>
    <s v="50mg"/>
    <s v="Dizziness"/>
    <s v="TR0003"/>
    <s v="50mg"/>
    <x v="2"/>
    <x v="2"/>
    <x v="125"/>
    <n v="0"/>
    <x v="4"/>
    <x v="1"/>
    <n v="3.37"/>
    <n v="2.42"/>
    <x v="56"/>
    <n v="6.6"/>
    <x v="49"/>
    <x v="3"/>
    <n v="50"/>
    <x v="3"/>
  </r>
  <r>
    <s v="P599"/>
    <n v="43"/>
    <x v="1"/>
    <x v="3"/>
    <s v="Asthma"/>
    <s v="TP53 Mutation"/>
    <s v="T013"/>
    <x v="0"/>
    <x v="3"/>
    <s v="7/14/2023"/>
    <s v="12/14/2024"/>
    <s v="150mg"/>
    <s v="Not Reported"/>
    <s v="TR0185"/>
    <s v="150mg"/>
    <x v="1"/>
    <x v="2"/>
    <x v="134"/>
    <n v="0"/>
    <x v="1"/>
    <x v="1"/>
    <n v="1.34"/>
    <n v="3.43"/>
    <x v="37"/>
    <n v="21.9"/>
    <x v="103"/>
    <x v="2"/>
    <n v="150"/>
    <x v="3"/>
  </r>
  <r>
    <s v="P600"/>
    <n v="52"/>
    <x v="0"/>
    <x v="3"/>
    <s v="Hypertension"/>
    <s v="Not Reported"/>
    <s v="T011"/>
    <x v="1"/>
    <x v="1"/>
    <s v="2/8/2020"/>
    <s v="9/8/2020"/>
    <s v="100mg"/>
    <s v="Nausea, Fatigue"/>
    <s v="TR0147"/>
    <s v="100mg"/>
    <x v="0"/>
    <x v="3"/>
    <x v="117"/>
    <n v="1"/>
    <x v="3"/>
    <x v="0"/>
    <n v="1.84"/>
    <n v="4.45"/>
    <x v="64"/>
    <n v="9.5"/>
    <x v="70"/>
    <x v="1"/>
    <n v="100"/>
    <x v="1"/>
  </r>
  <r>
    <s v="P601"/>
    <n v="61"/>
    <x v="2"/>
    <x v="2"/>
    <s v="Diabetes"/>
    <s v="Not Reported"/>
    <s v="T015"/>
    <x v="0"/>
    <x v="1"/>
    <s v="2/2/2023"/>
    <s v="7/2/2024"/>
    <s v="100mg"/>
    <s v="Nausea"/>
    <s v="TR0048"/>
    <s v="100mg"/>
    <x v="0"/>
    <x v="3"/>
    <x v="75"/>
    <n v="1"/>
    <x v="1"/>
    <x v="0"/>
    <n v="2.15"/>
    <n v="4.21"/>
    <x v="6"/>
    <n v="6.5"/>
    <x v="115"/>
    <x v="1"/>
    <n v="100"/>
    <x v="1"/>
  </r>
  <r>
    <s v="P602"/>
    <n v="44"/>
    <x v="0"/>
    <x v="2"/>
    <s v="Asthma"/>
    <s v="EGFR Mutation"/>
    <s v="T007"/>
    <x v="3"/>
    <x v="2"/>
    <s v="10/23/2022"/>
    <s v="6/23/2023"/>
    <s v="200mg"/>
    <s v="Dizziness, Nausea"/>
    <s v="TR0114"/>
    <s v="200mg"/>
    <x v="0"/>
    <x v="2"/>
    <x v="91"/>
    <n v="1"/>
    <x v="3"/>
    <x v="0"/>
    <n v="3.49"/>
    <n v="4.8899999999999997"/>
    <x v="31"/>
    <n v="21.3"/>
    <x v="32"/>
    <x v="0"/>
    <n v="200"/>
    <x v="3"/>
  </r>
  <r>
    <s v="P603"/>
    <n v="43"/>
    <x v="1"/>
    <x v="4"/>
    <s v="Heart Disease"/>
    <s v="Not Reported"/>
    <s v="T007"/>
    <x v="1"/>
    <x v="1"/>
    <s v="3/28/2020"/>
    <s v="2/28/2021"/>
    <s v="100mg"/>
    <s v="Headache"/>
    <s v="TR0163"/>
    <s v="100mg"/>
    <x v="2"/>
    <x v="4"/>
    <x v="35"/>
    <n v="0"/>
    <x v="2"/>
    <x v="1"/>
    <n v="2.34"/>
    <n v="1.27"/>
    <x v="84"/>
    <n v="20.7"/>
    <x v="144"/>
    <x v="1"/>
    <n v="100"/>
    <x v="3"/>
  </r>
  <r>
    <s v="P604"/>
    <n v="45"/>
    <x v="1"/>
    <x v="0"/>
    <s v="Not Reported"/>
    <s v="Not Reported"/>
    <s v="T017"/>
    <x v="1"/>
    <x v="3"/>
    <s v="3/3/2021"/>
    <s v="9/3/2021"/>
    <s v="50mg"/>
    <s v="Not Reported, Nausea"/>
    <s v="TR0159"/>
    <s v="50mg"/>
    <x v="1"/>
    <x v="3"/>
    <x v="101"/>
    <n v="0"/>
    <x v="3"/>
    <x v="0"/>
    <n v="4.75"/>
    <n v="1.34"/>
    <x v="88"/>
    <n v="7.3"/>
    <x v="159"/>
    <x v="3"/>
    <n v="50"/>
    <x v="3"/>
  </r>
  <r>
    <s v="P605"/>
    <n v="58"/>
    <x v="2"/>
    <x v="0"/>
    <s v="Heart Disease"/>
    <s v="Not Reported"/>
    <s v="T003"/>
    <x v="0"/>
    <x v="3"/>
    <s v="6/24/2022"/>
    <s v="12/24/2023"/>
    <s v="200mg"/>
    <s v="Headache, Not Reported"/>
    <s v="TR0196"/>
    <s v="200mg"/>
    <x v="1"/>
    <x v="4"/>
    <x v="145"/>
    <n v="0"/>
    <x v="0"/>
    <x v="0"/>
    <n v="1.92"/>
    <n v="2.88"/>
    <x v="58"/>
    <n v="7.8"/>
    <x v="35"/>
    <x v="0"/>
    <n v="200"/>
    <x v="1"/>
  </r>
  <r>
    <s v="P606"/>
    <n v="39"/>
    <x v="0"/>
    <x v="0"/>
    <s v="Asthma"/>
    <s v="HER2 Mutation"/>
    <s v="T011"/>
    <x v="3"/>
    <x v="0"/>
    <s v="8/5/2022"/>
    <s v="4/5/2023"/>
    <s v="200mg"/>
    <s v="Nausea, Fatigue"/>
    <s v="TR0082"/>
    <s v="200mg"/>
    <x v="1"/>
    <x v="1"/>
    <x v="58"/>
    <n v="0"/>
    <x v="4"/>
    <x v="0"/>
    <n v="1.59"/>
    <n v="4.8899999999999997"/>
    <x v="65"/>
    <n v="23.4"/>
    <x v="123"/>
    <x v="0"/>
    <n v="200"/>
    <x v="3"/>
  </r>
  <r>
    <s v="P607"/>
    <n v="73"/>
    <x v="2"/>
    <x v="4"/>
    <s v="Diabetes"/>
    <s v="Not Reported"/>
    <s v="T006"/>
    <x v="2"/>
    <x v="1"/>
    <s v="7/16/2019"/>
    <s v="3/16/2020"/>
    <s v="150mg"/>
    <s v="Fatigue, Nausea"/>
    <s v="TR0128"/>
    <s v="150mg"/>
    <x v="1"/>
    <x v="1"/>
    <x v="137"/>
    <n v="0"/>
    <x v="2"/>
    <x v="1"/>
    <n v="2.11"/>
    <n v="4.1900000000000004"/>
    <x v="60"/>
    <n v="11.4"/>
    <x v="101"/>
    <x v="2"/>
    <n v="150"/>
    <x v="2"/>
  </r>
  <r>
    <s v="P608"/>
    <n v="47"/>
    <x v="0"/>
    <x v="3"/>
    <s v="Heart Disease"/>
    <s v="Not Reported"/>
    <s v="T014"/>
    <x v="3"/>
    <x v="2"/>
    <s v="11/2/2022"/>
    <s v="10/2/2023"/>
    <s v="50mg"/>
    <s v="Not Reported"/>
    <s v="TR0181"/>
    <s v="50mg"/>
    <x v="1"/>
    <x v="2"/>
    <x v="27"/>
    <n v="0"/>
    <x v="0"/>
    <x v="0"/>
    <n v="1.52"/>
    <n v="2.0299999999999998"/>
    <x v="74"/>
    <n v="18.100000000000001"/>
    <x v="32"/>
    <x v="3"/>
    <n v="50"/>
    <x v="3"/>
  </r>
  <r>
    <s v="P609"/>
    <n v="84"/>
    <x v="1"/>
    <x v="4"/>
    <s v="Asthma"/>
    <s v="TP53 Mutation"/>
    <s v="T006"/>
    <x v="0"/>
    <x v="3"/>
    <s v="7/20/2023"/>
    <s v="2/20/2024"/>
    <s v="100mg"/>
    <s v="Not Reported, Dizziness, Headache"/>
    <s v="TR0096"/>
    <s v="100mg"/>
    <x v="2"/>
    <x v="1"/>
    <x v="10"/>
    <n v="0"/>
    <x v="2"/>
    <x v="1"/>
    <n v="1.84"/>
    <n v="4.24"/>
    <x v="43"/>
    <n v="12.2"/>
    <x v="5"/>
    <x v="1"/>
    <n v="100"/>
    <x v="2"/>
  </r>
  <r>
    <s v="P610"/>
    <n v="26"/>
    <x v="0"/>
    <x v="3"/>
    <s v="Not Reported"/>
    <s v="BRCA2 Mutation"/>
    <s v="T011"/>
    <x v="2"/>
    <x v="3"/>
    <s v="5/18/2022"/>
    <s v="4/18/2023"/>
    <s v="150mg"/>
    <s v="Fatigue, Dizziness, Headache"/>
    <s v="TR0162"/>
    <s v="150mg"/>
    <x v="2"/>
    <x v="1"/>
    <x v="1"/>
    <n v="0"/>
    <x v="0"/>
    <x v="1"/>
    <n v="1.62"/>
    <n v="1.33"/>
    <x v="16"/>
    <n v="11.4"/>
    <x v="132"/>
    <x v="2"/>
    <n v="150"/>
    <x v="0"/>
  </r>
  <r>
    <s v="P611"/>
    <n v="78"/>
    <x v="0"/>
    <x v="0"/>
    <s v="Heart Disease"/>
    <s v="Not Reported"/>
    <s v="T013"/>
    <x v="2"/>
    <x v="3"/>
    <s v="9/16/2019"/>
    <s v="10/16/2020"/>
    <s v="150mg"/>
    <s v="Headache"/>
    <s v="TR0100"/>
    <s v="150mg"/>
    <x v="0"/>
    <x v="4"/>
    <x v="138"/>
    <n v="1"/>
    <x v="4"/>
    <x v="0"/>
    <n v="4.22"/>
    <n v="1.55"/>
    <x v="29"/>
    <n v="15.1"/>
    <x v="39"/>
    <x v="2"/>
    <n v="150"/>
    <x v="2"/>
  </r>
  <r>
    <s v="P612"/>
    <n v="78"/>
    <x v="0"/>
    <x v="4"/>
    <s v="Hypertension"/>
    <s v="EGFR Mutation"/>
    <s v="T016"/>
    <x v="2"/>
    <x v="3"/>
    <s v="8/11/2021"/>
    <s v="11/11/2022"/>
    <s v="100mg"/>
    <s v="Fatigue, Nausea, Dizziness"/>
    <s v="TR0188"/>
    <s v="100mg"/>
    <x v="0"/>
    <x v="1"/>
    <x v="135"/>
    <n v="1"/>
    <x v="2"/>
    <x v="1"/>
    <n v="3.5"/>
    <n v="2.09"/>
    <x v="16"/>
    <n v="7.5"/>
    <x v="158"/>
    <x v="1"/>
    <n v="100"/>
    <x v="2"/>
  </r>
  <r>
    <s v="P613"/>
    <n v="49"/>
    <x v="1"/>
    <x v="3"/>
    <s v="Hypertension"/>
    <s v="BRCA2 Mutation"/>
    <s v="T005"/>
    <x v="0"/>
    <x v="1"/>
    <s v="11/21/2019"/>
    <s v="5/21/2021"/>
    <s v="200mg"/>
    <s v="Not Reported"/>
    <s v="TR0120"/>
    <s v="200mg"/>
    <x v="0"/>
    <x v="0"/>
    <x v="49"/>
    <n v="1"/>
    <x v="2"/>
    <x v="0"/>
    <n v="2.23"/>
    <n v="4.29"/>
    <x v="56"/>
    <n v="13.5"/>
    <x v="158"/>
    <x v="0"/>
    <n v="200"/>
    <x v="3"/>
  </r>
  <r>
    <s v="P614"/>
    <n v="74"/>
    <x v="1"/>
    <x v="2"/>
    <s v="Not Reported"/>
    <s v="BRCA2 Mutation"/>
    <s v="T020"/>
    <x v="3"/>
    <x v="3"/>
    <s v="10/5/2020"/>
    <s v="9/5/2021"/>
    <s v="50mg"/>
    <s v="Nausea"/>
    <s v="TR0084"/>
    <s v="50mg"/>
    <x v="2"/>
    <x v="0"/>
    <x v="10"/>
    <n v="0"/>
    <x v="0"/>
    <x v="1"/>
    <n v="3.9"/>
    <n v="3.3"/>
    <x v="9"/>
    <n v="20"/>
    <x v="5"/>
    <x v="3"/>
    <n v="50"/>
    <x v="2"/>
  </r>
  <r>
    <s v="P615"/>
    <n v="66"/>
    <x v="2"/>
    <x v="2"/>
    <s v="Asthma"/>
    <s v="Not Reported"/>
    <s v="T013"/>
    <x v="2"/>
    <x v="3"/>
    <s v="1/21/2023"/>
    <s v="11/21/2023"/>
    <s v="150mg"/>
    <s v="Dizziness, Nausea, Not Reported"/>
    <s v="TR0015"/>
    <s v="150mg"/>
    <x v="2"/>
    <x v="1"/>
    <x v="68"/>
    <n v="0"/>
    <x v="3"/>
    <x v="0"/>
    <n v="2.2599999999999998"/>
    <n v="3.15"/>
    <x v="59"/>
    <n v="23.8"/>
    <x v="82"/>
    <x v="2"/>
    <n v="150"/>
    <x v="2"/>
  </r>
  <r>
    <s v="P616"/>
    <n v="35"/>
    <x v="0"/>
    <x v="2"/>
    <s v="Heart Disease"/>
    <s v="BRCA2 Mutation"/>
    <s v="T003"/>
    <x v="0"/>
    <x v="3"/>
    <s v="2/14/2021"/>
    <s v="1/14/2022"/>
    <s v="50mg"/>
    <s v="Headache, Nausea"/>
    <s v="TR0135"/>
    <s v="50mg"/>
    <x v="1"/>
    <x v="0"/>
    <x v="126"/>
    <n v="0"/>
    <x v="2"/>
    <x v="0"/>
    <n v="2.4900000000000002"/>
    <n v="1.78"/>
    <x v="16"/>
    <n v="19.3"/>
    <x v="163"/>
    <x v="3"/>
    <n v="50"/>
    <x v="3"/>
  </r>
  <r>
    <s v="P617"/>
    <n v="44"/>
    <x v="1"/>
    <x v="4"/>
    <s v="Hypertension"/>
    <s v="Not Reported"/>
    <s v="T009"/>
    <x v="2"/>
    <x v="2"/>
    <s v="11/22/2019"/>
    <s v="1/22/2021"/>
    <s v="50mg"/>
    <s v="Fatigue"/>
    <s v="TR0123"/>
    <s v="50mg"/>
    <x v="0"/>
    <x v="3"/>
    <x v="8"/>
    <n v="1"/>
    <x v="0"/>
    <x v="0"/>
    <n v="2.93"/>
    <n v="4.3499999999999996"/>
    <x v="18"/>
    <n v="21.5"/>
    <x v="152"/>
    <x v="3"/>
    <n v="50"/>
    <x v="3"/>
  </r>
  <r>
    <s v="P618"/>
    <n v="35"/>
    <x v="2"/>
    <x v="0"/>
    <s v="Not Reported"/>
    <s v="HER2 Mutation"/>
    <s v="T001"/>
    <x v="0"/>
    <x v="0"/>
    <s v="11/23/2019"/>
    <s v="4/23/2021"/>
    <s v="200mg"/>
    <s v="Nausea, Dizziness, Headache"/>
    <s v="TR0151"/>
    <s v="200mg"/>
    <x v="0"/>
    <x v="1"/>
    <x v="131"/>
    <n v="1"/>
    <x v="2"/>
    <x v="1"/>
    <n v="2.31"/>
    <n v="2.82"/>
    <x v="61"/>
    <n v="8.3000000000000007"/>
    <x v="112"/>
    <x v="0"/>
    <n v="200"/>
    <x v="3"/>
  </r>
  <r>
    <s v="P619"/>
    <n v="18"/>
    <x v="1"/>
    <x v="2"/>
    <s v="Heart Disease"/>
    <s v="Not Reported"/>
    <s v="T017"/>
    <x v="2"/>
    <x v="0"/>
    <s v="3/18/2020"/>
    <s v="9/18/2020"/>
    <s v="150mg"/>
    <s v="Dizziness, Not Reported"/>
    <s v="TR0131"/>
    <s v="150mg"/>
    <x v="1"/>
    <x v="1"/>
    <x v="57"/>
    <n v="0"/>
    <x v="2"/>
    <x v="1"/>
    <n v="4.8099999999999996"/>
    <n v="1.7"/>
    <x v="41"/>
    <n v="16.399999999999999"/>
    <x v="77"/>
    <x v="2"/>
    <n v="150"/>
    <x v="0"/>
  </r>
  <r>
    <s v="P620"/>
    <n v="60"/>
    <x v="0"/>
    <x v="0"/>
    <s v="Not Reported"/>
    <s v="TP53 Mutation"/>
    <s v="T015"/>
    <x v="1"/>
    <x v="0"/>
    <s v="11/22/2023"/>
    <s v="1/22/2025"/>
    <s v="200mg"/>
    <s v="Fatigue"/>
    <s v="TR0029"/>
    <s v="200mg"/>
    <x v="0"/>
    <x v="0"/>
    <x v="21"/>
    <n v="1"/>
    <x v="0"/>
    <x v="0"/>
    <n v="3.58"/>
    <n v="1.92"/>
    <x v="10"/>
    <n v="12.7"/>
    <x v="103"/>
    <x v="0"/>
    <n v="200"/>
    <x v="1"/>
  </r>
  <r>
    <s v="P621"/>
    <n v="56"/>
    <x v="2"/>
    <x v="4"/>
    <s v="Heart Disease"/>
    <s v="Not Reported"/>
    <s v="T012"/>
    <x v="3"/>
    <x v="1"/>
    <s v="10/27/2020"/>
    <s v="8/27/2021"/>
    <s v="100mg"/>
    <s v="Nausea, Not Reported, Dizziness"/>
    <s v="TR0056"/>
    <s v="100mg"/>
    <x v="0"/>
    <x v="4"/>
    <x v="55"/>
    <n v="1"/>
    <x v="1"/>
    <x v="1"/>
    <n v="1.56"/>
    <n v="3.28"/>
    <x v="63"/>
    <n v="11"/>
    <x v="116"/>
    <x v="1"/>
    <n v="100"/>
    <x v="1"/>
  </r>
  <r>
    <s v="P622"/>
    <n v="59"/>
    <x v="1"/>
    <x v="3"/>
    <s v="Heart Disease"/>
    <s v="Not Reported"/>
    <s v="T016"/>
    <x v="3"/>
    <x v="3"/>
    <s v="2/20/2020"/>
    <s v="9/20/2020"/>
    <s v="50mg"/>
    <s v="Dizziness"/>
    <s v="TR0013"/>
    <s v="50mg"/>
    <x v="0"/>
    <x v="4"/>
    <x v="75"/>
    <n v="1"/>
    <x v="4"/>
    <x v="1"/>
    <n v="1.73"/>
    <n v="4.3"/>
    <x v="90"/>
    <n v="22.7"/>
    <x v="164"/>
    <x v="3"/>
    <n v="50"/>
    <x v="1"/>
  </r>
  <r>
    <s v="P623"/>
    <n v="66"/>
    <x v="2"/>
    <x v="1"/>
    <s v="Diabetes"/>
    <s v="TP53 Mutation"/>
    <s v="T007"/>
    <x v="2"/>
    <x v="0"/>
    <s v="2/9/2021"/>
    <s v="2/9/2022"/>
    <s v="50mg"/>
    <s v="Nausea, Dizziness"/>
    <s v="TR0078"/>
    <s v="50mg"/>
    <x v="0"/>
    <x v="4"/>
    <x v="71"/>
    <n v="1"/>
    <x v="0"/>
    <x v="0"/>
    <n v="3.29"/>
    <n v="1.57"/>
    <x v="89"/>
    <n v="20.399999999999999"/>
    <x v="122"/>
    <x v="3"/>
    <n v="50"/>
    <x v="2"/>
  </r>
  <r>
    <s v="P624"/>
    <n v="21"/>
    <x v="1"/>
    <x v="4"/>
    <s v="Hypertension"/>
    <s v="BRCA2 Mutation"/>
    <s v="T015"/>
    <x v="0"/>
    <x v="3"/>
    <s v="12/19/2019"/>
    <s v="1/19/2021"/>
    <s v="50mg"/>
    <s v="Fatigue, Dizziness, Nausea"/>
    <s v="TR0102"/>
    <s v="50mg"/>
    <x v="2"/>
    <x v="0"/>
    <x v="60"/>
    <n v="0"/>
    <x v="3"/>
    <x v="1"/>
    <n v="1.35"/>
    <n v="3.23"/>
    <x v="59"/>
    <n v="20.3"/>
    <x v="120"/>
    <x v="3"/>
    <n v="50"/>
    <x v="0"/>
  </r>
  <r>
    <s v="P625"/>
    <n v="73"/>
    <x v="1"/>
    <x v="3"/>
    <s v="Diabetes"/>
    <s v="Not Reported"/>
    <s v="T019"/>
    <x v="1"/>
    <x v="1"/>
    <s v="12/10/2021"/>
    <s v="5/10/2023"/>
    <s v="200mg"/>
    <s v="Not Reported"/>
    <s v="TR0007"/>
    <s v="200mg"/>
    <x v="2"/>
    <x v="4"/>
    <x v="54"/>
    <n v="0"/>
    <x v="0"/>
    <x v="1"/>
    <n v="3.69"/>
    <n v="1.88"/>
    <x v="66"/>
    <n v="21.7"/>
    <x v="102"/>
    <x v="0"/>
    <n v="200"/>
    <x v="2"/>
  </r>
  <r>
    <s v="P626"/>
    <n v="18"/>
    <x v="2"/>
    <x v="2"/>
    <s v="Heart Disease"/>
    <s v="Not Reported"/>
    <s v="T014"/>
    <x v="3"/>
    <x v="2"/>
    <s v="5/12/2019"/>
    <s v="12/12/2019"/>
    <s v="150mg"/>
    <s v="Headache, Fatigue"/>
    <s v="TR0096"/>
    <s v="150mg"/>
    <x v="2"/>
    <x v="4"/>
    <x v="142"/>
    <n v="0"/>
    <x v="2"/>
    <x v="0"/>
    <n v="2.0499999999999998"/>
    <n v="1"/>
    <x v="67"/>
    <n v="20.3"/>
    <x v="55"/>
    <x v="2"/>
    <n v="150"/>
    <x v="0"/>
  </r>
  <r>
    <s v="P627"/>
    <n v="59"/>
    <x v="2"/>
    <x v="0"/>
    <s v="Asthma"/>
    <s v="HER2 Mutation"/>
    <s v="T012"/>
    <x v="3"/>
    <x v="3"/>
    <s v="3/27/2021"/>
    <s v="7/27/2022"/>
    <s v="200mg"/>
    <s v="Dizziness, Headache, Fatigue"/>
    <s v="TR0111"/>
    <s v="200mg"/>
    <x v="0"/>
    <x v="2"/>
    <x v="86"/>
    <n v="1"/>
    <x v="0"/>
    <x v="1"/>
    <n v="4"/>
    <n v="1.61"/>
    <x v="83"/>
    <n v="12.3"/>
    <x v="168"/>
    <x v="0"/>
    <n v="200"/>
    <x v="1"/>
  </r>
  <r>
    <s v="P628"/>
    <n v="63"/>
    <x v="2"/>
    <x v="3"/>
    <s v="Asthma"/>
    <s v="Not Reported"/>
    <s v="T006"/>
    <x v="1"/>
    <x v="3"/>
    <s v="11/5/2023"/>
    <s v="2/5/2025"/>
    <s v="150mg"/>
    <s v="Fatigue, Dizziness, Nausea"/>
    <s v="TR0178"/>
    <s v="150mg"/>
    <x v="1"/>
    <x v="3"/>
    <x v="108"/>
    <n v="0"/>
    <x v="3"/>
    <x v="0"/>
    <n v="2.94"/>
    <n v="4.68"/>
    <x v="53"/>
    <n v="11.2"/>
    <x v="58"/>
    <x v="2"/>
    <n v="150"/>
    <x v="1"/>
  </r>
  <r>
    <s v="P629"/>
    <n v="84"/>
    <x v="0"/>
    <x v="1"/>
    <s v="Hypertension"/>
    <s v="EGFR Mutation"/>
    <s v="T006"/>
    <x v="2"/>
    <x v="3"/>
    <s v="2/11/2022"/>
    <s v="7/11/2023"/>
    <s v="150mg"/>
    <s v="Headache, Dizziness, Nausea"/>
    <s v="TR0148"/>
    <s v="150mg"/>
    <x v="1"/>
    <x v="0"/>
    <x v="21"/>
    <n v="0"/>
    <x v="0"/>
    <x v="1"/>
    <n v="1.95"/>
    <n v="4.63"/>
    <x v="31"/>
    <n v="14.4"/>
    <x v="92"/>
    <x v="2"/>
    <n v="150"/>
    <x v="2"/>
  </r>
  <r>
    <s v="P630"/>
    <n v="37"/>
    <x v="2"/>
    <x v="4"/>
    <s v="Hypertension"/>
    <s v="Not Reported"/>
    <s v="T017"/>
    <x v="1"/>
    <x v="0"/>
    <s v="2/23/2020"/>
    <s v="12/23/2020"/>
    <s v="100mg"/>
    <s v="Not Reported, Fatigue"/>
    <s v="TR0139"/>
    <s v="100mg"/>
    <x v="2"/>
    <x v="3"/>
    <x v="54"/>
    <n v="0"/>
    <x v="3"/>
    <x v="0"/>
    <n v="1.62"/>
    <n v="2.95"/>
    <x v="13"/>
    <n v="16.7"/>
    <x v="83"/>
    <x v="1"/>
    <n v="100"/>
    <x v="3"/>
  </r>
  <r>
    <s v="P631"/>
    <n v="21"/>
    <x v="1"/>
    <x v="2"/>
    <s v="Diabetes"/>
    <s v="BRCA1 Mutation"/>
    <s v="T003"/>
    <x v="0"/>
    <x v="0"/>
    <s v="7/12/2019"/>
    <s v="11/12/2020"/>
    <s v="200mg"/>
    <s v="Dizziness"/>
    <s v="TR0077"/>
    <s v="200mg"/>
    <x v="1"/>
    <x v="0"/>
    <x v="99"/>
    <n v="0"/>
    <x v="0"/>
    <x v="1"/>
    <n v="4.08"/>
    <n v="2.59"/>
    <x v="1"/>
    <n v="9.1"/>
    <x v="73"/>
    <x v="0"/>
    <n v="200"/>
    <x v="0"/>
  </r>
  <r>
    <s v="P632"/>
    <n v="72"/>
    <x v="2"/>
    <x v="1"/>
    <s v="Asthma"/>
    <s v="Not Reported"/>
    <s v="T019"/>
    <x v="1"/>
    <x v="0"/>
    <s v="8/11/2019"/>
    <s v="7/11/2020"/>
    <s v="50mg"/>
    <s v="Headache, Dizziness"/>
    <s v="TR0193"/>
    <s v="50mg"/>
    <x v="2"/>
    <x v="3"/>
    <x v="6"/>
    <n v="0"/>
    <x v="2"/>
    <x v="1"/>
    <n v="1.82"/>
    <n v="2.36"/>
    <x v="21"/>
    <n v="17.100000000000001"/>
    <x v="143"/>
    <x v="3"/>
    <n v="50"/>
    <x v="2"/>
  </r>
  <r>
    <s v="P633"/>
    <n v="80"/>
    <x v="0"/>
    <x v="3"/>
    <s v="Hypertension"/>
    <s v="Not Reported"/>
    <s v="T003"/>
    <x v="3"/>
    <x v="3"/>
    <s v="2/3/2023"/>
    <s v="11/3/2023"/>
    <s v="50mg"/>
    <s v="Headache, Not Reported"/>
    <s v="TR0062"/>
    <s v="50mg"/>
    <x v="2"/>
    <x v="0"/>
    <x v="92"/>
    <n v="0"/>
    <x v="4"/>
    <x v="1"/>
    <n v="3.04"/>
    <n v="3.01"/>
    <x v="56"/>
    <n v="6.6"/>
    <x v="66"/>
    <x v="3"/>
    <n v="50"/>
    <x v="2"/>
  </r>
  <r>
    <s v="P634"/>
    <n v="75"/>
    <x v="0"/>
    <x v="1"/>
    <s v="Asthma"/>
    <s v="BRCA2 Mutation"/>
    <s v="T019"/>
    <x v="1"/>
    <x v="0"/>
    <s v="9/6/2019"/>
    <s v="10/6/2020"/>
    <s v="150mg"/>
    <s v="Dizziness, Headache, Not Reported"/>
    <s v="TR0168"/>
    <s v="150mg"/>
    <x v="2"/>
    <x v="3"/>
    <x v="86"/>
    <n v="0"/>
    <x v="2"/>
    <x v="0"/>
    <n v="2.75"/>
    <n v="4.3600000000000003"/>
    <x v="26"/>
    <n v="6.4"/>
    <x v="75"/>
    <x v="2"/>
    <n v="150"/>
    <x v="2"/>
  </r>
  <r>
    <s v="P635"/>
    <n v="84"/>
    <x v="1"/>
    <x v="4"/>
    <s v="Asthma"/>
    <s v="BRCA2 Mutation"/>
    <s v="T002"/>
    <x v="0"/>
    <x v="3"/>
    <s v="2/22/2022"/>
    <s v="10/22/2022"/>
    <s v="50mg"/>
    <s v="Headache"/>
    <s v="TR0125"/>
    <s v="50mg"/>
    <x v="0"/>
    <x v="3"/>
    <x v="17"/>
    <n v="1"/>
    <x v="0"/>
    <x v="1"/>
    <n v="1.95"/>
    <n v="1.2"/>
    <x v="39"/>
    <n v="8"/>
    <x v="110"/>
    <x v="3"/>
    <n v="50"/>
    <x v="2"/>
  </r>
  <r>
    <s v="P636"/>
    <n v="23"/>
    <x v="1"/>
    <x v="4"/>
    <s v="Diabetes"/>
    <s v="EGFR Mutation"/>
    <s v="T016"/>
    <x v="2"/>
    <x v="0"/>
    <s v="2/6/2019"/>
    <s v="10/6/2019"/>
    <s v="100mg"/>
    <s v="Dizziness, Nausea, Fatigue"/>
    <s v="TR0128"/>
    <s v="100mg"/>
    <x v="1"/>
    <x v="0"/>
    <x v="129"/>
    <n v="0"/>
    <x v="2"/>
    <x v="1"/>
    <n v="2.12"/>
    <n v="1.69"/>
    <x v="89"/>
    <n v="20.399999999999999"/>
    <x v="124"/>
    <x v="1"/>
    <n v="100"/>
    <x v="0"/>
  </r>
  <r>
    <s v="P637"/>
    <n v="31"/>
    <x v="1"/>
    <x v="3"/>
    <s v="Hypertension"/>
    <s v="EGFR Mutation"/>
    <s v="T014"/>
    <x v="1"/>
    <x v="1"/>
    <s v="5/22/2019"/>
    <s v="4/22/2020"/>
    <s v="200mg"/>
    <s v="Dizziness, Fatigue"/>
    <s v="TR0036"/>
    <s v="200mg"/>
    <x v="0"/>
    <x v="3"/>
    <x v="144"/>
    <n v="1"/>
    <x v="3"/>
    <x v="0"/>
    <n v="4"/>
    <n v="1.5"/>
    <x v="73"/>
    <n v="10.3"/>
    <x v="134"/>
    <x v="0"/>
    <n v="200"/>
    <x v="3"/>
  </r>
  <r>
    <s v="P638"/>
    <n v="43"/>
    <x v="1"/>
    <x v="1"/>
    <s v="Not Reported"/>
    <s v="Not Reported"/>
    <s v="T016"/>
    <x v="1"/>
    <x v="2"/>
    <s v="7/4/2023"/>
    <s v="9/4/2024"/>
    <s v="50mg"/>
    <s v="Fatigue"/>
    <s v="TR0038"/>
    <s v="50mg"/>
    <x v="1"/>
    <x v="1"/>
    <x v="30"/>
    <n v="0"/>
    <x v="3"/>
    <x v="1"/>
    <n v="3.26"/>
    <n v="4.72"/>
    <x v="88"/>
    <n v="7.2"/>
    <x v="47"/>
    <x v="3"/>
    <n v="50"/>
    <x v="3"/>
  </r>
  <r>
    <s v="P639"/>
    <n v="25"/>
    <x v="2"/>
    <x v="2"/>
    <s v="Hypertension"/>
    <s v="Not Reported"/>
    <s v="T009"/>
    <x v="1"/>
    <x v="3"/>
    <s v="6/8/2020"/>
    <s v="7/8/2021"/>
    <s v="100mg"/>
    <s v="Headache"/>
    <s v="TR0123"/>
    <s v="100mg"/>
    <x v="1"/>
    <x v="1"/>
    <x v="93"/>
    <n v="0"/>
    <x v="0"/>
    <x v="1"/>
    <n v="4.3099999999999996"/>
    <n v="3.1"/>
    <x v="73"/>
    <n v="10.199999999999999"/>
    <x v="11"/>
    <x v="1"/>
    <n v="100"/>
    <x v="0"/>
  </r>
  <r>
    <s v="P640"/>
    <n v="27"/>
    <x v="0"/>
    <x v="4"/>
    <s v="Heart Disease"/>
    <s v="BRCA1 Mutation"/>
    <s v="T016"/>
    <x v="1"/>
    <x v="2"/>
    <s v="11/25/2020"/>
    <s v="11/25/2021"/>
    <s v="150mg"/>
    <s v="Not Reported"/>
    <s v="TR0105"/>
    <s v="150mg"/>
    <x v="0"/>
    <x v="0"/>
    <x v="85"/>
    <n v="1"/>
    <x v="4"/>
    <x v="1"/>
    <n v="1.1200000000000001"/>
    <n v="4.8499999999999996"/>
    <x v="9"/>
    <n v="22.8"/>
    <x v="87"/>
    <x v="2"/>
    <n v="150"/>
    <x v="0"/>
  </r>
  <r>
    <s v="P641"/>
    <n v="21"/>
    <x v="0"/>
    <x v="0"/>
    <s v="Asthma"/>
    <s v="BRCA2 Mutation"/>
    <s v="T005"/>
    <x v="3"/>
    <x v="0"/>
    <s v="4/20/2020"/>
    <s v="6/20/2021"/>
    <s v="150mg"/>
    <s v="Nausea, Headache"/>
    <s v="TR0154"/>
    <s v="150mg"/>
    <x v="0"/>
    <x v="0"/>
    <x v="31"/>
    <n v="1"/>
    <x v="2"/>
    <x v="0"/>
    <n v="3.45"/>
    <n v="3.71"/>
    <x v="60"/>
    <n v="21.3"/>
    <x v="46"/>
    <x v="2"/>
    <n v="150"/>
    <x v="0"/>
  </r>
  <r>
    <s v="P642"/>
    <n v="36"/>
    <x v="2"/>
    <x v="2"/>
    <s v="Not Reported"/>
    <s v="TP53 Mutation"/>
    <s v="T015"/>
    <x v="0"/>
    <x v="3"/>
    <s v="10/11/2023"/>
    <s v="8/11/2024"/>
    <s v="200mg"/>
    <s v="Headache, Dizziness, Not Reported"/>
    <s v="TR0151"/>
    <s v="200mg"/>
    <x v="2"/>
    <x v="2"/>
    <x v="87"/>
    <n v="0"/>
    <x v="0"/>
    <x v="1"/>
    <n v="4.54"/>
    <n v="3.96"/>
    <x v="5"/>
    <n v="11.1"/>
    <x v="114"/>
    <x v="0"/>
    <n v="200"/>
    <x v="3"/>
  </r>
  <r>
    <s v="P643"/>
    <n v="61"/>
    <x v="0"/>
    <x v="3"/>
    <s v="Not Reported"/>
    <s v="Not Reported"/>
    <s v="T020"/>
    <x v="1"/>
    <x v="3"/>
    <s v="5/28/2021"/>
    <s v="3/28/2022"/>
    <s v="100mg"/>
    <s v="Not Reported, Fatigue"/>
    <s v="TR0145"/>
    <s v="100mg"/>
    <x v="0"/>
    <x v="4"/>
    <x v="16"/>
    <n v="1"/>
    <x v="0"/>
    <x v="1"/>
    <n v="1.04"/>
    <n v="3.86"/>
    <x v="79"/>
    <n v="17.2"/>
    <x v="84"/>
    <x v="1"/>
    <n v="100"/>
    <x v="1"/>
  </r>
  <r>
    <s v="P644"/>
    <n v="84"/>
    <x v="2"/>
    <x v="3"/>
    <s v="Not Reported"/>
    <s v="HER2 Mutation"/>
    <s v="T007"/>
    <x v="2"/>
    <x v="3"/>
    <s v="11/22/2020"/>
    <s v="10/22/2021"/>
    <s v="150mg"/>
    <s v="Headache"/>
    <s v="TR0149"/>
    <s v="150mg"/>
    <x v="2"/>
    <x v="1"/>
    <x v="76"/>
    <n v="0"/>
    <x v="4"/>
    <x v="0"/>
    <n v="2.25"/>
    <n v="2.36"/>
    <x v="27"/>
    <n v="14"/>
    <x v="12"/>
    <x v="2"/>
    <n v="150"/>
    <x v="2"/>
  </r>
  <r>
    <s v="P645"/>
    <n v="44"/>
    <x v="2"/>
    <x v="0"/>
    <s v="Diabetes"/>
    <s v="Not Reported"/>
    <s v="T016"/>
    <x v="0"/>
    <x v="2"/>
    <s v="8/23/2022"/>
    <s v="6/23/2023"/>
    <s v="200mg"/>
    <s v="Not Reported, Fatigue, Headache"/>
    <s v="TR0156"/>
    <s v="200mg"/>
    <x v="0"/>
    <x v="4"/>
    <x v="133"/>
    <n v="1"/>
    <x v="1"/>
    <x v="1"/>
    <n v="2.37"/>
    <n v="4.34"/>
    <x v="2"/>
    <n v="9.3000000000000007"/>
    <x v="160"/>
    <x v="0"/>
    <n v="200"/>
    <x v="3"/>
  </r>
  <r>
    <s v="P646"/>
    <n v="18"/>
    <x v="0"/>
    <x v="4"/>
    <s v="Not Reported"/>
    <s v="Not Reported"/>
    <s v="T015"/>
    <x v="0"/>
    <x v="0"/>
    <s v="5/2/2020"/>
    <s v="5/2/2021"/>
    <s v="200mg"/>
    <s v="Nausea, Headache, Fatigue"/>
    <s v="TR0100"/>
    <s v="200mg"/>
    <x v="1"/>
    <x v="3"/>
    <x v="64"/>
    <n v="0"/>
    <x v="0"/>
    <x v="0"/>
    <n v="4.71"/>
    <n v="1.25"/>
    <x v="87"/>
    <n v="8.9"/>
    <x v="57"/>
    <x v="0"/>
    <n v="200"/>
    <x v="0"/>
  </r>
  <r>
    <s v="P647"/>
    <n v="64"/>
    <x v="0"/>
    <x v="2"/>
    <s v="Hypertension"/>
    <s v="EGFR Mutation"/>
    <s v="T018"/>
    <x v="0"/>
    <x v="2"/>
    <s v="12/22/2019"/>
    <s v="12/22/2020"/>
    <s v="100mg"/>
    <s v="Dizziness"/>
    <s v="TR0016"/>
    <s v="100mg"/>
    <x v="0"/>
    <x v="3"/>
    <x v="127"/>
    <n v="1"/>
    <x v="2"/>
    <x v="1"/>
    <n v="1.6"/>
    <n v="4.87"/>
    <x v="71"/>
    <n v="15"/>
    <x v="102"/>
    <x v="1"/>
    <n v="100"/>
    <x v="1"/>
  </r>
  <r>
    <s v="P648"/>
    <n v="54"/>
    <x v="1"/>
    <x v="4"/>
    <s v="Diabetes"/>
    <s v="EGFR Mutation"/>
    <s v="T019"/>
    <x v="0"/>
    <x v="3"/>
    <s v="3/1/2020"/>
    <s v="5/1/2021"/>
    <s v="150mg"/>
    <s v="Fatigue"/>
    <s v="TR0099"/>
    <s v="150mg"/>
    <x v="0"/>
    <x v="2"/>
    <x v="125"/>
    <n v="1"/>
    <x v="0"/>
    <x v="0"/>
    <n v="2.88"/>
    <n v="3.65"/>
    <x v="65"/>
    <n v="19.600000000000001"/>
    <x v="34"/>
    <x v="2"/>
    <n v="150"/>
    <x v="1"/>
  </r>
  <r>
    <s v="P649"/>
    <n v="52"/>
    <x v="1"/>
    <x v="2"/>
    <s v="Hypertension"/>
    <s v="HER2 Mutation"/>
    <s v="T008"/>
    <x v="2"/>
    <x v="0"/>
    <s v="3/6/2023"/>
    <s v="12/6/2023"/>
    <s v="150mg"/>
    <s v="Nausea"/>
    <s v="TR0062"/>
    <s v="150mg"/>
    <x v="2"/>
    <x v="4"/>
    <x v="100"/>
    <n v="0"/>
    <x v="2"/>
    <x v="1"/>
    <n v="4.62"/>
    <n v="4.2699999999999996"/>
    <x v="65"/>
    <n v="7"/>
    <x v="146"/>
    <x v="2"/>
    <n v="150"/>
    <x v="1"/>
  </r>
  <r>
    <s v="P650"/>
    <n v="75"/>
    <x v="0"/>
    <x v="4"/>
    <s v="Hypertension"/>
    <s v="Not Reported"/>
    <s v="T014"/>
    <x v="3"/>
    <x v="0"/>
    <s v="12/13/2020"/>
    <s v="3/13/2022"/>
    <s v="200mg"/>
    <s v="Dizziness"/>
    <s v="TR0196"/>
    <s v="200mg"/>
    <x v="1"/>
    <x v="1"/>
    <x v="104"/>
    <n v="0"/>
    <x v="1"/>
    <x v="1"/>
    <n v="1.85"/>
    <n v="3.65"/>
    <x v="68"/>
    <n v="13.2"/>
    <x v="140"/>
    <x v="0"/>
    <n v="200"/>
    <x v="2"/>
  </r>
  <r>
    <s v="P651"/>
    <n v="59"/>
    <x v="0"/>
    <x v="3"/>
    <s v="Heart Disease"/>
    <s v="Not Reported"/>
    <s v="T015"/>
    <x v="2"/>
    <x v="3"/>
    <s v="12/3/2020"/>
    <s v="3/3/2022"/>
    <s v="200mg"/>
    <s v="Headache"/>
    <s v="TR0054"/>
    <s v="200mg"/>
    <x v="0"/>
    <x v="4"/>
    <x v="90"/>
    <n v="1"/>
    <x v="1"/>
    <x v="1"/>
    <n v="4.58"/>
    <n v="4.6399999999999997"/>
    <x v="0"/>
    <n v="18.399999999999999"/>
    <x v="91"/>
    <x v="0"/>
    <n v="200"/>
    <x v="1"/>
  </r>
  <r>
    <s v="P652"/>
    <n v="49"/>
    <x v="2"/>
    <x v="0"/>
    <s v="Diabetes"/>
    <s v="HER2 Mutation"/>
    <s v="T001"/>
    <x v="2"/>
    <x v="1"/>
    <s v="12/26/2022"/>
    <s v="6/26/2023"/>
    <s v="200mg"/>
    <s v="Not Reported, Dizziness, Fatigue"/>
    <s v="TR0006"/>
    <s v="200mg"/>
    <x v="1"/>
    <x v="0"/>
    <x v="101"/>
    <n v="0"/>
    <x v="1"/>
    <x v="0"/>
    <n v="1.76"/>
    <n v="1.74"/>
    <x v="42"/>
    <n v="13.7"/>
    <x v="79"/>
    <x v="0"/>
    <n v="200"/>
    <x v="3"/>
  </r>
  <r>
    <s v="P653"/>
    <n v="73"/>
    <x v="1"/>
    <x v="0"/>
    <s v="Diabetes"/>
    <s v="TP53 Mutation"/>
    <s v="T016"/>
    <x v="2"/>
    <x v="2"/>
    <s v="10/21/2020"/>
    <s v="12/21/2021"/>
    <s v="100mg"/>
    <s v="Headache"/>
    <s v="TR0094"/>
    <s v="100mg"/>
    <x v="0"/>
    <x v="1"/>
    <x v="74"/>
    <n v="1"/>
    <x v="0"/>
    <x v="0"/>
    <n v="1.48"/>
    <n v="3.94"/>
    <x v="36"/>
    <n v="11.2"/>
    <x v="163"/>
    <x v="1"/>
    <n v="100"/>
    <x v="2"/>
  </r>
  <r>
    <s v="P654"/>
    <n v="24"/>
    <x v="1"/>
    <x v="2"/>
    <s v="Heart Disease"/>
    <s v="Not Reported"/>
    <s v="T015"/>
    <x v="2"/>
    <x v="3"/>
    <s v="7/9/2020"/>
    <s v="3/9/2021"/>
    <s v="100mg"/>
    <s v="Not Reported, Fatigue"/>
    <s v="TR0134"/>
    <s v="100mg"/>
    <x v="0"/>
    <x v="1"/>
    <x v="74"/>
    <n v="1"/>
    <x v="2"/>
    <x v="0"/>
    <n v="2.2000000000000002"/>
    <n v="3.38"/>
    <x v="13"/>
    <n v="9"/>
    <x v="22"/>
    <x v="1"/>
    <n v="100"/>
    <x v="0"/>
  </r>
  <r>
    <s v="P655"/>
    <n v="40"/>
    <x v="1"/>
    <x v="1"/>
    <s v="Asthma"/>
    <s v="Not Reported"/>
    <s v="T006"/>
    <x v="2"/>
    <x v="1"/>
    <s v="10/23/2020"/>
    <s v="5/23/2021"/>
    <s v="50mg"/>
    <s v="Not Reported"/>
    <s v="TR0046"/>
    <s v="50mg"/>
    <x v="2"/>
    <x v="3"/>
    <x v="66"/>
    <n v="0"/>
    <x v="2"/>
    <x v="1"/>
    <n v="3.19"/>
    <n v="4.6100000000000003"/>
    <x v="42"/>
    <n v="19.2"/>
    <x v="103"/>
    <x v="3"/>
    <n v="50"/>
    <x v="3"/>
  </r>
  <r>
    <s v="P656"/>
    <n v="40"/>
    <x v="0"/>
    <x v="1"/>
    <s v="Diabetes"/>
    <s v="BRCA1 Mutation"/>
    <s v="T011"/>
    <x v="2"/>
    <x v="3"/>
    <s v="1/17/2023"/>
    <s v="3/17/2024"/>
    <s v="50mg"/>
    <s v="Fatigue, Dizziness"/>
    <s v="TR0013"/>
    <s v="50mg"/>
    <x v="1"/>
    <x v="1"/>
    <x v="37"/>
    <n v="0"/>
    <x v="0"/>
    <x v="1"/>
    <n v="4.7300000000000004"/>
    <n v="4.28"/>
    <x v="41"/>
    <n v="17.8"/>
    <x v="115"/>
    <x v="3"/>
    <n v="50"/>
    <x v="3"/>
  </r>
  <r>
    <s v="P657"/>
    <n v="53"/>
    <x v="1"/>
    <x v="4"/>
    <s v="Asthma"/>
    <s v="BRCA1 Mutation"/>
    <s v="T008"/>
    <x v="2"/>
    <x v="1"/>
    <s v="7/5/2019"/>
    <s v="1/5/2020"/>
    <s v="150mg"/>
    <s v="Dizziness, Headache"/>
    <s v="TR0174"/>
    <s v="150mg"/>
    <x v="1"/>
    <x v="2"/>
    <x v="78"/>
    <n v="0"/>
    <x v="1"/>
    <x v="1"/>
    <n v="2.6"/>
    <n v="2.31"/>
    <x v="82"/>
    <n v="20.9"/>
    <x v="43"/>
    <x v="2"/>
    <n v="150"/>
    <x v="1"/>
  </r>
  <r>
    <s v="P658"/>
    <n v="84"/>
    <x v="1"/>
    <x v="1"/>
    <s v="Heart Disease"/>
    <s v="Not Reported"/>
    <s v="T013"/>
    <x v="0"/>
    <x v="0"/>
    <s v="9/28/2020"/>
    <s v="10/28/2021"/>
    <s v="100mg"/>
    <s v="Fatigue"/>
    <s v="TR0019"/>
    <s v="100mg"/>
    <x v="2"/>
    <x v="4"/>
    <x v="109"/>
    <n v="0"/>
    <x v="3"/>
    <x v="1"/>
    <n v="1.42"/>
    <n v="3.31"/>
    <x v="31"/>
    <n v="8.1"/>
    <x v="131"/>
    <x v="1"/>
    <n v="100"/>
    <x v="2"/>
  </r>
  <r>
    <s v="P659"/>
    <n v="66"/>
    <x v="1"/>
    <x v="0"/>
    <s v="Not Reported"/>
    <s v="HER2 Mutation"/>
    <s v="T007"/>
    <x v="1"/>
    <x v="2"/>
    <s v="11/25/2022"/>
    <s v="7/25/2023"/>
    <s v="200mg"/>
    <s v="Fatigue, Not Reported, Dizziness"/>
    <s v="TR0063"/>
    <s v="200mg"/>
    <x v="0"/>
    <x v="3"/>
    <x v="131"/>
    <n v="1"/>
    <x v="1"/>
    <x v="1"/>
    <n v="1.86"/>
    <n v="1.27"/>
    <x v="80"/>
    <n v="19.3"/>
    <x v="41"/>
    <x v="0"/>
    <n v="200"/>
    <x v="2"/>
  </r>
  <r>
    <s v="P660"/>
    <n v="80"/>
    <x v="1"/>
    <x v="3"/>
    <s v="Asthma"/>
    <s v="BRCA2 Mutation"/>
    <s v="T015"/>
    <x v="2"/>
    <x v="0"/>
    <s v="4/5/2019"/>
    <s v="8/5/2020"/>
    <s v="50mg"/>
    <s v="Not Reported, Nausea"/>
    <s v="TR0090"/>
    <s v="50mg"/>
    <x v="1"/>
    <x v="0"/>
    <x v="143"/>
    <n v="0"/>
    <x v="3"/>
    <x v="1"/>
    <n v="3.63"/>
    <n v="3.13"/>
    <x v="75"/>
    <n v="9.1"/>
    <x v="25"/>
    <x v="3"/>
    <n v="50"/>
    <x v="2"/>
  </r>
  <r>
    <s v="P661"/>
    <n v="63"/>
    <x v="2"/>
    <x v="1"/>
    <s v="Asthma"/>
    <s v="HER2 Mutation"/>
    <s v="T003"/>
    <x v="0"/>
    <x v="3"/>
    <s v="5/17/2020"/>
    <s v="1/17/2021"/>
    <s v="50mg"/>
    <s v="Fatigue"/>
    <s v="TR0191"/>
    <s v="50mg"/>
    <x v="2"/>
    <x v="2"/>
    <x v="15"/>
    <n v="0"/>
    <x v="3"/>
    <x v="0"/>
    <n v="2.19"/>
    <n v="4.75"/>
    <x v="1"/>
    <n v="23.7"/>
    <x v="12"/>
    <x v="3"/>
    <n v="50"/>
    <x v="1"/>
  </r>
  <r>
    <s v="P662"/>
    <n v="83"/>
    <x v="0"/>
    <x v="1"/>
    <s v="Not Reported"/>
    <s v="HER2 Mutation"/>
    <s v="T011"/>
    <x v="3"/>
    <x v="3"/>
    <s v="6/10/2023"/>
    <s v="5/10/2024"/>
    <s v="50mg"/>
    <s v="Dizziness, Nausea, Fatigue"/>
    <s v="TR0195"/>
    <s v="50mg"/>
    <x v="1"/>
    <x v="0"/>
    <x v="82"/>
    <n v="0"/>
    <x v="3"/>
    <x v="0"/>
    <n v="4.88"/>
    <n v="2.72"/>
    <x v="42"/>
    <n v="6.9"/>
    <x v="139"/>
    <x v="3"/>
    <n v="50"/>
    <x v="2"/>
  </r>
  <r>
    <s v="P663"/>
    <n v="37"/>
    <x v="1"/>
    <x v="0"/>
    <s v="Asthma"/>
    <s v="Not Reported"/>
    <s v="T009"/>
    <x v="2"/>
    <x v="2"/>
    <s v="2/20/2020"/>
    <s v="2/20/2021"/>
    <s v="150mg"/>
    <s v="Fatigue, Nausea"/>
    <s v="TR0012"/>
    <s v="150mg"/>
    <x v="1"/>
    <x v="3"/>
    <x v="2"/>
    <n v="0"/>
    <x v="0"/>
    <x v="1"/>
    <n v="3.77"/>
    <n v="2.83"/>
    <x v="66"/>
    <n v="17.100000000000001"/>
    <x v="19"/>
    <x v="2"/>
    <n v="150"/>
    <x v="3"/>
  </r>
  <r>
    <s v="P664"/>
    <n v="42"/>
    <x v="1"/>
    <x v="4"/>
    <s v="Asthma"/>
    <s v="Not Reported"/>
    <s v="T009"/>
    <x v="2"/>
    <x v="1"/>
    <s v="3/28/2019"/>
    <s v="9/28/2019"/>
    <s v="150mg"/>
    <s v="Headache, Nausea, Dizziness"/>
    <s v="TR0120"/>
    <s v="150mg"/>
    <x v="0"/>
    <x v="0"/>
    <x v="24"/>
    <n v="1"/>
    <x v="3"/>
    <x v="1"/>
    <n v="3.31"/>
    <n v="2.44"/>
    <x v="1"/>
    <n v="20.8"/>
    <x v="72"/>
    <x v="2"/>
    <n v="150"/>
    <x v="3"/>
  </r>
  <r>
    <s v="P665"/>
    <n v="61"/>
    <x v="2"/>
    <x v="0"/>
    <s v="Asthma"/>
    <s v="Not Reported"/>
    <s v="T009"/>
    <x v="0"/>
    <x v="3"/>
    <s v="3/22/2023"/>
    <s v="7/22/2024"/>
    <s v="150mg"/>
    <s v="Fatigue, Dizziness, Nausea"/>
    <s v="TR0112"/>
    <s v="150mg"/>
    <x v="1"/>
    <x v="4"/>
    <x v="130"/>
    <n v="0"/>
    <x v="2"/>
    <x v="1"/>
    <n v="2.4"/>
    <n v="2.4500000000000002"/>
    <x v="3"/>
    <n v="11.9"/>
    <x v="159"/>
    <x v="2"/>
    <n v="150"/>
    <x v="1"/>
  </r>
  <r>
    <s v="P666"/>
    <n v="81"/>
    <x v="2"/>
    <x v="3"/>
    <s v="Hypertension"/>
    <s v="Not Reported"/>
    <s v="T010"/>
    <x v="0"/>
    <x v="1"/>
    <s v="9/8/2020"/>
    <s v="3/8/2022"/>
    <s v="100mg"/>
    <s v="Headache"/>
    <s v="TR0040"/>
    <s v="100mg"/>
    <x v="0"/>
    <x v="2"/>
    <x v="3"/>
    <n v="1"/>
    <x v="4"/>
    <x v="1"/>
    <n v="1.34"/>
    <n v="2.87"/>
    <x v="72"/>
    <n v="21.1"/>
    <x v="61"/>
    <x v="1"/>
    <n v="100"/>
    <x v="2"/>
  </r>
  <r>
    <s v="P667"/>
    <n v="69"/>
    <x v="1"/>
    <x v="1"/>
    <s v="Not Reported"/>
    <s v="BRCA2 Mutation"/>
    <s v="T006"/>
    <x v="3"/>
    <x v="1"/>
    <s v="1/14/2021"/>
    <s v="1/14/2022"/>
    <s v="200mg"/>
    <s v="Headache"/>
    <s v="TR0122"/>
    <s v="200mg"/>
    <x v="0"/>
    <x v="4"/>
    <x v="10"/>
    <n v="1"/>
    <x v="3"/>
    <x v="1"/>
    <n v="2.52"/>
    <n v="4.2300000000000004"/>
    <x v="1"/>
    <n v="12.9"/>
    <x v="158"/>
    <x v="0"/>
    <n v="200"/>
    <x v="2"/>
  </r>
  <r>
    <s v="P668"/>
    <n v="48"/>
    <x v="1"/>
    <x v="3"/>
    <s v="Asthma"/>
    <s v="Not Reported"/>
    <s v="T013"/>
    <x v="3"/>
    <x v="2"/>
    <s v="4/20/2021"/>
    <s v="10/20/2022"/>
    <s v="100mg"/>
    <s v="Fatigue, Not Reported"/>
    <s v="TR0152"/>
    <s v="100mg"/>
    <x v="1"/>
    <x v="3"/>
    <x v="93"/>
    <n v="0"/>
    <x v="3"/>
    <x v="0"/>
    <n v="2.21"/>
    <n v="4.7300000000000004"/>
    <x v="38"/>
    <n v="22.8"/>
    <x v="0"/>
    <x v="1"/>
    <n v="100"/>
    <x v="3"/>
  </r>
  <r>
    <s v="P669"/>
    <n v="19"/>
    <x v="0"/>
    <x v="1"/>
    <s v="Asthma"/>
    <s v="BRCA1 Mutation"/>
    <s v="T005"/>
    <x v="1"/>
    <x v="1"/>
    <s v="3/2/2022"/>
    <s v="11/2/2022"/>
    <s v="150mg"/>
    <s v="Not Reported, Nausea"/>
    <s v="TR0011"/>
    <s v="150mg"/>
    <x v="0"/>
    <x v="4"/>
    <x v="130"/>
    <n v="1"/>
    <x v="3"/>
    <x v="0"/>
    <n v="3.13"/>
    <n v="1.1299999999999999"/>
    <x v="72"/>
    <n v="13.3"/>
    <x v="88"/>
    <x v="2"/>
    <n v="150"/>
    <x v="0"/>
  </r>
  <r>
    <s v="P670"/>
    <n v="28"/>
    <x v="0"/>
    <x v="1"/>
    <s v="Hypertension"/>
    <s v="Not Reported"/>
    <s v="T007"/>
    <x v="2"/>
    <x v="0"/>
    <s v="2/9/2022"/>
    <s v="5/9/2023"/>
    <s v="150mg"/>
    <s v="Dizziness, Nausea, Not Reported"/>
    <s v="TR0073"/>
    <s v="150mg"/>
    <x v="0"/>
    <x v="3"/>
    <x v="66"/>
    <n v="1"/>
    <x v="2"/>
    <x v="1"/>
    <n v="3.63"/>
    <n v="4.88"/>
    <x v="41"/>
    <n v="18.899999999999999"/>
    <x v="119"/>
    <x v="2"/>
    <n v="150"/>
    <x v="0"/>
  </r>
  <r>
    <s v="P671"/>
    <n v="38"/>
    <x v="2"/>
    <x v="1"/>
    <s v="Hypertension"/>
    <s v="BRCA2 Mutation"/>
    <s v="T010"/>
    <x v="1"/>
    <x v="0"/>
    <s v="11/6/2021"/>
    <s v="4/6/2023"/>
    <s v="200mg"/>
    <s v="Not Reported, Dizziness"/>
    <s v="TR0076"/>
    <s v="200mg"/>
    <x v="2"/>
    <x v="0"/>
    <x v="108"/>
    <n v="0"/>
    <x v="0"/>
    <x v="1"/>
    <n v="2.67"/>
    <n v="1.47"/>
    <x v="25"/>
    <n v="22.9"/>
    <x v="104"/>
    <x v="0"/>
    <n v="200"/>
    <x v="3"/>
  </r>
  <r>
    <s v="P672"/>
    <n v="59"/>
    <x v="0"/>
    <x v="4"/>
    <s v="Asthma"/>
    <s v="BRCA2 Mutation"/>
    <s v="T002"/>
    <x v="1"/>
    <x v="1"/>
    <s v="2/5/2023"/>
    <s v="9/5/2023"/>
    <s v="200mg"/>
    <s v="Fatigue"/>
    <s v="TR0186"/>
    <s v="200mg"/>
    <x v="0"/>
    <x v="4"/>
    <x v="111"/>
    <n v="1"/>
    <x v="4"/>
    <x v="0"/>
    <n v="1.31"/>
    <n v="2.42"/>
    <x v="10"/>
    <n v="13.3"/>
    <x v="161"/>
    <x v="0"/>
    <n v="200"/>
    <x v="1"/>
  </r>
  <r>
    <s v="P673"/>
    <n v="79"/>
    <x v="1"/>
    <x v="3"/>
    <s v="Hypertension"/>
    <s v="Not Reported"/>
    <s v="T018"/>
    <x v="0"/>
    <x v="2"/>
    <s v="11/2/2022"/>
    <s v="10/2/2023"/>
    <s v="100mg"/>
    <s v="Fatigue, Not Reported"/>
    <s v="TR0017"/>
    <s v="100mg"/>
    <x v="0"/>
    <x v="3"/>
    <x v="86"/>
    <n v="1"/>
    <x v="1"/>
    <x v="0"/>
    <n v="4.26"/>
    <n v="3.45"/>
    <x v="89"/>
    <n v="10.6"/>
    <x v="20"/>
    <x v="1"/>
    <n v="100"/>
    <x v="2"/>
  </r>
  <r>
    <s v="P674"/>
    <n v="81"/>
    <x v="1"/>
    <x v="3"/>
    <s v="Not Reported"/>
    <s v="TP53 Mutation"/>
    <s v="T014"/>
    <x v="0"/>
    <x v="2"/>
    <s v="3/9/2019"/>
    <s v="3/9/2020"/>
    <s v="50mg"/>
    <s v="Not Reported, Fatigue"/>
    <s v="TR0011"/>
    <s v="50mg"/>
    <x v="0"/>
    <x v="1"/>
    <x v="82"/>
    <n v="1"/>
    <x v="2"/>
    <x v="1"/>
    <n v="2.42"/>
    <n v="2.65"/>
    <x v="23"/>
    <n v="17.8"/>
    <x v="119"/>
    <x v="3"/>
    <n v="50"/>
    <x v="2"/>
  </r>
  <r>
    <s v="P675"/>
    <n v="53"/>
    <x v="0"/>
    <x v="4"/>
    <s v="Asthma"/>
    <s v="BRCA1 Mutation"/>
    <s v="T012"/>
    <x v="0"/>
    <x v="3"/>
    <s v="1/4/2021"/>
    <s v="2/4/2022"/>
    <s v="100mg"/>
    <s v="Fatigue"/>
    <s v="TR0086"/>
    <s v="100mg"/>
    <x v="2"/>
    <x v="2"/>
    <x v="120"/>
    <n v="0"/>
    <x v="2"/>
    <x v="1"/>
    <n v="2.58"/>
    <n v="1.73"/>
    <x v="26"/>
    <n v="20.9"/>
    <x v="15"/>
    <x v="1"/>
    <n v="100"/>
    <x v="1"/>
  </r>
  <r>
    <s v="P676"/>
    <n v="85"/>
    <x v="2"/>
    <x v="1"/>
    <s v="Heart Disease"/>
    <s v="BRCA1 Mutation"/>
    <s v="T015"/>
    <x v="0"/>
    <x v="0"/>
    <s v="5/11/2019"/>
    <s v="11/11/2019"/>
    <s v="200mg"/>
    <s v="Nausea, Headache, Fatigue"/>
    <s v="TR0119"/>
    <s v="200mg"/>
    <x v="2"/>
    <x v="2"/>
    <x v="44"/>
    <n v="0"/>
    <x v="4"/>
    <x v="0"/>
    <n v="2.68"/>
    <n v="1.67"/>
    <x v="37"/>
    <n v="16"/>
    <x v="37"/>
    <x v="0"/>
    <n v="200"/>
    <x v="2"/>
  </r>
  <r>
    <s v="P677"/>
    <n v="75"/>
    <x v="1"/>
    <x v="0"/>
    <s v="Hypertension"/>
    <s v="Not Reported"/>
    <s v="T019"/>
    <x v="0"/>
    <x v="0"/>
    <s v="1/17/2021"/>
    <s v="10/17/2021"/>
    <s v="50mg"/>
    <s v="Headache"/>
    <s v="TR0062"/>
    <s v="50mg"/>
    <x v="1"/>
    <x v="3"/>
    <x v="143"/>
    <n v="0"/>
    <x v="3"/>
    <x v="0"/>
    <n v="3.01"/>
    <n v="3.93"/>
    <x v="78"/>
    <n v="10"/>
    <x v="82"/>
    <x v="3"/>
    <n v="50"/>
    <x v="2"/>
  </r>
  <r>
    <s v="P678"/>
    <n v="53"/>
    <x v="2"/>
    <x v="1"/>
    <s v="Asthma"/>
    <s v="TP53 Mutation"/>
    <s v="T020"/>
    <x v="1"/>
    <x v="0"/>
    <s v="4/18/2023"/>
    <s v="8/18/2024"/>
    <s v="150mg"/>
    <s v="Fatigue"/>
    <s v="TR0100"/>
    <s v="150mg"/>
    <x v="2"/>
    <x v="4"/>
    <x v="61"/>
    <n v="0"/>
    <x v="2"/>
    <x v="0"/>
    <n v="4.74"/>
    <n v="4.67"/>
    <x v="19"/>
    <n v="17.3"/>
    <x v="152"/>
    <x v="2"/>
    <n v="150"/>
    <x v="1"/>
  </r>
  <r>
    <s v="P679"/>
    <n v="19"/>
    <x v="2"/>
    <x v="3"/>
    <s v="Hypertension"/>
    <s v="BRCA2 Mutation"/>
    <s v="T016"/>
    <x v="1"/>
    <x v="1"/>
    <s v="12/24/2020"/>
    <s v="10/24/2021"/>
    <s v="100mg"/>
    <s v="Not Reported, Dizziness, Fatigue"/>
    <s v="TR0042"/>
    <s v="100mg"/>
    <x v="1"/>
    <x v="1"/>
    <x v="144"/>
    <n v="0"/>
    <x v="4"/>
    <x v="0"/>
    <n v="4.01"/>
    <n v="3.13"/>
    <x v="23"/>
    <n v="13.7"/>
    <x v="33"/>
    <x v="1"/>
    <n v="100"/>
    <x v="0"/>
  </r>
  <r>
    <s v="P680"/>
    <n v="54"/>
    <x v="1"/>
    <x v="1"/>
    <s v="Heart Disease"/>
    <s v="Not Reported"/>
    <s v="T003"/>
    <x v="2"/>
    <x v="1"/>
    <s v="4/3/2019"/>
    <s v="10/3/2020"/>
    <s v="150mg"/>
    <s v="Nausea"/>
    <s v="TR0196"/>
    <s v="150mg"/>
    <x v="1"/>
    <x v="4"/>
    <x v="133"/>
    <n v="0"/>
    <x v="2"/>
    <x v="1"/>
    <n v="4.3"/>
    <n v="1.59"/>
    <x v="48"/>
    <n v="15.7"/>
    <x v="138"/>
    <x v="2"/>
    <n v="150"/>
    <x v="1"/>
  </r>
  <r>
    <s v="P681"/>
    <n v="83"/>
    <x v="0"/>
    <x v="3"/>
    <s v="Heart Disease"/>
    <s v="BRCA1 Mutation"/>
    <s v="T012"/>
    <x v="1"/>
    <x v="3"/>
    <s v="7/26/2020"/>
    <s v="4/26/2021"/>
    <s v="150mg"/>
    <s v="Nausea, Dizziness, Headache"/>
    <s v="TR0042"/>
    <s v="150mg"/>
    <x v="0"/>
    <x v="4"/>
    <x v="144"/>
    <n v="1"/>
    <x v="2"/>
    <x v="0"/>
    <n v="2.73"/>
    <n v="2.52"/>
    <x v="52"/>
    <n v="10.5"/>
    <x v="138"/>
    <x v="2"/>
    <n v="150"/>
    <x v="2"/>
  </r>
  <r>
    <s v="P682"/>
    <n v="79"/>
    <x v="2"/>
    <x v="0"/>
    <s v="Hypertension"/>
    <s v="HER2 Mutation"/>
    <s v="T014"/>
    <x v="1"/>
    <x v="0"/>
    <s v="3/7/2020"/>
    <s v="6/7/2021"/>
    <s v="200mg"/>
    <s v="Nausea, Fatigue, Not Reported"/>
    <s v="TR0200"/>
    <s v="200mg"/>
    <x v="1"/>
    <x v="2"/>
    <x v="121"/>
    <n v="0"/>
    <x v="1"/>
    <x v="1"/>
    <n v="2.94"/>
    <n v="3.06"/>
    <x v="0"/>
    <n v="16.3"/>
    <x v="96"/>
    <x v="0"/>
    <n v="200"/>
    <x v="2"/>
  </r>
  <r>
    <s v="P683"/>
    <n v="65"/>
    <x v="0"/>
    <x v="2"/>
    <s v="Hypertension"/>
    <s v="BRCA1 Mutation"/>
    <s v="T019"/>
    <x v="0"/>
    <x v="1"/>
    <s v="11/11/2021"/>
    <s v="11/11/2022"/>
    <s v="50mg"/>
    <s v="Headache, Nausea"/>
    <s v="TR0035"/>
    <s v="50mg"/>
    <x v="0"/>
    <x v="2"/>
    <x v="45"/>
    <n v="1"/>
    <x v="2"/>
    <x v="0"/>
    <n v="1.1599999999999999"/>
    <n v="2.09"/>
    <x v="82"/>
    <n v="23.6"/>
    <x v="114"/>
    <x v="3"/>
    <n v="50"/>
    <x v="1"/>
  </r>
  <r>
    <s v="P684"/>
    <n v="35"/>
    <x v="1"/>
    <x v="3"/>
    <s v="Heart Disease"/>
    <s v="Not Reported"/>
    <s v="T011"/>
    <x v="1"/>
    <x v="1"/>
    <s v="4/10/2021"/>
    <s v="6/10/2022"/>
    <s v="200mg"/>
    <s v="Nausea, Dizziness"/>
    <s v="TR0015"/>
    <s v="200mg"/>
    <x v="1"/>
    <x v="1"/>
    <x v="40"/>
    <n v="0"/>
    <x v="1"/>
    <x v="0"/>
    <n v="2.58"/>
    <n v="3.91"/>
    <x v="42"/>
    <n v="18.100000000000001"/>
    <x v="76"/>
    <x v="0"/>
    <n v="200"/>
    <x v="3"/>
  </r>
  <r>
    <s v="P685"/>
    <n v="53"/>
    <x v="1"/>
    <x v="3"/>
    <s v="Hypertension"/>
    <s v="Not Reported"/>
    <s v="T012"/>
    <x v="1"/>
    <x v="0"/>
    <s v="12/10/2021"/>
    <s v="12/10/2022"/>
    <s v="50mg"/>
    <s v="Not Reported"/>
    <s v="TR0084"/>
    <s v="50mg"/>
    <x v="0"/>
    <x v="3"/>
    <x v="64"/>
    <n v="1"/>
    <x v="2"/>
    <x v="0"/>
    <n v="4.79"/>
    <n v="2.6"/>
    <x v="73"/>
    <n v="10.8"/>
    <x v="84"/>
    <x v="3"/>
    <n v="50"/>
    <x v="1"/>
  </r>
  <r>
    <s v="P686"/>
    <n v="64"/>
    <x v="0"/>
    <x v="2"/>
    <s v="Not Reported"/>
    <s v="Not Reported"/>
    <s v="T011"/>
    <x v="1"/>
    <x v="2"/>
    <s v="4/19/2023"/>
    <s v="10/19/2024"/>
    <s v="50mg"/>
    <s v="Nausea"/>
    <s v="TR0071"/>
    <s v="50mg"/>
    <x v="1"/>
    <x v="2"/>
    <x v="78"/>
    <n v="0"/>
    <x v="3"/>
    <x v="1"/>
    <n v="1.1000000000000001"/>
    <n v="3.41"/>
    <x v="46"/>
    <n v="18.399999999999999"/>
    <x v="22"/>
    <x v="3"/>
    <n v="50"/>
    <x v="1"/>
  </r>
  <r>
    <s v="P687"/>
    <n v="56"/>
    <x v="0"/>
    <x v="3"/>
    <s v="Hypertension"/>
    <s v="HER2 Mutation"/>
    <s v="T003"/>
    <x v="0"/>
    <x v="3"/>
    <s v="3/3/2019"/>
    <s v="10/3/2019"/>
    <s v="50mg"/>
    <s v="Headache"/>
    <s v="TR0011"/>
    <s v="50mg"/>
    <x v="1"/>
    <x v="4"/>
    <x v="73"/>
    <n v="0"/>
    <x v="2"/>
    <x v="0"/>
    <n v="4.75"/>
    <n v="1.72"/>
    <x v="35"/>
    <n v="10"/>
    <x v="162"/>
    <x v="3"/>
    <n v="50"/>
    <x v="1"/>
  </r>
  <r>
    <s v="P688"/>
    <n v="51"/>
    <x v="0"/>
    <x v="1"/>
    <s v="Heart Disease"/>
    <s v="Not Reported"/>
    <s v="T008"/>
    <x v="1"/>
    <x v="3"/>
    <s v="3/21/2020"/>
    <s v="6/21/2021"/>
    <s v="50mg"/>
    <s v="Nausea, Headache, Dizziness"/>
    <s v="TR0187"/>
    <s v="50mg"/>
    <x v="2"/>
    <x v="1"/>
    <x v="146"/>
    <n v="0"/>
    <x v="2"/>
    <x v="0"/>
    <n v="3.19"/>
    <n v="2.67"/>
    <x v="26"/>
    <n v="9.1"/>
    <x v="69"/>
    <x v="3"/>
    <n v="50"/>
    <x v="1"/>
  </r>
  <r>
    <s v="P689"/>
    <n v="70"/>
    <x v="0"/>
    <x v="1"/>
    <s v="Not Reported"/>
    <s v="Not Reported"/>
    <s v="T007"/>
    <x v="3"/>
    <x v="2"/>
    <s v="7/7/2019"/>
    <s v="10/7/2020"/>
    <s v="200mg"/>
    <s v="Dizziness"/>
    <s v="TR0075"/>
    <s v="200mg"/>
    <x v="1"/>
    <x v="1"/>
    <x v="73"/>
    <n v="0"/>
    <x v="2"/>
    <x v="1"/>
    <n v="4.03"/>
    <n v="4.59"/>
    <x v="87"/>
    <n v="13.1"/>
    <x v="26"/>
    <x v="0"/>
    <n v="200"/>
    <x v="2"/>
  </r>
  <r>
    <s v="P690"/>
    <n v="54"/>
    <x v="1"/>
    <x v="4"/>
    <s v="Heart Disease"/>
    <s v="Not Reported"/>
    <s v="T004"/>
    <x v="3"/>
    <x v="3"/>
    <s v="8/1/2023"/>
    <s v="3/1/2024"/>
    <s v="200mg"/>
    <s v="Fatigue, Not Reported, Headache"/>
    <s v="TR0033"/>
    <s v="200mg"/>
    <x v="2"/>
    <x v="1"/>
    <x v="84"/>
    <n v="0"/>
    <x v="3"/>
    <x v="0"/>
    <n v="1.07"/>
    <n v="3.65"/>
    <x v="80"/>
    <n v="8.9"/>
    <x v="101"/>
    <x v="0"/>
    <n v="200"/>
    <x v="1"/>
  </r>
  <r>
    <s v="P691"/>
    <n v="34"/>
    <x v="2"/>
    <x v="2"/>
    <s v="Diabetes"/>
    <s v="Not Reported"/>
    <s v="T002"/>
    <x v="1"/>
    <x v="0"/>
    <s v="4/9/2020"/>
    <s v="11/9/2020"/>
    <s v="50mg"/>
    <s v="Fatigue, Nausea, Not Reported"/>
    <s v="TR0004"/>
    <s v="50mg"/>
    <x v="1"/>
    <x v="3"/>
    <x v="53"/>
    <n v="0"/>
    <x v="0"/>
    <x v="1"/>
    <n v="1.0900000000000001"/>
    <n v="4.34"/>
    <x v="84"/>
    <n v="8.4"/>
    <x v="37"/>
    <x v="3"/>
    <n v="50"/>
    <x v="3"/>
  </r>
  <r>
    <s v="P692"/>
    <n v="36"/>
    <x v="0"/>
    <x v="2"/>
    <s v="Not Reported"/>
    <s v="HER2 Mutation"/>
    <s v="T013"/>
    <x v="0"/>
    <x v="0"/>
    <s v="11/5/2020"/>
    <s v="8/5/2021"/>
    <s v="200mg"/>
    <s v="Fatigue, Dizziness"/>
    <s v="TR0126"/>
    <s v="200mg"/>
    <x v="1"/>
    <x v="4"/>
    <x v="100"/>
    <n v="0"/>
    <x v="3"/>
    <x v="1"/>
    <n v="4.47"/>
    <n v="4.71"/>
    <x v="62"/>
    <n v="6.9"/>
    <x v="15"/>
    <x v="0"/>
    <n v="200"/>
    <x v="3"/>
  </r>
  <r>
    <s v="P693"/>
    <n v="18"/>
    <x v="1"/>
    <x v="3"/>
    <s v="Diabetes"/>
    <s v="BRCA1 Mutation"/>
    <s v="T015"/>
    <x v="0"/>
    <x v="2"/>
    <s v="2/10/2022"/>
    <s v="10/10/2022"/>
    <s v="150mg"/>
    <s v="Fatigue, Headache"/>
    <s v="TR0197"/>
    <s v="150mg"/>
    <x v="0"/>
    <x v="0"/>
    <x v="141"/>
    <n v="1"/>
    <x v="3"/>
    <x v="1"/>
    <n v="3.3"/>
    <n v="2.57"/>
    <x v="11"/>
    <n v="16.5"/>
    <x v="94"/>
    <x v="2"/>
    <n v="150"/>
    <x v="0"/>
  </r>
  <r>
    <s v="P694"/>
    <n v="62"/>
    <x v="1"/>
    <x v="4"/>
    <s v="Asthma"/>
    <s v="TP53 Mutation"/>
    <s v="T016"/>
    <x v="3"/>
    <x v="3"/>
    <s v="8/8/2020"/>
    <s v="9/8/2021"/>
    <s v="100mg"/>
    <s v="Fatigue"/>
    <s v="TR0166"/>
    <s v="100mg"/>
    <x v="1"/>
    <x v="0"/>
    <x v="8"/>
    <n v="0"/>
    <x v="2"/>
    <x v="0"/>
    <n v="4.1500000000000004"/>
    <n v="2.23"/>
    <x v="53"/>
    <n v="16.600000000000001"/>
    <x v="59"/>
    <x v="1"/>
    <n v="100"/>
    <x v="1"/>
  </r>
  <r>
    <s v="P695"/>
    <n v="32"/>
    <x v="1"/>
    <x v="0"/>
    <s v="Heart Disease"/>
    <s v="BRCA1 Mutation"/>
    <s v="T009"/>
    <x v="0"/>
    <x v="0"/>
    <s v="2/19/2019"/>
    <s v="9/19/2019"/>
    <s v="100mg"/>
    <s v="Not Reported, Fatigue"/>
    <s v="TR0194"/>
    <s v="100mg"/>
    <x v="2"/>
    <x v="2"/>
    <x v="122"/>
    <n v="0"/>
    <x v="2"/>
    <x v="0"/>
    <n v="4.9000000000000004"/>
    <n v="3.18"/>
    <x v="5"/>
    <n v="18.8"/>
    <x v="91"/>
    <x v="1"/>
    <n v="100"/>
    <x v="3"/>
  </r>
  <r>
    <s v="P696"/>
    <n v="81"/>
    <x v="2"/>
    <x v="2"/>
    <s v="Diabetes"/>
    <s v="Not Reported"/>
    <s v="T011"/>
    <x v="3"/>
    <x v="3"/>
    <s v="8/7/2019"/>
    <s v="4/7/2020"/>
    <s v="50mg"/>
    <s v="Not Reported, Headache, Fatigue"/>
    <s v="TR0179"/>
    <s v="50mg"/>
    <x v="1"/>
    <x v="2"/>
    <x v="57"/>
    <n v="0"/>
    <x v="1"/>
    <x v="1"/>
    <n v="4.62"/>
    <n v="2.5"/>
    <x v="34"/>
    <n v="6.9"/>
    <x v="49"/>
    <x v="3"/>
    <n v="50"/>
    <x v="2"/>
  </r>
  <r>
    <s v="P697"/>
    <n v="30"/>
    <x v="1"/>
    <x v="3"/>
    <s v="Heart Disease"/>
    <s v="BRCA2 Mutation"/>
    <s v="T011"/>
    <x v="1"/>
    <x v="3"/>
    <s v="8/25/2021"/>
    <s v="5/25/2022"/>
    <s v="150mg"/>
    <s v="Fatigue, Headache"/>
    <s v="TR0144"/>
    <s v="150mg"/>
    <x v="0"/>
    <x v="3"/>
    <x v="34"/>
    <n v="1"/>
    <x v="2"/>
    <x v="0"/>
    <n v="4.33"/>
    <n v="4.22"/>
    <x v="66"/>
    <n v="10.1"/>
    <x v="74"/>
    <x v="2"/>
    <n v="150"/>
    <x v="0"/>
  </r>
  <r>
    <s v="P698"/>
    <n v="47"/>
    <x v="1"/>
    <x v="2"/>
    <s v="Diabetes"/>
    <s v="EGFR Mutation"/>
    <s v="T003"/>
    <x v="1"/>
    <x v="0"/>
    <s v="4/24/2020"/>
    <s v="1/24/2021"/>
    <s v="100mg"/>
    <s v="Nausea, Dizziness"/>
    <s v="TR0066"/>
    <s v="100mg"/>
    <x v="0"/>
    <x v="2"/>
    <x v="20"/>
    <n v="1"/>
    <x v="3"/>
    <x v="1"/>
    <n v="4.72"/>
    <n v="1.38"/>
    <x v="83"/>
    <n v="12.1"/>
    <x v="51"/>
    <x v="1"/>
    <n v="100"/>
    <x v="3"/>
  </r>
  <r>
    <s v="P699"/>
    <n v="75"/>
    <x v="0"/>
    <x v="2"/>
    <s v="Not Reported"/>
    <s v="Not Reported"/>
    <s v="T020"/>
    <x v="1"/>
    <x v="1"/>
    <s v="10/18/2021"/>
    <s v="3/18/2023"/>
    <s v="100mg"/>
    <s v="Headache"/>
    <s v="TR0177"/>
    <s v="100mg"/>
    <x v="1"/>
    <x v="2"/>
    <x v="41"/>
    <n v="0"/>
    <x v="3"/>
    <x v="1"/>
    <n v="1.33"/>
    <n v="1.84"/>
    <x v="65"/>
    <n v="6.9"/>
    <x v="163"/>
    <x v="1"/>
    <n v="100"/>
    <x v="2"/>
  </r>
  <r>
    <s v="P700"/>
    <n v="45"/>
    <x v="1"/>
    <x v="0"/>
    <s v="Hypertension"/>
    <s v="EGFR Mutation"/>
    <s v="T008"/>
    <x v="0"/>
    <x v="1"/>
    <s v="12/12/2022"/>
    <s v="11/12/2023"/>
    <s v="200mg"/>
    <s v="Fatigue, Nausea, Not Reported"/>
    <s v="TR0025"/>
    <s v="200mg"/>
    <x v="2"/>
    <x v="2"/>
    <x v="129"/>
    <n v="0"/>
    <x v="4"/>
    <x v="0"/>
    <n v="2.77"/>
    <n v="2.34"/>
    <x v="14"/>
    <n v="15.5"/>
    <x v="88"/>
    <x v="0"/>
    <n v="200"/>
    <x v="3"/>
  </r>
  <r>
    <s v="P701"/>
    <n v="40"/>
    <x v="0"/>
    <x v="4"/>
    <s v="Hypertension"/>
    <s v="Not Reported"/>
    <s v="T007"/>
    <x v="2"/>
    <x v="2"/>
    <s v="5/15/2020"/>
    <s v="11/15/2020"/>
    <s v="200mg"/>
    <s v="Dizziness"/>
    <s v="TR0035"/>
    <s v="200mg"/>
    <x v="0"/>
    <x v="3"/>
    <x v="55"/>
    <n v="1"/>
    <x v="4"/>
    <x v="1"/>
    <n v="3.29"/>
    <n v="4.22"/>
    <x v="65"/>
    <n v="8.8000000000000007"/>
    <x v="56"/>
    <x v="0"/>
    <n v="200"/>
    <x v="3"/>
  </r>
  <r>
    <s v="P702"/>
    <n v="73"/>
    <x v="0"/>
    <x v="2"/>
    <s v="Diabetes"/>
    <s v="BRCA1 Mutation"/>
    <s v="T006"/>
    <x v="0"/>
    <x v="1"/>
    <s v="3/22/2023"/>
    <s v="3/22/2024"/>
    <s v="50mg"/>
    <s v="Fatigue"/>
    <s v="TR0055"/>
    <s v="50mg"/>
    <x v="0"/>
    <x v="1"/>
    <x v="38"/>
    <n v="1"/>
    <x v="3"/>
    <x v="1"/>
    <n v="2.0699999999999998"/>
    <n v="2.44"/>
    <x v="68"/>
    <n v="18.2"/>
    <x v="98"/>
    <x v="3"/>
    <n v="50"/>
    <x v="2"/>
  </r>
  <r>
    <s v="P703"/>
    <n v="47"/>
    <x v="2"/>
    <x v="4"/>
    <s v="Not Reported"/>
    <s v="Not Reported"/>
    <s v="T018"/>
    <x v="0"/>
    <x v="0"/>
    <s v="10/18/2020"/>
    <s v="2/18/2022"/>
    <s v="100mg"/>
    <s v="Headache, Fatigue"/>
    <s v="TR0157"/>
    <s v="100mg"/>
    <x v="1"/>
    <x v="4"/>
    <x v="70"/>
    <n v="0"/>
    <x v="4"/>
    <x v="0"/>
    <n v="1.1399999999999999"/>
    <n v="2.57"/>
    <x v="70"/>
    <n v="9.5"/>
    <x v="44"/>
    <x v="1"/>
    <n v="100"/>
    <x v="3"/>
  </r>
  <r>
    <s v="P704"/>
    <n v="20"/>
    <x v="0"/>
    <x v="3"/>
    <s v="Not Reported"/>
    <s v="EGFR Mutation"/>
    <s v="T015"/>
    <x v="1"/>
    <x v="1"/>
    <s v="1/8/2020"/>
    <s v="6/8/2021"/>
    <s v="50mg"/>
    <s v="Headache, Dizziness, Not Reported"/>
    <s v="TR0149"/>
    <s v="50mg"/>
    <x v="2"/>
    <x v="1"/>
    <x v="79"/>
    <n v="0"/>
    <x v="2"/>
    <x v="0"/>
    <n v="2.04"/>
    <n v="4.54"/>
    <x v="49"/>
    <n v="11.4"/>
    <x v="37"/>
    <x v="3"/>
    <n v="50"/>
    <x v="0"/>
  </r>
  <r>
    <s v="P705"/>
    <n v="47"/>
    <x v="0"/>
    <x v="4"/>
    <s v="Hypertension"/>
    <s v="Not Reported"/>
    <s v="T020"/>
    <x v="1"/>
    <x v="2"/>
    <s v="9/3/2023"/>
    <s v="8/3/2024"/>
    <s v="50mg"/>
    <s v="Not Reported, Dizziness"/>
    <s v="TR0141"/>
    <s v="50mg"/>
    <x v="0"/>
    <x v="1"/>
    <x v="149"/>
    <n v="1"/>
    <x v="1"/>
    <x v="1"/>
    <n v="2.65"/>
    <n v="1.96"/>
    <x v="23"/>
    <n v="20.9"/>
    <x v="63"/>
    <x v="3"/>
    <n v="50"/>
    <x v="3"/>
  </r>
  <r>
    <s v="P706"/>
    <n v="44"/>
    <x v="0"/>
    <x v="4"/>
    <s v="Hypertension"/>
    <s v="Not Reported"/>
    <s v="T020"/>
    <x v="3"/>
    <x v="1"/>
    <s v="12/21/2022"/>
    <s v="2/21/2024"/>
    <s v="50mg"/>
    <s v="Not Reported, Headache, Nausea"/>
    <s v="TR0175"/>
    <s v="50mg"/>
    <x v="1"/>
    <x v="4"/>
    <x v="60"/>
    <n v="0"/>
    <x v="3"/>
    <x v="0"/>
    <n v="4.3"/>
    <n v="2.59"/>
    <x v="26"/>
    <n v="19.3"/>
    <x v="36"/>
    <x v="3"/>
    <n v="50"/>
    <x v="3"/>
  </r>
  <r>
    <s v="P707"/>
    <n v="21"/>
    <x v="2"/>
    <x v="2"/>
    <s v="Hypertension"/>
    <s v="BRCA2 Mutation"/>
    <s v="T019"/>
    <x v="1"/>
    <x v="1"/>
    <s v="8/26/2020"/>
    <s v="3/26/2021"/>
    <s v="200mg"/>
    <s v="Not Reported, Nausea, Dizziness"/>
    <s v="TR0192"/>
    <s v="200mg"/>
    <x v="2"/>
    <x v="3"/>
    <x v="72"/>
    <n v="0"/>
    <x v="4"/>
    <x v="1"/>
    <n v="3.69"/>
    <n v="2.08"/>
    <x v="27"/>
    <n v="23.9"/>
    <x v="88"/>
    <x v="0"/>
    <n v="200"/>
    <x v="0"/>
  </r>
  <r>
    <s v="P708"/>
    <n v="66"/>
    <x v="2"/>
    <x v="2"/>
    <s v="Heart Disease"/>
    <s v="Not Reported"/>
    <s v="T010"/>
    <x v="0"/>
    <x v="2"/>
    <s v="9/27/2019"/>
    <s v="5/27/2020"/>
    <s v="200mg"/>
    <s v="Headache, Nausea"/>
    <s v="TR0039"/>
    <s v="200mg"/>
    <x v="0"/>
    <x v="4"/>
    <x v="106"/>
    <n v="1"/>
    <x v="2"/>
    <x v="0"/>
    <n v="4.95"/>
    <n v="4.91"/>
    <x v="76"/>
    <n v="17.899999999999999"/>
    <x v="34"/>
    <x v="0"/>
    <n v="200"/>
    <x v="2"/>
  </r>
  <r>
    <s v="P709"/>
    <n v="58"/>
    <x v="1"/>
    <x v="3"/>
    <s v="Hypertension"/>
    <s v="Not Reported"/>
    <s v="T015"/>
    <x v="1"/>
    <x v="1"/>
    <s v="1/1/2023"/>
    <s v="5/1/2024"/>
    <s v="150mg"/>
    <s v="Headache"/>
    <s v="TR0089"/>
    <s v="150mg"/>
    <x v="2"/>
    <x v="4"/>
    <x v="112"/>
    <n v="0"/>
    <x v="4"/>
    <x v="1"/>
    <n v="4.46"/>
    <n v="2.16"/>
    <x v="31"/>
    <n v="17.100000000000001"/>
    <x v="28"/>
    <x v="2"/>
    <n v="150"/>
    <x v="1"/>
  </r>
  <r>
    <s v="P710"/>
    <n v="85"/>
    <x v="0"/>
    <x v="3"/>
    <s v="Asthma"/>
    <s v="Not Reported"/>
    <s v="T008"/>
    <x v="3"/>
    <x v="2"/>
    <s v="9/8/2021"/>
    <s v="8/8/2022"/>
    <s v="150mg"/>
    <s v="Nausea, Not Reported, Fatigue"/>
    <s v="TR0044"/>
    <s v="150mg"/>
    <x v="2"/>
    <x v="0"/>
    <x v="85"/>
    <n v="0"/>
    <x v="2"/>
    <x v="0"/>
    <n v="2.71"/>
    <n v="2.3199999999999998"/>
    <x v="41"/>
    <n v="21.3"/>
    <x v="153"/>
    <x v="2"/>
    <n v="150"/>
    <x v="2"/>
  </r>
  <r>
    <s v="P711"/>
    <n v="78"/>
    <x v="0"/>
    <x v="3"/>
    <s v="Diabetes"/>
    <s v="EGFR Mutation"/>
    <s v="T020"/>
    <x v="3"/>
    <x v="3"/>
    <s v="10/25/2019"/>
    <s v="2/25/2021"/>
    <s v="100mg"/>
    <s v="Nausea"/>
    <s v="TR0016"/>
    <s v="100mg"/>
    <x v="1"/>
    <x v="3"/>
    <x v="133"/>
    <n v="0"/>
    <x v="1"/>
    <x v="1"/>
    <n v="4.74"/>
    <n v="3.76"/>
    <x v="1"/>
    <n v="16"/>
    <x v="107"/>
    <x v="1"/>
    <n v="100"/>
    <x v="2"/>
  </r>
  <r>
    <s v="P712"/>
    <n v="85"/>
    <x v="0"/>
    <x v="1"/>
    <s v="Heart Disease"/>
    <s v="Not Reported"/>
    <s v="T009"/>
    <x v="0"/>
    <x v="2"/>
    <s v="8/16/2023"/>
    <s v="5/16/2024"/>
    <s v="100mg"/>
    <s v="Fatigue, Nausea"/>
    <s v="TR0103"/>
    <s v="100mg"/>
    <x v="1"/>
    <x v="1"/>
    <x v="126"/>
    <n v="0"/>
    <x v="3"/>
    <x v="0"/>
    <n v="1.06"/>
    <n v="4.2699999999999996"/>
    <x v="53"/>
    <n v="22"/>
    <x v="85"/>
    <x v="1"/>
    <n v="100"/>
    <x v="2"/>
  </r>
  <r>
    <s v="P713"/>
    <n v="69"/>
    <x v="2"/>
    <x v="0"/>
    <s v="Diabetes"/>
    <s v="Not Reported"/>
    <s v="T010"/>
    <x v="3"/>
    <x v="3"/>
    <s v="1/8/2020"/>
    <s v="1/8/2021"/>
    <s v="100mg"/>
    <s v="Dizziness, Headache"/>
    <s v="TR0055"/>
    <s v="100mg"/>
    <x v="0"/>
    <x v="4"/>
    <x v="86"/>
    <n v="1"/>
    <x v="3"/>
    <x v="1"/>
    <n v="2.1800000000000002"/>
    <n v="1.84"/>
    <x v="61"/>
    <n v="10.6"/>
    <x v="5"/>
    <x v="1"/>
    <n v="100"/>
    <x v="2"/>
  </r>
  <r>
    <s v="P714"/>
    <n v="23"/>
    <x v="1"/>
    <x v="0"/>
    <s v="Asthma"/>
    <s v="TP53 Mutation"/>
    <s v="T010"/>
    <x v="1"/>
    <x v="2"/>
    <s v="4/24/2022"/>
    <s v="8/24/2023"/>
    <s v="150mg"/>
    <s v="Dizziness, Fatigue"/>
    <s v="TR0076"/>
    <s v="150mg"/>
    <x v="0"/>
    <x v="3"/>
    <x v="107"/>
    <n v="1"/>
    <x v="1"/>
    <x v="1"/>
    <n v="1.41"/>
    <n v="1.5"/>
    <x v="84"/>
    <n v="18.100000000000001"/>
    <x v="138"/>
    <x v="2"/>
    <n v="150"/>
    <x v="0"/>
  </r>
  <r>
    <s v="P715"/>
    <n v="57"/>
    <x v="1"/>
    <x v="0"/>
    <s v="Not Reported"/>
    <s v="Not Reported"/>
    <s v="T017"/>
    <x v="1"/>
    <x v="2"/>
    <s v="6/8/2019"/>
    <s v="8/8/2020"/>
    <s v="100mg"/>
    <s v="Not Reported, Fatigue"/>
    <s v="TR0120"/>
    <s v="100mg"/>
    <x v="2"/>
    <x v="3"/>
    <x v="53"/>
    <n v="0"/>
    <x v="3"/>
    <x v="1"/>
    <n v="2.2999999999999998"/>
    <n v="3.71"/>
    <x v="24"/>
    <n v="16.899999999999999"/>
    <x v="0"/>
    <x v="1"/>
    <n v="100"/>
    <x v="1"/>
  </r>
  <r>
    <s v="P716"/>
    <n v="25"/>
    <x v="1"/>
    <x v="4"/>
    <s v="Diabetes"/>
    <s v="Not Reported"/>
    <s v="T007"/>
    <x v="0"/>
    <x v="2"/>
    <s v="5/19/2023"/>
    <s v="4/19/2024"/>
    <s v="50mg"/>
    <s v="Fatigue, Dizziness"/>
    <s v="TR0027"/>
    <s v="50mg"/>
    <x v="0"/>
    <x v="3"/>
    <x v="71"/>
    <n v="1"/>
    <x v="2"/>
    <x v="1"/>
    <n v="3.3"/>
    <n v="2.72"/>
    <x v="5"/>
    <n v="19.8"/>
    <x v="61"/>
    <x v="3"/>
    <n v="50"/>
    <x v="0"/>
  </r>
  <r>
    <s v="P717"/>
    <n v="33"/>
    <x v="2"/>
    <x v="2"/>
    <s v="Heart Disease"/>
    <s v="Not Reported"/>
    <s v="T008"/>
    <x v="1"/>
    <x v="2"/>
    <s v="4/5/2022"/>
    <s v="4/5/2023"/>
    <s v="150mg"/>
    <s v="Nausea"/>
    <s v="TR0105"/>
    <s v="150mg"/>
    <x v="0"/>
    <x v="3"/>
    <x v="107"/>
    <n v="1"/>
    <x v="2"/>
    <x v="1"/>
    <n v="3.77"/>
    <n v="1.93"/>
    <x v="35"/>
    <n v="19.399999999999999"/>
    <x v="116"/>
    <x v="2"/>
    <n v="150"/>
    <x v="3"/>
  </r>
  <r>
    <s v="P718"/>
    <n v="59"/>
    <x v="1"/>
    <x v="2"/>
    <s v="Asthma"/>
    <s v="Not Reported"/>
    <s v="T014"/>
    <x v="1"/>
    <x v="1"/>
    <s v="4/27/2020"/>
    <s v="10/27/2020"/>
    <s v="50mg"/>
    <s v="Nausea, Not Reported, Fatigue"/>
    <s v="TR0029"/>
    <s v="50mg"/>
    <x v="2"/>
    <x v="1"/>
    <x v="135"/>
    <n v="0"/>
    <x v="3"/>
    <x v="0"/>
    <n v="1.24"/>
    <n v="1.52"/>
    <x v="25"/>
    <n v="21.3"/>
    <x v="2"/>
    <x v="3"/>
    <n v="50"/>
    <x v="1"/>
  </r>
  <r>
    <s v="P719"/>
    <n v="66"/>
    <x v="1"/>
    <x v="3"/>
    <s v="Asthma"/>
    <s v="TP53 Mutation"/>
    <s v="T020"/>
    <x v="1"/>
    <x v="0"/>
    <s v="10/22/2019"/>
    <s v="7/22/2020"/>
    <s v="200mg"/>
    <s v="Dizziness, Not Reported"/>
    <s v="TR0035"/>
    <s v="200mg"/>
    <x v="0"/>
    <x v="3"/>
    <x v="39"/>
    <n v="1"/>
    <x v="2"/>
    <x v="0"/>
    <n v="3.94"/>
    <n v="2.37"/>
    <x v="72"/>
    <n v="22.7"/>
    <x v="108"/>
    <x v="0"/>
    <n v="200"/>
    <x v="2"/>
  </r>
  <r>
    <s v="P720"/>
    <n v="33"/>
    <x v="2"/>
    <x v="1"/>
    <s v="Not Reported"/>
    <s v="TP53 Mutation"/>
    <s v="T008"/>
    <x v="2"/>
    <x v="0"/>
    <s v="8/11/2023"/>
    <s v="2/11/2024"/>
    <s v="100mg"/>
    <s v="Fatigue, Dizziness"/>
    <s v="TR0186"/>
    <s v="100mg"/>
    <x v="0"/>
    <x v="1"/>
    <x v="3"/>
    <n v="1"/>
    <x v="0"/>
    <x v="0"/>
    <n v="2.86"/>
    <n v="1.05"/>
    <x v="27"/>
    <n v="10.7"/>
    <x v="73"/>
    <x v="1"/>
    <n v="100"/>
    <x v="3"/>
  </r>
  <r>
    <s v="P721"/>
    <n v="48"/>
    <x v="1"/>
    <x v="0"/>
    <s v="Not Reported"/>
    <s v="BRCA1 Mutation"/>
    <s v="T003"/>
    <x v="0"/>
    <x v="1"/>
    <s v="3/17/2021"/>
    <s v="5/17/2022"/>
    <s v="200mg"/>
    <s v="Nausea, Not Reported, Headache"/>
    <s v="TR0006"/>
    <s v="200mg"/>
    <x v="1"/>
    <x v="1"/>
    <x v="18"/>
    <n v="0"/>
    <x v="1"/>
    <x v="1"/>
    <n v="3.53"/>
    <n v="2.71"/>
    <x v="34"/>
    <n v="9.1"/>
    <x v="95"/>
    <x v="0"/>
    <n v="200"/>
    <x v="3"/>
  </r>
  <r>
    <s v="P722"/>
    <n v="73"/>
    <x v="2"/>
    <x v="2"/>
    <s v="Heart Disease"/>
    <s v="Not Reported"/>
    <s v="T004"/>
    <x v="2"/>
    <x v="0"/>
    <s v="1/7/2019"/>
    <s v="7/7/2019"/>
    <s v="100mg"/>
    <s v="Headache, Dizziness"/>
    <s v="TR0156"/>
    <s v="100mg"/>
    <x v="0"/>
    <x v="3"/>
    <x v="140"/>
    <n v="1"/>
    <x v="0"/>
    <x v="1"/>
    <n v="3.66"/>
    <n v="4.8600000000000003"/>
    <x v="56"/>
    <n v="22"/>
    <x v="34"/>
    <x v="1"/>
    <n v="100"/>
    <x v="2"/>
  </r>
  <r>
    <s v="P723"/>
    <n v="27"/>
    <x v="1"/>
    <x v="4"/>
    <s v="Hypertension"/>
    <s v="Not Reported"/>
    <s v="T007"/>
    <x v="0"/>
    <x v="3"/>
    <s v="1/27/2021"/>
    <s v="1/27/2022"/>
    <s v="100mg"/>
    <s v="Dizziness, Nausea"/>
    <s v="TR0125"/>
    <s v="100mg"/>
    <x v="2"/>
    <x v="0"/>
    <x v="6"/>
    <n v="0"/>
    <x v="2"/>
    <x v="0"/>
    <n v="3.26"/>
    <n v="3"/>
    <x v="32"/>
    <n v="7.6"/>
    <x v="68"/>
    <x v="1"/>
    <n v="100"/>
    <x v="0"/>
  </r>
  <r>
    <s v="P724"/>
    <n v="44"/>
    <x v="2"/>
    <x v="0"/>
    <s v="Not Reported"/>
    <s v="Not Reported"/>
    <s v="T002"/>
    <x v="1"/>
    <x v="2"/>
    <s v="9/1/2021"/>
    <s v="3/1/2023"/>
    <s v="200mg"/>
    <s v="Not Reported"/>
    <s v="TR0077"/>
    <s v="200mg"/>
    <x v="0"/>
    <x v="0"/>
    <x v="83"/>
    <n v="1"/>
    <x v="2"/>
    <x v="0"/>
    <n v="2.36"/>
    <n v="4.67"/>
    <x v="68"/>
    <n v="8.6"/>
    <x v="118"/>
    <x v="0"/>
    <n v="200"/>
    <x v="3"/>
  </r>
  <r>
    <s v="P725"/>
    <n v="70"/>
    <x v="0"/>
    <x v="4"/>
    <s v="Diabetes"/>
    <s v="Not Reported"/>
    <s v="T020"/>
    <x v="1"/>
    <x v="1"/>
    <s v="11/12/2019"/>
    <s v="12/12/2020"/>
    <s v="50mg"/>
    <s v="Nausea, Not Reported, Headache"/>
    <s v="TR0149"/>
    <s v="50mg"/>
    <x v="2"/>
    <x v="3"/>
    <x v="27"/>
    <n v="0"/>
    <x v="4"/>
    <x v="0"/>
    <n v="2.17"/>
    <n v="3.1"/>
    <x v="70"/>
    <n v="22.2"/>
    <x v="133"/>
    <x v="3"/>
    <n v="50"/>
    <x v="2"/>
  </r>
  <r>
    <s v="P726"/>
    <n v="20"/>
    <x v="2"/>
    <x v="3"/>
    <s v="Not Reported"/>
    <s v="Not Reported"/>
    <s v="T006"/>
    <x v="3"/>
    <x v="0"/>
    <s v="10/26/2023"/>
    <s v="10/26/2024"/>
    <s v="150mg"/>
    <s v="Dizziness, Headache, Nausea"/>
    <s v="TR0134"/>
    <s v="150mg"/>
    <x v="1"/>
    <x v="1"/>
    <x v="105"/>
    <n v="0"/>
    <x v="4"/>
    <x v="1"/>
    <n v="3.71"/>
    <n v="3.72"/>
    <x v="50"/>
    <n v="11.3"/>
    <x v="155"/>
    <x v="2"/>
    <n v="150"/>
    <x v="0"/>
  </r>
  <r>
    <s v="P727"/>
    <n v="49"/>
    <x v="0"/>
    <x v="0"/>
    <s v="Heart Disease"/>
    <s v="BRCA1 Mutation"/>
    <s v="T017"/>
    <x v="0"/>
    <x v="2"/>
    <s v="4/4/2020"/>
    <s v="12/4/2020"/>
    <s v="100mg"/>
    <s v="Fatigue, Headache"/>
    <s v="TR0104"/>
    <s v="100mg"/>
    <x v="2"/>
    <x v="2"/>
    <x v="4"/>
    <n v="0"/>
    <x v="1"/>
    <x v="0"/>
    <n v="2.09"/>
    <n v="1.87"/>
    <x v="9"/>
    <n v="17.399999999999999"/>
    <x v="57"/>
    <x v="1"/>
    <n v="100"/>
    <x v="3"/>
  </r>
  <r>
    <s v="P728"/>
    <n v="78"/>
    <x v="0"/>
    <x v="3"/>
    <s v="Hypertension"/>
    <s v="HER2 Mutation"/>
    <s v="T001"/>
    <x v="3"/>
    <x v="2"/>
    <s v="5/18/2020"/>
    <s v="10/18/2021"/>
    <s v="100mg"/>
    <s v="Dizziness, Fatigue, Headache"/>
    <s v="TR0172"/>
    <s v="100mg"/>
    <x v="2"/>
    <x v="2"/>
    <x v="115"/>
    <n v="0"/>
    <x v="0"/>
    <x v="0"/>
    <n v="1.06"/>
    <n v="3.92"/>
    <x v="60"/>
    <n v="18"/>
    <x v="167"/>
    <x v="1"/>
    <n v="100"/>
    <x v="2"/>
  </r>
  <r>
    <s v="P729"/>
    <n v="20"/>
    <x v="1"/>
    <x v="2"/>
    <s v="Not Reported"/>
    <s v="Not Reported"/>
    <s v="T004"/>
    <x v="2"/>
    <x v="0"/>
    <s v="1/18/2021"/>
    <s v="7/18/2022"/>
    <s v="100mg"/>
    <s v="Dizziness, Not Reported"/>
    <s v="TR0140"/>
    <s v="100mg"/>
    <x v="2"/>
    <x v="1"/>
    <x v="100"/>
    <n v="0"/>
    <x v="4"/>
    <x v="0"/>
    <n v="2.37"/>
    <n v="1.54"/>
    <x v="87"/>
    <n v="21"/>
    <x v="130"/>
    <x v="1"/>
    <n v="100"/>
    <x v="0"/>
  </r>
  <r>
    <s v="P730"/>
    <n v="66"/>
    <x v="2"/>
    <x v="3"/>
    <s v="Not Reported"/>
    <s v="BRCA1 Mutation"/>
    <s v="T007"/>
    <x v="1"/>
    <x v="0"/>
    <s v="2/22/2022"/>
    <s v="6/22/2023"/>
    <s v="100mg"/>
    <s v="Dizziness"/>
    <s v="TR0081"/>
    <s v="100mg"/>
    <x v="2"/>
    <x v="4"/>
    <x v="76"/>
    <n v="0"/>
    <x v="4"/>
    <x v="0"/>
    <n v="3.6"/>
    <n v="1.41"/>
    <x v="14"/>
    <n v="19.100000000000001"/>
    <x v="107"/>
    <x v="1"/>
    <n v="100"/>
    <x v="2"/>
  </r>
  <r>
    <s v="P731"/>
    <n v="52"/>
    <x v="1"/>
    <x v="1"/>
    <s v="Diabetes"/>
    <s v="TP53 Mutation"/>
    <s v="T017"/>
    <x v="0"/>
    <x v="1"/>
    <s v="3/16/2019"/>
    <s v="9/16/2020"/>
    <s v="100mg"/>
    <s v="Nausea"/>
    <s v="TR0171"/>
    <s v="100mg"/>
    <x v="2"/>
    <x v="0"/>
    <x v="30"/>
    <n v="0"/>
    <x v="1"/>
    <x v="0"/>
    <n v="1.47"/>
    <n v="1"/>
    <x v="79"/>
    <n v="12.4"/>
    <x v="19"/>
    <x v="1"/>
    <n v="100"/>
    <x v="1"/>
  </r>
  <r>
    <s v="P732"/>
    <n v="25"/>
    <x v="0"/>
    <x v="3"/>
    <s v="Heart Disease"/>
    <s v="BRCA1 Mutation"/>
    <s v="T007"/>
    <x v="0"/>
    <x v="1"/>
    <s v="2/13/2019"/>
    <s v="4/13/2020"/>
    <s v="50mg"/>
    <s v="Not Reported, Nausea, Fatigue"/>
    <s v="TR0162"/>
    <s v="50mg"/>
    <x v="2"/>
    <x v="3"/>
    <x v="59"/>
    <n v="0"/>
    <x v="3"/>
    <x v="1"/>
    <n v="1.05"/>
    <n v="3.16"/>
    <x v="77"/>
    <n v="23.2"/>
    <x v="132"/>
    <x v="3"/>
    <n v="50"/>
    <x v="0"/>
  </r>
  <r>
    <s v="P733"/>
    <n v="70"/>
    <x v="0"/>
    <x v="1"/>
    <s v="Diabetes"/>
    <s v="Not Reported"/>
    <s v="T015"/>
    <x v="3"/>
    <x v="2"/>
    <s v="12/12/2019"/>
    <s v="9/12/2020"/>
    <s v="150mg"/>
    <s v="Nausea, Headache"/>
    <s v="TR0113"/>
    <s v="150mg"/>
    <x v="1"/>
    <x v="2"/>
    <x v="36"/>
    <n v="0"/>
    <x v="1"/>
    <x v="0"/>
    <n v="3.06"/>
    <n v="1.34"/>
    <x v="34"/>
    <n v="12.8"/>
    <x v="110"/>
    <x v="2"/>
    <n v="150"/>
    <x v="2"/>
  </r>
  <r>
    <s v="P734"/>
    <n v="25"/>
    <x v="2"/>
    <x v="3"/>
    <s v="Diabetes"/>
    <s v="Not Reported"/>
    <s v="T014"/>
    <x v="2"/>
    <x v="2"/>
    <s v="1/18/2021"/>
    <s v="7/18/2022"/>
    <s v="50mg"/>
    <s v="Headache, Dizziness, Fatigue"/>
    <s v="TR0013"/>
    <s v="50mg"/>
    <x v="0"/>
    <x v="2"/>
    <x v="12"/>
    <n v="1"/>
    <x v="4"/>
    <x v="0"/>
    <n v="2.5499999999999998"/>
    <n v="1.96"/>
    <x v="75"/>
    <n v="11.7"/>
    <x v="168"/>
    <x v="3"/>
    <n v="50"/>
    <x v="0"/>
  </r>
  <r>
    <s v="P735"/>
    <n v="68"/>
    <x v="2"/>
    <x v="1"/>
    <s v="Not Reported"/>
    <s v="BRCA2 Mutation"/>
    <s v="T007"/>
    <x v="2"/>
    <x v="0"/>
    <s v="2/5/2020"/>
    <s v="1/5/2021"/>
    <s v="150mg"/>
    <s v="Fatigue, Dizziness, Headache"/>
    <s v="TR0103"/>
    <s v="150mg"/>
    <x v="0"/>
    <x v="0"/>
    <x v="145"/>
    <n v="1"/>
    <x v="3"/>
    <x v="1"/>
    <n v="1.71"/>
    <n v="4.95"/>
    <x v="71"/>
    <n v="15.6"/>
    <x v="9"/>
    <x v="2"/>
    <n v="150"/>
    <x v="2"/>
  </r>
  <r>
    <s v="P736"/>
    <n v="19"/>
    <x v="0"/>
    <x v="4"/>
    <s v="Hypertension"/>
    <s v="BRCA2 Mutation"/>
    <s v="T001"/>
    <x v="3"/>
    <x v="1"/>
    <s v="7/8/2020"/>
    <s v="9/8/2021"/>
    <s v="150mg"/>
    <s v="Headache"/>
    <s v="TR0127"/>
    <s v="150mg"/>
    <x v="2"/>
    <x v="2"/>
    <x v="96"/>
    <n v="0"/>
    <x v="1"/>
    <x v="0"/>
    <n v="4.9800000000000004"/>
    <n v="3.33"/>
    <x v="3"/>
    <n v="11.9"/>
    <x v="162"/>
    <x v="2"/>
    <n v="150"/>
    <x v="0"/>
  </r>
  <r>
    <s v="P737"/>
    <n v="42"/>
    <x v="0"/>
    <x v="3"/>
    <s v="Hypertension"/>
    <s v="Not Reported"/>
    <s v="T018"/>
    <x v="0"/>
    <x v="3"/>
    <s v="10/2/2021"/>
    <s v="3/2/2023"/>
    <s v="100mg"/>
    <s v="Not Reported, Nausea, Headache"/>
    <s v="TR0102"/>
    <s v="100mg"/>
    <x v="1"/>
    <x v="2"/>
    <x v="149"/>
    <n v="0"/>
    <x v="3"/>
    <x v="1"/>
    <n v="2.61"/>
    <n v="3.69"/>
    <x v="23"/>
    <n v="11.7"/>
    <x v="121"/>
    <x v="1"/>
    <n v="100"/>
    <x v="3"/>
  </r>
  <r>
    <s v="P738"/>
    <n v="53"/>
    <x v="1"/>
    <x v="2"/>
    <s v="Diabetes"/>
    <s v="TP53 Mutation"/>
    <s v="T004"/>
    <x v="3"/>
    <x v="0"/>
    <s v="2/5/2023"/>
    <s v="3/5/2024"/>
    <s v="200mg"/>
    <s v="Dizziness, Fatigue, Nausea"/>
    <s v="TR0020"/>
    <s v="200mg"/>
    <x v="0"/>
    <x v="1"/>
    <x v="74"/>
    <n v="1"/>
    <x v="1"/>
    <x v="0"/>
    <n v="3.53"/>
    <n v="1.51"/>
    <x v="29"/>
    <n v="18.5"/>
    <x v="157"/>
    <x v="0"/>
    <n v="200"/>
    <x v="1"/>
  </r>
  <r>
    <s v="P739"/>
    <n v="31"/>
    <x v="2"/>
    <x v="4"/>
    <s v="Not Reported"/>
    <s v="Not Reported"/>
    <s v="T014"/>
    <x v="2"/>
    <x v="3"/>
    <s v="12/22/2022"/>
    <s v="3/22/2024"/>
    <s v="200mg"/>
    <s v="Headache"/>
    <s v="TR0060"/>
    <s v="200mg"/>
    <x v="2"/>
    <x v="1"/>
    <x v="24"/>
    <n v="0"/>
    <x v="2"/>
    <x v="0"/>
    <n v="4.01"/>
    <n v="4.49"/>
    <x v="69"/>
    <n v="19.100000000000001"/>
    <x v="8"/>
    <x v="0"/>
    <n v="200"/>
    <x v="3"/>
  </r>
  <r>
    <s v="P740"/>
    <n v="58"/>
    <x v="1"/>
    <x v="2"/>
    <s v="Not Reported"/>
    <s v="HER2 Mutation"/>
    <s v="T001"/>
    <x v="3"/>
    <x v="0"/>
    <s v="11/4/2022"/>
    <s v="12/4/2023"/>
    <s v="200mg"/>
    <s v="Nausea, Headache, Fatigue"/>
    <s v="TR0061"/>
    <s v="200mg"/>
    <x v="1"/>
    <x v="2"/>
    <x v="114"/>
    <n v="0"/>
    <x v="3"/>
    <x v="1"/>
    <n v="1.75"/>
    <n v="1.1000000000000001"/>
    <x v="90"/>
    <n v="14"/>
    <x v="8"/>
    <x v="0"/>
    <n v="200"/>
    <x v="1"/>
  </r>
  <r>
    <s v="P741"/>
    <n v="18"/>
    <x v="1"/>
    <x v="1"/>
    <s v="Diabetes"/>
    <s v="BRCA2 Mutation"/>
    <s v="T006"/>
    <x v="2"/>
    <x v="3"/>
    <s v="11/6/2021"/>
    <s v="6/6/2022"/>
    <s v="200mg"/>
    <s v="Not Reported, Nausea, Fatigue"/>
    <s v="TR0139"/>
    <s v="200mg"/>
    <x v="1"/>
    <x v="3"/>
    <x v="56"/>
    <n v="0"/>
    <x v="1"/>
    <x v="0"/>
    <n v="4.4000000000000004"/>
    <n v="1.78"/>
    <x v="38"/>
    <n v="23.3"/>
    <x v="20"/>
    <x v="0"/>
    <n v="200"/>
    <x v="0"/>
  </r>
  <r>
    <s v="P742"/>
    <n v="27"/>
    <x v="2"/>
    <x v="4"/>
    <s v="Hypertension"/>
    <s v="Not Reported"/>
    <s v="T005"/>
    <x v="0"/>
    <x v="0"/>
    <s v="10/2/2022"/>
    <s v="12/2/2023"/>
    <s v="150mg"/>
    <s v="Headache"/>
    <s v="TR0160"/>
    <s v="150mg"/>
    <x v="2"/>
    <x v="2"/>
    <x v="13"/>
    <n v="0"/>
    <x v="2"/>
    <x v="0"/>
    <n v="2.91"/>
    <n v="3.34"/>
    <x v="34"/>
    <n v="7.5"/>
    <x v="98"/>
    <x v="2"/>
    <n v="150"/>
    <x v="0"/>
  </r>
  <r>
    <s v="P743"/>
    <n v="38"/>
    <x v="0"/>
    <x v="2"/>
    <s v="Not Reported"/>
    <s v="Not Reported"/>
    <s v="T020"/>
    <x v="2"/>
    <x v="0"/>
    <s v="12/23/2023"/>
    <s v="10/23/2024"/>
    <s v="150mg"/>
    <s v="Fatigue, Not Reported, Headache"/>
    <s v="TR0087"/>
    <s v="150mg"/>
    <x v="2"/>
    <x v="2"/>
    <x v="82"/>
    <n v="0"/>
    <x v="2"/>
    <x v="0"/>
    <n v="1.42"/>
    <n v="3.34"/>
    <x v="34"/>
    <n v="10.199999999999999"/>
    <x v="13"/>
    <x v="2"/>
    <n v="150"/>
    <x v="3"/>
  </r>
  <r>
    <s v="P744"/>
    <n v="28"/>
    <x v="1"/>
    <x v="0"/>
    <s v="Asthma"/>
    <s v="Not Reported"/>
    <s v="T017"/>
    <x v="3"/>
    <x v="1"/>
    <s v="2/12/2022"/>
    <s v="10/12/2022"/>
    <s v="100mg"/>
    <s v="Headache, Dizziness, Fatigue"/>
    <s v="TR0123"/>
    <s v="100mg"/>
    <x v="0"/>
    <x v="2"/>
    <x v="9"/>
    <n v="1"/>
    <x v="3"/>
    <x v="1"/>
    <n v="4.28"/>
    <n v="1.17"/>
    <x v="69"/>
    <n v="18.399999999999999"/>
    <x v="19"/>
    <x v="1"/>
    <n v="100"/>
    <x v="0"/>
  </r>
  <r>
    <s v="P745"/>
    <n v="53"/>
    <x v="1"/>
    <x v="2"/>
    <s v="Heart Disease"/>
    <s v="HER2 Mutation"/>
    <s v="T016"/>
    <x v="3"/>
    <x v="0"/>
    <s v="3/28/2023"/>
    <s v="6/28/2024"/>
    <s v="200mg"/>
    <s v="Headache, Fatigue, Nausea"/>
    <s v="TR0082"/>
    <s v="200mg"/>
    <x v="2"/>
    <x v="2"/>
    <x v="47"/>
    <n v="0"/>
    <x v="1"/>
    <x v="0"/>
    <n v="2.23"/>
    <n v="3.45"/>
    <x v="49"/>
    <n v="20.6"/>
    <x v="93"/>
    <x v="0"/>
    <n v="200"/>
    <x v="1"/>
  </r>
  <r>
    <s v="P746"/>
    <n v="58"/>
    <x v="2"/>
    <x v="1"/>
    <s v="Hypertension"/>
    <s v="BRCA2 Mutation"/>
    <s v="T008"/>
    <x v="0"/>
    <x v="1"/>
    <s v="1/22/2021"/>
    <s v="12/22/2021"/>
    <s v="200mg"/>
    <s v="Dizziness, Not Reported"/>
    <s v="TR0176"/>
    <s v="200mg"/>
    <x v="1"/>
    <x v="2"/>
    <x v="118"/>
    <n v="0"/>
    <x v="3"/>
    <x v="0"/>
    <n v="3.92"/>
    <n v="2.46"/>
    <x v="45"/>
    <n v="14.4"/>
    <x v="30"/>
    <x v="0"/>
    <n v="200"/>
    <x v="1"/>
  </r>
  <r>
    <s v="P747"/>
    <n v="39"/>
    <x v="1"/>
    <x v="1"/>
    <s v="Diabetes"/>
    <s v="Not Reported"/>
    <s v="T011"/>
    <x v="0"/>
    <x v="3"/>
    <s v="3/17/2021"/>
    <s v="3/17/2022"/>
    <s v="200mg"/>
    <s v="Headache, Fatigue, Nausea"/>
    <s v="TR0091"/>
    <s v="200mg"/>
    <x v="2"/>
    <x v="4"/>
    <x v="9"/>
    <n v="0"/>
    <x v="0"/>
    <x v="0"/>
    <n v="3.81"/>
    <n v="3.23"/>
    <x v="74"/>
    <n v="22.4"/>
    <x v="60"/>
    <x v="0"/>
    <n v="200"/>
    <x v="3"/>
  </r>
  <r>
    <s v="P748"/>
    <n v="52"/>
    <x v="1"/>
    <x v="4"/>
    <s v="Diabetes"/>
    <s v="Not Reported"/>
    <s v="T019"/>
    <x v="1"/>
    <x v="3"/>
    <s v="3/9/2022"/>
    <s v="10/9/2022"/>
    <s v="150mg"/>
    <s v="Dizziness"/>
    <s v="TR0195"/>
    <s v="150mg"/>
    <x v="1"/>
    <x v="0"/>
    <x v="61"/>
    <n v="0"/>
    <x v="4"/>
    <x v="1"/>
    <n v="2.2599999999999998"/>
    <n v="1.23"/>
    <x v="61"/>
    <n v="18.600000000000001"/>
    <x v="108"/>
    <x v="2"/>
    <n v="150"/>
    <x v="1"/>
  </r>
  <r>
    <s v="P749"/>
    <n v="39"/>
    <x v="2"/>
    <x v="4"/>
    <s v="Asthma"/>
    <s v="Not Reported"/>
    <s v="T008"/>
    <x v="2"/>
    <x v="3"/>
    <s v="10/26/2023"/>
    <s v="2/26/2025"/>
    <s v="150mg"/>
    <s v="Fatigue"/>
    <s v="TR0130"/>
    <s v="150mg"/>
    <x v="0"/>
    <x v="2"/>
    <x v="30"/>
    <n v="1"/>
    <x v="4"/>
    <x v="1"/>
    <n v="3.7"/>
    <n v="2.58"/>
    <x v="65"/>
    <n v="14.2"/>
    <x v="28"/>
    <x v="2"/>
    <n v="150"/>
    <x v="3"/>
  </r>
  <r>
    <s v="P750"/>
    <n v="21"/>
    <x v="2"/>
    <x v="3"/>
    <s v="Heart Disease"/>
    <s v="HER2 Mutation"/>
    <s v="T018"/>
    <x v="0"/>
    <x v="1"/>
    <s v="6/25/2023"/>
    <s v="7/25/2024"/>
    <s v="150mg"/>
    <s v="Fatigue, Nausea"/>
    <s v="TR0050"/>
    <s v="150mg"/>
    <x v="1"/>
    <x v="2"/>
    <x v="76"/>
    <n v="0"/>
    <x v="2"/>
    <x v="0"/>
    <n v="4.74"/>
    <n v="2"/>
    <x v="38"/>
    <n v="16.5"/>
    <x v="164"/>
    <x v="2"/>
    <n v="150"/>
    <x v="0"/>
  </r>
  <r>
    <s v="P751"/>
    <n v="32"/>
    <x v="1"/>
    <x v="1"/>
    <s v="Asthma"/>
    <s v="BRCA2 Mutation"/>
    <s v="T017"/>
    <x v="0"/>
    <x v="2"/>
    <s v="1/3/2021"/>
    <s v="12/3/2021"/>
    <s v="100mg"/>
    <s v="Not Reported, Nausea"/>
    <s v="TR0084"/>
    <s v="100mg"/>
    <x v="1"/>
    <x v="0"/>
    <x v="21"/>
    <n v="0"/>
    <x v="4"/>
    <x v="1"/>
    <n v="2.5099999999999998"/>
    <n v="1.25"/>
    <x v="42"/>
    <n v="15.1"/>
    <x v="35"/>
    <x v="1"/>
    <n v="100"/>
    <x v="3"/>
  </r>
  <r>
    <s v="P752"/>
    <n v="43"/>
    <x v="0"/>
    <x v="4"/>
    <s v="Diabetes"/>
    <s v="BRCA2 Mutation"/>
    <s v="T014"/>
    <x v="3"/>
    <x v="1"/>
    <s v="7/15/2020"/>
    <s v="6/15/2021"/>
    <s v="50mg"/>
    <s v="Dizziness"/>
    <s v="TR0069"/>
    <s v="50mg"/>
    <x v="0"/>
    <x v="3"/>
    <x v="36"/>
    <n v="1"/>
    <x v="3"/>
    <x v="0"/>
    <n v="3.63"/>
    <n v="4.99"/>
    <x v="83"/>
    <n v="12.4"/>
    <x v="59"/>
    <x v="3"/>
    <n v="50"/>
    <x v="3"/>
  </r>
  <r>
    <s v="P753"/>
    <n v="63"/>
    <x v="0"/>
    <x v="3"/>
    <s v="Asthma"/>
    <s v="Not Reported"/>
    <s v="T004"/>
    <x v="3"/>
    <x v="1"/>
    <s v="12/27/2023"/>
    <s v="8/27/2024"/>
    <s v="200mg"/>
    <s v="Not Reported"/>
    <s v="TR0093"/>
    <s v="200mg"/>
    <x v="0"/>
    <x v="1"/>
    <x v="82"/>
    <n v="1"/>
    <x v="2"/>
    <x v="1"/>
    <n v="1.46"/>
    <n v="4.53"/>
    <x v="68"/>
    <n v="13"/>
    <x v="103"/>
    <x v="0"/>
    <n v="200"/>
    <x v="1"/>
  </r>
  <r>
    <s v="P754"/>
    <n v="69"/>
    <x v="0"/>
    <x v="4"/>
    <s v="Not Reported"/>
    <s v="Not Reported"/>
    <s v="T014"/>
    <x v="3"/>
    <x v="1"/>
    <s v="10/17/2021"/>
    <s v="10/17/2022"/>
    <s v="200mg"/>
    <s v="Headache, Not Reported, Fatigue"/>
    <s v="TR0043"/>
    <s v="200mg"/>
    <x v="0"/>
    <x v="0"/>
    <x v="127"/>
    <n v="1"/>
    <x v="2"/>
    <x v="1"/>
    <n v="2.77"/>
    <n v="3.59"/>
    <x v="32"/>
    <n v="20.6"/>
    <x v="128"/>
    <x v="0"/>
    <n v="200"/>
    <x v="2"/>
  </r>
  <r>
    <s v="P755"/>
    <n v="53"/>
    <x v="2"/>
    <x v="0"/>
    <s v="Heart Disease"/>
    <s v="TP53 Mutation"/>
    <s v="T011"/>
    <x v="0"/>
    <x v="2"/>
    <s v="3/10/2023"/>
    <s v="6/10/2024"/>
    <s v="50mg"/>
    <s v="Headache"/>
    <s v="TR0086"/>
    <s v="50mg"/>
    <x v="0"/>
    <x v="1"/>
    <x v="91"/>
    <n v="1"/>
    <x v="3"/>
    <x v="0"/>
    <n v="3.6"/>
    <n v="4.82"/>
    <x v="26"/>
    <n v="14.6"/>
    <x v="68"/>
    <x v="3"/>
    <n v="50"/>
    <x v="1"/>
  </r>
  <r>
    <s v="P756"/>
    <n v="37"/>
    <x v="1"/>
    <x v="0"/>
    <s v="Diabetes"/>
    <s v="Not Reported"/>
    <s v="T008"/>
    <x v="1"/>
    <x v="2"/>
    <s v="11/27/2020"/>
    <s v="6/27/2021"/>
    <s v="150mg"/>
    <s v="Nausea, Fatigue"/>
    <s v="TR0002"/>
    <s v="150mg"/>
    <x v="1"/>
    <x v="4"/>
    <x v="77"/>
    <n v="0"/>
    <x v="3"/>
    <x v="0"/>
    <n v="3.33"/>
    <n v="2.61"/>
    <x v="30"/>
    <n v="8.3000000000000007"/>
    <x v="124"/>
    <x v="2"/>
    <n v="150"/>
    <x v="3"/>
  </r>
  <r>
    <s v="P757"/>
    <n v="72"/>
    <x v="2"/>
    <x v="4"/>
    <s v="Hypertension"/>
    <s v="TP53 Mutation"/>
    <s v="T017"/>
    <x v="3"/>
    <x v="0"/>
    <s v="10/23/2023"/>
    <s v="11/23/2024"/>
    <s v="100mg"/>
    <s v="Fatigue, Headache"/>
    <s v="TR0115"/>
    <s v="100mg"/>
    <x v="2"/>
    <x v="0"/>
    <x v="27"/>
    <n v="0"/>
    <x v="1"/>
    <x v="0"/>
    <n v="1.65"/>
    <n v="3.94"/>
    <x v="22"/>
    <n v="7.1"/>
    <x v="66"/>
    <x v="1"/>
    <n v="100"/>
    <x v="2"/>
  </r>
  <r>
    <s v="P758"/>
    <n v="18"/>
    <x v="0"/>
    <x v="0"/>
    <s v="Heart Disease"/>
    <s v="Not Reported"/>
    <s v="T006"/>
    <x v="0"/>
    <x v="3"/>
    <s v="2/17/2020"/>
    <s v="11/17/2020"/>
    <s v="100mg"/>
    <s v="Dizziness, Nausea, Not Reported"/>
    <s v="TR0035"/>
    <s v="100mg"/>
    <x v="0"/>
    <x v="3"/>
    <x v="132"/>
    <n v="1"/>
    <x v="0"/>
    <x v="0"/>
    <n v="3.38"/>
    <n v="4.49"/>
    <x v="29"/>
    <n v="12.2"/>
    <x v="76"/>
    <x v="1"/>
    <n v="100"/>
    <x v="0"/>
  </r>
  <r>
    <s v="P759"/>
    <n v="18"/>
    <x v="2"/>
    <x v="0"/>
    <s v="Heart Disease"/>
    <s v="HER2 Mutation"/>
    <s v="T001"/>
    <x v="1"/>
    <x v="2"/>
    <s v="5/16/2022"/>
    <s v="1/16/2023"/>
    <s v="100mg"/>
    <s v="Dizziness, Headache, Fatigue"/>
    <s v="TR0007"/>
    <s v="100mg"/>
    <x v="2"/>
    <x v="1"/>
    <x v="124"/>
    <n v="0"/>
    <x v="1"/>
    <x v="0"/>
    <n v="3.16"/>
    <n v="1.32"/>
    <x v="41"/>
    <n v="22.3"/>
    <x v="124"/>
    <x v="1"/>
    <n v="100"/>
    <x v="0"/>
  </r>
  <r>
    <s v="P760"/>
    <n v="76"/>
    <x v="0"/>
    <x v="4"/>
    <s v="Not Reported"/>
    <s v="TP53 Mutation"/>
    <s v="T009"/>
    <x v="0"/>
    <x v="3"/>
    <s v="3/13/2022"/>
    <s v="11/13/2022"/>
    <s v="50mg"/>
    <s v="Fatigue, Nausea"/>
    <s v="TR0131"/>
    <s v="50mg"/>
    <x v="2"/>
    <x v="0"/>
    <x v="49"/>
    <n v="0"/>
    <x v="2"/>
    <x v="0"/>
    <n v="2.19"/>
    <n v="1.57"/>
    <x v="26"/>
    <n v="13.8"/>
    <x v="57"/>
    <x v="3"/>
    <n v="50"/>
    <x v="2"/>
  </r>
  <r>
    <s v="P761"/>
    <n v="31"/>
    <x v="1"/>
    <x v="2"/>
    <s v="Heart Disease"/>
    <s v="Not Reported"/>
    <s v="T015"/>
    <x v="1"/>
    <x v="0"/>
    <s v="2/15/2020"/>
    <s v="6/15/2021"/>
    <s v="100mg"/>
    <s v="Headache"/>
    <s v="TR0184"/>
    <s v="100mg"/>
    <x v="2"/>
    <x v="1"/>
    <x v="50"/>
    <n v="0"/>
    <x v="2"/>
    <x v="0"/>
    <n v="1.32"/>
    <n v="4.76"/>
    <x v="65"/>
    <n v="16.600000000000001"/>
    <x v="79"/>
    <x v="1"/>
    <n v="100"/>
    <x v="3"/>
  </r>
  <r>
    <s v="P762"/>
    <n v="21"/>
    <x v="1"/>
    <x v="4"/>
    <s v="Diabetes"/>
    <s v="EGFR Mutation"/>
    <s v="T020"/>
    <x v="2"/>
    <x v="0"/>
    <s v="2/24/2020"/>
    <s v="2/24/2021"/>
    <s v="150mg"/>
    <s v="Dizziness, Nausea, Not Reported"/>
    <s v="TR0078"/>
    <s v="150mg"/>
    <x v="0"/>
    <x v="2"/>
    <x v="83"/>
    <n v="1"/>
    <x v="0"/>
    <x v="0"/>
    <n v="1.32"/>
    <n v="2.91"/>
    <x v="19"/>
    <n v="20.9"/>
    <x v="107"/>
    <x v="2"/>
    <n v="150"/>
    <x v="0"/>
  </r>
  <r>
    <s v="P763"/>
    <n v="39"/>
    <x v="1"/>
    <x v="0"/>
    <s v="Diabetes"/>
    <s v="Not Reported"/>
    <s v="T018"/>
    <x v="2"/>
    <x v="3"/>
    <s v="5/9/2023"/>
    <s v="5/9/2024"/>
    <s v="50mg"/>
    <s v="Headache, Dizziness"/>
    <s v="TR0057"/>
    <s v="50mg"/>
    <x v="0"/>
    <x v="0"/>
    <x v="27"/>
    <n v="1"/>
    <x v="0"/>
    <x v="0"/>
    <n v="2.11"/>
    <n v="4.76"/>
    <x v="38"/>
    <n v="21.8"/>
    <x v="164"/>
    <x v="3"/>
    <n v="50"/>
    <x v="3"/>
  </r>
  <r>
    <s v="P764"/>
    <n v="60"/>
    <x v="1"/>
    <x v="0"/>
    <s v="Heart Disease"/>
    <s v="Not Reported"/>
    <s v="T016"/>
    <x v="1"/>
    <x v="2"/>
    <s v="10/27/2022"/>
    <s v="1/27/2024"/>
    <s v="200mg"/>
    <s v="Fatigue"/>
    <s v="TR0147"/>
    <s v="200mg"/>
    <x v="0"/>
    <x v="0"/>
    <x v="12"/>
    <n v="1"/>
    <x v="0"/>
    <x v="0"/>
    <n v="1.71"/>
    <n v="3.89"/>
    <x v="53"/>
    <n v="13.3"/>
    <x v="125"/>
    <x v="0"/>
    <n v="200"/>
    <x v="1"/>
  </r>
  <r>
    <s v="P765"/>
    <n v="60"/>
    <x v="0"/>
    <x v="1"/>
    <s v="Asthma"/>
    <s v="Not Reported"/>
    <s v="T016"/>
    <x v="1"/>
    <x v="2"/>
    <s v="12/27/2022"/>
    <s v="11/27/2023"/>
    <s v="100mg"/>
    <s v="Dizziness, Fatigue, Nausea"/>
    <s v="TR0039"/>
    <s v="100mg"/>
    <x v="0"/>
    <x v="3"/>
    <x v="2"/>
    <n v="1"/>
    <x v="4"/>
    <x v="1"/>
    <n v="3.32"/>
    <n v="4.74"/>
    <x v="23"/>
    <n v="14.7"/>
    <x v="127"/>
    <x v="1"/>
    <n v="100"/>
    <x v="1"/>
  </r>
  <r>
    <s v="P766"/>
    <n v="24"/>
    <x v="2"/>
    <x v="4"/>
    <s v="Diabetes"/>
    <s v="BRCA1 Mutation"/>
    <s v="T009"/>
    <x v="3"/>
    <x v="0"/>
    <s v="9/17/2023"/>
    <s v="12/17/2024"/>
    <s v="200mg"/>
    <s v="Fatigue, Not Reported"/>
    <s v="TR0171"/>
    <s v="200mg"/>
    <x v="2"/>
    <x v="4"/>
    <x v="9"/>
    <n v="0"/>
    <x v="0"/>
    <x v="1"/>
    <n v="4.8"/>
    <n v="1.0900000000000001"/>
    <x v="84"/>
    <n v="7.6"/>
    <x v="127"/>
    <x v="0"/>
    <n v="200"/>
    <x v="0"/>
  </r>
  <r>
    <s v="P767"/>
    <n v="25"/>
    <x v="0"/>
    <x v="4"/>
    <s v="Hypertension"/>
    <s v="TP53 Mutation"/>
    <s v="T008"/>
    <x v="3"/>
    <x v="1"/>
    <s v="10/11/2023"/>
    <s v="5/11/2024"/>
    <s v="200mg"/>
    <s v="Not Reported"/>
    <s v="TR0042"/>
    <s v="200mg"/>
    <x v="0"/>
    <x v="2"/>
    <x v="74"/>
    <n v="1"/>
    <x v="3"/>
    <x v="0"/>
    <n v="2.12"/>
    <n v="1.53"/>
    <x v="71"/>
    <n v="17.600000000000001"/>
    <x v="65"/>
    <x v="0"/>
    <n v="200"/>
    <x v="0"/>
  </r>
  <r>
    <s v="P768"/>
    <n v="39"/>
    <x v="2"/>
    <x v="1"/>
    <s v="Not Reported"/>
    <s v="Not Reported"/>
    <s v="T003"/>
    <x v="0"/>
    <x v="2"/>
    <s v="5/21/2022"/>
    <s v="10/21/2023"/>
    <s v="100mg"/>
    <s v="Dizziness"/>
    <s v="TR0051"/>
    <s v="100mg"/>
    <x v="0"/>
    <x v="2"/>
    <x v="38"/>
    <n v="1"/>
    <x v="1"/>
    <x v="0"/>
    <n v="1.22"/>
    <n v="3.4"/>
    <x v="49"/>
    <n v="12.9"/>
    <x v="116"/>
    <x v="1"/>
    <n v="100"/>
    <x v="3"/>
  </r>
  <r>
    <s v="P769"/>
    <n v="44"/>
    <x v="2"/>
    <x v="1"/>
    <s v="Asthma"/>
    <s v="BRCA1 Mutation"/>
    <s v="T005"/>
    <x v="3"/>
    <x v="1"/>
    <s v="12/5/2020"/>
    <s v="7/5/2021"/>
    <s v="100mg"/>
    <s v="Nausea"/>
    <s v="TR0176"/>
    <s v="100mg"/>
    <x v="2"/>
    <x v="0"/>
    <x v="20"/>
    <n v="0"/>
    <x v="1"/>
    <x v="0"/>
    <n v="2.77"/>
    <n v="1.19"/>
    <x v="1"/>
    <n v="20.9"/>
    <x v="154"/>
    <x v="1"/>
    <n v="100"/>
    <x v="3"/>
  </r>
  <r>
    <s v="P770"/>
    <n v="24"/>
    <x v="0"/>
    <x v="1"/>
    <s v="Hypertension"/>
    <s v="HER2 Mutation"/>
    <s v="T013"/>
    <x v="1"/>
    <x v="2"/>
    <s v="1/4/2020"/>
    <s v="4/4/2021"/>
    <s v="50mg"/>
    <s v="Fatigue, Not Reported"/>
    <s v="TR0170"/>
    <s v="50mg"/>
    <x v="2"/>
    <x v="2"/>
    <x v="32"/>
    <n v="0"/>
    <x v="0"/>
    <x v="0"/>
    <n v="2.41"/>
    <n v="4.2"/>
    <x v="10"/>
    <n v="20.9"/>
    <x v="55"/>
    <x v="3"/>
    <n v="50"/>
    <x v="0"/>
  </r>
  <r>
    <s v="P771"/>
    <n v="45"/>
    <x v="0"/>
    <x v="0"/>
    <s v="Heart Disease"/>
    <s v="HER2 Mutation"/>
    <s v="T011"/>
    <x v="2"/>
    <x v="1"/>
    <s v="8/21/2020"/>
    <s v="12/21/2021"/>
    <s v="150mg"/>
    <s v="Nausea, Fatigue, Headache"/>
    <s v="TR0046"/>
    <s v="150mg"/>
    <x v="0"/>
    <x v="3"/>
    <x v="36"/>
    <n v="1"/>
    <x v="3"/>
    <x v="1"/>
    <n v="4.1399999999999997"/>
    <n v="3.39"/>
    <x v="68"/>
    <n v="23.2"/>
    <x v="89"/>
    <x v="2"/>
    <n v="150"/>
    <x v="3"/>
  </r>
  <r>
    <s v="P772"/>
    <n v="85"/>
    <x v="0"/>
    <x v="0"/>
    <s v="Hypertension"/>
    <s v="Not Reported"/>
    <s v="T011"/>
    <x v="2"/>
    <x v="2"/>
    <s v="5/13/2023"/>
    <s v="1/13/2024"/>
    <s v="50mg"/>
    <s v="Fatigue, Not Reported, Dizziness"/>
    <s v="TR0185"/>
    <s v="50mg"/>
    <x v="1"/>
    <x v="3"/>
    <x v="75"/>
    <n v="0"/>
    <x v="0"/>
    <x v="1"/>
    <n v="3.42"/>
    <n v="1.88"/>
    <x v="35"/>
    <n v="16.3"/>
    <x v="45"/>
    <x v="3"/>
    <n v="50"/>
    <x v="2"/>
  </r>
  <r>
    <s v="P773"/>
    <n v="34"/>
    <x v="2"/>
    <x v="1"/>
    <s v="Asthma"/>
    <s v="Not Reported"/>
    <s v="T004"/>
    <x v="2"/>
    <x v="0"/>
    <s v="3/9/2019"/>
    <s v="12/9/2019"/>
    <s v="200mg"/>
    <s v="Dizziness, Not Reported"/>
    <s v="TR0139"/>
    <s v="200mg"/>
    <x v="1"/>
    <x v="0"/>
    <x v="16"/>
    <n v="0"/>
    <x v="0"/>
    <x v="0"/>
    <n v="1.24"/>
    <n v="3.42"/>
    <x v="61"/>
    <n v="15.4"/>
    <x v="37"/>
    <x v="0"/>
    <n v="200"/>
    <x v="3"/>
  </r>
  <r>
    <s v="P774"/>
    <n v="21"/>
    <x v="1"/>
    <x v="2"/>
    <s v="Diabetes"/>
    <s v="HER2 Mutation"/>
    <s v="T002"/>
    <x v="3"/>
    <x v="1"/>
    <s v="10/6/2021"/>
    <s v="11/6/2022"/>
    <s v="100mg"/>
    <s v="Headache, Not Reported, Nausea"/>
    <s v="TR0043"/>
    <s v="100mg"/>
    <x v="2"/>
    <x v="2"/>
    <x v="51"/>
    <n v="0"/>
    <x v="1"/>
    <x v="0"/>
    <n v="3.67"/>
    <n v="1.32"/>
    <x v="71"/>
    <n v="8.9"/>
    <x v="45"/>
    <x v="1"/>
    <n v="100"/>
    <x v="0"/>
  </r>
  <r>
    <s v="P775"/>
    <n v="73"/>
    <x v="1"/>
    <x v="1"/>
    <s v="Hypertension"/>
    <s v="BRCA2 Mutation"/>
    <s v="T005"/>
    <x v="0"/>
    <x v="1"/>
    <s v="6/9/2021"/>
    <s v="2/9/2022"/>
    <s v="50mg"/>
    <s v="Not Reported"/>
    <s v="TR0009"/>
    <s v="50mg"/>
    <x v="0"/>
    <x v="3"/>
    <x v="133"/>
    <n v="1"/>
    <x v="3"/>
    <x v="1"/>
    <n v="1.81"/>
    <n v="2.5499999999999998"/>
    <x v="56"/>
    <n v="13.2"/>
    <x v="142"/>
    <x v="3"/>
    <n v="50"/>
    <x v="2"/>
  </r>
  <r>
    <s v="P776"/>
    <n v="69"/>
    <x v="1"/>
    <x v="1"/>
    <s v="Asthma"/>
    <s v="TP53 Mutation"/>
    <s v="T020"/>
    <x v="1"/>
    <x v="3"/>
    <s v="10/22/2022"/>
    <s v="4/22/2024"/>
    <s v="150mg"/>
    <s v="Not Reported, Headache"/>
    <s v="TR0045"/>
    <s v="150mg"/>
    <x v="0"/>
    <x v="4"/>
    <x v="11"/>
    <n v="1"/>
    <x v="3"/>
    <x v="0"/>
    <n v="2.93"/>
    <n v="2.5299999999999998"/>
    <x v="59"/>
    <n v="8.6"/>
    <x v="148"/>
    <x v="2"/>
    <n v="150"/>
    <x v="2"/>
  </r>
  <r>
    <s v="P777"/>
    <n v="50"/>
    <x v="1"/>
    <x v="3"/>
    <s v="Hypertension"/>
    <s v="EGFR Mutation"/>
    <s v="T002"/>
    <x v="1"/>
    <x v="1"/>
    <s v="4/1/2019"/>
    <s v="10/1/2020"/>
    <s v="200mg"/>
    <s v="Fatigue, Nausea, Dizziness"/>
    <s v="TR0103"/>
    <s v="200mg"/>
    <x v="1"/>
    <x v="3"/>
    <x v="104"/>
    <n v="0"/>
    <x v="0"/>
    <x v="1"/>
    <n v="1.25"/>
    <n v="1.28"/>
    <x v="29"/>
    <n v="16.2"/>
    <x v="9"/>
    <x v="0"/>
    <n v="200"/>
    <x v="3"/>
  </r>
  <r>
    <s v="P778"/>
    <n v="84"/>
    <x v="0"/>
    <x v="1"/>
    <s v="Hypertension"/>
    <s v="Not Reported"/>
    <s v="T012"/>
    <x v="3"/>
    <x v="1"/>
    <s v="10/1/2020"/>
    <s v="3/1/2022"/>
    <s v="50mg"/>
    <s v="Nausea, Headache"/>
    <s v="TR0022"/>
    <s v="50mg"/>
    <x v="0"/>
    <x v="2"/>
    <x v="85"/>
    <n v="1"/>
    <x v="1"/>
    <x v="1"/>
    <n v="3.23"/>
    <n v="4.84"/>
    <x v="53"/>
    <n v="7.8"/>
    <x v="15"/>
    <x v="3"/>
    <n v="50"/>
    <x v="2"/>
  </r>
  <r>
    <s v="P779"/>
    <n v="31"/>
    <x v="0"/>
    <x v="2"/>
    <s v="Asthma"/>
    <s v="Not Reported"/>
    <s v="T011"/>
    <x v="1"/>
    <x v="1"/>
    <s v="6/17/2021"/>
    <s v="4/17/2022"/>
    <s v="200mg"/>
    <s v="Fatigue, Headache"/>
    <s v="TR0045"/>
    <s v="200mg"/>
    <x v="0"/>
    <x v="1"/>
    <x v="116"/>
    <n v="1"/>
    <x v="3"/>
    <x v="1"/>
    <n v="1.74"/>
    <n v="3.17"/>
    <x v="45"/>
    <n v="6.8"/>
    <x v="46"/>
    <x v="0"/>
    <n v="200"/>
    <x v="3"/>
  </r>
  <r>
    <s v="P780"/>
    <n v="41"/>
    <x v="1"/>
    <x v="1"/>
    <s v="Heart Disease"/>
    <s v="Not Reported"/>
    <s v="T015"/>
    <x v="3"/>
    <x v="0"/>
    <s v="5/16/2023"/>
    <s v="11/16/2023"/>
    <s v="100mg"/>
    <s v="Dizziness"/>
    <s v="TR0002"/>
    <s v="100mg"/>
    <x v="1"/>
    <x v="1"/>
    <x v="57"/>
    <n v="0"/>
    <x v="2"/>
    <x v="1"/>
    <n v="4.37"/>
    <n v="2.19"/>
    <x v="27"/>
    <n v="9.1"/>
    <x v="7"/>
    <x v="1"/>
    <n v="100"/>
    <x v="3"/>
  </r>
  <r>
    <s v="P781"/>
    <n v="38"/>
    <x v="1"/>
    <x v="0"/>
    <s v="Asthma"/>
    <s v="Not Reported"/>
    <s v="T014"/>
    <x v="2"/>
    <x v="1"/>
    <s v="10/3/2021"/>
    <s v="12/3/2022"/>
    <s v="100mg"/>
    <s v="Headache"/>
    <s v="TR0005"/>
    <s v="100mg"/>
    <x v="0"/>
    <x v="3"/>
    <x v="139"/>
    <n v="1"/>
    <x v="1"/>
    <x v="1"/>
    <n v="1.49"/>
    <n v="3.07"/>
    <x v="7"/>
    <n v="12.4"/>
    <x v="84"/>
    <x v="1"/>
    <n v="100"/>
    <x v="3"/>
  </r>
  <r>
    <s v="P782"/>
    <n v="72"/>
    <x v="0"/>
    <x v="0"/>
    <s v="Not Reported"/>
    <s v="Not Reported"/>
    <s v="T001"/>
    <x v="1"/>
    <x v="1"/>
    <s v="8/19/2019"/>
    <s v="9/19/2020"/>
    <s v="200mg"/>
    <s v="Not Reported"/>
    <s v="TR0010"/>
    <s v="200mg"/>
    <x v="0"/>
    <x v="4"/>
    <x v="88"/>
    <n v="1"/>
    <x v="0"/>
    <x v="0"/>
    <n v="3.74"/>
    <n v="4.8"/>
    <x v="43"/>
    <n v="12.9"/>
    <x v="66"/>
    <x v="0"/>
    <n v="200"/>
    <x v="2"/>
  </r>
  <r>
    <s v="P783"/>
    <n v="52"/>
    <x v="2"/>
    <x v="2"/>
    <s v="Not Reported"/>
    <s v="BRCA1 Mutation"/>
    <s v="T011"/>
    <x v="2"/>
    <x v="1"/>
    <s v="10/20/2021"/>
    <s v="12/20/2022"/>
    <s v="50mg"/>
    <s v="Not Reported, Headache, Fatigue"/>
    <s v="TR0156"/>
    <s v="50mg"/>
    <x v="2"/>
    <x v="0"/>
    <x v="42"/>
    <n v="0"/>
    <x v="3"/>
    <x v="0"/>
    <n v="1.31"/>
    <n v="1.02"/>
    <x v="9"/>
    <n v="17.600000000000001"/>
    <x v="28"/>
    <x v="3"/>
    <n v="50"/>
    <x v="1"/>
  </r>
  <r>
    <s v="P784"/>
    <n v="77"/>
    <x v="2"/>
    <x v="3"/>
    <s v="Hypertension"/>
    <s v="Not Reported"/>
    <s v="T013"/>
    <x v="0"/>
    <x v="1"/>
    <s v="7/4/2022"/>
    <s v="3/4/2023"/>
    <s v="100mg"/>
    <s v="Not Reported, Nausea"/>
    <s v="TR0125"/>
    <s v="100mg"/>
    <x v="1"/>
    <x v="2"/>
    <x v="139"/>
    <n v="0"/>
    <x v="0"/>
    <x v="0"/>
    <n v="2.96"/>
    <n v="2.66"/>
    <x v="47"/>
    <n v="12"/>
    <x v="120"/>
    <x v="1"/>
    <n v="100"/>
    <x v="2"/>
  </r>
  <r>
    <s v="P785"/>
    <n v="40"/>
    <x v="1"/>
    <x v="3"/>
    <s v="Diabetes"/>
    <s v="EGFR Mutation"/>
    <s v="T019"/>
    <x v="0"/>
    <x v="1"/>
    <s v="8/26/2023"/>
    <s v="2/26/2024"/>
    <s v="50mg"/>
    <s v="Not Reported, Fatigue, Headache"/>
    <s v="TR0170"/>
    <s v="50mg"/>
    <x v="0"/>
    <x v="3"/>
    <x v="150"/>
    <n v="1"/>
    <x v="1"/>
    <x v="0"/>
    <n v="1.39"/>
    <n v="4.83"/>
    <x v="80"/>
    <n v="19.100000000000001"/>
    <x v="81"/>
    <x v="3"/>
    <n v="50"/>
    <x v="3"/>
  </r>
  <r>
    <s v="P786"/>
    <n v="83"/>
    <x v="1"/>
    <x v="1"/>
    <s v="Diabetes"/>
    <s v="HER2 Mutation"/>
    <s v="T002"/>
    <x v="2"/>
    <x v="1"/>
    <s v="2/28/2021"/>
    <s v="4/28/2022"/>
    <s v="50mg"/>
    <s v="Not Reported"/>
    <s v="TR0176"/>
    <s v="50mg"/>
    <x v="2"/>
    <x v="2"/>
    <x v="87"/>
    <n v="0"/>
    <x v="2"/>
    <x v="1"/>
    <n v="2.57"/>
    <n v="1.95"/>
    <x v="75"/>
    <n v="9.1999999999999993"/>
    <x v="43"/>
    <x v="3"/>
    <n v="50"/>
    <x v="2"/>
  </r>
  <r>
    <s v="P787"/>
    <n v="36"/>
    <x v="0"/>
    <x v="2"/>
    <s v="Asthma"/>
    <s v="Not Reported"/>
    <s v="T018"/>
    <x v="0"/>
    <x v="1"/>
    <s v="9/13/2019"/>
    <s v="7/13/2020"/>
    <s v="150mg"/>
    <s v="Fatigue, Dizziness, Nausea"/>
    <s v="TR0116"/>
    <s v="150mg"/>
    <x v="1"/>
    <x v="2"/>
    <x v="82"/>
    <n v="0"/>
    <x v="0"/>
    <x v="1"/>
    <n v="3.71"/>
    <n v="3.19"/>
    <x v="72"/>
    <n v="22.6"/>
    <x v="119"/>
    <x v="2"/>
    <n v="150"/>
    <x v="3"/>
  </r>
  <r>
    <s v="P788"/>
    <n v="82"/>
    <x v="1"/>
    <x v="3"/>
    <s v="Hypertension"/>
    <s v="Not Reported"/>
    <s v="T002"/>
    <x v="1"/>
    <x v="3"/>
    <s v="1/14/2023"/>
    <s v="2/14/2024"/>
    <s v="150mg"/>
    <s v="Nausea, Fatigue"/>
    <s v="TR0049"/>
    <s v="150mg"/>
    <x v="1"/>
    <x v="2"/>
    <x v="107"/>
    <n v="0"/>
    <x v="4"/>
    <x v="1"/>
    <n v="2.12"/>
    <n v="2.4"/>
    <x v="73"/>
    <n v="23.9"/>
    <x v="62"/>
    <x v="2"/>
    <n v="150"/>
    <x v="2"/>
  </r>
  <r>
    <s v="P789"/>
    <n v="29"/>
    <x v="2"/>
    <x v="2"/>
    <s v="Diabetes"/>
    <s v="Not Reported"/>
    <s v="T016"/>
    <x v="0"/>
    <x v="2"/>
    <s v="11/14/2023"/>
    <s v="1/14/2025"/>
    <s v="100mg"/>
    <s v="Headache, Dizziness"/>
    <s v="TR0171"/>
    <s v="100mg"/>
    <x v="2"/>
    <x v="3"/>
    <x v="139"/>
    <n v="0"/>
    <x v="3"/>
    <x v="1"/>
    <n v="4.5"/>
    <n v="4.32"/>
    <x v="66"/>
    <n v="13.2"/>
    <x v="28"/>
    <x v="1"/>
    <n v="100"/>
    <x v="0"/>
  </r>
  <r>
    <s v="P790"/>
    <n v="47"/>
    <x v="2"/>
    <x v="2"/>
    <s v="Not Reported"/>
    <s v="Not Reported"/>
    <s v="T003"/>
    <x v="3"/>
    <x v="1"/>
    <s v="7/2/2021"/>
    <s v="8/2/2022"/>
    <s v="100mg"/>
    <s v="Headache"/>
    <s v="TR0073"/>
    <s v="100mg"/>
    <x v="2"/>
    <x v="2"/>
    <x v="148"/>
    <n v="0"/>
    <x v="0"/>
    <x v="1"/>
    <n v="4.91"/>
    <n v="1.72"/>
    <x v="33"/>
    <n v="12"/>
    <x v="33"/>
    <x v="1"/>
    <n v="100"/>
    <x v="3"/>
  </r>
  <r>
    <s v="P791"/>
    <n v="66"/>
    <x v="1"/>
    <x v="2"/>
    <s v="Asthma"/>
    <s v="Not Reported"/>
    <s v="T013"/>
    <x v="2"/>
    <x v="3"/>
    <s v="10/14/2019"/>
    <s v="3/14/2021"/>
    <s v="150mg"/>
    <s v="Headache, Dizziness, Not Reported"/>
    <s v="TR0064"/>
    <s v="150mg"/>
    <x v="2"/>
    <x v="4"/>
    <x v="33"/>
    <n v="0"/>
    <x v="3"/>
    <x v="1"/>
    <n v="2.68"/>
    <n v="3.31"/>
    <x v="48"/>
    <n v="20.5"/>
    <x v="5"/>
    <x v="2"/>
    <n v="150"/>
    <x v="2"/>
  </r>
  <r>
    <s v="P792"/>
    <n v="75"/>
    <x v="2"/>
    <x v="0"/>
    <s v="Diabetes"/>
    <s v="BRCA1 Mutation"/>
    <s v="T005"/>
    <x v="0"/>
    <x v="1"/>
    <s v="3/6/2022"/>
    <s v="2/6/2023"/>
    <s v="100mg"/>
    <s v="Headache, Not Reported, Dizziness"/>
    <s v="TR0140"/>
    <s v="100mg"/>
    <x v="0"/>
    <x v="3"/>
    <x v="106"/>
    <n v="1"/>
    <x v="2"/>
    <x v="0"/>
    <n v="1.24"/>
    <n v="3.77"/>
    <x v="43"/>
    <n v="13.5"/>
    <x v="117"/>
    <x v="1"/>
    <n v="100"/>
    <x v="2"/>
  </r>
  <r>
    <s v="P793"/>
    <n v="52"/>
    <x v="2"/>
    <x v="3"/>
    <s v="Heart Disease"/>
    <s v="Not Reported"/>
    <s v="T008"/>
    <x v="1"/>
    <x v="0"/>
    <s v="5/13/2020"/>
    <s v="6/13/2021"/>
    <s v="100mg"/>
    <s v="Headache, Nausea, Fatigue"/>
    <s v="TR0006"/>
    <s v="100mg"/>
    <x v="2"/>
    <x v="3"/>
    <x v="112"/>
    <n v="0"/>
    <x v="4"/>
    <x v="0"/>
    <n v="2.61"/>
    <n v="3.08"/>
    <x v="6"/>
    <n v="8.4"/>
    <x v="134"/>
    <x v="1"/>
    <n v="100"/>
    <x v="1"/>
  </r>
  <r>
    <s v="P794"/>
    <n v="45"/>
    <x v="0"/>
    <x v="1"/>
    <s v="Diabetes"/>
    <s v="EGFR Mutation"/>
    <s v="T006"/>
    <x v="2"/>
    <x v="0"/>
    <s v="4/7/2019"/>
    <s v="5/7/2020"/>
    <s v="200mg"/>
    <s v="Not Reported"/>
    <s v="TR0048"/>
    <s v="200mg"/>
    <x v="0"/>
    <x v="3"/>
    <x v="0"/>
    <n v="1"/>
    <x v="4"/>
    <x v="0"/>
    <n v="2.58"/>
    <n v="1.53"/>
    <x v="26"/>
    <n v="23.1"/>
    <x v="140"/>
    <x v="0"/>
    <n v="200"/>
    <x v="3"/>
  </r>
  <r>
    <s v="P795"/>
    <n v="69"/>
    <x v="1"/>
    <x v="2"/>
    <s v="Diabetes"/>
    <s v="TP53 Mutation"/>
    <s v="T010"/>
    <x v="3"/>
    <x v="2"/>
    <s v="2/20/2021"/>
    <s v="9/20/2021"/>
    <s v="200mg"/>
    <s v="Nausea, Fatigue"/>
    <s v="TR0179"/>
    <s v="200mg"/>
    <x v="1"/>
    <x v="4"/>
    <x v="60"/>
    <n v="0"/>
    <x v="2"/>
    <x v="1"/>
    <n v="4.63"/>
    <n v="4.97"/>
    <x v="22"/>
    <n v="12.4"/>
    <x v="63"/>
    <x v="0"/>
    <n v="200"/>
    <x v="2"/>
  </r>
  <r>
    <s v="P796"/>
    <n v="69"/>
    <x v="0"/>
    <x v="3"/>
    <s v="Asthma"/>
    <s v="Not Reported"/>
    <s v="T003"/>
    <x v="2"/>
    <x v="3"/>
    <s v="9/19/2023"/>
    <s v="3/19/2025"/>
    <s v="50mg"/>
    <s v="Dizziness, Nausea, Fatigue"/>
    <s v="TR0119"/>
    <s v="50mg"/>
    <x v="2"/>
    <x v="1"/>
    <x v="113"/>
    <n v="0"/>
    <x v="4"/>
    <x v="0"/>
    <n v="2.94"/>
    <n v="2.67"/>
    <x v="74"/>
    <n v="16.7"/>
    <x v="34"/>
    <x v="3"/>
    <n v="50"/>
    <x v="2"/>
  </r>
  <r>
    <s v="P797"/>
    <n v="74"/>
    <x v="1"/>
    <x v="3"/>
    <s v="Heart Disease"/>
    <s v="Not Reported"/>
    <s v="T004"/>
    <x v="2"/>
    <x v="3"/>
    <s v="3/13/2023"/>
    <s v="7/13/2024"/>
    <s v="200mg"/>
    <s v="Dizziness, Headache"/>
    <s v="TR0158"/>
    <s v="200mg"/>
    <x v="2"/>
    <x v="2"/>
    <x v="28"/>
    <n v="0"/>
    <x v="2"/>
    <x v="1"/>
    <n v="1.65"/>
    <n v="2.89"/>
    <x v="10"/>
    <n v="16.3"/>
    <x v="159"/>
    <x v="0"/>
    <n v="200"/>
    <x v="2"/>
  </r>
  <r>
    <s v="P798"/>
    <n v="74"/>
    <x v="1"/>
    <x v="1"/>
    <s v="Asthma"/>
    <s v="Not Reported"/>
    <s v="T003"/>
    <x v="0"/>
    <x v="3"/>
    <s v="5/11/2023"/>
    <s v="11/11/2024"/>
    <s v="50mg"/>
    <s v="Nausea"/>
    <s v="TR0158"/>
    <s v="50mg"/>
    <x v="0"/>
    <x v="2"/>
    <x v="5"/>
    <n v="1"/>
    <x v="3"/>
    <x v="1"/>
    <n v="3.97"/>
    <n v="1.1000000000000001"/>
    <x v="74"/>
    <n v="20"/>
    <x v="132"/>
    <x v="3"/>
    <n v="50"/>
    <x v="2"/>
  </r>
  <r>
    <s v="P799"/>
    <n v="64"/>
    <x v="0"/>
    <x v="3"/>
    <s v="Hypertension"/>
    <s v="BRCA1 Mutation"/>
    <s v="T016"/>
    <x v="1"/>
    <x v="0"/>
    <s v="4/27/2019"/>
    <s v="7/27/2020"/>
    <s v="200mg"/>
    <s v="Headache"/>
    <s v="TR0081"/>
    <s v="200mg"/>
    <x v="0"/>
    <x v="0"/>
    <x v="132"/>
    <n v="1"/>
    <x v="3"/>
    <x v="1"/>
    <n v="2.04"/>
    <n v="3.78"/>
    <x v="41"/>
    <n v="20.3"/>
    <x v="70"/>
    <x v="0"/>
    <n v="200"/>
    <x v="1"/>
  </r>
  <r>
    <s v="P800"/>
    <n v="59"/>
    <x v="1"/>
    <x v="1"/>
    <s v="Hypertension"/>
    <s v="BRCA1 Mutation"/>
    <s v="T002"/>
    <x v="1"/>
    <x v="3"/>
    <s v="5/17/2020"/>
    <s v="8/17/2021"/>
    <s v="150mg"/>
    <s v="Nausea"/>
    <s v="TR0076"/>
    <s v="150mg"/>
    <x v="1"/>
    <x v="0"/>
    <x v="120"/>
    <n v="0"/>
    <x v="2"/>
    <x v="1"/>
    <n v="3.44"/>
    <n v="2.95"/>
    <x v="12"/>
    <n v="10.7"/>
    <x v="69"/>
    <x v="2"/>
    <n v="150"/>
    <x v="1"/>
  </r>
  <r>
    <s v="P801"/>
    <n v="73"/>
    <x v="1"/>
    <x v="3"/>
    <s v="Hypertension"/>
    <s v="HER2 Mutation"/>
    <s v="T009"/>
    <x v="2"/>
    <x v="1"/>
    <s v="6/14/2021"/>
    <s v="5/14/2022"/>
    <s v="200mg"/>
    <s v="Not Reported, Nausea"/>
    <s v="TR0147"/>
    <s v="200mg"/>
    <x v="1"/>
    <x v="4"/>
    <x v="23"/>
    <n v="0"/>
    <x v="0"/>
    <x v="0"/>
    <n v="3.4"/>
    <n v="3.05"/>
    <x v="90"/>
    <n v="6.1"/>
    <x v="163"/>
    <x v="0"/>
    <n v="200"/>
    <x v="2"/>
  </r>
  <r>
    <s v="P802"/>
    <n v="82"/>
    <x v="2"/>
    <x v="2"/>
    <s v="Asthma"/>
    <s v="TP53 Mutation"/>
    <s v="T009"/>
    <x v="3"/>
    <x v="0"/>
    <s v="11/6/2020"/>
    <s v="5/6/2022"/>
    <s v="200mg"/>
    <s v="Not Reported, Nausea"/>
    <s v="TR0028"/>
    <s v="200mg"/>
    <x v="1"/>
    <x v="4"/>
    <x v="96"/>
    <n v="0"/>
    <x v="0"/>
    <x v="0"/>
    <n v="2.14"/>
    <n v="3.94"/>
    <x v="47"/>
    <n v="16.5"/>
    <x v="128"/>
    <x v="0"/>
    <n v="200"/>
    <x v="2"/>
  </r>
  <r>
    <s v="P803"/>
    <n v="19"/>
    <x v="2"/>
    <x v="3"/>
    <s v="Diabetes"/>
    <s v="Not Reported"/>
    <s v="T004"/>
    <x v="2"/>
    <x v="2"/>
    <s v="3/25/2021"/>
    <s v="9/25/2022"/>
    <s v="200mg"/>
    <s v="Headache, Dizziness"/>
    <s v="TR0080"/>
    <s v="200mg"/>
    <x v="1"/>
    <x v="1"/>
    <x v="70"/>
    <n v="0"/>
    <x v="2"/>
    <x v="0"/>
    <n v="1.7"/>
    <n v="2.89"/>
    <x v="87"/>
    <n v="17.3"/>
    <x v="66"/>
    <x v="0"/>
    <n v="200"/>
    <x v="0"/>
  </r>
  <r>
    <s v="P804"/>
    <n v="67"/>
    <x v="0"/>
    <x v="2"/>
    <s v="Hypertension"/>
    <s v="BRCA1 Mutation"/>
    <s v="T003"/>
    <x v="0"/>
    <x v="3"/>
    <s v="9/21/2023"/>
    <s v="9/21/2024"/>
    <s v="50mg"/>
    <s v="Dizziness"/>
    <s v="TR0004"/>
    <s v="50mg"/>
    <x v="0"/>
    <x v="0"/>
    <x v="22"/>
    <n v="1"/>
    <x v="2"/>
    <x v="1"/>
    <n v="2.63"/>
    <n v="3.09"/>
    <x v="49"/>
    <n v="9.5"/>
    <x v="60"/>
    <x v="3"/>
    <n v="50"/>
    <x v="2"/>
  </r>
  <r>
    <s v="P805"/>
    <n v="79"/>
    <x v="2"/>
    <x v="3"/>
    <s v="Heart Disease"/>
    <s v="BRCA1 Mutation"/>
    <s v="T006"/>
    <x v="0"/>
    <x v="0"/>
    <s v="5/15/2019"/>
    <s v="1/15/2020"/>
    <s v="200mg"/>
    <s v="Fatigue, Headache"/>
    <s v="TR0020"/>
    <s v="200mg"/>
    <x v="0"/>
    <x v="3"/>
    <x v="41"/>
    <n v="1"/>
    <x v="3"/>
    <x v="0"/>
    <n v="4.45"/>
    <n v="3.31"/>
    <x v="64"/>
    <n v="16.7"/>
    <x v="127"/>
    <x v="0"/>
    <n v="200"/>
    <x v="2"/>
  </r>
  <r>
    <s v="P806"/>
    <n v="85"/>
    <x v="1"/>
    <x v="4"/>
    <s v="Asthma"/>
    <s v="HER2 Mutation"/>
    <s v="T012"/>
    <x v="3"/>
    <x v="1"/>
    <s v="9/12/2022"/>
    <s v="1/12/2024"/>
    <s v="100mg"/>
    <s v="Not Reported, Fatigue"/>
    <s v="TR0080"/>
    <s v="100mg"/>
    <x v="0"/>
    <x v="3"/>
    <x v="148"/>
    <n v="1"/>
    <x v="0"/>
    <x v="1"/>
    <n v="2.72"/>
    <n v="4"/>
    <x v="52"/>
    <n v="16.3"/>
    <x v="45"/>
    <x v="1"/>
    <n v="100"/>
    <x v="2"/>
  </r>
  <r>
    <s v="P807"/>
    <n v="50"/>
    <x v="1"/>
    <x v="0"/>
    <s v="Hypertension"/>
    <s v="HER2 Mutation"/>
    <s v="T009"/>
    <x v="0"/>
    <x v="3"/>
    <s v="11/15/2021"/>
    <s v="10/15/2022"/>
    <s v="100mg"/>
    <s v="Nausea"/>
    <s v="TR0029"/>
    <s v="100mg"/>
    <x v="0"/>
    <x v="1"/>
    <x v="126"/>
    <n v="1"/>
    <x v="1"/>
    <x v="1"/>
    <n v="2.08"/>
    <n v="1.79"/>
    <x v="7"/>
    <n v="11.5"/>
    <x v="66"/>
    <x v="1"/>
    <n v="100"/>
    <x v="3"/>
  </r>
  <r>
    <s v="P808"/>
    <n v="80"/>
    <x v="2"/>
    <x v="1"/>
    <s v="Hypertension"/>
    <s v="HER2 Mutation"/>
    <s v="T007"/>
    <x v="2"/>
    <x v="3"/>
    <s v="8/6/2020"/>
    <s v="2/6/2021"/>
    <s v="100mg"/>
    <s v="Dizziness, Headache, Not Reported"/>
    <s v="TR0044"/>
    <s v="100mg"/>
    <x v="0"/>
    <x v="0"/>
    <x v="90"/>
    <n v="1"/>
    <x v="3"/>
    <x v="0"/>
    <n v="3.35"/>
    <n v="2.71"/>
    <x v="25"/>
    <n v="7.5"/>
    <x v="64"/>
    <x v="1"/>
    <n v="100"/>
    <x v="2"/>
  </r>
  <r>
    <s v="P809"/>
    <n v="26"/>
    <x v="2"/>
    <x v="3"/>
    <s v="Diabetes"/>
    <s v="Not Reported"/>
    <s v="T009"/>
    <x v="0"/>
    <x v="2"/>
    <s v="7/20/2019"/>
    <s v="1/20/2021"/>
    <s v="100mg"/>
    <s v="Dizziness, Fatigue"/>
    <s v="TR0069"/>
    <s v="100mg"/>
    <x v="2"/>
    <x v="1"/>
    <x v="130"/>
    <n v="0"/>
    <x v="0"/>
    <x v="1"/>
    <n v="1.69"/>
    <n v="3.07"/>
    <x v="22"/>
    <n v="11.1"/>
    <x v="59"/>
    <x v="1"/>
    <n v="100"/>
    <x v="0"/>
  </r>
  <r>
    <s v="P810"/>
    <n v="19"/>
    <x v="0"/>
    <x v="2"/>
    <s v="Heart Disease"/>
    <s v="HER2 Mutation"/>
    <s v="T015"/>
    <x v="3"/>
    <x v="3"/>
    <s v="2/27/2023"/>
    <s v="2/27/2024"/>
    <s v="150mg"/>
    <s v="Not Reported"/>
    <s v="TR0066"/>
    <s v="150mg"/>
    <x v="1"/>
    <x v="4"/>
    <x v="40"/>
    <n v="0"/>
    <x v="4"/>
    <x v="1"/>
    <n v="4.25"/>
    <n v="1.06"/>
    <x v="45"/>
    <n v="18"/>
    <x v="43"/>
    <x v="2"/>
    <n v="150"/>
    <x v="0"/>
  </r>
  <r>
    <s v="P811"/>
    <n v="24"/>
    <x v="2"/>
    <x v="4"/>
    <s v="Heart Disease"/>
    <s v="Not Reported"/>
    <s v="T003"/>
    <x v="3"/>
    <x v="2"/>
    <s v="12/26/2022"/>
    <s v="2/26/2024"/>
    <s v="50mg"/>
    <s v="Not Reported"/>
    <s v="TR0062"/>
    <s v="50mg"/>
    <x v="2"/>
    <x v="2"/>
    <x v="133"/>
    <n v="0"/>
    <x v="0"/>
    <x v="1"/>
    <n v="4.7300000000000004"/>
    <n v="1.08"/>
    <x v="26"/>
    <n v="22"/>
    <x v="158"/>
    <x v="3"/>
    <n v="50"/>
    <x v="0"/>
  </r>
  <r>
    <s v="P812"/>
    <n v="82"/>
    <x v="2"/>
    <x v="0"/>
    <s v="Heart Disease"/>
    <s v="Not Reported"/>
    <s v="T020"/>
    <x v="3"/>
    <x v="2"/>
    <s v="1/10/2023"/>
    <s v="12/10/2023"/>
    <s v="200mg"/>
    <s v="Fatigue, Headache, Nausea"/>
    <s v="TR0071"/>
    <s v="200mg"/>
    <x v="1"/>
    <x v="1"/>
    <x v="86"/>
    <n v="0"/>
    <x v="1"/>
    <x v="0"/>
    <n v="3.26"/>
    <n v="3.65"/>
    <x v="23"/>
    <n v="22.8"/>
    <x v="85"/>
    <x v="0"/>
    <n v="200"/>
    <x v="2"/>
  </r>
  <r>
    <s v="P813"/>
    <n v="22"/>
    <x v="0"/>
    <x v="1"/>
    <s v="Heart Disease"/>
    <s v="Not Reported"/>
    <s v="T013"/>
    <x v="0"/>
    <x v="2"/>
    <s v="3/7/2021"/>
    <s v="5/7/2022"/>
    <s v="100mg"/>
    <s v="Headache, Fatigue, Not Reported"/>
    <s v="TR0061"/>
    <s v="100mg"/>
    <x v="0"/>
    <x v="2"/>
    <x v="34"/>
    <n v="1"/>
    <x v="0"/>
    <x v="0"/>
    <n v="3.88"/>
    <n v="2.15"/>
    <x v="37"/>
    <n v="6.9"/>
    <x v="37"/>
    <x v="1"/>
    <n v="100"/>
    <x v="0"/>
  </r>
  <r>
    <s v="P814"/>
    <n v="81"/>
    <x v="0"/>
    <x v="3"/>
    <s v="Diabetes"/>
    <s v="Not Reported"/>
    <s v="T019"/>
    <x v="2"/>
    <x v="2"/>
    <s v="9/2/2023"/>
    <s v="2/2/2025"/>
    <s v="100mg"/>
    <s v="Fatigue"/>
    <s v="TR0032"/>
    <s v="100mg"/>
    <x v="0"/>
    <x v="3"/>
    <x v="119"/>
    <n v="1"/>
    <x v="0"/>
    <x v="0"/>
    <n v="4.59"/>
    <n v="2.02"/>
    <x v="66"/>
    <n v="8.5"/>
    <x v="137"/>
    <x v="1"/>
    <n v="100"/>
    <x v="2"/>
  </r>
  <r>
    <s v="P815"/>
    <n v="40"/>
    <x v="0"/>
    <x v="2"/>
    <s v="Hypertension"/>
    <s v="Not Reported"/>
    <s v="T013"/>
    <x v="3"/>
    <x v="0"/>
    <s v="2/2/2022"/>
    <s v="8/2/2022"/>
    <s v="200mg"/>
    <s v="Headache, Nausea, Dizziness"/>
    <s v="TR0141"/>
    <s v="200mg"/>
    <x v="0"/>
    <x v="4"/>
    <x v="54"/>
    <n v="1"/>
    <x v="4"/>
    <x v="1"/>
    <n v="3"/>
    <n v="3.7"/>
    <x v="7"/>
    <n v="19.600000000000001"/>
    <x v="92"/>
    <x v="0"/>
    <n v="200"/>
    <x v="3"/>
  </r>
  <r>
    <s v="P816"/>
    <n v="29"/>
    <x v="1"/>
    <x v="2"/>
    <s v="Diabetes"/>
    <s v="Not Reported"/>
    <s v="T010"/>
    <x v="0"/>
    <x v="2"/>
    <s v="10/17/2019"/>
    <s v="4/17/2021"/>
    <s v="50mg"/>
    <s v="Not Reported, Headache"/>
    <s v="TR0193"/>
    <s v="50mg"/>
    <x v="2"/>
    <x v="1"/>
    <x v="134"/>
    <n v="0"/>
    <x v="4"/>
    <x v="1"/>
    <n v="2.25"/>
    <n v="2.64"/>
    <x v="22"/>
    <n v="23.6"/>
    <x v="129"/>
    <x v="3"/>
    <n v="50"/>
    <x v="0"/>
  </r>
  <r>
    <s v="P817"/>
    <n v="70"/>
    <x v="2"/>
    <x v="0"/>
    <s v="Hypertension"/>
    <s v="BRCA2 Mutation"/>
    <s v="T001"/>
    <x v="3"/>
    <x v="0"/>
    <s v="1/12/2020"/>
    <s v="11/12/2020"/>
    <s v="150mg"/>
    <s v="Dizziness, Headache, Fatigue"/>
    <s v="TR0020"/>
    <s v="150mg"/>
    <x v="1"/>
    <x v="3"/>
    <x v="149"/>
    <n v="0"/>
    <x v="1"/>
    <x v="1"/>
    <n v="4.74"/>
    <n v="2.21"/>
    <x v="73"/>
    <n v="19.8"/>
    <x v="90"/>
    <x v="2"/>
    <n v="150"/>
    <x v="2"/>
  </r>
  <r>
    <s v="P818"/>
    <n v="67"/>
    <x v="1"/>
    <x v="0"/>
    <s v="Hypertension"/>
    <s v="HER2 Mutation"/>
    <s v="T012"/>
    <x v="0"/>
    <x v="1"/>
    <s v="12/27/2019"/>
    <s v="9/27/2020"/>
    <s v="150mg"/>
    <s v="Headache"/>
    <s v="TR0139"/>
    <s v="150mg"/>
    <x v="1"/>
    <x v="3"/>
    <x v="58"/>
    <n v="0"/>
    <x v="2"/>
    <x v="1"/>
    <n v="4.8600000000000003"/>
    <n v="2.57"/>
    <x v="12"/>
    <n v="18.100000000000001"/>
    <x v="33"/>
    <x v="2"/>
    <n v="150"/>
    <x v="2"/>
  </r>
  <r>
    <s v="P819"/>
    <n v="78"/>
    <x v="0"/>
    <x v="1"/>
    <s v="Heart Disease"/>
    <s v="EGFR Mutation"/>
    <s v="T007"/>
    <x v="3"/>
    <x v="0"/>
    <s v="4/10/2023"/>
    <s v="6/10/2024"/>
    <s v="100mg"/>
    <s v="Dizziness, Headache"/>
    <s v="TR0041"/>
    <s v="100mg"/>
    <x v="1"/>
    <x v="2"/>
    <x v="121"/>
    <n v="0"/>
    <x v="3"/>
    <x v="0"/>
    <n v="3.3"/>
    <n v="1.83"/>
    <x v="69"/>
    <n v="11.6"/>
    <x v="24"/>
    <x v="1"/>
    <n v="100"/>
    <x v="2"/>
  </r>
  <r>
    <s v="P820"/>
    <n v="73"/>
    <x v="2"/>
    <x v="1"/>
    <s v="Heart Disease"/>
    <s v="Not Reported"/>
    <s v="T019"/>
    <x v="1"/>
    <x v="0"/>
    <s v="11/22/2023"/>
    <s v="3/22/2025"/>
    <s v="200mg"/>
    <s v="Nausea, Not Reported, Dizziness"/>
    <s v="TR0095"/>
    <s v="200mg"/>
    <x v="2"/>
    <x v="0"/>
    <x v="5"/>
    <n v="0"/>
    <x v="4"/>
    <x v="1"/>
    <n v="3.58"/>
    <n v="3.98"/>
    <x v="8"/>
    <n v="13.3"/>
    <x v="91"/>
    <x v="0"/>
    <n v="200"/>
    <x v="2"/>
  </r>
  <r>
    <s v="P821"/>
    <n v="27"/>
    <x v="2"/>
    <x v="3"/>
    <s v="Asthma"/>
    <s v="EGFR Mutation"/>
    <s v="T008"/>
    <x v="2"/>
    <x v="1"/>
    <s v="3/14/2019"/>
    <s v="8/14/2020"/>
    <s v="150mg"/>
    <s v="Dizziness, Fatigue"/>
    <s v="TR0098"/>
    <s v="150mg"/>
    <x v="0"/>
    <x v="4"/>
    <x v="14"/>
    <n v="1"/>
    <x v="2"/>
    <x v="0"/>
    <n v="1.79"/>
    <n v="4.13"/>
    <x v="52"/>
    <n v="12.7"/>
    <x v="136"/>
    <x v="2"/>
    <n v="150"/>
    <x v="0"/>
  </r>
  <r>
    <s v="P822"/>
    <n v="65"/>
    <x v="0"/>
    <x v="2"/>
    <s v="Asthma"/>
    <s v="EGFR Mutation"/>
    <s v="T011"/>
    <x v="1"/>
    <x v="0"/>
    <s v="8/10/2022"/>
    <s v="1/10/2024"/>
    <s v="50mg"/>
    <s v="Fatigue, Headache, Dizziness"/>
    <s v="TR0099"/>
    <s v="50mg"/>
    <x v="2"/>
    <x v="1"/>
    <x v="117"/>
    <n v="0"/>
    <x v="3"/>
    <x v="0"/>
    <n v="4.59"/>
    <n v="4.38"/>
    <x v="17"/>
    <n v="23.2"/>
    <x v="21"/>
    <x v="3"/>
    <n v="50"/>
    <x v="1"/>
  </r>
  <r>
    <s v="P823"/>
    <n v="53"/>
    <x v="0"/>
    <x v="1"/>
    <s v="Heart Disease"/>
    <s v="BRCA2 Mutation"/>
    <s v="T014"/>
    <x v="0"/>
    <x v="2"/>
    <s v="3/20/2020"/>
    <s v="4/20/2021"/>
    <s v="150mg"/>
    <s v="Dizziness, Nausea, Fatigue"/>
    <s v="TR0014"/>
    <s v="150mg"/>
    <x v="2"/>
    <x v="4"/>
    <x v="136"/>
    <n v="0"/>
    <x v="4"/>
    <x v="0"/>
    <n v="2.36"/>
    <n v="1.25"/>
    <x v="16"/>
    <n v="8"/>
    <x v="102"/>
    <x v="2"/>
    <n v="150"/>
    <x v="1"/>
  </r>
  <r>
    <s v="P824"/>
    <n v="31"/>
    <x v="2"/>
    <x v="0"/>
    <s v="Not Reported"/>
    <s v="BRCA1 Mutation"/>
    <s v="T011"/>
    <x v="3"/>
    <x v="2"/>
    <s v="10/5/2019"/>
    <s v="6/5/2020"/>
    <s v="150mg"/>
    <s v="Nausea, Dizziness"/>
    <s v="TR0188"/>
    <s v="150mg"/>
    <x v="0"/>
    <x v="3"/>
    <x v="58"/>
    <n v="1"/>
    <x v="0"/>
    <x v="1"/>
    <n v="2.27"/>
    <n v="4.24"/>
    <x v="37"/>
    <n v="11.4"/>
    <x v="137"/>
    <x v="2"/>
    <n v="150"/>
    <x v="3"/>
  </r>
  <r>
    <s v="P825"/>
    <n v="70"/>
    <x v="1"/>
    <x v="2"/>
    <s v="Asthma"/>
    <s v="BRCA2 Mutation"/>
    <s v="T009"/>
    <x v="3"/>
    <x v="2"/>
    <s v="3/18/2023"/>
    <s v="6/18/2024"/>
    <s v="150mg"/>
    <s v="Not Reported, Nausea, Headache"/>
    <s v="TR0023"/>
    <s v="150mg"/>
    <x v="1"/>
    <x v="2"/>
    <x v="147"/>
    <n v="0"/>
    <x v="0"/>
    <x v="0"/>
    <n v="4.43"/>
    <n v="4.0599999999999996"/>
    <x v="43"/>
    <n v="18.399999999999999"/>
    <x v="46"/>
    <x v="2"/>
    <n v="150"/>
    <x v="2"/>
  </r>
  <r>
    <s v="P826"/>
    <n v="51"/>
    <x v="2"/>
    <x v="3"/>
    <s v="Diabetes"/>
    <s v="HER2 Mutation"/>
    <s v="T003"/>
    <x v="3"/>
    <x v="3"/>
    <s v="8/3/2019"/>
    <s v="2/3/2020"/>
    <s v="150mg"/>
    <s v="Nausea, Dizziness, Headache"/>
    <s v="TR0148"/>
    <s v="150mg"/>
    <x v="1"/>
    <x v="3"/>
    <x v="61"/>
    <n v="0"/>
    <x v="1"/>
    <x v="0"/>
    <n v="3.73"/>
    <n v="2.33"/>
    <x v="69"/>
    <n v="17.600000000000001"/>
    <x v="142"/>
    <x v="2"/>
    <n v="150"/>
    <x v="1"/>
  </r>
  <r>
    <s v="P827"/>
    <n v="29"/>
    <x v="1"/>
    <x v="4"/>
    <s v="Asthma"/>
    <s v="BRCA1 Mutation"/>
    <s v="T012"/>
    <x v="2"/>
    <x v="0"/>
    <s v="10/5/2019"/>
    <s v="7/5/2020"/>
    <s v="50mg"/>
    <s v="Headache"/>
    <s v="TR0019"/>
    <s v="50mg"/>
    <x v="1"/>
    <x v="2"/>
    <x v="70"/>
    <n v="0"/>
    <x v="3"/>
    <x v="0"/>
    <n v="1.48"/>
    <n v="2.25"/>
    <x v="33"/>
    <n v="21.5"/>
    <x v="121"/>
    <x v="3"/>
    <n v="50"/>
    <x v="0"/>
  </r>
  <r>
    <s v="P828"/>
    <n v="79"/>
    <x v="1"/>
    <x v="2"/>
    <s v="Heart Disease"/>
    <s v="Not Reported"/>
    <s v="T010"/>
    <x v="0"/>
    <x v="3"/>
    <s v="11/5/2020"/>
    <s v="5/5/2022"/>
    <s v="200mg"/>
    <s v="Dizziness, Fatigue"/>
    <s v="TR0106"/>
    <s v="200mg"/>
    <x v="1"/>
    <x v="1"/>
    <x v="0"/>
    <n v="0"/>
    <x v="4"/>
    <x v="1"/>
    <n v="4.8099999999999996"/>
    <n v="2.3199999999999998"/>
    <x v="9"/>
    <n v="19.5"/>
    <x v="127"/>
    <x v="0"/>
    <n v="200"/>
    <x v="2"/>
  </r>
  <r>
    <s v="P829"/>
    <n v="32"/>
    <x v="1"/>
    <x v="2"/>
    <s v="Heart Disease"/>
    <s v="Not Reported"/>
    <s v="T017"/>
    <x v="2"/>
    <x v="0"/>
    <s v="5/26/2020"/>
    <s v="7/26/2021"/>
    <s v="50mg"/>
    <s v="Nausea"/>
    <s v="TR0010"/>
    <s v="50mg"/>
    <x v="1"/>
    <x v="4"/>
    <x v="149"/>
    <n v="0"/>
    <x v="0"/>
    <x v="1"/>
    <n v="4.78"/>
    <n v="2.25"/>
    <x v="77"/>
    <n v="8.4"/>
    <x v="78"/>
    <x v="3"/>
    <n v="50"/>
    <x v="3"/>
  </r>
  <r>
    <s v="P830"/>
    <n v="69"/>
    <x v="0"/>
    <x v="4"/>
    <s v="Hypertension"/>
    <s v="TP53 Mutation"/>
    <s v="T007"/>
    <x v="0"/>
    <x v="0"/>
    <s v="9/25/2021"/>
    <s v="6/25/2022"/>
    <s v="150mg"/>
    <s v="Headache"/>
    <s v="TR0136"/>
    <s v="150mg"/>
    <x v="0"/>
    <x v="0"/>
    <x v="15"/>
    <n v="1"/>
    <x v="2"/>
    <x v="1"/>
    <n v="3.97"/>
    <n v="3.71"/>
    <x v="40"/>
    <n v="21.7"/>
    <x v="67"/>
    <x v="2"/>
    <n v="150"/>
    <x v="2"/>
  </r>
  <r>
    <s v="P831"/>
    <n v="22"/>
    <x v="2"/>
    <x v="3"/>
    <s v="Asthma"/>
    <s v="EGFR Mutation"/>
    <s v="T008"/>
    <x v="0"/>
    <x v="3"/>
    <s v="9/7/2023"/>
    <s v="11/7/2024"/>
    <s v="150mg"/>
    <s v="Not Reported"/>
    <s v="TR0059"/>
    <s v="150mg"/>
    <x v="1"/>
    <x v="4"/>
    <x v="73"/>
    <n v="0"/>
    <x v="0"/>
    <x v="0"/>
    <n v="1.21"/>
    <n v="3.87"/>
    <x v="72"/>
    <n v="21.3"/>
    <x v="65"/>
    <x v="2"/>
    <n v="150"/>
    <x v="0"/>
  </r>
  <r>
    <s v="P832"/>
    <n v="60"/>
    <x v="1"/>
    <x v="2"/>
    <s v="Asthma"/>
    <s v="Not Reported"/>
    <s v="T009"/>
    <x v="1"/>
    <x v="0"/>
    <s v="8/20/2021"/>
    <s v="7/20/2022"/>
    <s v="150mg"/>
    <s v="Not Reported"/>
    <s v="TR0102"/>
    <s v="150mg"/>
    <x v="0"/>
    <x v="1"/>
    <x v="50"/>
    <n v="1"/>
    <x v="0"/>
    <x v="0"/>
    <n v="1.67"/>
    <n v="4.3499999999999996"/>
    <x v="34"/>
    <n v="9.4"/>
    <x v="118"/>
    <x v="2"/>
    <n v="150"/>
    <x v="1"/>
  </r>
  <r>
    <s v="P833"/>
    <n v="22"/>
    <x v="2"/>
    <x v="0"/>
    <s v="Not Reported"/>
    <s v="HER2 Mutation"/>
    <s v="T010"/>
    <x v="1"/>
    <x v="1"/>
    <s v="2/3/2020"/>
    <s v="9/3/2020"/>
    <s v="200mg"/>
    <s v="Headache, Nausea, Not Reported"/>
    <s v="TR0176"/>
    <s v="200mg"/>
    <x v="0"/>
    <x v="1"/>
    <x v="130"/>
    <n v="1"/>
    <x v="4"/>
    <x v="1"/>
    <n v="3.04"/>
    <n v="3.42"/>
    <x v="83"/>
    <n v="20.9"/>
    <x v="79"/>
    <x v="0"/>
    <n v="200"/>
    <x v="0"/>
  </r>
  <r>
    <s v="P834"/>
    <n v="67"/>
    <x v="0"/>
    <x v="4"/>
    <s v="Diabetes"/>
    <s v="Not Reported"/>
    <s v="T013"/>
    <x v="0"/>
    <x v="2"/>
    <s v="5/23/2021"/>
    <s v="12/23/2021"/>
    <s v="100mg"/>
    <s v="Nausea"/>
    <s v="TR0171"/>
    <s v="100mg"/>
    <x v="0"/>
    <x v="1"/>
    <x v="32"/>
    <n v="1"/>
    <x v="4"/>
    <x v="1"/>
    <n v="3.84"/>
    <n v="1.42"/>
    <x v="48"/>
    <n v="18.100000000000001"/>
    <x v="90"/>
    <x v="1"/>
    <n v="100"/>
    <x v="2"/>
  </r>
  <r>
    <s v="P835"/>
    <n v="25"/>
    <x v="0"/>
    <x v="4"/>
    <s v="Asthma"/>
    <s v="Not Reported"/>
    <s v="T002"/>
    <x v="1"/>
    <x v="3"/>
    <s v="6/7/2019"/>
    <s v="11/7/2020"/>
    <s v="100mg"/>
    <s v="Dizziness, Not Reported"/>
    <s v="TR0113"/>
    <s v="100mg"/>
    <x v="2"/>
    <x v="2"/>
    <x v="127"/>
    <n v="0"/>
    <x v="3"/>
    <x v="1"/>
    <n v="2.4500000000000002"/>
    <n v="4.5199999999999996"/>
    <x v="39"/>
    <n v="8"/>
    <x v="152"/>
    <x v="1"/>
    <n v="100"/>
    <x v="0"/>
  </r>
  <r>
    <s v="P836"/>
    <n v="54"/>
    <x v="0"/>
    <x v="3"/>
    <s v="Hypertension"/>
    <s v="Not Reported"/>
    <s v="T007"/>
    <x v="2"/>
    <x v="0"/>
    <s v="9/2/2023"/>
    <s v="8/2/2024"/>
    <s v="150mg"/>
    <s v="Nausea, Fatigue, Not Reported"/>
    <s v="TR0193"/>
    <s v="150mg"/>
    <x v="0"/>
    <x v="3"/>
    <x v="89"/>
    <n v="1"/>
    <x v="1"/>
    <x v="1"/>
    <n v="4.55"/>
    <n v="1.19"/>
    <x v="4"/>
    <n v="18.2"/>
    <x v="55"/>
    <x v="2"/>
    <n v="150"/>
    <x v="1"/>
  </r>
  <r>
    <s v="P837"/>
    <n v="45"/>
    <x v="1"/>
    <x v="2"/>
    <s v="Diabetes"/>
    <s v="Not Reported"/>
    <s v="T019"/>
    <x v="1"/>
    <x v="1"/>
    <s v="6/5/2021"/>
    <s v="12/5/2021"/>
    <s v="100mg"/>
    <s v="Nausea, Not Reported"/>
    <s v="TR0017"/>
    <s v="100mg"/>
    <x v="0"/>
    <x v="2"/>
    <x v="109"/>
    <n v="1"/>
    <x v="2"/>
    <x v="0"/>
    <n v="2.08"/>
    <n v="2"/>
    <x v="50"/>
    <n v="11.4"/>
    <x v="169"/>
    <x v="1"/>
    <n v="100"/>
    <x v="3"/>
  </r>
  <r>
    <s v="P838"/>
    <n v="46"/>
    <x v="2"/>
    <x v="0"/>
    <s v="Heart Disease"/>
    <s v="Not Reported"/>
    <s v="T006"/>
    <x v="0"/>
    <x v="3"/>
    <s v="6/22/2020"/>
    <s v="9/22/2021"/>
    <s v="150mg"/>
    <s v="Nausea"/>
    <s v="TR0093"/>
    <s v="150mg"/>
    <x v="1"/>
    <x v="3"/>
    <x v="92"/>
    <n v="0"/>
    <x v="3"/>
    <x v="1"/>
    <n v="2.57"/>
    <n v="1.56"/>
    <x v="82"/>
    <n v="15.8"/>
    <x v="99"/>
    <x v="2"/>
    <n v="150"/>
    <x v="3"/>
  </r>
  <r>
    <s v="P839"/>
    <n v="80"/>
    <x v="2"/>
    <x v="1"/>
    <s v="Hypertension"/>
    <s v="Not Reported"/>
    <s v="T013"/>
    <x v="3"/>
    <x v="1"/>
    <s v="9/13/2019"/>
    <s v="2/13/2021"/>
    <s v="200mg"/>
    <s v="Not Reported, Nausea"/>
    <s v="TR0200"/>
    <s v="200mg"/>
    <x v="2"/>
    <x v="1"/>
    <x v="11"/>
    <n v="0"/>
    <x v="2"/>
    <x v="1"/>
    <n v="2.48"/>
    <n v="2.4300000000000002"/>
    <x v="42"/>
    <n v="15.4"/>
    <x v="123"/>
    <x v="0"/>
    <n v="200"/>
    <x v="2"/>
  </r>
  <r>
    <s v="P840"/>
    <n v="34"/>
    <x v="2"/>
    <x v="4"/>
    <s v="Diabetes"/>
    <s v="Not Reported"/>
    <s v="T010"/>
    <x v="0"/>
    <x v="3"/>
    <s v="1/1/2020"/>
    <s v="1/1/2021"/>
    <s v="200mg"/>
    <s v="Headache, Fatigue"/>
    <s v="TR0086"/>
    <s v="200mg"/>
    <x v="1"/>
    <x v="3"/>
    <x v="94"/>
    <n v="0"/>
    <x v="0"/>
    <x v="1"/>
    <n v="4.5199999999999996"/>
    <n v="3.02"/>
    <x v="21"/>
    <n v="8.5"/>
    <x v="131"/>
    <x v="0"/>
    <n v="200"/>
    <x v="3"/>
  </r>
  <r>
    <s v="P841"/>
    <n v="19"/>
    <x v="0"/>
    <x v="3"/>
    <s v="Diabetes"/>
    <s v="Not Reported"/>
    <s v="T011"/>
    <x v="0"/>
    <x v="2"/>
    <s v="3/10/2022"/>
    <s v="10/10/2022"/>
    <s v="200mg"/>
    <s v="Not Reported, Fatigue, Dizziness"/>
    <s v="TR0016"/>
    <s v="200mg"/>
    <x v="2"/>
    <x v="1"/>
    <x v="87"/>
    <n v="0"/>
    <x v="0"/>
    <x v="0"/>
    <n v="2"/>
    <n v="1.29"/>
    <x v="9"/>
    <n v="16.7"/>
    <x v="69"/>
    <x v="0"/>
    <n v="200"/>
    <x v="0"/>
  </r>
  <r>
    <s v="P842"/>
    <n v="46"/>
    <x v="1"/>
    <x v="0"/>
    <s v="Hypertension"/>
    <s v="BRCA1 Mutation"/>
    <s v="T019"/>
    <x v="1"/>
    <x v="0"/>
    <s v="6/8/2019"/>
    <s v="12/8/2019"/>
    <s v="200mg"/>
    <s v="Not Reported, Fatigue, Nausea"/>
    <s v="TR0039"/>
    <s v="200mg"/>
    <x v="0"/>
    <x v="3"/>
    <x v="140"/>
    <n v="1"/>
    <x v="1"/>
    <x v="1"/>
    <n v="2.69"/>
    <n v="4.1399999999999997"/>
    <x v="81"/>
    <n v="20.8"/>
    <x v="129"/>
    <x v="0"/>
    <n v="200"/>
    <x v="3"/>
  </r>
  <r>
    <s v="P843"/>
    <n v="46"/>
    <x v="0"/>
    <x v="1"/>
    <s v="Hypertension"/>
    <s v="TP53 Mutation"/>
    <s v="T015"/>
    <x v="0"/>
    <x v="0"/>
    <s v="10/28/2021"/>
    <s v="6/28/2022"/>
    <s v="50mg"/>
    <s v="Dizziness"/>
    <s v="TR0189"/>
    <s v="50mg"/>
    <x v="2"/>
    <x v="0"/>
    <x v="39"/>
    <n v="0"/>
    <x v="0"/>
    <x v="1"/>
    <n v="2.68"/>
    <n v="2.83"/>
    <x v="40"/>
    <n v="19.5"/>
    <x v="142"/>
    <x v="3"/>
    <n v="50"/>
    <x v="3"/>
  </r>
  <r>
    <s v="P844"/>
    <n v="23"/>
    <x v="0"/>
    <x v="4"/>
    <s v="Asthma"/>
    <s v="Not Reported"/>
    <s v="T006"/>
    <x v="1"/>
    <x v="2"/>
    <s v="6/12/2022"/>
    <s v="8/12/2023"/>
    <s v="100mg"/>
    <s v="Not Reported"/>
    <s v="TR0119"/>
    <s v="100mg"/>
    <x v="1"/>
    <x v="3"/>
    <x v="132"/>
    <n v="0"/>
    <x v="3"/>
    <x v="1"/>
    <n v="2.2799999999999998"/>
    <n v="3.38"/>
    <x v="6"/>
    <n v="13.8"/>
    <x v="48"/>
    <x v="1"/>
    <n v="100"/>
    <x v="0"/>
  </r>
  <r>
    <s v="P845"/>
    <n v="32"/>
    <x v="0"/>
    <x v="0"/>
    <s v="Diabetes"/>
    <s v="EGFR Mutation"/>
    <s v="T001"/>
    <x v="2"/>
    <x v="2"/>
    <s v="12/6/2022"/>
    <s v="7/6/2023"/>
    <s v="100mg"/>
    <s v="Not Reported"/>
    <s v="TR0135"/>
    <s v="100mg"/>
    <x v="0"/>
    <x v="2"/>
    <x v="87"/>
    <n v="1"/>
    <x v="1"/>
    <x v="0"/>
    <n v="2.38"/>
    <n v="1.22"/>
    <x v="81"/>
    <n v="13.5"/>
    <x v="116"/>
    <x v="1"/>
    <n v="100"/>
    <x v="3"/>
  </r>
  <r>
    <s v="P846"/>
    <n v="64"/>
    <x v="2"/>
    <x v="2"/>
    <s v="Asthma"/>
    <s v="BRCA1 Mutation"/>
    <s v="T017"/>
    <x v="3"/>
    <x v="2"/>
    <s v="6/11/2023"/>
    <s v="8/11/2024"/>
    <s v="50mg"/>
    <s v="Dizziness, Not Reported, Headache"/>
    <s v="TR0192"/>
    <s v="50mg"/>
    <x v="1"/>
    <x v="0"/>
    <x v="41"/>
    <n v="0"/>
    <x v="3"/>
    <x v="1"/>
    <n v="1"/>
    <n v="4.66"/>
    <x v="59"/>
    <n v="19.399999999999999"/>
    <x v="67"/>
    <x v="3"/>
    <n v="50"/>
    <x v="1"/>
  </r>
  <r>
    <s v="P847"/>
    <n v="84"/>
    <x v="0"/>
    <x v="2"/>
    <s v="Not Reported"/>
    <s v="Not Reported"/>
    <s v="T016"/>
    <x v="2"/>
    <x v="1"/>
    <s v="7/20/2023"/>
    <s v="3/20/2024"/>
    <s v="200mg"/>
    <s v="Dizziness"/>
    <s v="TR0071"/>
    <s v="200mg"/>
    <x v="1"/>
    <x v="4"/>
    <x v="79"/>
    <n v="0"/>
    <x v="3"/>
    <x v="0"/>
    <n v="1.48"/>
    <n v="1.27"/>
    <x v="39"/>
    <n v="22.7"/>
    <x v="24"/>
    <x v="0"/>
    <n v="200"/>
    <x v="2"/>
  </r>
  <r>
    <s v="P848"/>
    <n v="39"/>
    <x v="2"/>
    <x v="3"/>
    <s v="Diabetes"/>
    <s v="BRCA2 Mutation"/>
    <s v="T018"/>
    <x v="2"/>
    <x v="3"/>
    <s v="3/21/2023"/>
    <s v="12/21/2023"/>
    <s v="100mg"/>
    <s v="Fatigue, Nausea, Dizziness"/>
    <s v="TR0023"/>
    <s v="100mg"/>
    <x v="1"/>
    <x v="4"/>
    <x v="102"/>
    <n v="0"/>
    <x v="4"/>
    <x v="0"/>
    <n v="1.48"/>
    <n v="3.05"/>
    <x v="42"/>
    <n v="12.7"/>
    <x v="38"/>
    <x v="1"/>
    <n v="100"/>
    <x v="3"/>
  </r>
  <r>
    <s v="P849"/>
    <n v="34"/>
    <x v="2"/>
    <x v="1"/>
    <s v="Hypertension"/>
    <s v="TP53 Mutation"/>
    <s v="T019"/>
    <x v="2"/>
    <x v="1"/>
    <s v="12/21/2020"/>
    <s v="5/21/2022"/>
    <s v="50mg"/>
    <s v="Nausea"/>
    <s v="TR0163"/>
    <s v="50mg"/>
    <x v="0"/>
    <x v="3"/>
    <x v="120"/>
    <n v="1"/>
    <x v="0"/>
    <x v="0"/>
    <n v="3.87"/>
    <n v="1.44"/>
    <x v="11"/>
    <n v="23.9"/>
    <x v="101"/>
    <x v="3"/>
    <n v="50"/>
    <x v="3"/>
  </r>
  <r>
    <s v="P850"/>
    <n v="34"/>
    <x v="0"/>
    <x v="3"/>
    <s v="Asthma"/>
    <s v="BRCA2 Mutation"/>
    <s v="T004"/>
    <x v="2"/>
    <x v="3"/>
    <s v="1/25/2020"/>
    <s v="7/25/2021"/>
    <s v="100mg"/>
    <s v="Nausea, Headache, Fatigue"/>
    <s v="TR0013"/>
    <s v="100mg"/>
    <x v="1"/>
    <x v="4"/>
    <x v="19"/>
    <n v="0"/>
    <x v="0"/>
    <x v="0"/>
    <n v="1.22"/>
    <n v="1.76"/>
    <x v="53"/>
    <n v="13.1"/>
    <x v="43"/>
    <x v="1"/>
    <n v="100"/>
    <x v="3"/>
  </r>
  <r>
    <s v="P851"/>
    <n v="25"/>
    <x v="1"/>
    <x v="1"/>
    <s v="Diabetes"/>
    <s v="Not Reported"/>
    <s v="T015"/>
    <x v="3"/>
    <x v="0"/>
    <s v="7/19/2021"/>
    <s v="2/19/2022"/>
    <s v="100mg"/>
    <s v="Nausea"/>
    <s v="TR0176"/>
    <s v="100mg"/>
    <x v="0"/>
    <x v="1"/>
    <x v="112"/>
    <n v="1"/>
    <x v="1"/>
    <x v="0"/>
    <n v="2.36"/>
    <n v="2.78"/>
    <x v="23"/>
    <n v="15.2"/>
    <x v="137"/>
    <x v="1"/>
    <n v="100"/>
    <x v="0"/>
  </r>
  <r>
    <s v="P852"/>
    <n v="78"/>
    <x v="1"/>
    <x v="3"/>
    <s v="Heart Disease"/>
    <s v="BRCA2 Mutation"/>
    <s v="T019"/>
    <x v="2"/>
    <x v="1"/>
    <s v="5/8/2019"/>
    <s v="10/8/2020"/>
    <s v="150mg"/>
    <s v="Dizziness"/>
    <s v="TR0100"/>
    <s v="150mg"/>
    <x v="1"/>
    <x v="1"/>
    <x v="72"/>
    <n v="0"/>
    <x v="2"/>
    <x v="0"/>
    <n v="4.46"/>
    <n v="1.04"/>
    <x v="73"/>
    <n v="14.3"/>
    <x v="84"/>
    <x v="2"/>
    <n v="150"/>
    <x v="2"/>
  </r>
  <r>
    <s v="P853"/>
    <n v="43"/>
    <x v="0"/>
    <x v="3"/>
    <s v="Asthma"/>
    <s v="BRCA1 Mutation"/>
    <s v="T012"/>
    <x v="3"/>
    <x v="3"/>
    <s v="7/15/2022"/>
    <s v="1/15/2024"/>
    <s v="50mg"/>
    <s v="Fatigue, Headache"/>
    <s v="TR0040"/>
    <s v="50mg"/>
    <x v="0"/>
    <x v="2"/>
    <x v="82"/>
    <n v="1"/>
    <x v="1"/>
    <x v="1"/>
    <n v="2.93"/>
    <n v="4.95"/>
    <x v="65"/>
    <n v="10.5"/>
    <x v="89"/>
    <x v="3"/>
    <n v="50"/>
    <x v="3"/>
  </r>
  <r>
    <s v="P854"/>
    <n v="64"/>
    <x v="0"/>
    <x v="0"/>
    <s v="Heart Disease"/>
    <s v="TP53 Mutation"/>
    <s v="T010"/>
    <x v="1"/>
    <x v="0"/>
    <s v="7/7/2022"/>
    <s v="11/7/2023"/>
    <s v="150mg"/>
    <s v="Fatigue, Dizziness, Not Reported"/>
    <s v="TR0107"/>
    <s v="150mg"/>
    <x v="1"/>
    <x v="3"/>
    <x v="137"/>
    <n v="0"/>
    <x v="2"/>
    <x v="1"/>
    <n v="4.97"/>
    <n v="4.43"/>
    <x v="75"/>
    <n v="18.7"/>
    <x v="11"/>
    <x v="2"/>
    <n v="150"/>
    <x v="1"/>
  </r>
  <r>
    <s v="P855"/>
    <n v="39"/>
    <x v="1"/>
    <x v="4"/>
    <s v="Diabetes"/>
    <s v="Not Reported"/>
    <s v="T013"/>
    <x v="2"/>
    <x v="0"/>
    <s v="2/10/2019"/>
    <s v="10/10/2019"/>
    <s v="150mg"/>
    <s v="Headache"/>
    <s v="TR0171"/>
    <s v="150mg"/>
    <x v="0"/>
    <x v="4"/>
    <x v="148"/>
    <n v="1"/>
    <x v="4"/>
    <x v="1"/>
    <n v="1.03"/>
    <n v="2.61"/>
    <x v="8"/>
    <n v="20.7"/>
    <x v="52"/>
    <x v="2"/>
    <n v="150"/>
    <x v="3"/>
  </r>
  <r>
    <s v="P856"/>
    <n v="37"/>
    <x v="0"/>
    <x v="1"/>
    <s v="Heart Disease"/>
    <s v="Not Reported"/>
    <s v="T002"/>
    <x v="3"/>
    <x v="1"/>
    <s v="7/5/2023"/>
    <s v="11/5/2024"/>
    <s v="100mg"/>
    <s v="Not Reported, Nausea, Dizziness"/>
    <s v="TR0154"/>
    <s v="100mg"/>
    <x v="2"/>
    <x v="0"/>
    <x v="56"/>
    <n v="0"/>
    <x v="0"/>
    <x v="0"/>
    <n v="4.3099999999999996"/>
    <n v="1"/>
    <x v="0"/>
    <n v="10.3"/>
    <x v="101"/>
    <x v="1"/>
    <n v="100"/>
    <x v="3"/>
  </r>
  <r>
    <s v="P857"/>
    <n v="61"/>
    <x v="0"/>
    <x v="4"/>
    <s v="Not Reported"/>
    <s v="Not Reported"/>
    <s v="T006"/>
    <x v="0"/>
    <x v="1"/>
    <s v="9/8/2021"/>
    <s v="6/8/2022"/>
    <s v="100mg"/>
    <s v="Fatigue, Nausea"/>
    <s v="TR0177"/>
    <s v="100mg"/>
    <x v="0"/>
    <x v="3"/>
    <x v="14"/>
    <n v="1"/>
    <x v="4"/>
    <x v="1"/>
    <n v="1.27"/>
    <n v="1.75"/>
    <x v="10"/>
    <n v="11.2"/>
    <x v="69"/>
    <x v="1"/>
    <n v="100"/>
    <x v="1"/>
  </r>
  <r>
    <s v="P858"/>
    <n v="69"/>
    <x v="0"/>
    <x v="0"/>
    <s v="Not Reported"/>
    <s v="HER2 Mutation"/>
    <s v="T013"/>
    <x v="0"/>
    <x v="0"/>
    <s v="8/13/2021"/>
    <s v="11/13/2022"/>
    <s v="150mg"/>
    <s v="Not Reported, Fatigue, Headache"/>
    <s v="TR0062"/>
    <s v="150mg"/>
    <x v="1"/>
    <x v="4"/>
    <x v="50"/>
    <n v="0"/>
    <x v="1"/>
    <x v="1"/>
    <n v="2.5099999999999998"/>
    <n v="4.5"/>
    <x v="49"/>
    <n v="14.9"/>
    <x v="108"/>
    <x v="2"/>
    <n v="150"/>
    <x v="2"/>
  </r>
  <r>
    <s v="P859"/>
    <n v="68"/>
    <x v="1"/>
    <x v="1"/>
    <s v="Heart Disease"/>
    <s v="BRCA1 Mutation"/>
    <s v="T014"/>
    <x v="2"/>
    <x v="3"/>
    <s v="2/6/2020"/>
    <s v="1/6/2021"/>
    <s v="150mg"/>
    <s v="Nausea, Dizziness"/>
    <s v="TR0147"/>
    <s v="150mg"/>
    <x v="1"/>
    <x v="2"/>
    <x v="16"/>
    <n v="0"/>
    <x v="2"/>
    <x v="0"/>
    <n v="1.43"/>
    <n v="4.8099999999999996"/>
    <x v="56"/>
    <n v="11.4"/>
    <x v="135"/>
    <x v="2"/>
    <n v="150"/>
    <x v="2"/>
  </r>
  <r>
    <s v="P860"/>
    <n v="61"/>
    <x v="0"/>
    <x v="3"/>
    <s v="Heart Disease"/>
    <s v="TP53 Mutation"/>
    <s v="T019"/>
    <x v="3"/>
    <x v="0"/>
    <s v="8/6/2021"/>
    <s v="3/6/2022"/>
    <s v="100mg"/>
    <s v="Headache"/>
    <s v="TR0071"/>
    <s v="100mg"/>
    <x v="0"/>
    <x v="1"/>
    <x v="10"/>
    <n v="1"/>
    <x v="2"/>
    <x v="0"/>
    <n v="2.2799999999999998"/>
    <n v="1.66"/>
    <x v="73"/>
    <n v="8.1999999999999993"/>
    <x v="13"/>
    <x v="1"/>
    <n v="100"/>
    <x v="1"/>
  </r>
  <r>
    <s v="P861"/>
    <n v="52"/>
    <x v="0"/>
    <x v="3"/>
    <s v="Hypertension"/>
    <s v="Not Reported"/>
    <s v="T010"/>
    <x v="1"/>
    <x v="3"/>
    <s v="10/7/2023"/>
    <s v="7/7/2024"/>
    <s v="100mg"/>
    <s v="Nausea, Not Reported"/>
    <s v="TR0199"/>
    <s v="100mg"/>
    <x v="1"/>
    <x v="4"/>
    <x v="150"/>
    <n v="0"/>
    <x v="3"/>
    <x v="1"/>
    <n v="1.5"/>
    <n v="1.28"/>
    <x v="52"/>
    <n v="9.4"/>
    <x v="42"/>
    <x v="1"/>
    <n v="100"/>
    <x v="1"/>
  </r>
  <r>
    <s v="P862"/>
    <n v="70"/>
    <x v="0"/>
    <x v="3"/>
    <s v="Diabetes"/>
    <s v="BRCA1 Mutation"/>
    <s v="T001"/>
    <x v="1"/>
    <x v="0"/>
    <s v="6/6/2023"/>
    <s v="2/6/2024"/>
    <s v="50mg"/>
    <s v="Not Reported"/>
    <s v="TR0187"/>
    <s v="50mg"/>
    <x v="2"/>
    <x v="0"/>
    <x v="74"/>
    <n v="0"/>
    <x v="2"/>
    <x v="1"/>
    <n v="3.18"/>
    <n v="1.31"/>
    <x v="78"/>
    <n v="10.4"/>
    <x v="137"/>
    <x v="3"/>
    <n v="50"/>
    <x v="2"/>
  </r>
  <r>
    <s v="P863"/>
    <n v="58"/>
    <x v="0"/>
    <x v="4"/>
    <s v="Not Reported"/>
    <s v="Not Reported"/>
    <s v="T009"/>
    <x v="2"/>
    <x v="0"/>
    <s v="8/9/2023"/>
    <s v="6/9/2024"/>
    <s v="200mg"/>
    <s v="Nausea"/>
    <s v="TR0128"/>
    <s v="200mg"/>
    <x v="0"/>
    <x v="1"/>
    <x v="116"/>
    <n v="1"/>
    <x v="2"/>
    <x v="1"/>
    <n v="1.68"/>
    <n v="4.42"/>
    <x v="82"/>
    <n v="15.2"/>
    <x v="6"/>
    <x v="0"/>
    <n v="200"/>
    <x v="1"/>
  </r>
  <r>
    <s v="P864"/>
    <n v="61"/>
    <x v="2"/>
    <x v="4"/>
    <s v="Diabetes"/>
    <s v="Not Reported"/>
    <s v="T015"/>
    <x v="3"/>
    <x v="2"/>
    <s v="7/13/2023"/>
    <s v="11/13/2024"/>
    <s v="150mg"/>
    <s v="Fatigue, Dizziness"/>
    <s v="TR0120"/>
    <s v="150mg"/>
    <x v="0"/>
    <x v="3"/>
    <x v="48"/>
    <n v="1"/>
    <x v="3"/>
    <x v="0"/>
    <n v="4.74"/>
    <n v="4.6399999999999997"/>
    <x v="1"/>
    <n v="22"/>
    <x v="153"/>
    <x v="2"/>
    <n v="150"/>
    <x v="1"/>
  </r>
  <r>
    <s v="P865"/>
    <n v="63"/>
    <x v="0"/>
    <x v="3"/>
    <s v="Heart Disease"/>
    <s v="TP53 Mutation"/>
    <s v="T011"/>
    <x v="1"/>
    <x v="1"/>
    <s v="3/16/2019"/>
    <s v="7/16/2020"/>
    <s v="100mg"/>
    <s v="Fatigue, Nausea, Dizziness"/>
    <s v="TR0048"/>
    <s v="100mg"/>
    <x v="1"/>
    <x v="0"/>
    <x v="134"/>
    <n v="0"/>
    <x v="3"/>
    <x v="1"/>
    <n v="2.14"/>
    <n v="2.16"/>
    <x v="89"/>
    <n v="13.1"/>
    <x v="117"/>
    <x v="1"/>
    <n v="100"/>
    <x v="1"/>
  </r>
  <r>
    <s v="P866"/>
    <n v="21"/>
    <x v="2"/>
    <x v="0"/>
    <s v="Diabetes"/>
    <s v="Not Reported"/>
    <s v="T004"/>
    <x v="2"/>
    <x v="0"/>
    <s v="11/23/2023"/>
    <s v="6/23/2024"/>
    <s v="200mg"/>
    <s v="Nausea"/>
    <s v="TR0051"/>
    <s v="200mg"/>
    <x v="0"/>
    <x v="1"/>
    <x v="80"/>
    <n v="1"/>
    <x v="2"/>
    <x v="1"/>
    <n v="1.64"/>
    <n v="3.76"/>
    <x v="28"/>
    <n v="11.6"/>
    <x v="148"/>
    <x v="0"/>
    <n v="200"/>
    <x v="0"/>
  </r>
  <r>
    <s v="P867"/>
    <n v="62"/>
    <x v="2"/>
    <x v="4"/>
    <s v="Heart Disease"/>
    <s v="Not Reported"/>
    <s v="T006"/>
    <x v="1"/>
    <x v="2"/>
    <s v="12/21/2023"/>
    <s v="1/21/2025"/>
    <s v="100mg"/>
    <s v="Fatigue, Not Reported"/>
    <s v="TR0158"/>
    <s v="100mg"/>
    <x v="1"/>
    <x v="1"/>
    <x v="1"/>
    <n v="0"/>
    <x v="0"/>
    <x v="0"/>
    <n v="4.1900000000000004"/>
    <n v="3.96"/>
    <x v="45"/>
    <n v="8.8000000000000007"/>
    <x v="117"/>
    <x v="1"/>
    <n v="100"/>
    <x v="1"/>
  </r>
  <r>
    <s v="P868"/>
    <n v="37"/>
    <x v="2"/>
    <x v="3"/>
    <s v="Diabetes"/>
    <s v="Not Reported"/>
    <s v="T007"/>
    <x v="2"/>
    <x v="1"/>
    <s v="6/28/2021"/>
    <s v="7/28/2022"/>
    <s v="100mg"/>
    <s v="Fatigue, Dizziness"/>
    <s v="TR0059"/>
    <s v="100mg"/>
    <x v="1"/>
    <x v="0"/>
    <x v="112"/>
    <n v="0"/>
    <x v="2"/>
    <x v="1"/>
    <n v="1.35"/>
    <n v="2.5099999999999998"/>
    <x v="68"/>
    <n v="6.7"/>
    <x v="165"/>
    <x v="1"/>
    <n v="100"/>
    <x v="3"/>
  </r>
  <r>
    <s v="P869"/>
    <n v="22"/>
    <x v="1"/>
    <x v="3"/>
    <s v="Hypertension"/>
    <s v="Not Reported"/>
    <s v="T018"/>
    <x v="3"/>
    <x v="1"/>
    <s v="3/13/2023"/>
    <s v="6/13/2024"/>
    <s v="200mg"/>
    <s v="Dizziness"/>
    <s v="TR0041"/>
    <s v="200mg"/>
    <x v="0"/>
    <x v="0"/>
    <x v="118"/>
    <n v="1"/>
    <x v="3"/>
    <x v="0"/>
    <n v="4.82"/>
    <n v="4.8099999999999996"/>
    <x v="74"/>
    <n v="6.8"/>
    <x v="120"/>
    <x v="0"/>
    <n v="200"/>
    <x v="0"/>
  </r>
  <r>
    <s v="P870"/>
    <n v="80"/>
    <x v="0"/>
    <x v="4"/>
    <s v="Asthma"/>
    <s v="EGFR Mutation"/>
    <s v="T008"/>
    <x v="2"/>
    <x v="1"/>
    <s v="11/26/2022"/>
    <s v="3/26/2024"/>
    <s v="200mg"/>
    <s v="Not Reported, Dizziness, Fatigue"/>
    <s v="TR0123"/>
    <s v="200mg"/>
    <x v="0"/>
    <x v="4"/>
    <x v="67"/>
    <n v="1"/>
    <x v="4"/>
    <x v="0"/>
    <n v="2.57"/>
    <n v="4.79"/>
    <x v="43"/>
    <n v="19.7"/>
    <x v="20"/>
    <x v="0"/>
    <n v="200"/>
    <x v="2"/>
  </r>
  <r>
    <s v="P871"/>
    <n v="36"/>
    <x v="0"/>
    <x v="4"/>
    <s v="Diabetes"/>
    <s v="BRCA2 Mutation"/>
    <s v="T017"/>
    <x v="1"/>
    <x v="1"/>
    <s v="5/9/2023"/>
    <s v="1/9/2024"/>
    <s v="150mg"/>
    <s v="Dizziness, Fatigue, Not Reported"/>
    <s v="TR0171"/>
    <s v="150mg"/>
    <x v="2"/>
    <x v="1"/>
    <x v="61"/>
    <n v="0"/>
    <x v="4"/>
    <x v="1"/>
    <n v="4.93"/>
    <n v="2.5299999999999998"/>
    <x v="73"/>
    <n v="12.2"/>
    <x v="55"/>
    <x v="2"/>
    <n v="150"/>
    <x v="3"/>
  </r>
  <r>
    <s v="P872"/>
    <n v="25"/>
    <x v="1"/>
    <x v="4"/>
    <s v="Heart Disease"/>
    <s v="Not Reported"/>
    <s v="T011"/>
    <x v="2"/>
    <x v="3"/>
    <s v="7/8/2019"/>
    <s v="11/8/2020"/>
    <s v="200mg"/>
    <s v="Nausea"/>
    <s v="TR0166"/>
    <s v="200mg"/>
    <x v="0"/>
    <x v="2"/>
    <x v="4"/>
    <n v="1"/>
    <x v="4"/>
    <x v="1"/>
    <n v="1.77"/>
    <n v="1.58"/>
    <x v="2"/>
    <n v="22.5"/>
    <x v="82"/>
    <x v="0"/>
    <n v="200"/>
    <x v="0"/>
  </r>
  <r>
    <s v="P873"/>
    <n v="80"/>
    <x v="1"/>
    <x v="2"/>
    <s v="Diabetes"/>
    <s v="TP53 Mutation"/>
    <s v="T008"/>
    <x v="0"/>
    <x v="1"/>
    <s v="6/5/2023"/>
    <s v="12/5/2023"/>
    <s v="50mg"/>
    <s v="Headache"/>
    <s v="TR0045"/>
    <s v="50mg"/>
    <x v="1"/>
    <x v="3"/>
    <x v="63"/>
    <n v="0"/>
    <x v="4"/>
    <x v="1"/>
    <n v="3.5"/>
    <n v="4.2300000000000004"/>
    <x v="32"/>
    <n v="12"/>
    <x v="156"/>
    <x v="3"/>
    <n v="50"/>
    <x v="2"/>
  </r>
  <r>
    <s v="P874"/>
    <n v="47"/>
    <x v="2"/>
    <x v="3"/>
    <s v="Not Reported"/>
    <s v="TP53 Mutation"/>
    <s v="T009"/>
    <x v="3"/>
    <x v="1"/>
    <s v="6/9/2021"/>
    <s v="9/9/2022"/>
    <s v="50mg"/>
    <s v="Nausea"/>
    <s v="TR0095"/>
    <s v="50mg"/>
    <x v="0"/>
    <x v="0"/>
    <x v="139"/>
    <n v="1"/>
    <x v="3"/>
    <x v="0"/>
    <n v="3.54"/>
    <n v="2.42"/>
    <x v="43"/>
    <n v="16.7"/>
    <x v="127"/>
    <x v="3"/>
    <n v="50"/>
    <x v="3"/>
  </r>
  <r>
    <s v="P875"/>
    <n v="61"/>
    <x v="1"/>
    <x v="3"/>
    <s v="Not Reported"/>
    <s v="BRCA1 Mutation"/>
    <s v="T019"/>
    <x v="3"/>
    <x v="2"/>
    <s v="6/15/2023"/>
    <s v="8/15/2024"/>
    <s v="200mg"/>
    <s v="Fatigue, Nausea"/>
    <s v="TR0123"/>
    <s v="200mg"/>
    <x v="0"/>
    <x v="1"/>
    <x v="125"/>
    <n v="1"/>
    <x v="4"/>
    <x v="0"/>
    <n v="2.5299999999999998"/>
    <n v="1.53"/>
    <x v="81"/>
    <n v="10.3"/>
    <x v="135"/>
    <x v="0"/>
    <n v="200"/>
    <x v="1"/>
  </r>
  <r>
    <s v="P876"/>
    <n v="73"/>
    <x v="0"/>
    <x v="2"/>
    <s v="Hypertension"/>
    <s v="Not Reported"/>
    <s v="T016"/>
    <x v="1"/>
    <x v="2"/>
    <s v="3/10/2019"/>
    <s v="10/10/2019"/>
    <s v="100mg"/>
    <s v="Fatigue, Headache, Not Reported"/>
    <s v="TR0104"/>
    <s v="100mg"/>
    <x v="1"/>
    <x v="2"/>
    <x v="98"/>
    <n v="0"/>
    <x v="1"/>
    <x v="1"/>
    <n v="3.57"/>
    <n v="3.4"/>
    <x v="70"/>
    <n v="12.5"/>
    <x v="42"/>
    <x v="1"/>
    <n v="100"/>
    <x v="2"/>
  </r>
  <r>
    <s v="P877"/>
    <n v="22"/>
    <x v="2"/>
    <x v="1"/>
    <s v="Asthma"/>
    <s v="BRCA2 Mutation"/>
    <s v="T014"/>
    <x v="3"/>
    <x v="0"/>
    <s v="2/26/2020"/>
    <s v="5/26/2021"/>
    <s v="100mg"/>
    <s v="Headache"/>
    <s v="TR0167"/>
    <s v="100mg"/>
    <x v="1"/>
    <x v="3"/>
    <x v="121"/>
    <n v="0"/>
    <x v="4"/>
    <x v="1"/>
    <n v="1.82"/>
    <n v="2.88"/>
    <x v="33"/>
    <n v="9.1999999999999993"/>
    <x v="50"/>
    <x v="1"/>
    <n v="100"/>
    <x v="0"/>
  </r>
  <r>
    <s v="P878"/>
    <n v="71"/>
    <x v="1"/>
    <x v="4"/>
    <s v="Diabetes"/>
    <s v="Not Reported"/>
    <s v="T019"/>
    <x v="0"/>
    <x v="2"/>
    <s v="10/3/2019"/>
    <s v="2/3/2021"/>
    <s v="200mg"/>
    <s v="Not Reported, Fatigue"/>
    <s v="TR0008"/>
    <s v="200mg"/>
    <x v="2"/>
    <x v="2"/>
    <x v="111"/>
    <n v="0"/>
    <x v="0"/>
    <x v="0"/>
    <n v="4.53"/>
    <n v="2.37"/>
    <x v="86"/>
    <n v="6.5"/>
    <x v="17"/>
    <x v="0"/>
    <n v="200"/>
    <x v="2"/>
  </r>
  <r>
    <s v="P879"/>
    <n v="33"/>
    <x v="0"/>
    <x v="2"/>
    <s v="Diabetes"/>
    <s v="BRCA1 Mutation"/>
    <s v="T012"/>
    <x v="1"/>
    <x v="3"/>
    <s v="7/9/2022"/>
    <s v="5/9/2023"/>
    <s v="200mg"/>
    <s v="Headache, Nausea"/>
    <s v="TR0183"/>
    <s v="200mg"/>
    <x v="0"/>
    <x v="3"/>
    <x v="64"/>
    <n v="1"/>
    <x v="1"/>
    <x v="1"/>
    <n v="2.2599999999999998"/>
    <n v="1.22"/>
    <x v="25"/>
    <n v="10.3"/>
    <x v="149"/>
    <x v="0"/>
    <n v="200"/>
    <x v="3"/>
  </r>
  <r>
    <s v="P880"/>
    <n v="68"/>
    <x v="1"/>
    <x v="0"/>
    <s v="Heart Disease"/>
    <s v="Not Reported"/>
    <s v="T014"/>
    <x v="3"/>
    <x v="0"/>
    <s v="10/15/2021"/>
    <s v="1/15/2023"/>
    <s v="200mg"/>
    <s v="Nausea, Headache"/>
    <s v="TR0052"/>
    <s v="200mg"/>
    <x v="1"/>
    <x v="4"/>
    <x v="33"/>
    <n v="0"/>
    <x v="3"/>
    <x v="1"/>
    <n v="1.32"/>
    <n v="1.59"/>
    <x v="54"/>
    <n v="7.6"/>
    <x v="143"/>
    <x v="0"/>
    <n v="200"/>
    <x v="2"/>
  </r>
  <r>
    <s v="P881"/>
    <n v="60"/>
    <x v="0"/>
    <x v="2"/>
    <s v="Asthma"/>
    <s v="TP53 Mutation"/>
    <s v="T008"/>
    <x v="3"/>
    <x v="2"/>
    <s v="10/24/2019"/>
    <s v="10/24/2020"/>
    <s v="150mg"/>
    <s v="Headache, Fatigue, Dizziness"/>
    <s v="TR0113"/>
    <s v="150mg"/>
    <x v="0"/>
    <x v="3"/>
    <x v="50"/>
    <n v="1"/>
    <x v="4"/>
    <x v="0"/>
    <n v="1.02"/>
    <n v="2.94"/>
    <x v="38"/>
    <n v="11.5"/>
    <x v="48"/>
    <x v="2"/>
    <n v="150"/>
    <x v="1"/>
  </r>
  <r>
    <s v="P882"/>
    <n v="66"/>
    <x v="0"/>
    <x v="0"/>
    <s v="Diabetes"/>
    <s v="TP53 Mutation"/>
    <s v="T019"/>
    <x v="3"/>
    <x v="1"/>
    <s v="6/12/2020"/>
    <s v="1/12/2021"/>
    <s v="100mg"/>
    <s v="Fatigue, Headache, Dizziness"/>
    <s v="TR0173"/>
    <s v="100mg"/>
    <x v="0"/>
    <x v="0"/>
    <x v="109"/>
    <n v="1"/>
    <x v="0"/>
    <x v="0"/>
    <n v="1.65"/>
    <n v="4.8600000000000003"/>
    <x v="22"/>
    <n v="19.3"/>
    <x v="117"/>
    <x v="1"/>
    <n v="100"/>
    <x v="2"/>
  </r>
  <r>
    <s v="P883"/>
    <n v="58"/>
    <x v="2"/>
    <x v="0"/>
    <s v="Heart Disease"/>
    <s v="Not Reported"/>
    <s v="T018"/>
    <x v="0"/>
    <x v="0"/>
    <s v="5/14/2021"/>
    <s v="9/14/2022"/>
    <s v="200mg"/>
    <s v="Not Reported"/>
    <s v="TR0085"/>
    <s v="200mg"/>
    <x v="1"/>
    <x v="4"/>
    <x v="8"/>
    <n v="0"/>
    <x v="4"/>
    <x v="1"/>
    <n v="4.54"/>
    <n v="3.22"/>
    <x v="36"/>
    <n v="9.5"/>
    <x v="35"/>
    <x v="0"/>
    <n v="200"/>
    <x v="1"/>
  </r>
  <r>
    <s v="P884"/>
    <n v="27"/>
    <x v="1"/>
    <x v="1"/>
    <s v="Hypertension"/>
    <s v="EGFR Mutation"/>
    <s v="T019"/>
    <x v="2"/>
    <x v="2"/>
    <s v="5/19/2021"/>
    <s v="6/19/2022"/>
    <s v="150mg"/>
    <s v="Dizziness"/>
    <s v="TR0070"/>
    <s v="150mg"/>
    <x v="1"/>
    <x v="4"/>
    <x v="125"/>
    <n v="0"/>
    <x v="2"/>
    <x v="0"/>
    <n v="4.67"/>
    <n v="2.31"/>
    <x v="18"/>
    <n v="19.7"/>
    <x v="147"/>
    <x v="2"/>
    <n v="150"/>
    <x v="0"/>
  </r>
  <r>
    <s v="P885"/>
    <n v="36"/>
    <x v="0"/>
    <x v="2"/>
    <s v="Heart Disease"/>
    <s v="HER2 Mutation"/>
    <s v="T005"/>
    <x v="3"/>
    <x v="2"/>
    <s v="11/27/2023"/>
    <s v="1/27/2025"/>
    <s v="150mg"/>
    <s v="Fatigue"/>
    <s v="TR0041"/>
    <s v="150mg"/>
    <x v="0"/>
    <x v="3"/>
    <x v="87"/>
    <n v="1"/>
    <x v="1"/>
    <x v="0"/>
    <n v="4.8099999999999996"/>
    <n v="3.95"/>
    <x v="80"/>
    <n v="21.9"/>
    <x v="2"/>
    <x v="2"/>
    <n v="150"/>
    <x v="3"/>
  </r>
  <r>
    <s v="P886"/>
    <n v="25"/>
    <x v="2"/>
    <x v="4"/>
    <s v="Hypertension"/>
    <s v="Not Reported"/>
    <s v="T002"/>
    <x v="3"/>
    <x v="3"/>
    <s v="9/12/2021"/>
    <s v="6/12/2022"/>
    <s v="150mg"/>
    <s v="Headache, Not Reported, Fatigue"/>
    <s v="TR0121"/>
    <s v="150mg"/>
    <x v="2"/>
    <x v="1"/>
    <x v="132"/>
    <n v="0"/>
    <x v="3"/>
    <x v="0"/>
    <n v="2.0299999999999998"/>
    <n v="2.86"/>
    <x v="66"/>
    <n v="19.399999999999999"/>
    <x v="130"/>
    <x v="2"/>
    <n v="150"/>
    <x v="0"/>
  </r>
  <r>
    <s v="P887"/>
    <n v="19"/>
    <x v="0"/>
    <x v="0"/>
    <s v="Not Reported"/>
    <s v="Not Reported"/>
    <s v="T010"/>
    <x v="3"/>
    <x v="1"/>
    <s v="12/20/2020"/>
    <s v="9/20/2021"/>
    <s v="50mg"/>
    <s v="Fatigue"/>
    <s v="TR0189"/>
    <s v="50mg"/>
    <x v="1"/>
    <x v="3"/>
    <x v="2"/>
    <n v="0"/>
    <x v="3"/>
    <x v="0"/>
    <n v="2.7"/>
    <n v="2.37"/>
    <x v="4"/>
    <n v="14"/>
    <x v="77"/>
    <x v="3"/>
    <n v="50"/>
    <x v="0"/>
  </r>
  <r>
    <s v="P888"/>
    <n v="77"/>
    <x v="1"/>
    <x v="3"/>
    <s v="Not Reported"/>
    <s v="Not Reported"/>
    <s v="T020"/>
    <x v="3"/>
    <x v="2"/>
    <s v="10/11/2021"/>
    <s v="2/11/2023"/>
    <s v="200mg"/>
    <s v="Dizziness"/>
    <s v="TR0111"/>
    <s v="200mg"/>
    <x v="0"/>
    <x v="2"/>
    <x v="94"/>
    <n v="1"/>
    <x v="3"/>
    <x v="1"/>
    <n v="2.41"/>
    <n v="4.6399999999999997"/>
    <x v="41"/>
    <n v="19.7"/>
    <x v="127"/>
    <x v="0"/>
    <n v="200"/>
    <x v="2"/>
  </r>
  <r>
    <s v="P889"/>
    <n v="64"/>
    <x v="2"/>
    <x v="0"/>
    <s v="Diabetes"/>
    <s v="TP53 Mutation"/>
    <s v="T013"/>
    <x v="3"/>
    <x v="2"/>
    <s v="2/8/2019"/>
    <s v="4/8/2020"/>
    <s v="150mg"/>
    <s v="Fatigue"/>
    <s v="TR0076"/>
    <s v="150mg"/>
    <x v="0"/>
    <x v="1"/>
    <x v="20"/>
    <n v="1"/>
    <x v="0"/>
    <x v="0"/>
    <n v="2.37"/>
    <n v="2.73"/>
    <x v="59"/>
    <n v="12.5"/>
    <x v="133"/>
    <x v="2"/>
    <n v="150"/>
    <x v="1"/>
  </r>
  <r>
    <s v="P890"/>
    <n v="22"/>
    <x v="0"/>
    <x v="4"/>
    <s v="Not Reported"/>
    <s v="BRCA2 Mutation"/>
    <s v="T009"/>
    <x v="3"/>
    <x v="2"/>
    <s v="1/10/2019"/>
    <s v="10/10/2019"/>
    <s v="200mg"/>
    <s v="Dizziness, Headache, Not Reported"/>
    <s v="TR0190"/>
    <s v="200mg"/>
    <x v="2"/>
    <x v="0"/>
    <x v="78"/>
    <n v="0"/>
    <x v="3"/>
    <x v="0"/>
    <n v="4.76"/>
    <n v="3.49"/>
    <x v="20"/>
    <n v="20.5"/>
    <x v="138"/>
    <x v="0"/>
    <n v="200"/>
    <x v="0"/>
  </r>
  <r>
    <s v="P891"/>
    <n v="58"/>
    <x v="2"/>
    <x v="4"/>
    <s v="Heart Disease"/>
    <s v="Not Reported"/>
    <s v="T013"/>
    <x v="1"/>
    <x v="2"/>
    <s v="11/22/2019"/>
    <s v="12/22/2020"/>
    <s v="200mg"/>
    <s v="Nausea, Headache"/>
    <s v="TR0068"/>
    <s v="200mg"/>
    <x v="0"/>
    <x v="3"/>
    <x v="137"/>
    <n v="1"/>
    <x v="0"/>
    <x v="1"/>
    <n v="2.58"/>
    <n v="1.21"/>
    <x v="14"/>
    <n v="18.100000000000001"/>
    <x v="54"/>
    <x v="0"/>
    <n v="200"/>
    <x v="1"/>
  </r>
  <r>
    <s v="P892"/>
    <n v="25"/>
    <x v="0"/>
    <x v="4"/>
    <s v="Heart Disease"/>
    <s v="Not Reported"/>
    <s v="T012"/>
    <x v="1"/>
    <x v="2"/>
    <s v="9/20/2020"/>
    <s v="7/20/2021"/>
    <s v="200mg"/>
    <s v="Not Reported, Fatigue"/>
    <s v="TR0115"/>
    <s v="200mg"/>
    <x v="1"/>
    <x v="1"/>
    <x v="47"/>
    <n v="0"/>
    <x v="0"/>
    <x v="0"/>
    <n v="4"/>
    <n v="2.4300000000000002"/>
    <x v="19"/>
    <n v="9.4"/>
    <x v="18"/>
    <x v="0"/>
    <n v="200"/>
    <x v="0"/>
  </r>
  <r>
    <s v="P893"/>
    <n v="84"/>
    <x v="0"/>
    <x v="1"/>
    <s v="Diabetes"/>
    <s v="BRCA1 Mutation"/>
    <s v="T005"/>
    <x v="0"/>
    <x v="0"/>
    <s v="2/7/2023"/>
    <s v="11/7/2023"/>
    <s v="50mg"/>
    <s v="Nausea"/>
    <s v="TR0057"/>
    <s v="50mg"/>
    <x v="0"/>
    <x v="4"/>
    <x v="20"/>
    <n v="1"/>
    <x v="1"/>
    <x v="1"/>
    <n v="3.18"/>
    <n v="1.82"/>
    <x v="90"/>
    <n v="19.5"/>
    <x v="31"/>
    <x v="3"/>
    <n v="50"/>
    <x v="2"/>
  </r>
  <r>
    <s v="P894"/>
    <n v="26"/>
    <x v="2"/>
    <x v="2"/>
    <s v="Asthma"/>
    <s v="Not Reported"/>
    <s v="T012"/>
    <x v="1"/>
    <x v="0"/>
    <s v="3/25/2022"/>
    <s v="4/25/2023"/>
    <s v="150mg"/>
    <s v="Fatigue, Nausea"/>
    <s v="TR0045"/>
    <s v="150mg"/>
    <x v="1"/>
    <x v="4"/>
    <x v="110"/>
    <n v="0"/>
    <x v="3"/>
    <x v="0"/>
    <n v="1.86"/>
    <n v="4.87"/>
    <x v="79"/>
    <n v="23.2"/>
    <x v="24"/>
    <x v="2"/>
    <n v="150"/>
    <x v="0"/>
  </r>
  <r>
    <s v="P895"/>
    <n v="40"/>
    <x v="0"/>
    <x v="1"/>
    <s v="Heart Disease"/>
    <s v="Not Reported"/>
    <s v="T016"/>
    <x v="2"/>
    <x v="2"/>
    <s v="4/9/2019"/>
    <s v="9/9/2020"/>
    <s v="100mg"/>
    <s v="Fatigue"/>
    <s v="TR0139"/>
    <s v="100mg"/>
    <x v="1"/>
    <x v="0"/>
    <x v="12"/>
    <n v="0"/>
    <x v="2"/>
    <x v="0"/>
    <n v="2.9"/>
    <n v="4.59"/>
    <x v="44"/>
    <n v="18.7"/>
    <x v="19"/>
    <x v="1"/>
    <n v="100"/>
    <x v="3"/>
  </r>
  <r>
    <s v="P896"/>
    <n v="29"/>
    <x v="1"/>
    <x v="4"/>
    <s v="Diabetes"/>
    <s v="Not Reported"/>
    <s v="T005"/>
    <x v="0"/>
    <x v="1"/>
    <s v="1/15/2021"/>
    <s v="6/15/2022"/>
    <s v="200mg"/>
    <s v="Dizziness, Headache"/>
    <s v="TR0187"/>
    <s v="200mg"/>
    <x v="0"/>
    <x v="0"/>
    <x v="18"/>
    <n v="1"/>
    <x v="4"/>
    <x v="1"/>
    <n v="2.79"/>
    <n v="1.49"/>
    <x v="22"/>
    <n v="6"/>
    <x v="15"/>
    <x v="0"/>
    <n v="200"/>
    <x v="0"/>
  </r>
  <r>
    <s v="P897"/>
    <n v="70"/>
    <x v="0"/>
    <x v="1"/>
    <s v="Heart Disease"/>
    <s v="Not Reported"/>
    <s v="T006"/>
    <x v="0"/>
    <x v="1"/>
    <s v="6/21/2022"/>
    <s v="8/21/2023"/>
    <s v="100mg"/>
    <s v="Headache, Fatigue, Not Reported"/>
    <s v="TR0121"/>
    <s v="100mg"/>
    <x v="2"/>
    <x v="1"/>
    <x v="127"/>
    <n v="0"/>
    <x v="2"/>
    <x v="0"/>
    <n v="4.91"/>
    <n v="1.97"/>
    <x v="9"/>
    <n v="21.1"/>
    <x v="66"/>
    <x v="1"/>
    <n v="100"/>
    <x v="2"/>
  </r>
  <r>
    <s v="P898"/>
    <n v="41"/>
    <x v="0"/>
    <x v="0"/>
    <s v="Heart Disease"/>
    <s v="EGFR Mutation"/>
    <s v="T011"/>
    <x v="3"/>
    <x v="0"/>
    <s v="5/23/2023"/>
    <s v="3/23/2024"/>
    <s v="100mg"/>
    <s v="Headache"/>
    <s v="TR0064"/>
    <s v="100mg"/>
    <x v="2"/>
    <x v="1"/>
    <x v="26"/>
    <n v="0"/>
    <x v="2"/>
    <x v="0"/>
    <n v="1.61"/>
    <n v="3.91"/>
    <x v="80"/>
    <n v="19.2"/>
    <x v="6"/>
    <x v="1"/>
    <n v="100"/>
    <x v="3"/>
  </r>
  <r>
    <s v="P899"/>
    <n v="41"/>
    <x v="0"/>
    <x v="4"/>
    <s v="Hypertension"/>
    <s v="BRCA1 Mutation"/>
    <s v="T004"/>
    <x v="3"/>
    <x v="1"/>
    <s v="12/12/2020"/>
    <s v="5/12/2022"/>
    <s v="200mg"/>
    <s v="Dizziness, Nausea, Not Reported"/>
    <s v="TR0019"/>
    <s v="200mg"/>
    <x v="1"/>
    <x v="3"/>
    <x v="102"/>
    <n v="0"/>
    <x v="4"/>
    <x v="0"/>
    <n v="4.9000000000000004"/>
    <n v="3.29"/>
    <x v="42"/>
    <n v="17.7"/>
    <x v="119"/>
    <x v="0"/>
    <n v="200"/>
    <x v="3"/>
  </r>
  <r>
    <s v="P900"/>
    <n v="46"/>
    <x v="2"/>
    <x v="4"/>
    <s v="Not Reported"/>
    <s v="EGFR Mutation"/>
    <s v="T020"/>
    <x v="0"/>
    <x v="3"/>
    <s v="10/11/2020"/>
    <s v="3/11/2022"/>
    <s v="50mg"/>
    <s v="Nausea, Fatigue"/>
    <s v="TR0045"/>
    <s v="50mg"/>
    <x v="0"/>
    <x v="0"/>
    <x v="17"/>
    <n v="1"/>
    <x v="4"/>
    <x v="0"/>
    <n v="4.59"/>
    <n v="1.48"/>
    <x v="30"/>
    <n v="20.7"/>
    <x v="68"/>
    <x v="3"/>
    <n v="50"/>
    <x v="3"/>
  </r>
  <r>
    <s v="P901"/>
    <n v="46"/>
    <x v="2"/>
    <x v="3"/>
    <s v="Diabetes"/>
    <s v="TP53 Mutation"/>
    <s v="T010"/>
    <x v="2"/>
    <x v="2"/>
    <s v="7/6/2019"/>
    <s v="7/6/2020"/>
    <s v="150mg"/>
    <s v="Not Reported, Headache, Nausea"/>
    <s v="TR0050"/>
    <s v="150mg"/>
    <x v="2"/>
    <x v="3"/>
    <x v="78"/>
    <n v="0"/>
    <x v="0"/>
    <x v="0"/>
    <n v="2.57"/>
    <n v="2.89"/>
    <x v="77"/>
    <n v="12.1"/>
    <x v="51"/>
    <x v="2"/>
    <n v="150"/>
    <x v="3"/>
  </r>
  <r>
    <s v="P902"/>
    <n v="55"/>
    <x v="1"/>
    <x v="0"/>
    <s v="Asthma"/>
    <s v="Not Reported"/>
    <s v="T001"/>
    <x v="0"/>
    <x v="0"/>
    <s v="10/19/2023"/>
    <s v="9/19/2024"/>
    <s v="50mg"/>
    <s v="Headache, Nausea"/>
    <s v="TR0043"/>
    <s v="50mg"/>
    <x v="0"/>
    <x v="4"/>
    <x v="80"/>
    <n v="1"/>
    <x v="2"/>
    <x v="1"/>
    <n v="1.35"/>
    <n v="4.1100000000000003"/>
    <x v="59"/>
    <n v="9.3000000000000007"/>
    <x v="24"/>
    <x v="3"/>
    <n v="50"/>
    <x v="1"/>
  </r>
  <r>
    <s v="P903"/>
    <n v="27"/>
    <x v="2"/>
    <x v="0"/>
    <s v="Diabetes"/>
    <s v="Not Reported"/>
    <s v="T015"/>
    <x v="3"/>
    <x v="3"/>
    <s v="12/6/2023"/>
    <s v="12/6/2024"/>
    <s v="200mg"/>
    <s v="Fatigue, Dizziness, Not Reported"/>
    <s v="TR0190"/>
    <s v="200mg"/>
    <x v="1"/>
    <x v="0"/>
    <x v="44"/>
    <n v="0"/>
    <x v="4"/>
    <x v="0"/>
    <n v="1.66"/>
    <n v="3.83"/>
    <x v="36"/>
    <n v="17.399999999999999"/>
    <x v="112"/>
    <x v="0"/>
    <n v="200"/>
    <x v="0"/>
  </r>
  <r>
    <s v="P904"/>
    <n v="75"/>
    <x v="1"/>
    <x v="3"/>
    <s v="Not Reported"/>
    <s v="Not Reported"/>
    <s v="T006"/>
    <x v="0"/>
    <x v="2"/>
    <s v="7/3/2019"/>
    <s v="7/3/2020"/>
    <s v="150mg"/>
    <s v="Nausea, Fatigue, Not Reported"/>
    <s v="TR0035"/>
    <s v="150mg"/>
    <x v="0"/>
    <x v="4"/>
    <x v="87"/>
    <n v="1"/>
    <x v="0"/>
    <x v="0"/>
    <n v="1.85"/>
    <n v="1.17"/>
    <x v="60"/>
    <n v="16.100000000000001"/>
    <x v="137"/>
    <x v="2"/>
    <n v="150"/>
    <x v="2"/>
  </r>
  <r>
    <s v="P905"/>
    <n v="54"/>
    <x v="0"/>
    <x v="2"/>
    <s v="Not Reported"/>
    <s v="Not Reported"/>
    <s v="T014"/>
    <x v="2"/>
    <x v="1"/>
    <s v="10/11/2020"/>
    <s v="9/11/2021"/>
    <s v="200mg"/>
    <s v="Headache"/>
    <s v="TR0063"/>
    <s v="200mg"/>
    <x v="1"/>
    <x v="1"/>
    <x v="20"/>
    <n v="0"/>
    <x v="0"/>
    <x v="1"/>
    <n v="3.67"/>
    <n v="2.74"/>
    <x v="78"/>
    <n v="18.899999999999999"/>
    <x v="29"/>
    <x v="0"/>
    <n v="200"/>
    <x v="1"/>
  </r>
  <r>
    <s v="P906"/>
    <n v="41"/>
    <x v="0"/>
    <x v="3"/>
    <s v="Asthma"/>
    <s v="TP53 Mutation"/>
    <s v="T020"/>
    <x v="1"/>
    <x v="3"/>
    <s v="4/7/2019"/>
    <s v="9/7/2020"/>
    <s v="50mg"/>
    <s v="Dizziness"/>
    <s v="TR0195"/>
    <s v="50mg"/>
    <x v="0"/>
    <x v="3"/>
    <x v="15"/>
    <n v="1"/>
    <x v="2"/>
    <x v="0"/>
    <n v="3.11"/>
    <n v="2.04"/>
    <x v="56"/>
    <n v="19.100000000000001"/>
    <x v="16"/>
    <x v="3"/>
    <n v="50"/>
    <x v="3"/>
  </r>
  <r>
    <s v="P907"/>
    <n v="38"/>
    <x v="0"/>
    <x v="2"/>
    <s v="Diabetes"/>
    <s v="Not Reported"/>
    <s v="T004"/>
    <x v="2"/>
    <x v="1"/>
    <s v="12/10/2021"/>
    <s v="2/10/2023"/>
    <s v="50mg"/>
    <s v="Not Reported, Fatigue, Headache"/>
    <s v="TR0140"/>
    <s v="50mg"/>
    <x v="1"/>
    <x v="2"/>
    <x v="68"/>
    <n v="0"/>
    <x v="1"/>
    <x v="1"/>
    <n v="2.21"/>
    <n v="3.13"/>
    <x v="41"/>
    <n v="16.8"/>
    <x v="35"/>
    <x v="3"/>
    <n v="50"/>
    <x v="3"/>
  </r>
  <r>
    <s v="P908"/>
    <n v="19"/>
    <x v="0"/>
    <x v="1"/>
    <s v="Hypertension"/>
    <s v="Not Reported"/>
    <s v="T009"/>
    <x v="1"/>
    <x v="0"/>
    <s v="5/25/2021"/>
    <s v="1/25/2022"/>
    <s v="50mg"/>
    <s v="Headache"/>
    <s v="TR0046"/>
    <s v="50mg"/>
    <x v="2"/>
    <x v="2"/>
    <x v="68"/>
    <n v="0"/>
    <x v="1"/>
    <x v="1"/>
    <n v="2.52"/>
    <n v="3.47"/>
    <x v="4"/>
    <n v="19.100000000000001"/>
    <x v="48"/>
    <x v="3"/>
    <n v="50"/>
    <x v="0"/>
  </r>
  <r>
    <s v="P909"/>
    <n v="49"/>
    <x v="1"/>
    <x v="1"/>
    <s v="Not Reported"/>
    <s v="Not Reported"/>
    <s v="T013"/>
    <x v="3"/>
    <x v="3"/>
    <s v="12/10/2022"/>
    <s v="6/10/2024"/>
    <s v="50mg"/>
    <s v="Headache, Fatigue, Nausea"/>
    <s v="TR0076"/>
    <s v="50mg"/>
    <x v="2"/>
    <x v="1"/>
    <x v="69"/>
    <n v="0"/>
    <x v="2"/>
    <x v="0"/>
    <n v="4.05"/>
    <n v="3.37"/>
    <x v="63"/>
    <n v="18"/>
    <x v="38"/>
    <x v="3"/>
    <n v="50"/>
    <x v="3"/>
  </r>
  <r>
    <s v="P910"/>
    <n v="73"/>
    <x v="0"/>
    <x v="4"/>
    <s v="Hypertension"/>
    <s v="BRCA1 Mutation"/>
    <s v="T010"/>
    <x v="1"/>
    <x v="1"/>
    <s v="3/20/2021"/>
    <s v="1/20/2022"/>
    <s v="100mg"/>
    <s v="Not Reported"/>
    <s v="TR0188"/>
    <s v="100mg"/>
    <x v="1"/>
    <x v="2"/>
    <x v="98"/>
    <n v="0"/>
    <x v="3"/>
    <x v="0"/>
    <n v="3.41"/>
    <n v="2.96"/>
    <x v="36"/>
    <n v="12"/>
    <x v="125"/>
    <x v="1"/>
    <n v="100"/>
    <x v="2"/>
  </r>
  <r>
    <s v="P911"/>
    <n v="78"/>
    <x v="2"/>
    <x v="3"/>
    <s v="Diabetes"/>
    <s v="Not Reported"/>
    <s v="T014"/>
    <x v="0"/>
    <x v="1"/>
    <s v="9/23/2020"/>
    <s v="6/23/2021"/>
    <s v="50mg"/>
    <s v="Dizziness, Nausea, Headache"/>
    <s v="TR0057"/>
    <s v="50mg"/>
    <x v="1"/>
    <x v="0"/>
    <x v="20"/>
    <n v="0"/>
    <x v="3"/>
    <x v="0"/>
    <n v="1.79"/>
    <n v="4.22"/>
    <x v="63"/>
    <n v="7.5"/>
    <x v="109"/>
    <x v="3"/>
    <n v="50"/>
    <x v="2"/>
  </r>
  <r>
    <s v="P912"/>
    <n v="18"/>
    <x v="0"/>
    <x v="2"/>
    <s v="Not Reported"/>
    <s v="Not Reported"/>
    <s v="T006"/>
    <x v="0"/>
    <x v="2"/>
    <s v="7/7/2023"/>
    <s v="2/7/2024"/>
    <s v="50mg"/>
    <s v="Nausea, Not Reported"/>
    <s v="TR0046"/>
    <s v="50mg"/>
    <x v="1"/>
    <x v="1"/>
    <x v="141"/>
    <n v="0"/>
    <x v="0"/>
    <x v="0"/>
    <n v="3.63"/>
    <n v="2.75"/>
    <x v="5"/>
    <n v="16"/>
    <x v="11"/>
    <x v="3"/>
    <n v="50"/>
    <x v="0"/>
  </r>
  <r>
    <s v="P913"/>
    <n v="63"/>
    <x v="2"/>
    <x v="4"/>
    <s v="Asthma"/>
    <s v="Not Reported"/>
    <s v="T020"/>
    <x v="2"/>
    <x v="1"/>
    <s v="8/13/2019"/>
    <s v="10/13/2020"/>
    <s v="200mg"/>
    <s v="Headache"/>
    <s v="TR0194"/>
    <s v="200mg"/>
    <x v="1"/>
    <x v="1"/>
    <x v="131"/>
    <n v="0"/>
    <x v="0"/>
    <x v="0"/>
    <n v="4.7300000000000004"/>
    <n v="4.6900000000000004"/>
    <x v="69"/>
    <n v="11.9"/>
    <x v="70"/>
    <x v="0"/>
    <n v="200"/>
    <x v="1"/>
  </r>
  <r>
    <s v="P914"/>
    <n v="82"/>
    <x v="2"/>
    <x v="3"/>
    <s v="Diabetes"/>
    <s v="HER2 Mutation"/>
    <s v="T014"/>
    <x v="1"/>
    <x v="3"/>
    <s v="11/18/2019"/>
    <s v="5/18/2021"/>
    <s v="200mg"/>
    <s v="Headache"/>
    <s v="TR0117"/>
    <s v="200mg"/>
    <x v="0"/>
    <x v="1"/>
    <x v="100"/>
    <n v="1"/>
    <x v="2"/>
    <x v="1"/>
    <n v="1.1499999999999999"/>
    <n v="2.9"/>
    <x v="30"/>
    <n v="22.6"/>
    <x v="94"/>
    <x v="0"/>
    <n v="200"/>
    <x v="2"/>
  </r>
  <r>
    <s v="P915"/>
    <n v="31"/>
    <x v="0"/>
    <x v="2"/>
    <s v="Diabetes"/>
    <s v="EGFR Mutation"/>
    <s v="T006"/>
    <x v="2"/>
    <x v="2"/>
    <s v="3/4/2023"/>
    <s v="7/4/2024"/>
    <s v="100mg"/>
    <s v="Fatigue, Headache"/>
    <s v="TR0189"/>
    <s v="100mg"/>
    <x v="2"/>
    <x v="3"/>
    <x v="141"/>
    <n v="0"/>
    <x v="1"/>
    <x v="1"/>
    <n v="3.21"/>
    <n v="3.96"/>
    <x v="16"/>
    <n v="7.5"/>
    <x v="164"/>
    <x v="1"/>
    <n v="100"/>
    <x v="3"/>
  </r>
  <r>
    <s v="P916"/>
    <n v="20"/>
    <x v="1"/>
    <x v="3"/>
    <s v="Asthma"/>
    <s v="BRCA1 Mutation"/>
    <s v="T014"/>
    <x v="0"/>
    <x v="2"/>
    <s v="11/18/2019"/>
    <s v="1/18/2021"/>
    <s v="50mg"/>
    <s v="Not Reported, Fatigue, Nausea"/>
    <s v="TR0160"/>
    <s v="50mg"/>
    <x v="0"/>
    <x v="0"/>
    <x v="67"/>
    <n v="1"/>
    <x v="1"/>
    <x v="0"/>
    <n v="3.07"/>
    <n v="3.46"/>
    <x v="8"/>
    <n v="14.7"/>
    <x v="24"/>
    <x v="3"/>
    <n v="50"/>
    <x v="0"/>
  </r>
  <r>
    <s v="P917"/>
    <n v="76"/>
    <x v="2"/>
    <x v="2"/>
    <s v="Not Reported"/>
    <s v="Not Reported"/>
    <s v="T014"/>
    <x v="2"/>
    <x v="3"/>
    <s v="11/16/2021"/>
    <s v="7/16/2022"/>
    <s v="50mg"/>
    <s v="Fatigue, Headache, Dizziness"/>
    <s v="TR0095"/>
    <s v="50mg"/>
    <x v="2"/>
    <x v="0"/>
    <x v="29"/>
    <n v="0"/>
    <x v="1"/>
    <x v="0"/>
    <n v="1.3"/>
    <n v="1.42"/>
    <x v="48"/>
    <n v="10.3"/>
    <x v="112"/>
    <x v="3"/>
    <n v="50"/>
    <x v="2"/>
  </r>
  <r>
    <s v="P918"/>
    <n v="63"/>
    <x v="2"/>
    <x v="2"/>
    <s v="Diabetes"/>
    <s v="BRCA2 Mutation"/>
    <s v="T010"/>
    <x v="2"/>
    <x v="3"/>
    <s v="4/20/2021"/>
    <s v="2/20/2022"/>
    <s v="200mg"/>
    <s v="Nausea, Headache, Not Reported"/>
    <s v="TR0077"/>
    <s v="200mg"/>
    <x v="0"/>
    <x v="2"/>
    <x v="129"/>
    <n v="1"/>
    <x v="1"/>
    <x v="1"/>
    <n v="3.02"/>
    <n v="4.07"/>
    <x v="32"/>
    <n v="16.399999999999999"/>
    <x v="22"/>
    <x v="0"/>
    <n v="200"/>
    <x v="1"/>
  </r>
  <r>
    <s v="P919"/>
    <n v="78"/>
    <x v="0"/>
    <x v="1"/>
    <s v="Asthma"/>
    <s v="TP53 Mutation"/>
    <s v="T003"/>
    <x v="3"/>
    <x v="0"/>
    <s v="1/18/2022"/>
    <s v="7/18/2022"/>
    <s v="200mg"/>
    <s v="Headache, Not Reported"/>
    <s v="TR0144"/>
    <s v="200mg"/>
    <x v="1"/>
    <x v="2"/>
    <x v="87"/>
    <n v="0"/>
    <x v="4"/>
    <x v="1"/>
    <n v="1.1499999999999999"/>
    <n v="1.21"/>
    <x v="48"/>
    <n v="8.1"/>
    <x v="2"/>
    <x v="0"/>
    <n v="200"/>
    <x v="2"/>
  </r>
  <r>
    <s v="P920"/>
    <n v="53"/>
    <x v="0"/>
    <x v="1"/>
    <s v="Diabetes"/>
    <s v="Not Reported"/>
    <s v="T017"/>
    <x v="0"/>
    <x v="1"/>
    <s v="8/8/2022"/>
    <s v="6/8/2023"/>
    <s v="200mg"/>
    <s v="Not Reported, Fatigue, Headache"/>
    <s v="TR0188"/>
    <s v="200mg"/>
    <x v="2"/>
    <x v="2"/>
    <x v="29"/>
    <n v="0"/>
    <x v="3"/>
    <x v="1"/>
    <n v="2.75"/>
    <n v="4.38"/>
    <x v="58"/>
    <n v="13.6"/>
    <x v="15"/>
    <x v="0"/>
    <n v="200"/>
    <x v="1"/>
  </r>
  <r>
    <s v="P921"/>
    <n v="55"/>
    <x v="2"/>
    <x v="1"/>
    <s v="Hypertension"/>
    <s v="TP53 Mutation"/>
    <s v="T001"/>
    <x v="2"/>
    <x v="0"/>
    <s v="6/6/2019"/>
    <s v="1/6/2020"/>
    <s v="50mg"/>
    <s v="Headache"/>
    <s v="TR0036"/>
    <s v="50mg"/>
    <x v="1"/>
    <x v="3"/>
    <x v="19"/>
    <n v="0"/>
    <x v="1"/>
    <x v="1"/>
    <n v="2.8"/>
    <n v="3.31"/>
    <x v="41"/>
    <n v="12"/>
    <x v="81"/>
    <x v="3"/>
    <n v="50"/>
    <x v="1"/>
  </r>
  <r>
    <s v="P922"/>
    <n v="25"/>
    <x v="0"/>
    <x v="1"/>
    <s v="Diabetes"/>
    <s v="TP53 Mutation"/>
    <s v="T012"/>
    <x v="1"/>
    <x v="2"/>
    <s v="9/18/2019"/>
    <s v="12/18/2020"/>
    <s v="100mg"/>
    <s v="Nausea, Not Reported, Fatigue"/>
    <s v="TR0079"/>
    <s v="100mg"/>
    <x v="2"/>
    <x v="2"/>
    <x v="142"/>
    <n v="0"/>
    <x v="0"/>
    <x v="1"/>
    <n v="1.43"/>
    <n v="2.4700000000000002"/>
    <x v="75"/>
    <n v="19.8"/>
    <x v="114"/>
    <x v="1"/>
    <n v="100"/>
    <x v="0"/>
  </r>
  <r>
    <s v="P923"/>
    <n v="51"/>
    <x v="2"/>
    <x v="2"/>
    <s v="Heart Disease"/>
    <s v="BRCA2 Mutation"/>
    <s v="T001"/>
    <x v="2"/>
    <x v="0"/>
    <s v="1/2/2021"/>
    <s v="7/2/2021"/>
    <s v="100mg"/>
    <s v="Not Reported"/>
    <s v="TR0185"/>
    <s v="100mg"/>
    <x v="1"/>
    <x v="0"/>
    <x v="34"/>
    <n v="0"/>
    <x v="2"/>
    <x v="1"/>
    <n v="4.88"/>
    <n v="4.46"/>
    <x v="80"/>
    <n v="18.600000000000001"/>
    <x v="27"/>
    <x v="1"/>
    <n v="100"/>
    <x v="1"/>
  </r>
  <r>
    <s v="P924"/>
    <n v="44"/>
    <x v="0"/>
    <x v="0"/>
    <s v="Asthma"/>
    <s v="EGFR Mutation"/>
    <s v="T009"/>
    <x v="2"/>
    <x v="0"/>
    <s v="11/28/2023"/>
    <s v="9/28/2024"/>
    <s v="200mg"/>
    <s v="Dizziness, Nausea"/>
    <s v="TR0129"/>
    <s v="200mg"/>
    <x v="1"/>
    <x v="3"/>
    <x v="76"/>
    <n v="0"/>
    <x v="2"/>
    <x v="1"/>
    <n v="3.52"/>
    <n v="2.82"/>
    <x v="72"/>
    <n v="19.600000000000001"/>
    <x v="27"/>
    <x v="0"/>
    <n v="200"/>
    <x v="3"/>
  </r>
  <r>
    <s v="P925"/>
    <n v="38"/>
    <x v="1"/>
    <x v="2"/>
    <s v="Hypertension"/>
    <s v="BRCA2 Mutation"/>
    <s v="T014"/>
    <x v="0"/>
    <x v="1"/>
    <s v="4/9/2019"/>
    <s v="2/9/2020"/>
    <s v="150mg"/>
    <s v="Fatigue, Nausea"/>
    <s v="TR0101"/>
    <s v="150mg"/>
    <x v="1"/>
    <x v="4"/>
    <x v="53"/>
    <n v="0"/>
    <x v="1"/>
    <x v="1"/>
    <n v="2.27"/>
    <n v="4.7"/>
    <x v="56"/>
    <n v="14.7"/>
    <x v="143"/>
    <x v="2"/>
    <n v="150"/>
    <x v="3"/>
  </r>
  <r>
    <s v="P926"/>
    <n v="65"/>
    <x v="0"/>
    <x v="0"/>
    <s v="Hypertension"/>
    <s v="BRCA2 Mutation"/>
    <s v="T004"/>
    <x v="0"/>
    <x v="3"/>
    <s v="10/14/2023"/>
    <s v="11/14/2024"/>
    <s v="100mg"/>
    <s v="Headache, Fatigue"/>
    <s v="TR0048"/>
    <s v="100mg"/>
    <x v="0"/>
    <x v="3"/>
    <x v="89"/>
    <n v="1"/>
    <x v="4"/>
    <x v="0"/>
    <n v="3.44"/>
    <n v="3.19"/>
    <x v="7"/>
    <n v="12.2"/>
    <x v="144"/>
    <x v="1"/>
    <n v="100"/>
    <x v="1"/>
  </r>
  <r>
    <s v="P927"/>
    <n v="45"/>
    <x v="2"/>
    <x v="0"/>
    <s v="Asthma"/>
    <s v="Not Reported"/>
    <s v="T009"/>
    <x v="3"/>
    <x v="3"/>
    <s v="7/10/2022"/>
    <s v="9/10/2023"/>
    <s v="150mg"/>
    <s v="Not Reported, Dizziness, Headache"/>
    <s v="TR0058"/>
    <s v="150mg"/>
    <x v="2"/>
    <x v="0"/>
    <x v="43"/>
    <n v="0"/>
    <x v="0"/>
    <x v="0"/>
    <n v="3.24"/>
    <n v="3.06"/>
    <x v="75"/>
    <n v="6.3"/>
    <x v="114"/>
    <x v="2"/>
    <n v="150"/>
    <x v="3"/>
  </r>
  <r>
    <s v="P928"/>
    <n v="47"/>
    <x v="2"/>
    <x v="4"/>
    <s v="Not Reported"/>
    <s v="BRCA1 Mutation"/>
    <s v="T005"/>
    <x v="0"/>
    <x v="3"/>
    <s v="4/4/2021"/>
    <s v="12/4/2021"/>
    <s v="50mg"/>
    <s v="Fatigue"/>
    <s v="TR0101"/>
    <s v="50mg"/>
    <x v="0"/>
    <x v="1"/>
    <x v="74"/>
    <n v="1"/>
    <x v="3"/>
    <x v="1"/>
    <n v="2.5099999999999998"/>
    <n v="3.41"/>
    <x v="27"/>
    <n v="18.3"/>
    <x v="106"/>
    <x v="3"/>
    <n v="50"/>
    <x v="3"/>
  </r>
  <r>
    <s v="P929"/>
    <n v="48"/>
    <x v="2"/>
    <x v="4"/>
    <s v="Asthma"/>
    <s v="HER2 Mutation"/>
    <s v="T009"/>
    <x v="2"/>
    <x v="3"/>
    <s v="6/23/2023"/>
    <s v="10/23/2024"/>
    <s v="150mg"/>
    <s v="Not Reported, Fatigue, Nausea"/>
    <s v="TR0150"/>
    <s v="150mg"/>
    <x v="2"/>
    <x v="4"/>
    <x v="146"/>
    <n v="0"/>
    <x v="4"/>
    <x v="0"/>
    <n v="3.3"/>
    <n v="1.5"/>
    <x v="29"/>
    <n v="19.8"/>
    <x v="152"/>
    <x v="2"/>
    <n v="150"/>
    <x v="3"/>
  </r>
  <r>
    <s v="P930"/>
    <n v="58"/>
    <x v="0"/>
    <x v="3"/>
    <s v="Hypertension"/>
    <s v="Not Reported"/>
    <s v="T011"/>
    <x v="3"/>
    <x v="3"/>
    <s v="2/15/2023"/>
    <s v="9/15/2023"/>
    <s v="50mg"/>
    <s v="Nausea, Dizziness"/>
    <s v="TR0093"/>
    <s v="50mg"/>
    <x v="1"/>
    <x v="2"/>
    <x v="74"/>
    <n v="0"/>
    <x v="4"/>
    <x v="1"/>
    <n v="4.5199999999999996"/>
    <n v="3.59"/>
    <x v="49"/>
    <n v="17.2"/>
    <x v="7"/>
    <x v="3"/>
    <n v="50"/>
    <x v="1"/>
  </r>
  <r>
    <s v="P931"/>
    <n v="76"/>
    <x v="1"/>
    <x v="0"/>
    <s v="Asthma"/>
    <s v="TP53 Mutation"/>
    <s v="T007"/>
    <x v="0"/>
    <x v="2"/>
    <s v="8/28/2021"/>
    <s v="10/28/2022"/>
    <s v="150mg"/>
    <s v="Headache"/>
    <s v="TR0031"/>
    <s v="150mg"/>
    <x v="1"/>
    <x v="2"/>
    <x v="109"/>
    <n v="0"/>
    <x v="2"/>
    <x v="1"/>
    <n v="2.2400000000000002"/>
    <n v="1.81"/>
    <x v="52"/>
    <n v="19.7"/>
    <x v="134"/>
    <x v="2"/>
    <n v="150"/>
    <x v="2"/>
  </r>
  <r>
    <s v="P932"/>
    <n v="43"/>
    <x v="1"/>
    <x v="0"/>
    <s v="Heart Disease"/>
    <s v="TP53 Mutation"/>
    <s v="T008"/>
    <x v="3"/>
    <x v="1"/>
    <s v="4/4/2020"/>
    <s v="6/4/2021"/>
    <s v="100mg"/>
    <s v="Nausea, Dizziness"/>
    <s v="TR0177"/>
    <s v="100mg"/>
    <x v="0"/>
    <x v="1"/>
    <x v="45"/>
    <n v="1"/>
    <x v="2"/>
    <x v="0"/>
    <n v="2.2000000000000002"/>
    <n v="1.74"/>
    <x v="65"/>
    <n v="14.5"/>
    <x v="61"/>
    <x v="1"/>
    <n v="100"/>
    <x v="3"/>
  </r>
  <r>
    <s v="P933"/>
    <n v="72"/>
    <x v="0"/>
    <x v="1"/>
    <s v="Asthma"/>
    <s v="Not Reported"/>
    <s v="T006"/>
    <x v="1"/>
    <x v="3"/>
    <s v="8/18/2020"/>
    <s v="9/18/2021"/>
    <s v="100mg"/>
    <s v="Not Reported"/>
    <s v="TR0143"/>
    <s v="100mg"/>
    <x v="1"/>
    <x v="1"/>
    <x v="70"/>
    <n v="0"/>
    <x v="3"/>
    <x v="1"/>
    <n v="3.47"/>
    <n v="1.1599999999999999"/>
    <x v="60"/>
    <n v="14.4"/>
    <x v="56"/>
    <x v="1"/>
    <n v="100"/>
    <x v="2"/>
  </r>
  <r>
    <s v="P934"/>
    <n v="41"/>
    <x v="0"/>
    <x v="3"/>
    <s v="Not Reported"/>
    <s v="BRCA2 Mutation"/>
    <s v="T011"/>
    <x v="2"/>
    <x v="0"/>
    <s v="1/4/2023"/>
    <s v="3/4/2024"/>
    <s v="50mg"/>
    <s v="Headache, Dizziness"/>
    <s v="TR0049"/>
    <s v="50mg"/>
    <x v="1"/>
    <x v="4"/>
    <x v="49"/>
    <n v="0"/>
    <x v="1"/>
    <x v="0"/>
    <n v="4.9400000000000004"/>
    <n v="1.84"/>
    <x v="12"/>
    <n v="9.6999999999999993"/>
    <x v="6"/>
    <x v="3"/>
    <n v="50"/>
    <x v="3"/>
  </r>
  <r>
    <s v="P935"/>
    <n v="79"/>
    <x v="1"/>
    <x v="3"/>
    <s v="Diabetes"/>
    <s v="Not Reported"/>
    <s v="T013"/>
    <x v="1"/>
    <x v="3"/>
    <s v="4/27/2020"/>
    <s v="4/27/2021"/>
    <s v="100mg"/>
    <s v="Dizziness, Not Reported, Fatigue"/>
    <s v="TR0162"/>
    <s v="100mg"/>
    <x v="1"/>
    <x v="4"/>
    <x v="53"/>
    <n v="0"/>
    <x v="3"/>
    <x v="0"/>
    <n v="2.7"/>
    <n v="3.26"/>
    <x v="47"/>
    <n v="6.6"/>
    <x v="75"/>
    <x v="1"/>
    <n v="100"/>
    <x v="2"/>
  </r>
  <r>
    <s v="P936"/>
    <n v="22"/>
    <x v="0"/>
    <x v="2"/>
    <s v="Heart Disease"/>
    <s v="Not Reported"/>
    <s v="T011"/>
    <x v="3"/>
    <x v="2"/>
    <s v="1/18/2023"/>
    <s v="10/18/2023"/>
    <s v="150mg"/>
    <s v="Nausea"/>
    <s v="TR0181"/>
    <s v="150mg"/>
    <x v="0"/>
    <x v="2"/>
    <x v="20"/>
    <n v="1"/>
    <x v="2"/>
    <x v="1"/>
    <n v="4.2699999999999996"/>
    <n v="4.54"/>
    <x v="87"/>
    <n v="15.7"/>
    <x v="143"/>
    <x v="2"/>
    <n v="150"/>
    <x v="0"/>
  </r>
  <r>
    <s v="P937"/>
    <n v="54"/>
    <x v="0"/>
    <x v="0"/>
    <s v="Asthma"/>
    <s v="EGFR Mutation"/>
    <s v="T017"/>
    <x v="0"/>
    <x v="0"/>
    <s v="6/15/2023"/>
    <s v="2/15/2024"/>
    <s v="150mg"/>
    <s v="Not Reported, Dizziness"/>
    <s v="TR0194"/>
    <s v="150mg"/>
    <x v="2"/>
    <x v="1"/>
    <x v="147"/>
    <n v="0"/>
    <x v="3"/>
    <x v="0"/>
    <n v="2.5499999999999998"/>
    <n v="4.32"/>
    <x v="12"/>
    <n v="22.8"/>
    <x v="136"/>
    <x v="2"/>
    <n v="150"/>
    <x v="1"/>
  </r>
  <r>
    <s v="P938"/>
    <n v="40"/>
    <x v="0"/>
    <x v="2"/>
    <s v="Asthma"/>
    <s v="Not Reported"/>
    <s v="T015"/>
    <x v="1"/>
    <x v="2"/>
    <s v="9/18/2021"/>
    <s v="6/18/2022"/>
    <s v="200mg"/>
    <s v="Headache"/>
    <s v="TR0004"/>
    <s v="200mg"/>
    <x v="1"/>
    <x v="2"/>
    <x v="141"/>
    <n v="0"/>
    <x v="4"/>
    <x v="1"/>
    <n v="4.7699999999999996"/>
    <n v="3.71"/>
    <x v="18"/>
    <n v="22.9"/>
    <x v="165"/>
    <x v="0"/>
    <n v="200"/>
    <x v="3"/>
  </r>
  <r>
    <s v="P939"/>
    <n v="60"/>
    <x v="0"/>
    <x v="0"/>
    <s v="Diabetes"/>
    <s v="BRCA2 Mutation"/>
    <s v="T017"/>
    <x v="3"/>
    <x v="1"/>
    <s v="3/24/2019"/>
    <s v="12/24/2019"/>
    <s v="50mg"/>
    <s v="Dizziness"/>
    <s v="TR0129"/>
    <s v="50mg"/>
    <x v="1"/>
    <x v="0"/>
    <x v="105"/>
    <n v="0"/>
    <x v="3"/>
    <x v="0"/>
    <n v="2.33"/>
    <n v="3.8"/>
    <x v="61"/>
    <n v="22.7"/>
    <x v="58"/>
    <x v="3"/>
    <n v="50"/>
    <x v="1"/>
  </r>
  <r>
    <s v="P940"/>
    <n v="49"/>
    <x v="2"/>
    <x v="3"/>
    <s v="Heart Disease"/>
    <s v="TP53 Mutation"/>
    <s v="T019"/>
    <x v="1"/>
    <x v="1"/>
    <s v="11/28/2023"/>
    <s v="4/28/2025"/>
    <s v="100mg"/>
    <s v="Headache"/>
    <s v="TR0120"/>
    <s v="100mg"/>
    <x v="2"/>
    <x v="3"/>
    <x v="10"/>
    <n v="0"/>
    <x v="4"/>
    <x v="0"/>
    <n v="4.1900000000000004"/>
    <n v="3.95"/>
    <x v="32"/>
    <n v="13"/>
    <x v="27"/>
    <x v="1"/>
    <n v="100"/>
    <x v="3"/>
  </r>
  <r>
    <s v="P941"/>
    <n v="72"/>
    <x v="1"/>
    <x v="1"/>
    <s v="Diabetes"/>
    <s v="TP53 Mutation"/>
    <s v="T003"/>
    <x v="0"/>
    <x v="1"/>
    <s v="12/1/2022"/>
    <s v="6/1/2024"/>
    <s v="150mg"/>
    <s v="Fatigue"/>
    <s v="TR0173"/>
    <s v="150mg"/>
    <x v="1"/>
    <x v="3"/>
    <x v="133"/>
    <n v="0"/>
    <x v="3"/>
    <x v="0"/>
    <n v="2.2200000000000002"/>
    <n v="4.93"/>
    <x v="45"/>
    <n v="18.899999999999999"/>
    <x v="99"/>
    <x v="2"/>
    <n v="150"/>
    <x v="2"/>
  </r>
  <r>
    <s v="P942"/>
    <n v="28"/>
    <x v="0"/>
    <x v="4"/>
    <s v="Heart Disease"/>
    <s v="EGFR Mutation"/>
    <s v="T016"/>
    <x v="0"/>
    <x v="2"/>
    <s v="6/4/2021"/>
    <s v="3/4/2022"/>
    <s v="200mg"/>
    <s v="Dizziness"/>
    <s v="TR0016"/>
    <s v="200mg"/>
    <x v="2"/>
    <x v="2"/>
    <x v="43"/>
    <n v="0"/>
    <x v="2"/>
    <x v="0"/>
    <n v="2.5099999999999998"/>
    <n v="4.21"/>
    <x v="13"/>
    <n v="21.7"/>
    <x v="45"/>
    <x v="0"/>
    <n v="200"/>
    <x v="0"/>
  </r>
  <r>
    <s v="P943"/>
    <n v="82"/>
    <x v="2"/>
    <x v="2"/>
    <s v="Hypertension"/>
    <s v="BRCA1 Mutation"/>
    <s v="T005"/>
    <x v="0"/>
    <x v="2"/>
    <s v="4/13/2022"/>
    <s v="11/13/2022"/>
    <s v="150mg"/>
    <s v="Dizziness, Headache, Nausea"/>
    <s v="TR0098"/>
    <s v="150mg"/>
    <x v="1"/>
    <x v="1"/>
    <x v="32"/>
    <n v="0"/>
    <x v="3"/>
    <x v="0"/>
    <n v="4.79"/>
    <n v="1.88"/>
    <x v="60"/>
    <n v="19.600000000000001"/>
    <x v="124"/>
    <x v="2"/>
    <n v="150"/>
    <x v="2"/>
  </r>
  <r>
    <s v="P944"/>
    <n v="62"/>
    <x v="2"/>
    <x v="1"/>
    <s v="Asthma"/>
    <s v="Not Reported"/>
    <s v="T007"/>
    <x v="0"/>
    <x v="2"/>
    <s v="1/23/2023"/>
    <s v="7/23/2023"/>
    <s v="150mg"/>
    <s v="Not Reported, Headache, Nausea"/>
    <s v="TR0094"/>
    <s v="150mg"/>
    <x v="2"/>
    <x v="4"/>
    <x v="26"/>
    <n v="0"/>
    <x v="0"/>
    <x v="0"/>
    <n v="3.43"/>
    <n v="2.78"/>
    <x v="20"/>
    <n v="10.1"/>
    <x v="98"/>
    <x v="2"/>
    <n v="150"/>
    <x v="1"/>
  </r>
  <r>
    <s v="P945"/>
    <n v="60"/>
    <x v="1"/>
    <x v="3"/>
    <s v="Diabetes"/>
    <s v="Not Reported"/>
    <s v="T019"/>
    <x v="2"/>
    <x v="3"/>
    <s v="2/4/2021"/>
    <s v="2/4/2022"/>
    <s v="150mg"/>
    <s v="Headache"/>
    <s v="TR0174"/>
    <s v="150mg"/>
    <x v="2"/>
    <x v="3"/>
    <x v="2"/>
    <n v="0"/>
    <x v="2"/>
    <x v="0"/>
    <n v="2.2000000000000002"/>
    <n v="2.9"/>
    <x v="28"/>
    <n v="12.4"/>
    <x v="59"/>
    <x v="2"/>
    <n v="150"/>
    <x v="1"/>
  </r>
  <r>
    <s v="P946"/>
    <n v="78"/>
    <x v="1"/>
    <x v="4"/>
    <s v="Asthma"/>
    <s v="BRCA2 Mutation"/>
    <s v="T018"/>
    <x v="3"/>
    <x v="0"/>
    <s v="1/11/2022"/>
    <s v="10/11/2022"/>
    <s v="150mg"/>
    <s v="Dizziness"/>
    <s v="TR0022"/>
    <s v="150mg"/>
    <x v="1"/>
    <x v="4"/>
    <x v="0"/>
    <n v="0"/>
    <x v="3"/>
    <x v="1"/>
    <n v="1.23"/>
    <n v="3.33"/>
    <x v="64"/>
    <n v="8.6999999999999993"/>
    <x v="68"/>
    <x v="2"/>
    <n v="150"/>
    <x v="2"/>
  </r>
  <r>
    <s v="P947"/>
    <n v="27"/>
    <x v="0"/>
    <x v="2"/>
    <s v="Heart Disease"/>
    <s v="Not Reported"/>
    <s v="T015"/>
    <x v="0"/>
    <x v="2"/>
    <s v="9/28/2021"/>
    <s v="1/28/2023"/>
    <s v="150mg"/>
    <s v="Not Reported, Nausea"/>
    <s v="TR0096"/>
    <s v="150mg"/>
    <x v="0"/>
    <x v="3"/>
    <x v="54"/>
    <n v="1"/>
    <x v="2"/>
    <x v="0"/>
    <n v="3.66"/>
    <n v="2.68"/>
    <x v="70"/>
    <n v="13.4"/>
    <x v="148"/>
    <x v="2"/>
    <n v="150"/>
    <x v="0"/>
  </r>
  <r>
    <s v="P948"/>
    <n v="35"/>
    <x v="1"/>
    <x v="4"/>
    <s v="Hypertension"/>
    <s v="HER2 Mutation"/>
    <s v="T014"/>
    <x v="2"/>
    <x v="0"/>
    <s v="9/28/2020"/>
    <s v="4/28/2021"/>
    <s v="150mg"/>
    <s v="Not Reported, Dizziness, Fatigue"/>
    <s v="TR0030"/>
    <s v="150mg"/>
    <x v="2"/>
    <x v="2"/>
    <x v="131"/>
    <n v="0"/>
    <x v="2"/>
    <x v="1"/>
    <n v="1.03"/>
    <n v="3.77"/>
    <x v="9"/>
    <n v="6.7"/>
    <x v="160"/>
    <x v="2"/>
    <n v="150"/>
    <x v="3"/>
  </r>
  <r>
    <s v="P949"/>
    <n v="45"/>
    <x v="0"/>
    <x v="1"/>
    <s v="Asthma"/>
    <s v="Not Reported"/>
    <s v="T002"/>
    <x v="3"/>
    <x v="0"/>
    <s v="5/23/2022"/>
    <s v="11/23/2023"/>
    <s v="50mg"/>
    <s v="Fatigue, Dizziness, Not Reported"/>
    <s v="TR0138"/>
    <s v="50mg"/>
    <x v="1"/>
    <x v="2"/>
    <x v="63"/>
    <n v="0"/>
    <x v="1"/>
    <x v="1"/>
    <n v="4.92"/>
    <n v="2.68"/>
    <x v="69"/>
    <n v="22.4"/>
    <x v="118"/>
    <x v="3"/>
    <n v="50"/>
    <x v="3"/>
  </r>
  <r>
    <s v="P950"/>
    <n v="58"/>
    <x v="1"/>
    <x v="2"/>
    <s v="Diabetes"/>
    <s v="Not Reported"/>
    <s v="T011"/>
    <x v="3"/>
    <x v="2"/>
    <s v="2/15/2022"/>
    <s v="12/15/2022"/>
    <s v="100mg"/>
    <s v="Headache"/>
    <s v="TR0142"/>
    <s v="100mg"/>
    <x v="2"/>
    <x v="3"/>
    <x v="21"/>
    <n v="0"/>
    <x v="1"/>
    <x v="1"/>
    <n v="3.33"/>
    <n v="4.1900000000000004"/>
    <x v="67"/>
    <n v="14.2"/>
    <x v="72"/>
    <x v="1"/>
    <n v="100"/>
    <x v="1"/>
  </r>
  <r>
    <s v="P951"/>
    <n v="22"/>
    <x v="0"/>
    <x v="0"/>
    <s v="Diabetes"/>
    <s v="Not Reported"/>
    <s v="T017"/>
    <x v="1"/>
    <x v="0"/>
    <s v="9/16/2020"/>
    <s v="10/16/2021"/>
    <s v="150mg"/>
    <s v="Fatigue, Dizziness, Nausea"/>
    <s v="TR0104"/>
    <s v="150mg"/>
    <x v="1"/>
    <x v="0"/>
    <x v="26"/>
    <n v="0"/>
    <x v="3"/>
    <x v="1"/>
    <n v="2.54"/>
    <n v="4.87"/>
    <x v="70"/>
    <n v="7.5"/>
    <x v="5"/>
    <x v="2"/>
    <n v="150"/>
    <x v="0"/>
  </r>
  <r>
    <s v="P952"/>
    <n v="30"/>
    <x v="0"/>
    <x v="2"/>
    <s v="Heart Disease"/>
    <s v="BRCA1 Mutation"/>
    <s v="T012"/>
    <x v="2"/>
    <x v="0"/>
    <s v="3/18/2019"/>
    <s v="11/18/2019"/>
    <s v="200mg"/>
    <s v="Not Reported"/>
    <s v="TR0068"/>
    <s v="200mg"/>
    <x v="0"/>
    <x v="3"/>
    <x v="56"/>
    <n v="1"/>
    <x v="3"/>
    <x v="0"/>
    <n v="2.92"/>
    <n v="1.28"/>
    <x v="34"/>
    <n v="13.5"/>
    <x v="9"/>
    <x v="0"/>
    <n v="200"/>
    <x v="0"/>
  </r>
  <r>
    <s v="P953"/>
    <n v="47"/>
    <x v="0"/>
    <x v="1"/>
    <s v="Hypertension"/>
    <s v="Not Reported"/>
    <s v="T012"/>
    <x v="3"/>
    <x v="0"/>
    <s v="1/9/2020"/>
    <s v="7/9/2021"/>
    <s v="150mg"/>
    <s v="Nausea"/>
    <s v="TR0015"/>
    <s v="150mg"/>
    <x v="2"/>
    <x v="0"/>
    <x v="15"/>
    <n v="0"/>
    <x v="3"/>
    <x v="0"/>
    <n v="1.82"/>
    <n v="4.3099999999999996"/>
    <x v="10"/>
    <n v="7"/>
    <x v="164"/>
    <x v="2"/>
    <n v="150"/>
    <x v="3"/>
  </r>
  <r>
    <s v="P954"/>
    <n v="38"/>
    <x v="1"/>
    <x v="0"/>
    <s v="Diabetes"/>
    <s v="Not Reported"/>
    <s v="T003"/>
    <x v="1"/>
    <x v="0"/>
    <s v="5/4/2023"/>
    <s v="9/4/2024"/>
    <s v="100mg"/>
    <s v="Not Reported"/>
    <s v="TR0140"/>
    <s v="100mg"/>
    <x v="1"/>
    <x v="3"/>
    <x v="22"/>
    <n v="0"/>
    <x v="2"/>
    <x v="1"/>
    <n v="3.05"/>
    <n v="2.16"/>
    <x v="31"/>
    <n v="21.4"/>
    <x v="162"/>
    <x v="1"/>
    <n v="100"/>
    <x v="3"/>
  </r>
  <r>
    <s v="P955"/>
    <n v="37"/>
    <x v="2"/>
    <x v="3"/>
    <s v="Not Reported"/>
    <s v="Not Reported"/>
    <s v="T019"/>
    <x v="3"/>
    <x v="2"/>
    <s v="3/12/2020"/>
    <s v="10/12/2020"/>
    <s v="200mg"/>
    <s v="Fatigue, Dizziness"/>
    <s v="TR0075"/>
    <s v="200mg"/>
    <x v="0"/>
    <x v="4"/>
    <x v="150"/>
    <n v="1"/>
    <x v="0"/>
    <x v="1"/>
    <n v="1.77"/>
    <n v="1.52"/>
    <x v="54"/>
    <n v="20"/>
    <x v="141"/>
    <x v="0"/>
    <n v="200"/>
    <x v="3"/>
  </r>
  <r>
    <s v="P956"/>
    <n v="30"/>
    <x v="0"/>
    <x v="1"/>
    <s v="Heart Disease"/>
    <s v="BRCA2 Mutation"/>
    <s v="T010"/>
    <x v="3"/>
    <x v="0"/>
    <s v="12/13/2019"/>
    <s v="9/13/2020"/>
    <s v="50mg"/>
    <s v="Nausea, Fatigue"/>
    <s v="TR0140"/>
    <s v="50mg"/>
    <x v="1"/>
    <x v="0"/>
    <x v="146"/>
    <n v="0"/>
    <x v="3"/>
    <x v="0"/>
    <n v="1.91"/>
    <n v="1.66"/>
    <x v="30"/>
    <n v="22.9"/>
    <x v="147"/>
    <x v="3"/>
    <n v="50"/>
    <x v="0"/>
  </r>
  <r>
    <s v="P957"/>
    <n v="22"/>
    <x v="0"/>
    <x v="1"/>
    <s v="Not Reported"/>
    <s v="Not Reported"/>
    <s v="T008"/>
    <x v="3"/>
    <x v="0"/>
    <s v="2/19/2020"/>
    <s v="1/19/2021"/>
    <s v="100mg"/>
    <s v="Dizziness, Nausea"/>
    <s v="TR0003"/>
    <s v="100mg"/>
    <x v="1"/>
    <x v="0"/>
    <x v="62"/>
    <n v="0"/>
    <x v="2"/>
    <x v="1"/>
    <n v="4.95"/>
    <n v="2.94"/>
    <x v="17"/>
    <n v="22"/>
    <x v="158"/>
    <x v="1"/>
    <n v="100"/>
    <x v="0"/>
  </r>
  <r>
    <s v="P958"/>
    <n v="21"/>
    <x v="0"/>
    <x v="2"/>
    <s v="Asthma"/>
    <s v="TP53 Mutation"/>
    <s v="T019"/>
    <x v="1"/>
    <x v="1"/>
    <s v="4/20/2022"/>
    <s v="5/20/2023"/>
    <s v="50mg"/>
    <s v="Nausea"/>
    <s v="TR0168"/>
    <s v="50mg"/>
    <x v="1"/>
    <x v="1"/>
    <x v="144"/>
    <n v="0"/>
    <x v="3"/>
    <x v="0"/>
    <n v="3.84"/>
    <n v="4.93"/>
    <x v="56"/>
    <n v="7.7"/>
    <x v="118"/>
    <x v="3"/>
    <n v="50"/>
    <x v="0"/>
  </r>
  <r>
    <s v="P959"/>
    <n v="44"/>
    <x v="2"/>
    <x v="3"/>
    <s v="Heart Disease"/>
    <s v="EGFR Mutation"/>
    <s v="T016"/>
    <x v="1"/>
    <x v="0"/>
    <s v="3/6/2022"/>
    <s v="10/6/2022"/>
    <s v="50mg"/>
    <s v="Not Reported, Dizziness"/>
    <s v="TR0191"/>
    <s v="50mg"/>
    <x v="1"/>
    <x v="3"/>
    <x v="18"/>
    <n v="0"/>
    <x v="3"/>
    <x v="0"/>
    <n v="2.13"/>
    <n v="1.74"/>
    <x v="53"/>
    <n v="6.4"/>
    <x v="169"/>
    <x v="3"/>
    <n v="50"/>
    <x v="3"/>
  </r>
  <r>
    <s v="P960"/>
    <n v="26"/>
    <x v="1"/>
    <x v="2"/>
    <s v="Asthma"/>
    <s v="BRCA2 Mutation"/>
    <s v="T014"/>
    <x v="1"/>
    <x v="2"/>
    <s v="5/10/2020"/>
    <s v="11/10/2021"/>
    <s v="100mg"/>
    <s v="Not Reported"/>
    <s v="TR0037"/>
    <s v="100mg"/>
    <x v="0"/>
    <x v="0"/>
    <x v="119"/>
    <n v="1"/>
    <x v="0"/>
    <x v="1"/>
    <n v="1.54"/>
    <n v="2.87"/>
    <x v="25"/>
    <n v="13.7"/>
    <x v="73"/>
    <x v="1"/>
    <n v="100"/>
    <x v="0"/>
  </r>
  <r>
    <s v="P961"/>
    <n v="41"/>
    <x v="0"/>
    <x v="1"/>
    <s v="Not Reported"/>
    <s v="Not Reported"/>
    <s v="T005"/>
    <x v="1"/>
    <x v="3"/>
    <s v="12/27/2021"/>
    <s v="1/27/2023"/>
    <s v="200mg"/>
    <s v="Headache"/>
    <s v="TR0158"/>
    <s v="200mg"/>
    <x v="0"/>
    <x v="1"/>
    <x v="5"/>
    <n v="1"/>
    <x v="1"/>
    <x v="1"/>
    <n v="4.13"/>
    <n v="1.04"/>
    <x v="61"/>
    <n v="22.1"/>
    <x v="109"/>
    <x v="0"/>
    <n v="200"/>
    <x v="3"/>
  </r>
  <r>
    <s v="P962"/>
    <n v="58"/>
    <x v="0"/>
    <x v="4"/>
    <s v="Diabetes"/>
    <s v="BRCA1 Mutation"/>
    <s v="T015"/>
    <x v="0"/>
    <x v="1"/>
    <s v="5/12/2020"/>
    <s v="10/12/2021"/>
    <s v="150mg"/>
    <s v="Dizziness, Not Reported, Nausea"/>
    <s v="TR0098"/>
    <s v="150mg"/>
    <x v="0"/>
    <x v="1"/>
    <x v="21"/>
    <n v="1"/>
    <x v="3"/>
    <x v="0"/>
    <n v="3.14"/>
    <n v="2.91"/>
    <x v="88"/>
    <n v="22"/>
    <x v="14"/>
    <x v="2"/>
    <n v="150"/>
    <x v="1"/>
  </r>
  <r>
    <s v="P963"/>
    <n v="58"/>
    <x v="2"/>
    <x v="1"/>
    <s v="Hypertension"/>
    <s v="HER2 Mutation"/>
    <s v="T018"/>
    <x v="3"/>
    <x v="3"/>
    <s v="9/14/2023"/>
    <s v="7/14/2024"/>
    <s v="200mg"/>
    <s v="Headache, Dizziness, Nausea"/>
    <s v="TR0055"/>
    <s v="200mg"/>
    <x v="1"/>
    <x v="0"/>
    <x v="51"/>
    <n v="0"/>
    <x v="3"/>
    <x v="1"/>
    <n v="2.34"/>
    <n v="3.46"/>
    <x v="15"/>
    <n v="23.3"/>
    <x v="142"/>
    <x v="0"/>
    <n v="200"/>
    <x v="1"/>
  </r>
  <r>
    <s v="P964"/>
    <n v="57"/>
    <x v="1"/>
    <x v="0"/>
    <s v="Hypertension"/>
    <s v="Not Reported"/>
    <s v="T008"/>
    <x v="3"/>
    <x v="1"/>
    <s v="2/19/2023"/>
    <s v="8/19/2023"/>
    <s v="200mg"/>
    <s v="Dizziness, Fatigue"/>
    <s v="TR0022"/>
    <s v="200mg"/>
    <x v="1"/>
    <x v="4"/>
    <x v="149"/>
    <n v="0"/>
    <x v="3"/>
    <x v="1"/>
    <n v="2.81"/>
    <n v="2.11"/>
    <x v="78"/>
    <n v="8.6"/>
    <x v="93"/>
    <x v="0"/>
    <n v="200"/>
    <x v="1"/>
  </r>
  <r>
    <s v="P965"/>
    <n v="85"/>
    <x v="0"/>
    <x v="3"/>
    <s v="Heart Disease"/>
    <s v="Not Reported"/>
    <s v="T005"/>
    <x v="2"/>
    <x v="3"/>
    <s v="5/18/2020"/>
    <s v="3/18/2021"/>
    <s v="200mg"/>
    <s v="Headache, Nausea"/>
    <s v="TR0130"/>
    <s v="200mg"/>
    <x v="0"/>
    <x v="3"/>
    <x v="42"/>
    <n v="1"/>
    <x v="2"/>
    <x v="1"/>
    <n v="2.13"/>
    <n v="2.12"/>
    <x v="14"/>
    <n v="24"/>
    <x v="139"/>
    <x v="0"/>
    <n v="200"/>
    <x v="2"/>
  </r>
  <r>
    <s v="P966"/>
    <n v="58"/>
    <x v="1"/>
    <x v="3"/>
    <s v="Diabetes"/>
    <s v="BRCA1 Mutation"/>
    <s v="T006"/>
    <x v="1"/>
    <x v="2"/>
    <s v="12/24/2020"/>
    <s v="1/24/2022"/>
    <s v="100mg"/>
    <s v="Not Reported"/>
    <s v="TR0085"/>
    <s v="100mg"/>
    <x v="0"/>
    <x v="1"/>
    <x v="94"/>
    <n v="1"/>
    <x v="3"/>
    <x v="0"/>
    <n v="3.31"/>
    <n v="1.33"/>
    <x v="26"/>
    <n v="13.9"/>
    <x v="142"/>
    <x v="1"/>
    <n v="100"/>
    <x v="1"/>
  </r>
  <r>
    <s v="P967"/>
    <n v="20"/>
    <x v="0"/>
    <x v="1"/>
    <s v="Heart Disease"/>
    <s v="TP53 Mutation"/>
    <s v="T013"/>
    <x v="3"/>
    <x v="2"/>
    <s v="2/20/2023"/>
    <s v="8/20/2023"/>
    <s v="50mg"/>
    <s v="Dizziness, Nausea, Headache"/>
    <s v="TR0065"/>
    <s v="50mg"/>
    <x v="0"/>
    <x v="0"/>
    <x v="75"/>
    <n v="1"/>
    <x v="3"/>
    <x v="0"/>
    <n v="2.04"/>
    <n v="2.27"/>
    <x v="87"/>
    <n v="11.5"/>
    <x v="114"/>
    <x v="3"/>
    <n v="50"/>
    <x v="0"/>
  </r>
  <r>
    <s v="P968"/>
    <n v="67"/>
    <x v="2"/>
    <x v="4"/>
    <s v="Diabetes"/>
    <s v="HER2 Mutation"/>
    <s v="T007"/>
    <x v="3"/>
    <x v="0"/>
    <s v="1/13/2023"/>
    <s v="7/13/2023"/>
    <s v="150mg"/>
    <s v="Dizziness, Nausea"/>
    <s v="TR0141"/>
    <s v="150mg"/>
    <x v="1"/>
    <x v="0"/>
    <x v="40"/>
    <n v="0"/>
    <x v="1"/>
    <x v="0"/>
    <n v="4.78"/>
    <n v="2.34"/>
    <x v="41"/>
    <n v="22.4"/>
    <x v="146"/>
    <x v="2"/>
    <n v="150"/>
    <x v="2"/>
  </r>
  <r>
    <s v="P969"/>
    <n v="23"/>
    <x v="0"/>
    <x v="2"/>
    <s v="Heart Disease"/>
    <s v="Not Reported"/>
    <s v="T019"/>
    <x v="0"/>
    <x v="2"/>
    <s v="7/4/2020"/>
    <s v="2/4/2021"/>
    <s v="100mg"/>
    <s v="Nausea, Dizziness"/>
    <s v="TR0134"/>
    <s v="100mg"/>
    <x v="0"/>
    <x v="4"/>
    <x v="74"/>
    <n v="1"/>
    <x v="2"/>
    <x v="1"/>
    <n v="4.24"/>
    <n v="4.79"/>
    <x v="87"/>
    <n v="8.9"/>
    <x v="150"/>
    <x v="1"/>
    <n v="100"/>
    <x v="0"/>
  </r>
  <r>
    <s v="P970"/>
    <n v="51"/>
    <x v="1"/>
    <x v="1"/>
    <s v="Diabetes"/>
    <s v="Not Reported"/>
    <s v="T010"/>
    <x v="2"/>
    <x v="1"/>
    <s v="11/9/2020"/>
    <s v="5/9/2022"/>
    <s v="50mg"/>
    <s v="Not Reported"/>
    <s v="TR0053"/>
    <s v="50mg"/>
    <x v="1"/>
    <x v="1"/>
    <x v="48"/>
    <n v="0"/>
    <x v="1"/>
    <x v="1"/>
    <n v="3.15"/>
    <n v="1.06"/>
    <x v="40"/>
    <n v="14.1"/>
    <x v="90"/>
    <x v="3"/>
    <n v="50"/>
    <x v="1"/>
  </r>
  <r>
    <s v="P971"/>
    <n v="21"/>
    <x v="1"/>
    <x v="0"/>
    <s v="Asthma"/>
    <s v="Not Reported"/>
    <s v="T020"/>
    <x v="0"/>
    <x v="3"/>
    <s v="12/9/2023"/>
    <s v="12/9/2024"/>
    <s v="200mg"/>
    <s v="Fatigue, Nausea"/>
    <s v="TR0025"/>
    <s v="200mg"/>
    <x v="0"/>
    <x v="2"/>
    <x v="64"/>
    <n v="1"/>
    <x v="4"/>
    <x v="0"/>
    <n v="3.93"/>
    <n v="4.9800000000000004"/>
    <x v="90"/>
    <n v="15.7"/>
    <x v="53"/>
    <x v="0"/>
    <n v="200"/>
    <x v="0"/>
  </r>
  <r>
    <s v="P972"/>
    <n v="35"/>
    <x v="2"/>
    <x v="1"/>
    <s v="Hypertension"/>
    <s v="Not Reported"/>
    <s v="T005"/>
    <x v="2"/>
    <x v="2"/>
    <s v="8/20/2023"/>
    <s v="2/20/2025"/>
    <s v="150mg"/>
    <s v="Fatigue"/>
    <s v="TR0101"/>
    <s v="150mg"/>
    <x v="0"/>
    <x v="3"/>
    <x v="141"/>
    <n v="1"/>
    <x v="4"/>
    <x v="0"/>
    <n v="2.62"/>
    <n v="1.68"/>
    <x v="84"/>
    <n v="21.4"/>
    <x v="23"/>
    <x v="2"/>
    <n v="150"/>
    <x v="3"/>
  </r>
  <r>
    <s v="P973"/>
    <n v="81"/>
    <x v="1"/>
    <x v="0"/>
    <s v="Diabetes"/>
    <s v="TP53 Mutation"/>
    <s v="T007"/>
    <x v="3"/>
    <x v="3"/>
    <s v="4/12/2020"/>
    <s v="5/12/2021"/>
    <s v="50mg"/>
    <s v="Not Reported"/>
    <s v="TR0023"/>
    <s v="50mg"/>
    <x v="0"/>
    <x v="2"/>
    <x v="113"/>
    <n v="1"/>
    <x v="2"/>
    <x v="0"/>
    <n v="3.41"/>
    <n v="1.91"/>
    <x v="34"/>
    <n v="18.5"/>
    <x v="125"/>
    <x v="3"/>
    <n v="50"/>
    <x v="2"/>
  </r>
  <r>
    <s v="P974"/>
    <n v="60"/>
    <x v="0"/>
    <x v="1"/>
    <s v="Hypertension"/>
    <s v="Not Reported"/>
    <s v="T003"/>
    <x v="2"/>
    <x v="3"/>
    <s v="10/1/2021"/>
    <s v="8/1/2022"/>
    <s v="200mg"/>
    <s v="Nausea"/>
    <s v="TR0016"/>
    <s v="200mg"/>
    <x v="1"/>
    <x v="2"/>
    <x v="46"/>
    <n v="0"/>
    <x v="0"/>
    <x v="0"/>
    <n v="4.96"/>
    <n v="3.45"/>
    <x v="18"/>
    <n v="19.899999999999999"/>
    <x v="67"/>
    <x v="0"/>
    <n v="200"/>
    <x v="1"/>
  </r>
  <r>
    <s v="P975"/>
    <n v="51"/>
    <x v="1"/>
    <x v="3"/>
    <s v="Hypertension"/>
    <s v="BRCA2 Mutation"/>
    <s v="T018"/>
    <x v="2"/>
    <x v="2"/>
    <s v="2/1/2022"/>
    <s v="9/1/2022"/>
    <s v="100mg"/>
    <s v="Fatigue"/>
    <s v="TR0146"/>
    <s v="100mg"/>
    <x v="2"/>
    <x v="0"/>
    <x v="12"/>
    <n v="0"/>
    <x v="4"/>
    <x v="0"/>
    <n v="2.54"/>
    <n v="2.39"/>
    <x v="13"/>
    <n v="20.100000000000001"/>
    <x v="31"/>
    <x v="1"/>
    <n v="100"/>
    <x v="1"/>
  </r>
  <r>
    <s v="P976"/>
    <n v="34"/>
    <x v="0"/>
    <x v="0"/>
    <s v="Heart Disease"/>
    <s v="Not Reported"/>
    <s v="T001"/>
    <x v="3"/>
    <x v="0"/>
    <s v="6/8/2022"/>
    <s v="12/8/2023"/>
    <s v="150mg"/>
    <s v="Headache, Nausea"/>
    <s v="TR0079"/>
    <s v="150mg"/>
    <x v="2"/>
    <x v="1"/>
    <x v="138"/>
    <n v="0"/>
    <x v="1"/>
    <x v="1"/>
    <n v="4.18"/>
    <n v="3.31"/>
    <x v="42"/>
    <n v="20.6"/>
    <x v="62"/>
    <x v="2"/>
    <n v="150"/>
    <x v="3"/>
  </r>
  <r>
    <s v="P977"/>
    <n v="46"/>
    <x v="2"/>
    <x v="0"/>
    <s v="Asthma"/>
    <s v="Not Reported"/>
    <s v="T001"/>
    <x v="1"/>
    <x v="1"/>
    <s v="4/1/2021"/>
    <s v="3/1/2022"/>
    <s v="200mg"/>
    <s v="Fatigue, Not Reported, Dizziness"/>
    <s v="TR0039"/>
    <s v="200mg"/>
    <x v="1"/>
    <x v="1"/>
    <x v="103"/>
    <n v="0"/>
    <x v="2"/>
    <x v="1"/>
    <n v="1.9"/>
    <n v="3.02"/>
    <x v="40"/>
    <n v="6.2"/>
    <x v="129"/>
    <x v="0"/>
    <n v="200"/>
    <x v="3"/>
  </r>
  <r>
    <s v="P978"/>
    <n v="28"/>
    <x v="1"/>
    <x v="3"/>
    <s v="Heart Disease"/>
    <s v="TP53 Mutation"/>
    <s v="T004"/>
    <x v="2"/>
    <x v="0"/>
    <s v="7/15/2020"/>
    <s v="1/15/2021"/>
    <s v="200mg"/>
    <s v="Headache, Not Reported"/>
    <s v="TR0179"/>
    <s v="200mg"/>
    <x v="1"/>
    <x v="1"/>
    <x v="37"/>
    <n v="0"/>
    <x v="4"/>
    <x v="0"/>
    <n v="3.04"/>
    <n v="2.78"/>
    <x v="4"/>
    <n v="16.3"/>
    <x v="5"/>
    <x v="0"/>
    <n v="200"/>
    <x v="0"/>
  </r>
  <r>
    <s v="P979"/>
    <n v="74"/>
    <x v="1"/>
    <x v="1"/>
    <s v="Asthma"/>
    <s v="Not Reported"/>
    <s v="T009"/>
    <x v="0"/>
    <x v="0"/>
    <s v="2/22/2022"/>
    <s v="10/22/2022"/>
    <s v="50mg"/>
    <s v="Fatigue, Not Reported, Nausea"/>
    <s v="TR0010"/>
    <s v="50mg"/>
    <x v="1"/>
    <x v="3"/>
    <x v="63"/>
    <n v="0"/>
    <x v="4"/>
    <x v="1"/>
    <n v="1.56"/>
    <n v="3.28"/>
    <x v="67"/>
    <n v="16.5"/>
    <x v="118"/>
    <x v="3"/>
    <n v="50"/>
    <x v="2"/>
  </r>
  <r>
    <s v="P980"/>
    <n v="56"/>
    <x v="0"/>
    <x v="4"/>
    <s v="Diabetes"/>
    <s v="TP53 Mutation"/>
    <s v="T007"/>
    <x v="0"/>
    <x v="1"/>
    <s v="12/14/2021"/>
    <s v="5/14/2023"/>
    <s v="200mg"/>
    <s v="Fatigue, Nausea, Headache"/>
    <s v="TR0023"/>
    <s v="200mg"/>
    <x v="1"/>
    <x v="0"/>
    <x v="86"/>
    <n v="0"/>
    <x v="2"/>
    <x v="1"/>
    <n v="2.4900000000000002"/>
    <n v="1.37"/>
    <x v="83"/>
    <n v="13.1"/>
    <x v="5"/>
    <x v="0"/>
    <n v="200"/>
    <x v="1"/>
  </r>
  <r>
    <s v="P981"/>
    <n v="38"/>
    <x v="1"/>
    <x v="0"/>
    <s v="Heart Disease"/>
    <s v="Not Reported"/>
    <s v="T001"/>
    <x v="3"/>
    <x v="3"/>
    <s v="11/27/2021"/>
    <s v="6/27/2022"/>
    <s v="50mg"/>
    <s v="Dizziness"/>
    <s v="TR0127"/>
    <s v="50mg"/>
    <x v="0"/>
    <x v="2"/>
    <x v="83"/>
    <n v="1"/>
    <x v="3"/>
    <x v="0"/>
    <n v="1.98"/>
    <n v="4.87"/>
    <x v="78"/>
    <n v="10.5"/>
    <x v="11"/>
    <x v="3"/>
    <n v="50"/>
    <x v="3"/>
  </r>
  <r>
    <s v="P982"/>
    <n v="77"/>
    <x v="0"/>
    <x v="2"/>
    <s v="Asthma"/>
    <s v="BRCA2 Mutation"/>
    <s v="T011"/>
    <x v="0"/>
    <x v="2"/>
    <s v="9/17/2019"/>
    <s v="7/17/2020"/>
    <s v="200mg"/>
    <s v="Nausea, Headache, Fatigue"/>
    <s v="TR0067"/>
    <s v="200mg"/>
    <x v="0"/>
    <x v="4"/>
    <x v="93"/>
    <n v="1"/>
    <x v="3"/>
    <x v="0"/>
    <n v="4.58"/>
    <n v="4.87"/>
    <x v="71"/>
    <n v="11.8"/>
    <x v="113"/>
    <x v="0"/>
    <n v="200"/>
    <x v="2"/>
  </r>
  <r>
    <s v="P983"/>
    <n v="41"/>
    <x v="0"/>
    <x v="4"/>
    <s v="Not Reported"/>
    <s v="TP53 Mutation"/>
    <s v="T003"/>
    <x v="2"/>
    <x v="2"/>
    <s v="2/23/2019"/>
    <s v="2/23/2020"/>
    <s v="50mg"/>
    <s v="Dizziness, Headache"/>
    <s v="TR0002"/>
    <s v="50mg"/>
    <x v="0"/>
    <x v="0"/>
    <x v="138"/>
    <n v="1"/>
    <x v="3"/>
    <x v="1"/>
    <n v="3.75"/>
    <n v="2.09"/>
    <x v="55"/>
    <n v="6.9"/>
    <x v="2"/>
    <x v="3"/>
    <n v="50"/>
    <x v="3"/>
  </r>
  <r>
    <s v="P984"/>
    <n v="24"/>
    <x v="0"/>
    <x v="4"/>
    <s v="Diabetes"/>
    <s v="BRCA2 Mutation"/>
    <s v="T004"/>
    <x v="3"/>
    <x v="1"/>
    <s v="2/26/2019"/>
    <s v="12/26/2019"/>
    <s v="50mg"/>
    <s v="Fatigue"/>
    <s v="TR0077"/>
    <s v="50mg"/>
    <x v="1"/>
    <x v="3"/>
    <x v="25"/>
    <n v="0"/>
    <x v="3"/>
    <x v="1"/>
    <n v="2.5499999999999998"/>
    <n v="2.41"/>
    <x v="0"/>
    <n v="14.8"/>
    <x v="96"/>
    <x v="3"/>
    <n v="50"/>
    <x v="0"/>
  </r>
  <r>
    <s v="P985"/>
    <n v="30"/>
    <x v="2"/>
    <x v="3"/>
    <s v="Heart Disease"/>
    <s v="BRCA1 Mutation"/>
    <s v="T013"/>
    <x v="2"/>
    <x v="3"/>
    <s v="1/24/2023"/>
    <s v="3/24/2024"/>
    <s v="150mg"/>
    <s v="Dizziness"/>
    <s v="TR0166"/>
    <s v="150mg"/>
    <x v="1"/>
    <x v="0"/>
    <x v="135"/>
    <n v="0"/>
    <x v="4"/>
    <x v="1"/>
    <n v="1.77"/>
    <n v="2.2400000000000002"/>
    <x v="84"/>
    <n v="13.4"/>
    <x v="75"/>
    <x v="2"/>
    <n v="150"/>
    <x v="0"/>
  </r>
  <r>
    <s v="P986"/>
    <n v="19"/>
    <x v="2"/>
    <x v="2"/>
    <s v="Hypertension"/>
    <s v="HER2 Mutation"/>
    <s v="T011"/>
    <x v="2"/>
    <x v="3"/>
    <s v="3/23/2023"/>
    <s v="10/23/2023"/>
    <s v="50mg"/>
    <s v="Fatigue, Headache"/>
    <s v="TR0134"/>
    <s v="50mg"/>
    <x v="2"/>
    <x v="3"/>
    <x v="124"/>
    <n v="0"/>
    <x v="0"/>
    <x v="1"/>
    <n v="3.31"/>
    <n v="4.93"/>
    <x v="7"/>
    <n v="18.3"/>
    <x v="118"/>
    <x v="3"/>
    <n v="50"/>
    <x v="0"/>
  </r>
  <r>
    <s v="P987"/>
    <n v="25"/>
    <x v="2"/>
    <x v="4"/>
    <s v="Asthma"/>
    <s v="HER2 Mutation"/>
    <s v="T004"/>
    <x v="3"/>
    <x v="1"/>
    <s v="12/17/2023"/>
    <s v="7/17/2024"/>
    <s v="200mg"/>
    <s v="Fatigue"/>
    <s v="TR0052"/>
    <s v="200mg"/>
    <x v="2"/>
    <x v="2"/>
    <x v="22"/>
    <n v="0"/>
    <x v="1"/>
    <x v="1"/>
    <n v="3.43"/>
    <n v="1.35"/>
    <x v="23"/>
    <n v="7.2"/>
    <x v="57"/>
    <x v="0"/>
    <n v="200"/>
    <x v="0"/>
  </r>
  <r>
    <s v="P988"/>
    <n v="79"/>
    <x v="1"/>
    <x v="2"/>
    <s v="Heart Disease"/>
    <s v="TP53 Mutation"/>
    <s v="T008"/>
    <x v="1"/>
    <x v="0"/>
    <s v="9/28/2022"/>
    <s v="4/28/2023"/>
    <s v="50mg"/>
    <s v="Not Reported"/>
    <s v="TR0141"/>
    <s v="50mg"/>
    <x v="0"/>
    <x v="2"/>
    <x v="136"/>
    <n v="1"/>
    <x v="4"/>
    <x v="1"/>
    <n v="3.96"/>
    <n v="1.84"/>
    <x v="59"/>
    <n v="6.5"/>
    <x v="4"/>
    <x v="3"/>
    <n v="50"/>
    <x v="2"/>
  </r>
  <r>
    <s v="P989"/>
    <n v="82"/>
    <x v="0"/>
    <x v="2"/>
    <s v="Diabetes"/>
    <s v="Not Reported"/>
    <s v="T010"/>
    <x v="2"/>
    <x v="2"/>
    <s v="7/6/2020"/>
    <s v="3/6/2021"/>
    <s v="50mg"/>
    <s v="Dizziness, Nausea"/>
    <s v="TR0099"/>
    <s v="50mg"/>
    <x v="2"/>
    <x v="0"/>
    <x v="142"/>
    <n v="0"/>
    <x v="4"/>
    <x v="1"/>
    <n v="2.84"/>
    <n v="1.87"/>
    <x v="12"/>
    <n v="23.2"/>
    <x v="119"/>
    <x v="3"/>
    <n v="50"/>
    <x v="2"/>
  </r>
  <r>
    <s v="P990"/>
    <n v="51"/>
    <x v="1"/>
    <x v="3"/>
    <s v="Hypertension"/>
    <s v="HER2 Mutation"/>
    <s v="T012"/>
    <x v="1"/>
    <x v="0"/>
    <s v="12/4/2023"/>
    <s v="9/4/2024"/>
    <s v="150mg"/>
    <s v="Fatigue, Nausea, Dizziness"/>
    <s v="TR0015"/>
    <s v="150mg"/>
    <x v="2"/>
    <x v="3"/>
    <x v="20"/>
    <n v="0"/>
    <x v="4"/>
    <x v="0"/>
    <n v="1.8"/>
    <n v="2.39"/>
    <x v="35"/>
    <n v="15.8"/>
    <x v="16"/>
    <x v="2"/>
    <n v="150"/>
    <x v="1"/>
  </r>
  <r>
    <s v="P991"/>
    <n v="67"/>
    <x v="0"/>
    <x v="2"/>
    <s v="Asthma"/>
    <s v="Not Reported"/>
    <s v="T007"/>
    <x v="2"/>
    <x v="3"/>
    <s v="11/17/2019"/>
    <s v="5/17/2021"/>
    <s v="150mg"/>
    <s v="Not Reported"/>
    <s v="TR0055"/>
    <s v="150mg"/>
    <x v="2"/>
    <x v="3"/>
    <x v="105"/>
    <n v="0"/>
    <x v="0"/>
    <x v="0"/>
    <n v="2.16"/>
    <n v="1.96"/>
    <x v="22"/>
    <n v="13.4"/>
    <x v="78"/>
    <x v="2"/>
    <n v="150"/>
    <x v="2"/>
  </r>
  <r>
    <s v="P992"/>
    <n v="54"/>
    <x v="2"/>
    <x v="0"/>
    <s v="Heart Disease"/>
    <s v="BRCA1 Mutation"/>
    <s v="T001"/>
    <x v="0"/>
    <x v="1"/>
    <s v="10/26/2022"/>
    <s v="4/26/2024"/>
    <s v="50mg"/>
    <s v="Not Reported"/>
    <s v="TR0059"/>
    <s v="50mg"/>
    <x v="0"/>
    <x v="1"/>
    <x v="93"/>
    <n v="1"/>
    <x v="4"/>
    <x v="0"/>
    <n v="1.87"/>
    <n v="2.4700000000000002"/>
    <x v="88"/>
    <n v="23.6"/>
    <x v="145"/>
    <x v="3"/>
    <n v="50"/>
    <x v="1"/>
  </r>
  <r>
    <s v="P993"/>
    <n v="66"/>
    <x v="1"/>
    <x v="0"/>
    <s v="Heart Disease"/>
    <s v="Not Reported"/>
    <s v="T010"/>
    <x v="3"/>
    <x v="2"/>
    <s v="11/28/2020"/>
    <s v="2/28/2022"/>
    <s v="150mg"/>
    <s v="Not Reported"/>
    <s v="TR0141"/>
    <s v="150mg"/>
    <x v="0"/>
    <x v="3"/>
    <x v="75"/>
    <n v="1"/>
    <x v="4"/>
    <x v="0"/>
    <n v="4.2"/>
    <n v="1.97"/>
    <x v="32"/>
    <n v="11.7"/>
    <x v="87"/>
    <x v="2"/>
    <n v="150"/>
    <x v="2"/>
  </r>
  <r>
    <s v="P994"/>
    <n v="33"/>
    <x v="1"/>
    <x v="3"/>
    <s v="Asthma"/>
    <s v="BRCA2 Mutation"/>
    <s v="T016"/>
    <x v="3"/>
    <x v="1"/>
    <s v="8/8/2021"/>
    <s v="10/8/2022"/>
    <s v="150mg"/>
    <s v="Nausea, Fatigue"/>
    <s v="TR0140"/>
    <s v="150mg"/>
    <x v="0"/>
    <x v="0"/>
    <x v="18"/>
    <n v="1"/>
    <x v="4"/>
    <x v="0"/>
    <n v="3.02"/>
    <n v="4.1100000000000003"/>
    <x v="77"/>
    <n v="21.2"/>
    <x v="36"/>
    <x v="2"/>
    <n v="150"/>
    <x v="3"/>
  </r>
  <r>
    <s v="P995"/>
    <n v="35"/>
    <x v="0"/>
    <x v="1"/>
    <s v="Not Reported"/>
    <s v="Not Reported"/>
    <s v="T016"/>
    <x v="1"/>
    <x v="3"/>
    <s v="5/5/2021"/>
    <s v="5/5/2022"/>
    <s v="50mg"/>
    <s v="Dizziness, Headache, Nausea"/>
    <s v="TR0059"/>
    <s v="50mg"/>
    <x v="2"/>
    <x v="0"/>
    <x v="125"/>
    <n v="0"/>
    <x v="0"/>
    <x v="1"/>
    <n v="3.75"/>
    <n v="2.25"/>
    <x v="56"/>
    <n v="18.600000000000001"/>
    <x v="94"/>
    <x v="3"/>
    <n v="50"/>
    <x v="3"/>
  </r>
  <r>
    <s v="P996"/>
    <n v="55"/>
    <x v="1"/>
    <x v="0"/>
    <s v="Not Reported"/>
    <s v="HER2 Mutation"/>
    <s v="T015"/>
    <x v="2"/>
    <x v="1"/>
    <s v="2/15/2021"/>
    <s v="9/15/2021"/>
    <s v="50mg"/>
    <s v="Fatigue, Nausea"/>
    <s v="TR0129"/>
    <s v="50mg"/>
    <x v="1"/>
    <x v="3"/>
    <x v="115"/>
    <n v="0"/>
    <x v="1"/>
    <x v="1"/>
    <n v="2.64"/>
    <n v="2.3199999999999998"/>
    <x v="86"/>
    <n v="19.8"/>
    <x v="162"/>
    <x v="3"/>
    <n v="50"/>
    <x v="1"/>
  </r>
  <r>
    <s v="P997"/>
    <n v="79"/>
    <x v="2"/>
    <x v="4"/>
    <s v="Asthma"/>
    <s v="Not Reported"/>
    <s v="T002"/>
    <x v="2"/>
    <x v="1"/>
    <s v="6/10/2022"/>
    <s v="3/10/2023"/>
    <s v="50mg"/>
    <s v="Headache"/>
    <s v="TR0076"/>
    <s v="50mg"/>
    <x v="0"/>
    <x v="4"/>
    <x v="106"/>
    <n v="1"/>
    <x v="4"/>
    <x v="1"/>
    <n v="4.25"/>
    <n v="2.1800000000000002"/>
    <x v="71"/>
    <n v="19.100000000000001"/>
    <x v="90"/>
    <x v="3"/>
    <n v="50"/>
    <x v="2"/>
  </r>
  <r>
    <s v="P998"/>
    <n v="41"/>
    <x v="1"/>
    <x v="2"/>
    <s v="Diabetes"/>
    <s v="Not Reported"/>
    <s v="T011"/>
    <x v="0"/>
    <x v="0"/>
    <s v="7/5/2023"/>
    <s v="8/5/2024"/>
    <s v="100mg"/>
    <s v="Dizziness, Not Reported, Nausea"/>
    <s v="TR0115"/>
    <s v="100mg"/>
    <x v="1"/>
    <x v="0"/>
    <x v="86"/>
    <n v="0"/>
    <x v="0"/>
    <x v="0"/>
    <n v="4.95"/>
    <n v="1.9"/>
    <x v="9"/>
    <n v="17"/>
    <x v="130"/>
    <x v="1"/>
    <n v="100"/>
    <x v="3"/>
  </r>
  <r>
    <s v="P999"/>
    <n v="75"/>
    <x v="2"/>
    <x v="3"/>
    <s v="Diabetes"/>
    <s v="BRCA1 Mutation"/>
    <s v="T007"/>
    <x v="0"/>
    <x v="2"/>
    <s v="7/16/2023"/>
    <s v="7/16/2024"/>
    <s v="100mg"/>
    <s v="Dizziness, Fatigue"/>
    <s v="TR0056"/>
    <s v="100mg"/>
    <x v="2"/>
    <x v="0"/>
    <x v="3"/>
    <n v="0"/>
    <x v="1"/>
    <x v="0"/>
    <n v="1.63"/>
    <n v="4.01"/>
    <x v="41"/>
    <n v="10.9"/>
    <x v="72"/>
    <x v="1"/>
    <n v="100"/>
    <x v="2"/>
  </r>
  <r>
    <s v="P1000"/>
    <n v="70"/>
    <x v="2"/>
    <x v="2"/>
    <s v="Not Reported"/>
    <s v="Not Reported"/>
    <s v="T017"/>
    <x v="3"/>
    <x v="2"/>
    <s v="1/23/2020"/>
    <s v="12/23/2020"/>
    <s v="150mg"/>
    <s v="Not Reported"/>
    <s v="TR0002"/>
    <s v="150mg"/>
    <x v="1"/>
    <x v="3"/>
    <x v="135"/>
    <n v="0"/>
    <x v="2"/>
    <x v="0"/>
    <n v="2.34"/>
    <n v="3.32"/>
    <x v="64"/>
    <n v="16.2"/>
    <x v="55"/>
    <x v="2"/>
    <n v="150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P001"/>
    <n v="22"/>
    <s v="Male"/>
    <s v="African American"/>
    <s v="Heart Disease"/>
    <s v="Not Reported"/>
    <s v="T011"/>
    <x v="0"/>
    <x v="0"/>
    <s v="9/16/2023"/>
    <s v="5/16/2024"/>
    <s v="200mg"/>
    <s v="Fatigue, Nausea"/>
    <s v="TR0085"/>
    <s v="200mg"/>
    <x v="0"/>
    <s v="Headache"/>
    <n v="95"/>
    <n v="1"/>
    <s v="BRCA2"/>
    <s v="Positive"/>
    <n v="3.79"/>
    <n v="3.14"/>
    <n v="3.8"/>
    <n v="20.6"/>
    <n v="14.6"/>
    <n v="200"/>
    <n v="200"/>
  </r>
  <r>
    <s v="P002"/>
    <n v="61"/>
    <s v="Female"/>
    <s v="Other"/>
    <s v="Diabetes"/>
    <s v="HER2 Mutation"/>
    <s v="T014"/>
    <x v="0"/>
    <x v="1"/>
    <s v="11/4/2022"/>
    <s v="7/4/2023"/>
    <s v="100mg"/>
    <s v="Not Reported, Fatigue"/>
    <s v="TR0002"/>
    <s v="100mg"/>
    <x v="1"/>
    <s v="Headache"/>
    <n v="90"/>
    <n v="0"/>
    <s v="HER2"/>
    <s v="Negative"/>
    <n v="1.65"/>
    <n v="4.6399999999999997"/>
    <n v="8.4"/>
    <n v="23.1"/>
    <n v="15.3"/>
    <n v="100"/>
    <n v="100"/>
  </r>
  <r>
    <s v="P003"/>
    <n v="60"/>
    <s v="Female"/>
    <s v="Other"/>
    <s v="Heart Disease"/>
    <s v="TP53 Mutation"/>
    <s v="T008"/>
    <x v="1"/>
    <x v="1"/>
    <s v="5/6/2022"/>
    <s v="5/6/2023"/>
    <s v="150mg"/>
    <s v="Nausea, Not Reported, Fatigue"/>
    <s v="TR0158"/>
    <s v="150mg"/>
    <x v="0"/>
    <s v="Fatigue"/>
    <n v="64"/>
    <n v="1"/>
    <s v="HER2"/>
    <s v="Positive"/>
    <n v="3.45"/>
    <n v="2.67"/>
    <n v="9.4"/>
    <n v="21.6"/>
    <n v="3.8"/>
    <n v="150"/>
    <n v="150"/>
  </r>
  <r>
    <s v="P004"/>
    <n v="76"/>
    <s v="Other"/>
    <s v="Other"/>
    <s v="Not Reported"/>
    <s v="EGFR Mutation"/>
    <s v="T016"/>
    <x v="2"/>
    <x v="2"/>
    <s v="2/17/2023"/>
    <s v="3/17/2024"/>
    <s v="150mg"/>
    <s v="Dizziness"/>
    <s v="TR0029"/>
    <s v="150mg"/>
    <x v="0"/>
    <s v="Dizziness"/>
    <n v="159"/>
    <n v="1"/>
    <s v="BRCA2"/>
    <s v="Positive"/>
    <n v="1.1100000000000001"/>
    <n v="2.5099999999999998"/>
    <n v="8.3000000000000007"/>
    <n v="23.8"/>
    <n v="5.6"/>
    <n v="150"/>
    <n v="150"/>
  </r>
  <r>
    <s v="P005"/>
    <n v="39"/>
    <s v="Female"/>
    <s v="Other"/>
    <s v="Asthma"/>
    <s v="BRCA2 Mutation"/>
    <s v="T019"/>
    <x v="3"/>
    <x v="1"/>
    <s v="8/26/2023"/>
    <s v="2/26/2024"/>
    <s v="200mg"/>
    <s v="Dizziness"/>
    <s v="TR0107"/>
    <s v="200mg"/>
    <x v="1"/>
    <s v="Dizziness"/>
    <n v="44"/>
    <n v="0"/>
    <s v="EGFR"/>
    <s v="Negative"/>
    <n v="3.38"/>
    <n v="2.52"/>
    <n v="9.6999999999999993"/>
    <n v="21.2"/>
    <n v="17.3"/>
    <n v="200"/>
    <n v="200"/>
  </r>
  <r>
    <s v="P006"/>
    <n v="57"/>
    <s v="Other"/>
    <s v="Caucasian"/>
    <s v="Asthma"/>
    <s v="BRCA1 Mutation"/>
    <s v="T007"/>
    <x v="1"/>
    <x v="1"/>
    <s v="6/23/2022"/>
    <s v="1/23/2023"/>
    <s v="50mg"/>
    <s v="Headache"/>
    <s v="TR0009"/>
    <s v="50mg"/>
    <x v="1"/>
    <s v="Headache"/>
    <n v="76"/>
    <n v="0"/>
    <s v="BRCA2"/>
    <s v="Negative"/>
    <n v="2.87"/>
    <n v="2.66"/>
    <n v="3.5"/>
    <n v="7"/>
    <n v="17.7"/>
    <n v="50"/>
    <n v="50"/>
  </r>
  <r>
    <s v="P007"/>
    <n v="65"/>
    <s v="Female"/>
    <s v="Hispanic"/>
    <s v="Asthma"/>
    <s v="EGFR Mutation"/>
    <s v="T005"/>
    <x v="0"/>
    <x v="1"/>
    <s v="9/13/2020"/>
    <s v="11/13/2021"/>
    <s v="100mg"/>
    <s v="Fatigue, Nausea, Headache"/>
    <s v="TR0077"/>
    <s v="100mg"/>
    <x v="1"/>
    <s v="Dizziness"/>
    <n v="138"/>
    <n v="0"/>
    <s v="EGFR"/>
    <s v="Negative"/>
    <n v="4.25"/>
    <n v="5"/>
    <n v="10"/>
    <n v="16"/>
    <n v="16.100000000000001"/>
    <n v="100"/>
    <n v="100"/>
  </r>
  <r>
    <s v="P008"/>
    <n v="47"/>
    <s v="Male"/>
    <s v="Hispanic"/>
    <s v="Not Reported"/>
    <s v="BRCA2 Mutation"/>
    <s v="T004"/>
    <x v="1"/>
    <x v="0"/>
    <s v="1/8/2023"/>
    <s v="10/8/2023"/>
    <s v="50mg"/>
    <s v="Dizziness"/>
    <s v="TR0009"/>
    <s v="50mg"/>
    <x v="1"/>
    <s v="Dizziness"/>
    <n v="42"/>
    <n v="0"/>
    <s v="BRCA2"/>
    <s v="Positive"/>
    <n v="4.78"/>
    <n v="4.4000000000000004"/>
    <n v="3.2"/>
    <n v="14.1"/>
    <n v="5.2"/>
    <n v="50"/>
    <n v="50"/>
  </r>
  <r>
    <s v="P009"/>
    <n v="69"/>
    <s v="Female"/>
    <s v="Asian"/>
    <s v="Heart Disease"/>
    <s v="BRCA1 Mutation"/>
    <s v="T005"/>
    <x v="0"/>
    <x v="2"/>
    <s v="6/19/2023"/>
    <s v="9/19/2024"/>
    <s v="150mg"/>
    <s v="Not Reported"/>
    <s v="TR0037"/>
    <s v="150mg"/>
    <x v="2"/>
    <s v="Dizziness"/>
    <n v="86"/>
    <n v="0"/>
    <s v="HER2"/>
    <s v="Negative"/>
    <n v="4.82"/>
    <n v="3.42"/>
    <n v="3.1"/>
    <n v="18.100000000000001"/>
    <n v="13.5"/>
    <n v="150"/>
    <n v="150"/>
  </r>
  <r>
    <s v="P010"/>
    <n v="53"/>
    <s v="Male"/>
    <s v="Other"/>
    <s v="Heart Disease"/>
    <s v="Not Reported"/>
    <s v="T006"/>
    <x v="3"/>
    <x v="0"/>
    <s v="6/21/2019"/>
    <s v="10/21/2020"/>
    <s v="200mg"/>
    <s v="Not Reported, Headache, Fatigue"/>
    <s v="TR0039"/>
    <s v="200mg"/>
    <x v="1"/>
    <s v="Headache"/>
    <n v="77"/>
    <n v="0"/>
    <s v="EGFR"/>
    <s v="Negative"/>
    <n v="2.4300000000000002"/>
    <n v="1.45"/>
    <n v="7"/>
    <n v="15.4"/>
    <n v="16.100000000000001"/>
    <n v="200"/>
    <n v="200"/>
  </r>
  <r>
    <s v="P011"/>
    <n v="48"/>
    <s v="Male"/>
    <s v="African American"/>
    <s v="Diabetes"/>
    <s v="Not Reported"/>
    <s v="T002"/>
    <x v="3"/>
    <x v="0"/>
    <s v="9/5/2023"/>
    <s v="9/5/2024"/>
    <s v="100mg"/>
    <s v="Fatigue, Not Reported"/>
    <s v="TR0166"/>
    <s v="100mg"/>
    <x v="0"/>
    <s v="Headache"/>
    <n v="124"/>
    <n v="1"/>
    <s v="BRCA1"/>
    <s v="Positive"/>
    <n v="3.08"/>
    <n v="4.41"/>
    <n v="6"/>
    <n v="16.100000000000001"/>
    <n v="17.899999999999999"/>
    <n v="100"/>
    <n v="100"/>
  </r>
  <r>
    <s v="P012"/>
    <n v="24"/>
    <s v="Female"/>
    <s v="Hispanic"/>
    <s v="Heart Disease"/>
    <s v="Not Reported"/>
    <s v="T003"/>
    <x v="2"/>
    <x v="2"/>
    <s v="4/28/2022"/>
    <s v="3/28/2023"/>
    <s v="150mg"/>
    <s v="Fatigue"/>
    <s v="TR0049"/>
    <s v="150mg"/>
    <x v="2"/>
    <s v="Nausea"/>
    <n v="152"/>
    <n v="0"/>
    <s v="BRCA2"/>
    <s v="Positive"/>
    <n v="2.61"/>
    <n v="1.54"/>
    <n v="1.3"/>
    <n v="19.600000000000001"/>
    <n v="13.5"/>
    <n v="150"/>
    <n v="150"/>
  </r>
  <r>
    <s v="P013"/>
    <n v="68"/>
    <s v="Male"/>
    <s v="Other"/>
    <s v="Not Reported"/>
    <s v="Not Reported"/>
    <s v="T013"/>
    <x v="3"/>
    <x v="3"/>
    <s v="5/12/2021"/>
    <s v="7/12/2022"/>
    <s v="200mg"/>
    <s v="Nausea, Headache"/>
    <s v="TR0195"/>
    <s v="200mg"/>
    <x v="1"/>
    <s v="Fatigue"/>
    <n v="124"/>
    <n v="0"/>
    <s v="TP53"/>
    <s v="Negative"/>
    <n v="3.82"/>
    <n v="1.85"/>
    <n v="2.2000000000000002"/>
    <n v="6.3"/>
    <n v="9"/>
    <n v="200"/>
    <n v="200"/>
  </r>
  <r>
    <s v="P014"/>
    <n v="23"/>
    <s v="Other"/>
    <s v="Asian"/>
    <s v="Diabetes"/>
    <s v="EGFR Mutation"/>
    <s v="T019"/>
    <x v="3"/>
    <x v="3"/>
    <s v="4/11/2020"/>
    <s v="1/11/2021"/>
    <s v="200mg"/>
    <s v="Fatigue, Headache, Not Reported"/>
    <s v="TR0168"/>
    <s v="200mg"/>
    <x v="2"/>
    <s v="Not Reported"/>
    <n v="95"/>
    <n v="0"/>
    <s v="HER2"/>
    <s v="Negative"/>
    <n v="3.36"/>
    <n v="2.57"/>
    <n v="4.9000000000000004"/>
    <n v="22.3"/>
    <n v="8.9"/>
    <n v="200"/>
    <n v="200"/>
  </r>
  <r>
    <s v="P015"/>
    <n v="76"/>
    <s v="Male"/>
    <s v="African American"/>
    <s v="Diabetes"/>
    <s v="EGFR Mutation"/>
    <s v="T016"/>
    <x v="2"/>
    <x v="1"/>
    <s v="1/27/2023"/>
    <s v="8/27/2023"/>
    <s v="50mg"/>
    <s v="Headache"/>
    <s v="TR0036"/>
    <s v="50mg"/>
    <x v="2"/>
    <s v="Fatigue"/>
    <n v="47"/>
    <n v="0"/>
    <s v="BRCA2"/>
    <s v="Positive"/>
    <n v="3.06"/>
    <n v="4.13"/>
    <n v="4.5999999999999996"/>
    <n v="17.2"/>
    <n v="17.7"/>
    <n v="50"/>
    <n v="50"/>
  </r>
  <r>
    <s v="P016"/>
    <n v="45"/>
    <s v="Other"/>
    <s v="Hispanic"/>
    <s v="Not Reported"/>
    <s v="EGFR Mutation"/>
    <s v="T016"/>
    <x v="3"/>
    <x v="1"/>
    <s v="9/18/2019"/>
    <s v="9/18/2020"/>
    <s v="50mg"/>
    <s v="Dizziness"/>
    <s v="TR0185"/>
    <s v="50mg"/>
    <x v="1"/>
    <s v="Dizziness"/>
    <n v="103"/>
    <n v="0"/>
    <s v="BRCA1"/>
    <s v="Negative"/>
    <n v="4.8"/>
    <n v="1.59"/>
    <n v="9.3000000000000007"/>
    <n v="14.9"/>
    <n v="7.4"/>
    <n v="50"/>
    <n v="50"/>
  </r>
  <r>
    <s v="P017"/>
    <n v="40"/>
    <s v="Male"/>
    <s v="Caucasian"/>
    <s v="Heart Disease"/>
    <s v="BRCA2 Mutation"/>
    <s v="T020"/>
    <x v="0"/>
    <x v="3"/>
    <s v="7/3/2021"/>
    <s v="6/3/2022"/>
    <s v="200mg"/>
    <s v="Dizziness, Fatigue"/>
    <s v="TR0179"/>
    <s v="200mg"/>
    <x v="0"/>
    <s v="Not Reported"/>
    <n v="50"/>
    <n v="1"/>
    <s v="BRCA1"/>
    <s v="Positive"/>
    <n v="2.84"/>
    <n v="4.92"/>
    <n v="5.4"/>
    <n v="11.9"/>
    <n v="13.8"/>
    <n v="200"/>
    <n v="200"/>
  </r>
  <r>
    <s v="P018"/>
    <n v="69"/>
    <s v="Female"/>
    <s v="Hispanic"/>
    <s v="Heart Disease"/>
    <s v="BRCA1 Mutation"/>
    <s v="T006"/>
    <x v="1"/>
    <x v="0"/>
    <s v="11/26/2022"/>
    <s v="10/26/2023"/>
    <s v="50mg"/>
    <s v="Nausea, Fatigue, Dizziness"/>
    <s v="TR0178"/>
    <s v="50mg"/>
    <x v="2"/>
    <s v="Headache"/>
    <n v="99"/>
    <n v="0"/>
    <s v="BRCA1"/>
    <s v="Positive"/>
    <n v="1.96"/>
    <n v="1.3"/>
    <n v="2.2000000000000002"/>
    <n v="8.3000000000000007"/>
    <n v="5.6"/>
    <n v="50"/>
    <n v="50"/>
  </r>
  <r>
    <s v="P019"/>
    <n v="53"/>
    <s v="Other"/>
    <s v="Other"/>
    <s v="Hypertension"/>
    <s v="TP53 Mutation"/>
    <s v="T001"/>
    <x v="2"/>
    <x v="2"/>
    <s v="2/10/2022"/>
    <s v="10/10/2022"/>
    <s v="100mg"/>
    <s v="Headache, Not Reported, Fatigue"/>
    <s v="TR0194"/>
    <s v="100mg"/>
    <x v="2"/>
    <s v="Fatigue"/>
    <n v="50"/>
    <n v="0"/>
    <s v="EGFR"/>
    <s v="Negative"/>
    <n v="1.56"/>
    <n v="3.56"/>
    <n v="2.6"/>
    <n v="12.2"/>
    <n v="18.2"/>
    <n v="100"/>
    <n v="100"/>
  </r>
  <r>
    <s v="P020"/>
    <n v="24"/>
    <s v="Male"/>
    <s v="Hispanic"/>
    <s v="Diabetes"/>
    <s v="Not Reported"/>
    <s v="T011"/>
    <x v="3"/>
    <x v="3"/>
    <s v="11/9/2019"/>
    <s v="5/9/2021"/>
    <s v="200mg"/>
    <s v="Fatigue, Not Reported"/>
    <s v="TR0142"/>
    <s v="200mg"/>
    <x v="1"/>
    <s v="Headache"/>
    <n v="77"/>
    <n v="0"/>
    <s v="EGFR"/>
    <s v="Negative"/>
    <n v="2.9"/>
    <n v="3.67"/>
    <n v="2.6"/>
    <n v="9.5"/>
    <n v="3.7"/>
    <n v="200"/>
    <n v="200"/>
  </r>
  <r>
    <s v="P021"/>
    <n v="28"/>
    <s v="Other"/>
    <s v="African American"/>
    <s v="Diabetes"/>
    <s v="Not Reported"/>
    <s v="T003"/>
    <x v="0"/>
    <x v="2"/>
    <s v="12/26/2022"/>
    <s v="4/26/2024"/>
    <s v="100mg"/>
    <s v="Headache, Not Reported, Fatigue"/>
    <s v="TR0028"/>
    <s v="100mg"/>
    <x v="0"/>
    <s v="Nausea"/>
    <n v="108"/>
    <n v="1"/>
    <s v="HER2"/>
    <s v="Negative"/>
    <n v="1.68"/>
    <n v="2.11"/>
    <n v="2.6"/>
    <n v="7.6"/>
    <n v="5.0999999999999996"/>
    <n v="100"/>
    <n v="100"/>
  </r>
  <r>
    <s v="P022"/>
    <n v="52"/>
    <s v="Male"/>
    <s v="Asian"/>
    <s v="Hypertension"/>
    <s v="HER2 Mutation"/>
    <s v="T018"/>
    <x v="3"/>
    <x v="1"/>
    <s v="2/12/2019"/>
    <s v="4/12/2020"/>
    <s v="50mg"/>
    <s v="Dizziness, Not Reported, Fatigue"/>
    <s v="TR0004"/>
    <s v="50mg"/>
    <x v="1"/>
    <s v="Headache"/>
    <n v="129"/>
    <n v="0"/>
    <s v="BRCA1"/>
    <s v="Positive"/>
    <n v="2.84"/>
    <n v="1.83"/>
    <n v="4.3"/>
    <n v="15.1"/>
    <n v="14.7"/>
    <n v="50"/>
    <n v="50"/>
  </r>
  <r>
    <s v="P023"/>
    <n v="84"/>
    <s v="Male"/>
    <s v="Hispanic"/>
    <s v="Diabetes"/>
    <s v="TP53 Mutation"/>
    <s v="T009"/>
    <x v="3"/>
    <x v="2"/>
    <s v="3/14/2019"/>
    <s v="1/14/2020"/>
    <s v="200mg"/>
    <s v="Headache, Nausea"/>
    <s v="TR0093"/>
    <s v="200mg"/>
    <x v="1"/>
    <s v="Fatigue"/>
    <n v="156"/>
    <n v="0"/>
    <s v="EGFR"/>
    <s v="Positive"/>
    <n v="1.1599999999999999"/>
    <n v="4.2"/>
    <n v="6.7"/>
    <n v="7.5"/>
    <n v="17.899999999999999"/>
    <n v="200"/>
    <n v="200"/>
  </r>
  <r>
    <s v="P024"/>
    <n v="76"/>
    <s v="Male"/>
    <s v="Asian"/>
    <s v="Not Reported"/>
    <s v="HER2 Mutation"/>
    <s v="T011"/>
    <x v="3"/>
    <x v="3"/>
    <s v="6/14/2022"/>
    <s v="10/14/2023"/>
    <s v="100mg"/>
    <s v="Not Reported, Fatigue"/>
    <s v="TR0123"/>
    <s v="100mg"/>
    <x v="1"/>
    <s v="Fatigue"/>
    <n v="131"/>
    <n v="0"/>
    <s v="TP53"/>
    <s v="Negative"/>
    <n v="4.68"/>
    <n v="1.24"/>
    <n v="3.5"/>
    <n v="20.5"/>
    <n v="15.7"/>
    <n v="100"/>
    <n v="100"/>
  </r>
  <r>
    <s v="P025"/>
    <n v="80"/>
    <s v="Other"/>
    <s v="Asian"/>
    <s v="Not Reported"/>
    <s v="HER2 Mutation"/>
    <s v="T012"/>
    <x v="1"/>
    <x v="2"/>
    <s v="9/6/2023"/>
    <s v="1/6/2025"/>
    <s v="50mg"/>
    <s v="Headache, Fatigue, Dizziness"/>
    <s v="TR0075"/>
    <s v="50mg"/>
    <x v="2"/>
    <s v="Nausea"/>
    <n v="134"/>
    <n v="0"/>
    <s v="HER2"/>
    <s v="Positive"/>
    <n v="1.74"/>
    <n v="1.84"/>
    <n v="4.3"/>
    <n v="14.7"/>
    <n v="13.5"/>
    <n v="50"/>
    <n v="50"/>
  </r>
  <r>
    <s v="P026"/>
    <n v="56"/>
    <s v="Male"/>
    <s v="African American"/>
    <s v="Diabetes"/>
    <s v="Not Reported"/>
    <s v="T013"/>
    <x v="1"/>
    <x v="0"/>
    <s v="8/19/2023"/>
    <s v="8/19/2024"/>
    <s v="200mg"/>
    <s v="Nausea, Not Reported, Headache"/>
    <s v="TR0138"/>
    <s v="200mg"/>
    <x v="2"/>
    <s v="Nausea"/>
    <n v="57"/>
    <n v="0"/>
    <s v="BRCA2"/>
    <s v="Negative"/>
    <n v="2.48"/>
    <n v="2.85"/>
    <n v="7.7"/>
    <n v="6.7"/>
    <n v="7.3"/>
    <n v="200"/>
    <n v="200"/>
  </r>
  <r>
    <s v="P027"/>
    <n v="39"/>
    <s v="Other"/>
    <s v="Other"/>
    <s v="Hypertension"/>
    <s v="Not Reported"/>
    <s v="T013"/>
    <x v="0"/>
    <x v="0"/>
    <s v="1/4/2019"/>
    <s v="11/4/2019"/>
    <s v="100mg"/>
    <s v="Dizziness, Fatigue, Headache"/>
    <s v="TR0096"/>
    <s v="100mg"/>
    <x v="1"/>
    <s v="Headache"/>
    <n v="180"/>
    <n v="0"/>
    <s v="EGFR"/>
    <s v="Positive"/>
    <n v="3.85"/>
    <n v="4.58"/>
    <n v="5.6"/>
    <n v="15.6"/>
    <n v="4.8"/>
    <n v="100"/>
    <n v="100"/>
  </r>
  <r>
    <s v="P028"/>
    <n v="62"/>
    <s v="Male"/>
    <s v="Hispanic"/>
    <s v="Hypertension"/>
    <s v="BRCA1 Mutation"/>
    <s v="T004"/>
    <x v="2"/>
    <x v="3"/>
    <s v="6/15/2021"/>
    <s v="12/15/2022"/>
    <s v="100mg"/>
    <s v="Headache, Not Reported, Fatigue"/>
    <s v="TR0025"/>
    <s v="100mg"/>
    <x v="1"/>
    <s v="Headache"/>
    <n v="111"/>
    <n v="0"/>
    <s v="BRCA1"/>
    <s v="Negative"/>
    <n v="2.79"/>
    <n v="3.13"/>
    <n v="3.2"/>
    <n v="10.8"/>
    <n v="9.4"/>
    <n v="100"/>
    <n v="100"/>
  </r>
  <r>
    <s v="P029"/>
    <n v="23"/>
    <s v="Other"/>
    <s v="Caucasian"/>
    <s v="Hypertension"/>
    <s v="Not Reported"/>
    <s v="T004"/>
    <x v="2"/>
    <x v="2"/>
    <s v="3/18/2023"/>
    <s v="11/18/2023"/>
    <s v="150mg"/>
    <s v="Headache, Dizziness, Nausea"/>
    <s v="TR0104"/>
    <s v="150mg"/>
    <x v="2"/>
    <s v="Fatigue"/>
    <n v="77"/>
    <n v="0"/>
    <s v="HER2"/>
    <s v="Negative"/>
    <n v="1.08"/>
    <n v="2.29"/>
    <n v="2.9"/>
    <n v="11.9"/>
    <n v="5"/>
    <n v="150"/>
    <n v="150"/>
  </r>
  <r>
    <s v="P030"/>
    <n v="21"/>
    <s v="Other"/>
    <s v="Other"/>
    <s v="Diabetes"/>
    <s v="HER2 Mutation"/>
    <s v="T013"/>
    <x v="1"/>
    <x v="2"/>
    <s v="5/25/2020"/>
    <s v="10/25/2021"/>
    <s v="50mg"/>
    <s v="Nausea, Fatigue, Headache"/>
    <s v="TR0084"/>
    <s v="50mg"/>
    <x v="0"/>
    <s v="Headache"/>
    <n v="59"/>
    <n v="1"/>
    <s v="TP53"/>
    <s v="Negative"/>
    <n v="4.5599999999999996"/>
    <n v="3.37"/>
    <n v="7.1"/>
    <n v="20.2"/>
    <n v="11.5"/>
    <n v="50"/>
    <n v="50"/>
  </r>
  <r>
    <s v="P031"/>
    <n v="85"/>
    <s v="Other"/>
    <s v="African American"/>
    <s v="Heart Disease"/>
    <s v="HER2 Mutation"/>
    <s v="T019"/>
    <x v="1"/>
    <x v="3"/>
    <s v="8/20/2021"/>
    <s v="4/20/2022"/>
    <s v="150mg"/>
    <s v="Dizziness, Nausea, Not Reported"/>
    <s v="TR0035"/>
    <s v="150mg"/>
    <x v="1"/>
    <s v="Nausea"/>
    <n v="91"/>
    <n v="0"/>
    <s v="TP53"/>
    <s v="Positive"/>
    <n v="1.35"/>
    <n v="3.15"/>
    <n v="6.3"/>
    <n v="19.399999999999999"/>
    <n v="10.3"/>
    <n v="150"/>
    <n v="150"/>
  </r>
  <r>
    <s v="P032"/>
    <n v="41"/>
    <s v="Female"/>
    <s v="Asian"/>
    <s v="Heart Disease"/>
    <s v="EGFR Mutation"/>
    <s v="T005"/>
    <x v="3"/>
    <x v="0"/>
    <s v="8/21/2020"/>
    <s v="10/21/2021"/>
    <s v="100mg"/>
    <s v="Fatigue, Headache, Dizziness"/>
    <s v="TR0036"/>
    <s v="100mg"/>
    <x v="0"/>
    <s v="Not Reported"/>
    <n v="145"/>
    <n v="1"/>
    <s v="EGFR"/>
    <s v="Positive"/>
    <n v="1.51"/>
    <n v="2.14"/>
    <n v="4.3"/>
    <n v="17.600000000000001"/>
    <n v="12.7"/>
    <n v="100"/>
    <n v="100"/>
  </r>
  <r>
    <s v="P033"/>
    <n v="63"/>
    <s v="Male"/>
    <s v="Hispanic"/>
    <s v="Diabetes"/>
    <s v="HER2 Mutation"/>
    <s v="T018"/>
    <x v="3"/>
    <x v="0"/>
    <s v="7/23/2022"/>
    <s v="8/23/2023"/>
    <s v="200mg"/>
    <s v="Nausea"/>
    <s v="TR0145"/>
    <s v="200mg"/>
    <x v="0"/>
    <s v="Fatigue"/>
    <n v="104"/>
    <n v="1"/>
    <s v="BRCA1"/>
    <s v="Negative"/>
    <n v="2.42"/>
    <n v="4.95"/>
    <n v="6.5"/>
    <n v="10.3"/>
    <n v="4.7"/>
    <n v="200"/>
    <n v="200"/>
  </r>
  <r>
    <s v="P034"/>
    <n v="46"/>
    <s v="Other"/>
    <s v="African American"/>
    <s v="Diabetes"/>
    <s v="Not Reported"/>
    <s v="T019"/>
    <x v="3"/>
    <x v="1"/>
    <s v="2/9/2023"/>
    <s v="8/9/2024"/>
    <s v="150mg"/>
    <s v="Nausea, Headache, Not Reported"/>
    <s v="TR0056"/>
    <s v="150mg"/>
    <x v="1"/>
    <s v="Nausea"/>
    <n v="93"/>
    <n v="0"/>
    <s v="TP53"/>
    <s v="Positive"/>
    <n v="1.61"/>
    <n v="1.98"/>
    <n v="2.4"/>
    <n v="9.4"/>
    <n v="7.8"/>
    <n v="150"/>
    <n v="150"/>
  </r>
  <r>
    <s v="P035"/>
    <n v="75"/>
    <s v="Female"/>
    <s v="African American"/>
    <s v="Hypertension"/>
    <s v="BRCA1 Mutation"/>
    <s v="T008"/>
    <x v="2"/>
    <x v="3"/>
    <s v="11/14/2023"/>
    <s v="7/14/2024"/>
    <s v="100mg"/>
    <s v="Fatigue"/>
    <s v="TR0016"/>
    <s v="100mg"/>
    <x v="2"/>
    <s v="Not Reported"/>
    <n v="166"/>
    <n v="0"/>
    <s v="TP53"/>
    <s v="Positive"/>
    <n v="1.69"/>
    <n v="4.59"/>
    <n v="1.7"/>
    <n v="15.4"/>
    <n v="10"/>
    <n v="100"/>
    <n v="100"/>
  </r>
  <r>
    <s v="P036"/>
    <n v="59"/>
    <s v="Other"/>
    <s v="African American"/>
    <s v="Not Reported"/>
    <s v="Not Reported"/>
    <s v="T017"/>
    <x v="1"/>
    <x v="2"/>
    <s v="1/9/2022"/>
    <s v="5/9/2023"/>
    <s v="100mg"/>
    <s v="Fatigue, Dizziness, Nausea"/>
    <s v="TR0183"/>
    <s v="100mg"/>
    <x v="1"/>
    <s v="Fatigue"/>
    <n v="130"/>
    <n v="0"/>
    <s v="HER2"/>
    <s v="Positive"/>
    <n v="4.93"/>
    <n v="1.45"/>
    <n v="4.5999999999999996"/>
    <n v="23.5"/>
    <n v="17.7"/>
    <n v="100"/>
    <n v="100"/>
  </r>
  <r>
    <s v="P037"/>
    <n v="52"/>
    <s v="Other"/>
    <s v="Hispanic"/>
    <s v="Asthma"/>
    <s v="BRCA1 Mutation"/>
    <s v="T013"/>
    <x v="0"/>
    <x v="3"/>
    <s v="8/11/2022"/>
    <s v="11/11/2023"/>
    <s v="50mg"/>
    <s v="Nausea, Headache, Not Reported"/>
    <s v="TR0171"/>
    <s v="50mg"/>
    <x v="2"/>
    <s v="Not Reported"/>
    <n v="46"/>
    <n v="0"/>
    <s v="EGFR"/>
    <s v="Negative"/>
    <n v="4.2699999999999996"/>
    <n v="2.0299999999999998"/>
    <n v="2.5"/>
    <n v="18"/>
    <n v="18.8"/>
    <n v="50"/>
    <n v="50"/>
  </r>
  <r>
    <s v="P038"/>
    <n v="45"/>
    <s v="Female"/>
    <s v="Asian"/>
    <s v="Asthma"/>
    <s v="TP53 Mutation"/>
    <s v="T011"/>
    <x v="2"/>
    <x v="0"/>
    <s v="11/25/2021"/>
    <s v="5/25/2022"/>
    <s v="50mg"/>
    <s v="Headache"/>
    <s v="TR0005"/>
    <s v="50mg"/>
    <x v="0"/>
    <s v="Fatigue"/>
    <n v="142"/>
    <n v="1"/>
    <s v="HER2"/>
    <s v="Positive"/>
    <n v="3.23"/>
    <n v="3.29"/>
    <n v="3.5"/>
    <n v="19.899999999999999"/>
    <n v="6.2"/>
    <n v="50"/>
    <n v="50"/>
  </r>
  <r>
    <s v="P039"/>
    <n v="72"/>
    <s v="Male"/>
    <s v="Asian"/>
    <s v="Not Reported"/>
    <s v="TP53 Mutation"/>
    <s v="T003"/>
    <x v="0"/>
    <x v="3"/>
    <s v="6/22/2019"/>
    <s v="10/22/2020"/>
    <s v="100mg"/>
    <s v="Headache"/>
    <s v="TR0161"/>
    <s v="100mg"/>
    <x v="1"/>
    <s v="Fatigue"/>
    <n v="139"/>
    <n v="0"/>
    <s v="BRCA1"/>
    <s v="Positive"/>
    <n v="2.29"/>
    <n v="2.7"/>
    <n v="5.6"/>
    <n v="10.4"/>
    <n v="5"/>
    <n v="100"/>
    <n v="100"/>
  </r>
  <r>
    <s v="P040"/>
    <n v="18"/>
    <s v="Male"/>
    <s v="Hispanic"/>
    <s v="Hypertension"/>
    <s v="BRCA2 Mutation"/>
    <s v="T017"/>
    <x v="3"/>
    <x v="1"/>
    <s v="12/11/2019"/>
    <s v="7/11/2020"/>
    <s v="200mg"/>
    <s v="Fatigue, Headache, Nausea"/>
    <s v="TR0059"/>
    <s v="200mg"/>
    <x v="1"/>
    <s v="Nausea"/>
    <n v="56"/>
    <n v="0"/>
    <s v="BRCA1"/>
    <s v="Negative"/>
    <n v="3.44"/>
    <n v="2.15"/>
    <n v="6.2"/>
    <n v="8.8000000000000007"/>
    <n v="11.2"/>
    <n v="200"/>
    <n v="200"/>
  </r>
  <r>
    <s v="P041"/>
    <n v="65"/>
    <s v="Female"/>
    <s v="Asian"/>
    <s v="Asthma"/>
    <s v="Not Reported"/>
    <s v="T005"/>
    <x v="2"/>
    <x v="1"/>
    <s v="10/1/2023"/>
    <s v="1/1/2025"/>
    <s v="100mg"/>
    <s v="Not Reported, Fatigue"/>
    <s v="TR0161"/>
    <s v="100mg"/>
    <x v="2"/>
    <s v="Fatigue"/>
    <n v="135"/>
    <n v="0"/>
    <s v="EGFR"/>
    <s v="Negative"/>
    <n v="3.13"/>
    <n v="1.21"/>
    <n v="4"/>
    <n v="8.4"/>
    <n v="4.0999999999999996"/>
    <n v="100"/>
    <n v="100"/>
  </r>
  <r>
    <s v="P042"/>
    <n v="45"/>
    <s v="Male"/>
    <s v="Caucasian"/>
    <s v="Diabetes"/>
    <s v="Not Reported"/>
    <s v="T019"/>
    <x v="3"/>
    <x v="3"/>
    <s v="6/26/2022"/>
    <s v="2/26/2023"/>
    <s v="100mg"/>
    <s v="Nausea, Fatigue"/>
    <s v="TR0142"/>
    <s v="100mg"/>
    <x v="2"/>
    <s v="Dizziness"/>
    <n v="102"/>
    <n v="0"/>
    <s v="BRCA1"/>
    <s v="Negative"/>
    <n v="4.96"/>
    <n v="2.29"/>
    <n v="8.3000000000000007"/>
    <n v="10.6"/>
    <n v="14.6"/>
    <n v="100"/>
    <n v="100"/>
  </r>
  <r>
    <s v="P043"/>
    <n v="44"/>
    <s v="Other"/>
    <s v="Other"/>
    <s v="Heart Disease"/>
    <s v="HER2 Mutation"/>
    <s v="T010"/>
    <x v="1"/>
    <x v="2"/>
    <s v="7/4/2022"/>
    <s v="4/4/2023"/>
    <s v="200mg"/>
    <s v="Dizziness, Nausea, Not Reported"/>
    <s v="TR0004"/>
    <s v="200mg"/>
    <x v="1"/>
    <s v="Not Reported"/>
    <n v="63"/>
    <n v="0"/>
    <s v="HER2"/>
    <s v="Negative"/>
    <n v="4.04"/>
    <n v="3.38"/>
    <n v="5.2"/>
    <n v="13.4"/>
    <n v="8.9"/>
    <n v="200"/>
    <n v="200"/>
  </r>
  <r>
    <s v="P044"/>
    <n v="64"/>
    <s v="Other"/>
    <s v="Asian"/>
    <s v="Asthma"/>
    <s v="Not Reported"/>
    <s v="T003"/>
    <x v="1"/>
    <x v="1"/>
    <s v="5/7/2019"/>
    <s v="11/7/2019"/>
    <s v="50mg"/>
    <s v="Dizziness, Not Reported"/>
    <s v="TR0161"/>
    <s v="50mg"/>
    <x v="2"/>
    <s v="Dizziness"/>
    <n v="136"/>
    <n v="0"/>
    <s v="HER2"/>
    <s v="Negative"/>
    <n v="4.72"/>
    <n v="4.32"/>
    <n v="9.6999999999999993"/>
    <n v="8.1999999999999993"/>
    <n v="15.4"/>
    <n v="50"/>
    <n v="50"/>
  </r>
  <r>
    <s v="P045"/>
    <n v="28"/>
    <s v="Other"/>
    <s v="Other"/>
    <s v="Heart Disease"/>
    <s v="Not Reported"/>
    <s v="T009"/>
    <x v="1"/>
    <x v="3"/>
    <s v="9/7/2019"/>
    <s v="3/7/2021"/>
    <s v="100mg"/>
    <s v="Not Reported, Headache, Dizziness"/>
    <s v="TR0163"/>
    <s v="100mg"/>
    <x v="2"/>
    <s v="Nausea"/>
    <n v="109"/>
    <n v="0"/>
    <s v="HER2"/>
    <s v="Positive"/>
    <n v="4.75"/>
    <n v="1.72"/>
    <n v="1.6"/>
    <n v="19.3"/>
    <n v="12.8"/>
    <n v="100"/>
    <n v="100"/>
  </r>
  <r>
    <s v="P046"/>
    <n v="25"/>
    <s v="Male"/>
    <s v="Caucasian"/>
    <s v="Asthma"/>
    <s v="EGFR Mutation"/>
    <s v="T020"/>
    <x v="1"/>
    <x v="3"/>
    <s v="2/1/2020"/>
    <s v="7/1/2021"/>
    <s v="100mg"/>
    <s v="Nausea, Fatigue, Headache"/>
    <s v="TR0089"/>
    <s v="100mg"/>
    <x v="2"/>
    <s v="Dizziness"/>
    <n v="96"/>
    <n v="0"/>
    <s v="BRCA2"/>
    <s v="Negative"/>
    <n v="4.37"/>
    <n v="1.56"/>
    <n v="8.1999999999999993"/>
    <n v="9.6"/>
    <n v="5.8"/>
    <n v="100"/>
    <n v="100"/>
  </r>
  <r>
    <s v="P047"/>
    <n v="34"/>
    <s v="Other"/>
    <s v="African American"/>
    <s v="Hypertension"/>
    <s v="Not Reported"/>
    <s v="T001"/>
    <x v="0"/>
    <x v="0"/>
    <s v="9/3/2021"/>
    <s v="7/3/2022"/>
    <s v="50mg"/>
    <s v="Headache, Not Reported"/>
    <s v="TR0015"/>
    <s v="50mg"/>
    <x v="1"/>
    <s v="Dizziness"/>
    <n v="72"/>
    <n v="0"/>
    <s v="TP53"/>
    <s v="Positive"/>
    <n v="1.66"/>
    <n v="4.26"/>
    <n v="7"/>
    <n v="15.4"/>
    <n v="9.1"/>
    <n v="50"/>
    <n v="50"/>
  </r>
  <r>
    <s v="P048"/>
    <n v="50"/>
    <s v="Male"/>
    <s v="Other"/>
    <s v="Hypertension"/>
    <s v="EGFR Mutation"/>
    <s v="T001"/>
    <x v="1"/>
    <x v="1"/>
    <s v="1/16/2020"/>
    <s v="12/16/2020"/>
    <s v="200mg"/>
    <s v="Fatigue"/>
    <s v="TR0010"/>
    <s v="200mg"/>
    <x v="2"/>
    <s v="Headache"/>
    <n v="87"/>
    <n v="0"/>
    <s v="TP53"/>
    <s v="Positive"/>
    <n v="4.51"/>
    <n v="2.57"/>
    <n v="8.3000000000000007"/>
    <n v="13.9"/>
    <n v="9.4"/>
    <n v="200"/>
    <n v="200"/>
  </r>
  <r>
    <s v="P049"/>
    <n v="71"/>
    <s v="Other"/>
    <s v="African American"/>
    <s v="Not Reported"/>
    <s v="Not Reported"/>
    <s v="T019"/>
    <x v="0"/>
    <x v="1"/>
    <s v="11/2/2023"/>
    <s v="7/2/2024"/>
    <s v="100mg"/>
    <s v="Nausea, Headache, Dizziness"/>
    <s v="TR0120"/>
    <s v="100mg"/>
    <x v="1"/>
    <s v="Not Reported"/>
    <n v="113"/>
    <n v="0"/>
    <s v="BRCA1"/>
    <s v="Negative"/>
    <n v="2.85"/>
    <n v="2.21"/>
    <n v="7.7"/>
    <n v="15"/>
    <n v="6.9"/>
    <n v="100"/>
    <n v="100"/>
  </r>
  <r>
    <s v="P050"/>
    <n v="19"/>
    <s v="Female"/>
    <s v="Asian"/>
    <s v="Not Reported"/>
    <s v="Not Reported"/>
    <s v="T010"/>
    <x v="2"/>
    <x v="0"/>
    <s v="10/16/2021"/>
    <s v="4/16/2023"/>
    <s v="100mg"/>
    <s v="Dizziness, Fatigue, Nausea"/>
    <s v="TR0002"/>
    <s v="100mg"/>
    <x v="1"/>
    <s v="Nausea"/>
    <n v="89"/>
    <n v="0"/>
    <s v="EGFR"/>
    <s v="Negative"/>
    <n v="4.5999999999999996"/>
    <n v="2.54"/>
    <n v="5.9"/>
    <n v="22.3"/>
    <n v="13.6"/>
    <n v="100"/>
    <n v="100"/>
  </r>
  <r>
    <s v="P051"/>
    <n v="19"/>
    <s v="Female"/>
    <s v="Caucasian"/>
    <s v="Asthma"/>
    <s v="Not Reported"/>
    <s v="T010"/>
    <x v="1"/>
    <x v="2"/>
    <s v="4/14/2023"/>
    <s v="5/14/2024"/>
    <s v="50mg"/>
    <s v="Not Reported"/>
    <s v="TR0024"/>
    <s v="50mg"/>
    <x v="0"/>
    <s v="Fatigue"/>
    <n v="163"/>
    <n v="1"/>
    <s v="HER2"/>
    <s v="Negative"/>
    <n v="1.47"/>
    <n v="4.76"/>
    <n v="6.6"/>
    <n v="12"/>
    <n v="5.4"/>
    <n v="50"/>
    <n v="50"/>
  </r>
  <r>
    <s v="P052"/>
    <n v="76"/>
    <s v="Other"/>
    <s v="Caucasian"/>
    <s v="Heart Disease"/>
    <s v="BRCA2 Mutation"/>
    <s v="T013"/>
    <x v="1"/>
    <x v="1"/>
    <s v="11/5/2022"/>
    <s v="8/5/2023"/>
    <s v="150mg"/>
    <s v="Not Reported, Headache"/>
    <s v="TR0180"/>
    <s v="150mg"/>
    <x v="2"/>
    <s v="Not Reported"/>
    <n v="111"/>
    <n v="0"/>
    <s v="HER2"/>
    <s v="Negative"/>
    <n v="4.18"/>
    <n v="3.48"/>
    <n v="5.8"/>
    <n v="22.1"/>
    <n v="16.399999999999999"/>
    <n v="150"/>
    <n v="150"/>
  </r>
  <r>
    <s v="P053"/>
    <n v="47"/>
    <s v="Male"/>
    <s v="Asian"/>
    <s v="Diabetes"/>
    <s v="Not Reported"/>
    <s v="T019"/>
    <x v="1"/>
    <x v="2"/>
    <s v="3/15/2019"/>
    <s v="4/15/2020"/>
    <s v="150mg"/>
    <s v="Nausea, Not Reported"/>
    <s v="TR0198"/>
    <s v="150mg"/>
    <x v="0"/>
    <s v="Headache"/>
    <n v="108"/>
    <n v="1"/>
    <s v="HER2"/>
    <s v="Negative"/>
    <n v="1.61"/>
    <n v="2.25"/>
    <n v="3.2"/>
    <n v="19.399999999999999"/>
    <n v="3.6"/>
    <n v="150"/>
    <n v="150"/>
  </r>
  <r>
    <s v="P054"/>
    <n v="33"/>
    <s v="Male"/>
    <s v="Asian"/>
    <s v="Not Reported"/>
    <s v="Not Reported"/>
    <s v="T020"/>
    <x v="1"/>
    <x v="2"/>
    <s v="3/3/2021"/>
    <s v="8/3/2022"/>
    <s v="100mg"/>
    <s v="Headache, Nausea"/>
    <s v="TR0174"/>
    <s v="100mg"/>
    <x v="1"/>
    <s v="Not Reported"/>
    <n v="74"/>
    <n v="0"/>
    <s v="BRCA1"/>
    <s v="Negative"/>
    <n v="3.28"/>
    <n v="4.05"/>
    <n v="8.9"/>
    <n v="12.2"/>
    <n v="17"/>
    <n v="100"/>
    <n v="100"/>
  </r>
  <r>
    <s v="P055"/>
    <n v="75"/>
    <s v="Other"/>
    <s v="Other"/>
    <s v="Diabetes"/>
    <s v="BRCA1 Mutation"/>
    <s v="T005"/>
    <x v="1"/>
    <x v="1"/>
    <s v="4/5/2019"/>
    <s v="1/5/2020"/>
    <s v="200mg"/>
    <s v="Nausea, Not Reported"/>
    <s v="TR0020"/>
    <s v="200mg"/>
    <x v="0"/>
    <s v="Nausea"/>
    <n v="80"/>
    <n v="1"/>
    <s v="HER2"/>
    <s v="Positive"/>
    <n v="1.44"/>
    <n v="4.3899999999999997"/>
    <n v="2.1"/>
    <n v="13.2"/>
    <n v="16.600000000000001"/>
    <n v="200"/>
    <n v="200"/>
  </r>
  <r>
    <s v="P056"/>
    <n v="29"/>
    <s v="Female"/>
    <s v="Caucasian"/>
    <s v="Hypertension"/>
    <s v="Not Reported"/>
    <s v="T002"/>
    <x v="2"/>
    <x v="0"/>
    <s v="8/1/2022"/>
    <s v="8/1/2023"/>
    <s v="200mg"/>
    <s v="Not Reported"/>
    <s v="TR0055"/>
    <s v="200mg"/>
    <x v="0"/>
    <s v="Not Reported"/>
    <n v="101"/>
    <n v="1"/>
    <s v="HER2"/>
    <s v="Positive"/>
    <n v="1.6"/>
    <n v="1.92"/>
    <n v="7.5"/>
    <n v="19"/>
    <n v="13.9"/>
    <n v="200"/>
    <n v="200"/>
  </r>
  <r>
    <s v="P057"/>
    <n v="22"/>
    <s v="Other"/>
    <s v="Other"/>
    <s v="Heart Disease"/>
    <s v="TP53 Mutation"/>
    <s v="T016"/>
    <x v="3"/>
    <x v="0"/>
    <s v="2/9/2019"/>
    <s v="2/9/2020"/>
    <s v="100mg"/>
    <s v="Fatigue, Dizziness"/>
    <s v="TR0162"/>
    <s v="100mg"/>
    <x v="2"/>
    <s v="Nausea"/>
    <n v="127"/>
    <n v="0"/>
    <s v="TP53"/>
    <s v="Negative"/>
    <n v="3.78"/>
    <n v="3.17"/>
    <n v="3.3"/>
    <n v="12.2"/>
    <n v="6.1"/>
    <n v="100"/>
    <n v="100"/>
  </r>
  <r>
    <s v="P058"/>
    <n v="80"/>
    <s v="Female"/>
    <s v="Other"/>
    <s v="Heart Disease"/>
    <s v="TP53 Mutation"/>
    <s v="T006"/>
    <x v="1"/>
    <x v="3"/>
    <s v="4/1/2023"/>
    <s v="10/1/2024"/>
    <s v="150mg"/>
    <s v="Headache"/>
    <s v="TR0136"/>
    <s v="150mg"/>
    <x v="1"/>
    <s v="Dizziness"/>
    <n v="89"/>
    <n v="0"/>
    <s v="BRCA2"/>
    <s v="Positive"/>
    <n v="4.63"/>
    <n v="3.33"/>
    <n v="4.5999999999999996"/>
    <n v="14.3"/>
    <n v="19.100000000000001"/>
    <n v="150"/>
    <n v="150"/>
  </r>
  <r>
    <s v="P059"/>
    <n v="49"/>
    <s v="Other"/>
    <s v="Asian"/>
    <s v="Not Reported"/>
    <s v="Not Reported"/>
    <s v="T002"/>
    <x v="2"/>
    <x v="0"/>
    <s v="3/6/2021"/>
    <s v="12/6/2021"/>
    <s v="150mg"/>
    <s v="Not Reported, Nausea, Dizziness"/>
    <s v="TR0180"/>
    <s v="150mg"/>
    <x v="1"/>
    <s v="Dizziness"/>
    <n v="174"/>
    <n v="0"/>
    <s v="BRCA2"/>
    <s v="Positive"/>
    <n v="1.61"/>
    <n v="3.34"/>
    <n v="5.6"/>
    <n v="17"/>
    <n v="3.3"/>
    <n v="150"/>
    <n v="150"/>
  </r>
  <r>
    <s v="P060"/>
    <n v="81"/>
    <s v="Other"/>
    <s v="African American"/>
    <s v="Diabetes"/>
    <s v="BRCA1 Mutation"/>
    <s v="T002"/>
    <x v="2"/>
    <x v="2"/>
    <s v="9/16/2019"/>
    <s v="3/16/2020"/>
    <s v="150mg"/>
    <s v="Fatigue, Dizziness, Headache"/>
    <s v="TR0184"/>
    <s v="150mg"/>
    <x v="0"/>
    <s v="Not Reported"/>
    <n v="45"/>
    <n v="1"/>
    <s v="BRCA1"/>
    <s v="Positive"/>
    <n v="4.49"/>
    <n v="4.7300000000000004"/>
    <n v="6.1"/>
    <n v="18.5"/>
    <n v="18.7"/>
    <n v="150"/>
    <n v="150"/>
  </r>
  <r>
    <s v="P061"/>
    <n v="36"/>
    <s v="Male"/>
    <s v="Other"/>
    <s v="Not Reported"/>
    <s v="Not Reported"/>
    <s v="T012"/>
    <x v="3"/>
    <x v="1"/>
    <s v="5/11/2021"/>
    <s v="1/11/2022"/>
    <s v="100mg"/>
    <s v="Headache, Dizziness, Not Reported"/>
    <s v="TR0082"/>
    <s v="100mg"/>
    <x v="0"/>
    <s v="Dizziness"/>
    <n v="121"/>
    <n v="1"/>
    <s v="BRCA2"/>
    <s v="Positive"/>
    <n v="3.83"/>
    <n v="1.61"/>
    <n v="6.2"/>
    <n v="16.899999999999999"/>
    <n v="10.199999999999999"/>
    <n v="100"/>
    <n v="100"/>
  </r>
  <r>
    <s v="P062"/>
    <n v="66"/>
    <s v="Female"/>
    <s v="African American"/>
    <s v="Diabetes"/>
    <s v="BRCA1 Mutation"/>
    <s v="T019"/>
    <x v="3"/>
    <x v="1"/>
    <s v="10/11/2020"/>
    <s v="4/11/2022"/>
    <s v="100mg"/>
    <s v="Dizziness, Nausea, Fatigue"/>
    <s v="TR0037"/>
    <s v="100mg"/>
    <x v="1"/>
    <s v="Nausea"/>
    <n v="90"/>
    <n v="0"/>
    <s v="TP53"/>
    <s v="Negative"/>
    <n v="3.95"/>
    <n v="4.74"/>
    <n v="9.3000000000000007"/>
    <n v="14.1"/>
    <n v="4.9000000000000004"/>
    <n v="100"/>
    <n v="100"/>
  </r>
  <r>
    <s v="P063"/>
    <n v="39"/>
    <s v="Other"/>
    <s v="Caucasian"/>
    <s v="Not Reported"/>
    <s v="TP53 Mutation"/>
    <s v="T007"/>
    <x v="2"/>
    <x v="1"/>
    <s v="5/26/2021"/>
    <s v="12/26/2021"/>
    <s v="50mg"/>
    <s v="Headache"/>
    <s v="TR0113"/>
    <s v="50mg"/>
    <x v="2"/>
    <s v="Headache"/>
    <n v="72"/>
    <n v="0"/>
    <s v="HER2"/>
    <s v="Negative"/>
    <n v="4.9400000000000004"/>
    <n v="4.3600000000000003"/>
    <n v="2.1"/>
    <n v="22.6"/>
    <n v="17.8"/>
    <n v="50"/>
    <n v="50"/>
  </r>
  <r>
    <s v="P064"/>
    <n v="66"/>
    <s v="Female"/>
    <s v="Other"/>
    <s v="Asthma"/>
    <s v="HER2 Mutation"/>
    <s v="T019"/>
    <x v="2"/>
    <x v="2"/>
    <s v="2/26/2022"/>
    <s v="8/26/2022"/>
    <s v="150mg"/>
    <s v="Not Reported"/>
    <s v="TR0067"/>
    <s v="150mg"/>
    <x v="0"/>
    <s v="Nausea"/>
    <n v="117"/>
    <n v="1"/>
    <s v="BRCA2"/>
    <s v="Negative"/>
    <n v="3.08"/>
    <n v="3.37"/>
    <n v="4.5999999999999996"/>
    <n v="7"/>
    <n v="8.6999999999999993"/>
    <n v="150"/>
    <n v="150"/>
  </r>
  <r>
    <s v="P065"/>
    <n v="38"/>
    <s v="Other"/>
    <s v="Caucasian"/>
    <s v="Heart Disease"/>
    <s v="Not Reported"/>
    <s v="T003"/>
    <x v="0"/>
    <x v="0"/>
    <s v="7/21/2019"/>
    <s v="3/21/2020"/>
    <s v="200mg"/>
    <s v="Nausea"/>
    <s v="TR0026"/>
    <s v="200mg"/>
    <x v="1"/>
    <s v="Fatigue"/>
    <n v="78"/>
    <n v="0"/>
    <s v="HER2"/>
    <s v="Negative"/>
    <n v="4.21"/>
    <n v="1.02"/>
    <n v="4"/>
    <n v="13.2"/>
    <n v="12.1"/>
    <n v="200"/>
    <n v="200"/>
  </r>
  <r>
    <s v="P066"/>
    <n v="54"/>
    <s v="Female"/>
    <s v="Asian"/>
    <s v="Hypertension"/>
    <s v="EGFR Mutation"/>
    <s v="T018"/>
    <x v="3"/>
    <x v="2"/>
    <s v="6/1/2019"/>
    <s v="6/1/2020"/>
    <s v="50mg"/>
    <s v="Dizziness, Headache"/>
    <s v="TR0052"/>
    <s v="50mg"/>
    <x v="0"/>
    <s v="Nausea"/>
    <n v="82"/>
    <n v="1"/>
    <s v="BRCA2"/>
    <s v="Negative"/>
    <n v="4.68"/>
    <n v="2.39"/>
    <n v="4.0999999999999996"/>
    <n v="19.3"/>
    <n v="10.7"/>
    <n v="50"/>
    <n v="50"/>
  </r>
  <r>
    <s v="P067"/>
    <n v="28"/>
    <s v="Female"/>
    <s v="Caucasian"/>
    <s v="Not Reported"/>
    <s v="Not Reported"/>
    <s v="T016"/>
    <x v="3"/>
    <x v="3"/>
    <s v="11/18/2019"/>
    <s v="11/18/2020"/>
    <s v="100mg"/>
    <s v="Headache, Not Reported"/>
    <s v="TR0048"/>
    <s v="100mg"/>
    <x v="1"/>
    <s v="Nausea"/>
    <n v="97"/>
    <n v="0"/>
    <s v="HER2"/>
    <s v="Negative"/>
    <n v="1.9"/>
    <n v="2.81"/>
    <n v="2.2999999999999998"/>
    <n v="9.1999999999999993"/>
    <n v="11.5"/>
    <n v="100"/>
    <n v="100"/>
  </r>
  <r>
    <s v="P068"/>
    <n v="51"/>
    <s v="Male"/>
    <s v="African American"/>
    <s v="Heart Disease"/>
    <s v="BRCA1 Mutation"/>
    <s v="T003"/>
    <x v="0"/>
    <x v="0"/>
    <s v="4/18/2023"/>
    <s v="10/18/2023"/>
    <s v="200mg"/>
    <s v="Headache, Dizziness, Not Reported"/>
    <s v="TR0061"/>
    <s v="200mg"/>
    <x v="1"/>
    <s v="Not Reported"/>
    <n v="50"/>
    <n v="0"/>
    <s v="HER2"/>
    <s v="Positive"/>
    <n v="2.68"/>
    <n v="4.66"/>
    <n v="4.3"/>
    <n v="16.5"/>
    <n v="13.7"/>
    <n v="200"/>
    <n v="200"/>
  </r>
  <r>
    <s v="P069"/>
    <n v="82"/>
    <s v="Other"/>
    <s v="Other"/>
    <s v="Heart Disease"/>
    <s v="Not Reported"/>
    <s v="T020"/>
    <x v="2"/>
    <x v="1"/>
    <s v="3/6/2022"/>
    <s v="12/6/2022"/>
    <s v="100mg"/>
    <s v="Nausea"/>
    <s v="TR0109"/>
    <s v="100mg"/>
    <x v="0"/>
    <s v="Headache"/>
    <n v="81"/>
    <n v="1"/>
    <s v="BRCA2"/>
    <s v="Negative"/>
    <n v="1.05"/>
    <n v="3.65"/>
    <n v="2.6"/>
    <n v="23.3"/>
    <n v="5.5"/>
    <n v="100"/>
    <n v="100"/>
  </r>
  <r>
    <s v="P070"/>
    <n v="58"/>
    <s v="Other"/>
    <s v="Caucasian"/>
    <s v="Hypertension"/>
    <s v="HER2 Mutation"/>
    <s v="T018"/>
    <x v="0"/>
    <x v="3"/>
    <s v="8/28/2023"/>
    <s v="2/28/2024"/>
    <s v="200mg"/>
    <s v="Headache"/>
    <s v="TR0039"/>
    <s v="200mg"/>
    <x v="0"/>
    <s v="Dizziness"/>
    <n v="180"/>
    <n v="1"/>
    <s v="EGFR"/>
    <s v="Positive"/>
    <n v="2.66"/>
    <n v="1.34"/>
    <n v="10"/>
    <n v="15"/>
    <n v="13.1"/>
    <n v="200"/>
    <n v="200"/>
  </r>
  <r>
    <s v="P071"/>
    <n v="31"/>
    <s v="Other"/>
    <s v="Caucasian"/>
    <s v="Not Reported"/>
    <s v="Not Reported"/>
    <s v="T012"/>
    <x v="3"/>
    <x v="3"/>
    <s v="11/16/2022"/>
    <s v="2/16/2024"/>
    <s v="200mg"/>
    <s v="Fatigue"/>
    <s v="TR0071"/>
    <s v="200mg"/>
    <x v="1"/>
    <s v="Fatigue"/>
    <n v="132"/>
    <n v="0"/>
    <s v="BRCA1"/>
    <s v="Negative"/>
    <n v="1.27"/>
    <n v="4"/>
    <n v="2.9"/>
    <n v="22.2"/>
    <n v="6.5"/>
    <n v="200"/>
    <n v="200"/>
  </r>
  <r>
    <s v="P072"/>
    <n v="60"/>
    <s v="Other"/>
    <s v="Asian"/>
    <s v="Hypertension"/>
    <s v="Not Reported"/>
    <s v="T009"/>
    <x v="0"/>
    <x v="1"/>
    <s v="5/10/2021"/>
    <s v="3/10/2022"/>
    <s v="200mg"/>
    <s v="Nausea, Fatigue, Dizziness"/>
    <s v="TR0077"/>
    <s v="200mg"/>
    <x v="2"/>
    <s v="Headache"/>
    <n v="112"/>
    <n v="0"/>
    <s v="TP53"/>
    <s v="Negative"/>
    <n v="1.76"/>
    <n v="1.1499999999999999"/>
    <n v="5.2"/>
    <n v="16.2"/>
    <n v="4.0999999999999996"/>
    <n v="200"/>
    <n v="200"/>
  </r>
  <r>
    <s v="P073"/>
    <n v="29"/>
    <s v="Male"/>
    <s v="Hispanic"/>
    <s v="Diabetes"/>
    <s v="Not Reported"/>
    <s v="T014"/>
    <x v="3"/>
    <x v="3"/>
    <s v="9/26/2019"/>
    <s v="5/26/2020"/>
    <s v="50mg"/>
    <s v="Dizziness, Headache"/>
    <s v="TR0035"/>
    <s v="50mg"/>
    <x v="2"/>
    <s v="Dizziness"/>
    <n v="37"/>
    <n v="0"/>
    <s v="BRCA2"/>
    <s v="Positive"/>
    <n v="4.0999999999999996"/>
    <n v="2.81"/>
    <n v="5.7"/>
    <n v="13.9"/>
    <n v="9.8000000000000007"/>
    <n v="50"/>
    <n v="50"/>
  </r>
  <r>
    <s v="P074"/>
    <n v="43"/>
    <s v="Male"/>
    <s v="Asian"/>
    <s v="Hypertension"/>
    <s v="TP53 Mutation"/>
    <s v="T007"/>
    <x v="0"/>
    <x v="3"/>
    <s v="9/13/2022"/>
    <s v="1/13/2024"/>
    <s v="50mg"/>
    <s v="Nausea, Fatigue, Headache"/>
    <s v="TR0126"/>
    <s v="50mg"/>
    <x v="2"/>
    <s v="Headache"/>
    <n v="75"/>
    <n v="0"/>
    <s v="HER2"/>
    <s v="Negative"/>
    <n v="3.24"/>
    <n v="1.62"/>
    <n v="2.6"/>
    <n v="21.5"/>
    <n v="19.100000000000001"/>
    <n v="50"/>
    <n v="50"/>
  </r>
  <r>
    <s v="P075"/>
    <n v="62"/>
    <s v="Male"/>
    <s v="African American"/>
    <s v="Hypertension"/>
    <s v="HER2 Mutation"/>
    <s v="T002"/>
    <x v="2"/>
    <x v="2"/>
    <s v="11/8/2020"/>
    <s v="3/8/2022"/>
    <s v="100mg"/>
    <s v="Headache, Nausea"/>
    <s v="TR0200"/>
    <s v="100mg"/>
    <x v="2"/>
    <s v="Nausea"/>
    <n v="151"/>
    <n v="0"/>
    <s v="BRCA2"/>
    <s v="Positive"/>
    <n v="2.4900000000000002"/>
    <n v="2.08"/>
    <n v="6.8"/>
    <n v="13.4"/>
    <n v="3.4"/>
    <n v="100"/>
    <n v="100"/>
  </r>
  <r>
    <s v="P076"/>
    <n v="19"/>
    <s v="Male"/>
    <s v="African American"/>
    <s v="Heart Disease"/>
    <s v="Not Reported"/>
    <s v="T010"/>
    <x v="0"/>
    <x v="0"/>
    <s v="6/15/2022"/>
    <s v="4/15/2023"/>
    <s v="100mg"/>
    <s v="Not Reported, Headache"/>
    <s v="TR0150"/>
    <s v="100mg"/>
    <x v="0"/>
    <s v="Nausea"/>
    <n v="160"/>
    <n v="1"/>
    <s v="TP53"/>
    <s v="Negative"/>
    <n v="1.62"/>
    <n v="3.86"/>
    <n v="6.9"/>
    <n v="6.5"/>
    <n v="6.8"/>
    <n v="100"/>
    <n v="100"/>
  </r>
  <r>
    <s v="P077"/>
    <n v="56"/>
    <s v="Other"/>
    <s v="Caucasian"/>
    <s v="Asthma"/>
    <s v="TP53 Mutation"/>
    <s v="T011"/>
    <x v="0"/>
    <x v="3"/>
    <s v="4/5/2021"/>
    <s v="6/5/2022"/>
    <s v="100mg"/>
    <s v="Dizziness"/>
    <s v="TR0104"/>
    <s v="100mg"/>
    <x v="2"/>
    <s v="Not Reported"/>
    <n v="65"/>
    <n v="0"/>
    <s v="BRCA1"/>
    <s v="Negative"/>
    <n v="1.92"/>
    <n v="3.69"/>
    <n v="1.2"/>
    <n v="7.9"/>
    <n v="16.600000000000001"/>
    <n v="100"/>
    <n v="100"/>
  </r>
  <r>
    <s v="P078"/>
    <n v="55"/>
    <s v="Female"/>
    <s v="Hispanic"/>
    <s v="Asthma"/>
    <s v="BRCA1 Mutation"/>
    <s v="T019"/>
    <x v="2"/>
    <x v="3"/>
    <s v="11/18/2020"/>
    <s v="3/18/2022"/>
    <s v="200mg"/>
    <s v="Not Reported, Dizziness, Nausea"/>
    <s v="TR0169"/>
    <s v="200mg"/>
    <x v="2"/>
    <s v="Fatigue"/>
    <n v="105"/>
    <n v="0"/>
    <s v="BRCA1"/>
    <s v="Negative"/>
    <n v="1.71"/>
    <n v="3.61"/>
    <n v="3.1"/>
    <n v="7.8"/>
    <n v="7.1"/>
    <n v="200"/>
    <n v="200"/>
  </r>
  <r>
    <s v="P079"/>
    <n v="34"/>
    <s v="Other"/>
    <s v="African American"/>
    <s v="Heart Disease"/>
    <s v="Not Reported"/>
    <s v="T006"/>
    <x v="0"/>
    <x v="1"/>
    <s v="6/8/2020"/>
    <s v="11/8/2021"/>
    <s v="150mg"/>
    <s v="Not Reported, Dizziness"/>
    <s v="TR0067"/>
    <s v="150mg"/>
    <x v="2"/>
    <s v="Not Reported"/>
    <n v="148"/>
    <n v="0"/>
    <s v="BRCA1"/>
    <s v="Negative"/>
    <n v="3.89"/>
    <n v="4.42"/>
    <n v="8.5"/>
    <n v="13.1"/>
    <n v="14.4"/>
    <n v="150"/>
    <n v="150"/>
  </r>
  <r>
    <s v="P080"/>
    <n v="24"/>
    <s v="Other"/>
    <s v="Other"/>
    <s v="Heart Disease"/>
    <s v="Not Reported"/>
    <s v="T003"/>
    <x v="3"/>
    <x v="2"/>
    <s v="2/28/2023"/>
    <s v="6/28/2024"/>
    <s v="200mg"/>
    <s v="Not Reported, Headache, Nausea"/>
    <s v="TR0039"/>
    <s v="200mg"/>
    <x v="0"/>
    <s v="Fatigue"/>
    <n v="117"/>
    <n v="1"/>
    <s v="HER2"/>
    <s v="Negative"/>
    <n v="1.82"/>
    <n v="2.17"/>
    <n v="9.1"/>
    <n v="6.2"/>
    <n v="4.5"/>
    <n v="200"/>
    <n v="200"/>
  </r>
  <r>
    <s v="P081"/>
    <n v="36"/>
    <s v="Female"/>
    <s v="Asian"/>
    <s v="Hypertension"/>
    <s v="BRCA2 Mutation"/>
    <s v="T011"/>
    <x v="1"/>
    <x v="1"/>
    <s v="5/7/2022"/>
    <s v="11/7/2023"/>
    <s v="100mg"/>
    <s v="Fatigue, Headache, Nausea"/>
    <s v="TR0034"/>
    <s v="100mg"/>
    <x v="2"/>
    <s v="Headache"/>
    <n v="139"/>
    <n v="0"/>
    <s v="HER2"/>
    <s v="Negative"/>
    <n v="1.83"/>
    <n v="1.1100000000000001"/>
    <n v="2.6"/>
    <n v="16.5"/>
    <n v="10.199999999999999"/>
    <n v="100"/>
    <n v="100"/>
  </r>
  <r>
    <s v="P082"/>
    <n v="79"/>
    <s v="Female"/>
    <s v="Caucasian"/>
    <s v="Hypertension"/>
    <s v="Not Reported"/>
    <s v="T012"/>
    <x v="1"/>
    <x v="3"/>
    <s v="4/1/2023"/>
    <s v="8/1/2024"/>
    <s v="50mg"/>
    <s v="Fatigue, Dizziness, Not Reported"/>
    <s v="TR0089"/>
    <s v="50mg"/>
    <x v="1"/>
    <s v="Fatigue"/>
    <n v="56"/>
    <n v="0"/>
    <s v="HER2"/>
    <s v="Negative"/>
    <n v="4.57"/>
    <n v="4.2699999999999996"/>
    <n v="4.0999999999999996"/>
    <n v="10.7"/>
    <n v="9.5"/>
    <n v="50"/>
    <n v="50"/>
  </r>
  <r>
    <s v="P083"/>
    <n v="39"/>
    <s v="Male"/>
    <s v="Caucasian"/>
    <s v="Not Reported"/>
    <s v="Not Reported"/>
    <s v="T015"/>
    <x v="0"/>
    <x v="0"/>
    <s v="6/16/2020"/>
    <s v="5/16/2021"/>
    <s v="100mg"/>
    <s v="Headache"/>
    <s v="TR0005"/>
    <s v="100mg"/>
    <x v="0"/>
    <s v="Fatigue"/>
    <n v="63"/>
    <n v="1"/>
    <s v="BRCA2"/>
    <s v="Positive"/>
    <n v="3.36"/>
    <n v="2.0699999999999998"/>
    <n v="6.6"/>
    <n v="13.4"/>
    <n v="12.4"/>
    <n v="100"/>
    <n v="100"/>
  </r>
  <r>
    <s v="P084"/>
    <n v="82"/>
    <s v="Male"/>
    <s v="Caucasian"/>
    <s v="Not Reported"/>
    <s v="Not Reported"/>
    <s v="T002"/>
    <x v="3"/>
    <x v="3"/>
    <s v="10/2/2023"/>
    <s v="1/2/2025"/>
    <s v="50mg"/>
    <s v="Nausea, Dizziness, Headache"/>
    <s v="TR0177"/>
    <s v="50mg"/>
    <x v="0"/>
    <s v="Headache"/>
    <n v="143"/>
    <n v="1"/>
    <s v="HER2"/>
    <s v="Positive"/>
    <n v="2.74"/>
    <n v="2.1800000000000002"/>
    <n v="9.5"/>
    <n v="19.7"/>
    <n v="5.4"/>
    <n v="50"/>
    <n v="50"/>
  </r>
  <r>
    <s v="P085"/>
    <n v="50"/>
    <s v="Female"/>
    <s v="Asian"/>
    <s v="Diabetes"/>
    <s v="Not Reported"/>
    <s v="T001"/>
    <x v="0"/>
    <x v="0"/>
    <s v="11/17/2019"/>
    <s v="9/17/2020"/>
    <s v="100mg"/>
    <s v="Nausea, Dizziness"/>
    <s v="TR0073"/>
    <s v="100mg"/>
    <x v="0"/>
    <s v="Nausea"/>
    <n v="157"/>
    <n v="1"/>
    <s v="BRCA2"/>
    <s v="Positive"/>
    <n v="4.47"/>
    <n v="2.95"/>
    <n v="9.1"/>
    <n v="20.399999999999999"/>
    <n v="10.199999999999999"/>
    <n v="100"/>
    <n v="100"/>
  </r>
  <r>
    <s v="P086"/>
    <n v="51"/>
    <s v="Other"/>
    <s v="Asian"/>
    <s v="Not Reported"/>
    <s v="Not Reported"/>
    <s v="T010"/>
    <x v="2"/>
    <x v="1"/>
    <s v="8/7/2023"/>
    <s v="1/7/2025"/>
    <s v="200mg"/>
    <s v="Fatigue, Nausea"/>
    <s v="TR0004"/>
    <s v="200mg"/>
    <x v="2"/>
    <s v="Nausea"/>
    <n v="58"/>
    <n v="0"/>
    <s v="EGFR"/>
    <s v="Negative"/>
    <n v="1.0900000000000001"/>
    <n v="2.0699999999999998"/>
    <n v="5.9"/>
    <n v="17.399999999999999"/>
    <n v="7.4"/>
    <n v="200"/>
    <n v="200"/>
  </r>
  <r>
    <s v="P087"/>
    <n v="37"/>
    <s v="Male"/>
    <s v="Other"/>
    <s v="Hypertension"/>
    <s v="Not Reported"/>
    <s v="T004"/>
    <x v="0"/>
    <x v="2"/>
    <s v="5/9/2022"/>
    <s v="6/9/2023"/>
    <s v="50mg"/>
    <s v="Fatigue"/>
    <s v="TR0011"/>
    <s v="50mg"/>
    <x v="1"/>
    <s v="Not Reported"/>
    <n v="110"/>
    <n v="0"/>
    <s v="HER2"/>
    <s v="Positive"/>
    <n v="1.56"/>
    <n v="4.34"/>
    <n v="9.9"/>
    <n v="15.5"/>
    <n v="5.9"/>
    <n v="50"/>
    <n v="50"/>
  </r>
  <r>
    <s v="P088"/>
    <n v="30"/>
    <s v="Male"/>
    <s v="Caucasian"/>
    <s v="Diabetes"/>
    <s v="Not Reported"/>
    <s v="T006"/>
    <x v="0"/>
    <x v="3"/>
    <s v="10/9/2022"/>
    <s v="3/9/2024"/>
    <s v="50mg"/>
    <s v="Not Reported, Fatigue"/>
    <s v="TR0030"/>
    <s v="50mg"/>
    <x v="1"/>
    <s v="Headache"/>
    <n v="146"/>
    <n v="0"/>
    <s v="TP53"/>
    <s v="Negative"/>
    <n v="2.09"/>
    <n v="1.07"/>
    <n v="9.1999999999999993"/>
    <n v="8.1"/>
    <n v="12.8"/>
    <n v="50"/>
    <n v="50"/>
  </r>
  <r>
    <s v="P089"/>
    <n v="79"/>
    <s v="Female"/>
    <s v="Asian"/>
    <s v="Hypertension"/>
    <s v="BRCA1 Mutation"/>
    <s v="T006"/>
    <x v="1"/>
    <x v="0"/>
    <s v="8/26/2023"/>
    <s v="11/26/2024"/>
    <s v="200mg"/>
    <s v="Dizziness"/>
    <s v="TR0098"/>
    <s v="200mg"/>
    <x v="1"/>
    <s v="Dizziness"/>
    <n v="37"/>
    <n v="0"/>
    <s v="BRCA2"/>
    <s v="Negative"/>
    <n v="2.1"/>
    <n v="3.22"/>
    <n v="6.9"/>
    <n v="20.9"/>
    <n v="6.5"/>
    <n v="200"/>
    <n v="200"/>
  </r>
  <r>
    <s v="P090"/>
    <n v="80"/>
    <s v="Male"/>
    <s v="Hispanic"/>
    <s v="Asthma"/>
    <s v="TP53 Mutation"/>
    <s v="T011"/>
    <x v="1"/>
    <x v="2"/>
    <s v="9/17/2021"/>
    <s v="2/17/2023"/>
    <s v="50mg"/>
    <s v="Fatigue, Headache"/>
    <s v="TR0089"/>
    <s v="50mg"/>
    <x v="2"/>
    <s v="Headache"/>
    <n v="68"/>
    <n v="0"/>
    <s v="EGFR"/>
    <s v="Positive"/>
    <n v="1.04"/>
    <n v="1.55"/>
    <n v="9.1"/>
    <n v="21.7"/>
    <n v="13.2"/>
    <n v="50"/>
    <n v="50"/>
  </r>
  <r>
    <s v="P091"/>
    <n v="19"/>
    <s v="Other"/>
    <s v="Asian"/>
    <s v="Heart Disease"/>
    <s v="Not Reported"/>
    <s v="T016"/>
    <x v="2"/>
    <x v="1"/>
    <s v="6/8/2022"/>
    <s v="5/8/2023"/>
    <s v="150mg"/>
    <s v="Dizziness"/>
    <s v="TR0058"/>
    <s v="150mg"/>
    <x v="2"/>
    <s v="Headache"/>
    <n v="133"/>
    <n v="0"/>
    <s v="BRCA2"/>
    <s v="Positive"/>
    <n v="3.4"/>
    <n v="3.66"/>
    <n v="2.6"/>
    <n v="22.5"/>
    <n v="10.1"/>
    <n v="150"/>
    <n v="150"/>
  </r>
  <r>
    <s v="P092"/>
    <n v="76"/>
    <s v="Female"/>
    <s v="Other"/>
    <s v="Asthma"/>
    <s v="HER2 Mutation"/>
    <s v="T015"/>
    <x v="0"/>
    <x v="1"/>
    <s v="12/21/2022"/>
    <s v="6/21/2023"/>
    <s v="50mg"/>
    <s v="Headache, Nausea"/>
    <s v="TR0143"/>
    <s v="50mg"/>
    <x v="2"/>
    <s v="Nausea"/>
    <n v="53"/>
    <n v="0"/>
    <s v="EGFR"/>
    <s v="Negative"/>
    <n v="2.5299999999999998"/>
    <n v="3.08"/>
    <n v="1.4"/>
    <n v="9"/>
    <n v="15.5"/>
    <n v="50"/>
    <n v="50"/>
  </r>
  <r>
    <s v="P093"/>
    <n v="83"/>
    <s v="Other"/>
    <s v="Asian"/>
    <s v="Asthma"/>
    <s v="Not Reported"/>
    <s v="T012"/>
    <x v="1"/>
    <x v="2"/>
    <s v="6/18/2022"/>
    <s v="12/18/2023"/>
    <s v="200mg"/>
    <s v="Not Reported, Headache, Nausea"/>
    <s v="TR0025"/>
    <s v="200mg"/>
    <x v="2"/>
    <s v="Fatigue"/>
    <n v="30"/>
    <n v="0"/>
    <s v="TP53"/>
    <s v="Negative"/>
    <n v="1.33"/>
    <n v="3.41"/>
    <n v="3.2"/>
    <n v="13"/>
    <n v="7.9"/>
    <n v="200"/>
    <n v="200"/>
  </r>
  <r>
    <s v="P094"/>
    <n v="55"/>
    <s v="Other"/>
    <s v="Other"/>
    <s v="Not Reported"/>
    <s v="Not Reported"/>
    <s v="T002"/>
    <x v="2"/>
    <x v="0"/>
    <s v="12/24/2020"/>
    <s v="5/24/2022"/>
    <s v="200mg"/>
    <s v="Not Reported"/>
    <s v="TR0157"/>
    <s v="200mg"/>
    <x v="0"/>
    <s v="Fatigue"/>
    <n v="60"/>
    <n v="1"/>
    <s v="HER2"/>
    <s v="Positive"/>
    <n v="2.42"/>
    <n v="3.88"/>
    <n v="3.7"/>
    <n v="16.2"/>
    <n v="11.1"/>
    <n v="200"/>
    <n v="200"/>
  </r>
  <r>
    <s v="P095"/>
    <n v="76"/>
    <s v="Male"/>
    <s v="African American"/>
    <s v="Hypertension"/>
    <s v="Not Reported"/>
    <s v="T002"/>
    <x v="1"/>
    <x v="0"/>
    <s v="11/19/2022"/>
    <s v="1/19/2024"/>
    <s v="100mg"/>
    <s v="Nausea, Dizziness"/>
    <s v="TR0142"/>
    <s v="100mg"/>
    <x v="1"/>
    <s v="Dizziness"/>
    <n v="153"/>
    <n v="0"/>
    <s v="EGFR"/>
    <s v="Positive"/>
    <n v="3.65"/>
    <n v="4.75"/>
    <n v="7.6"/>
    <n v="9.9"/>
    <n v="3.5"/>
    <n v="100"/>
    <n v="100"/>
  </r>
  <r>
    <s v="P096"/>
    <n v="40"/>
    <s v="Other"/>
    <s v="Asian"/>
    <s v="Hypertension"/>
    <s v="EGFR Mutation"/>
    <s v="T020"/>
    <x v="0"/>
    <x v="0"/>
    <s v="10/23/2022"/>
    <s v="4/23/2024"/>
    <s v="100mg"/>
    <s v="Headache, Not Reported"/>
    <s v="TR0076"/>
    <s v="100mg"/>
    <x v="1"/>
    <s v="Fatigue"/>
    <n v="65"/>
    <n v="0"/>
    <s v="HER2"/>
    <s v="Negative"/>
    <n v="2.0499999999999998"/>
    <n v="3.38"/>
    <n v="1.5"/>
    <n v="14.9"/>
    <n v="13.1"/>
    <n v="100"/>
    <n v="100"/>
  </r>
  <r>
    <s v="P097"/>
    <n v="58"/>
    <s v="Other"/>
    <s v="Other"/>
    <s v="Diabetes"/>
    <s v="EGFR Mutation"/>
    <s v="T010"/>
    <x v="0"/>
    <x v="2"/>
    <s v="9/18/2020"/>
    <s v="2/18/2022"/>
    <s v="150mg"/>
    <s v="Nausea, Not Reported, Headache"/>
    <s v="TR0123"/>
    <s v="150mg"/>
    <x v="2"/>
    <s v="Dizziness"/>
    <n v="136"/>
    <n v="0"/>
    <s v="EGFR"/>
    <s v="Negative"/>
    <n v="2.34"/>
    <n v="4.08"/>
    <n v="2"/>
    <n v="7.4"/>
    <n v="15.4"/>
    <n v="150"/>
    <n v="150"/>
  </r>
  <r>
    <s v="P098"/>
    <n v="72"/>
    <s v="Male"/>
    <s v="Other"/>
    <s v="Hypertension"/>
    <s v="BRCA2 Mutation"/>
    <s v="T002"/>
    <x v="1"/>
    <x v="2"/>
    <s v="3/10/2021"/>
    <s v="7/10/2022"/>
    <s v="150mg"/>
    <s v="Nausea"/>
    <s v="TR0177"/>
    <s v="150mg"/>
    <x v="1"/>
    <s v="Fatigue"/>
    <n v="168"/>
    <n v="0"/>
    <s v="BRCA1"/>
    <s v="Negative"/>
    <n v="2.98"/>
    <n v="3.75"/>
    <n v="4.9000000000000004"/>
    <n v="10.4"/>
    <n v="16.899999999999999"/>
    <n v="150"/>
    <n v="150"/>
  </r>
  <r>
    <s v="P099"/>
    <n v="75"/>
    <s v="Male"/>
    <s v="Other"/>
    <s v="Heart Disease"/>
    <s v="Not Reported"/>
    <s v="T018"/>
    <x v="3"/>
    <x v="2"/>
    <s v="12/10/2023"/>
    <s v="5/10/2025"/>
    <s v="50mg"/>
    <s v="Headache, Dizziness"/>
    <s v="TR0176"/>
    <s v="50mg"/>
    <x v="1"/>
    <s v="Dizziness"/>
    <n v="43"/>
    <n v="0"/>
    <s v="BRCA1"/>
    <s v="Negative"/>
    <n v="4.2"/>
    <n v="3.78"/>
    <n v="3.4"/>
    <n v="16.600000000000001"/>
    <n v="9.1"/>
    <n v="50"/>
    <n v="50"/>
  </r>
  <r>
    <s v="P100"/>
    <n v="43"/>
    <s v="Other"/>
    <s v="Hispanic"/>
    <s v="Diabetes"/>
    <s v="Not Reported"/>
    <s v="T012"/>
    <x v="2"/>
    <x v="2"/>
    <s v="8/6/2021"/>
    <s v="12/6/2022"/>
    <s v="50mg"/>
    <s v="Fatigue"/>
    <s v="TR0189"/>
    <s v="50mg"/>
    <x v="2"/>
    <s v="Nausea"/>
    <n v="126"/>
    <n v="0"/>
    <s v="BRCA1"/>
    <s v="Negative"/>
    <n v="1.37"/>
    <n v="4.67"/>
    <n v="2.2000000000000002"/>
    <n v="23.1"/>
    <n v="10.6"/>
    <n v="50"/>
    <n v="50"/>
  </r>
  <r>
    <s v="P101"/>
    <n v="53"/>
    <s v="Other"/>
    <s v="African American"/>
    <s v="Diabetes"/>
    <s v="TP53 Mutation"/>
    <s v="T001"/>
    <x v="0"/>
    <x v="0"/>
    <s v="1/5/2020"/>
    <s v="12/5/2020"/>
    <s v="50mg"/>
    <s v="Dizziness, Not Reported, Fatigue"/>
    <s v="TR0147"/>
    <s v="50mg"/>
    <x v="2"/>
    <s v="Not Reported"/>
    <n v="48"/>
    <n v="0"/>
    <s v="TP53"/>
    <s v="Positive"/>
    <n v="1.74"/>
    <n v="3.17"/>
    <n v="8.9"/>
    <n v="19.2"/>
    <n v="16.7"/>
    <n v="50"/>
    <n v="50"/>
  </r>
  <r>
    <s v="P102"/>
    <n v="41"/>
    <s v="Other"/>
    <s v="Caucasian"/>
    <s v="Heart Disease"/>
    <s v="EGFR Mutation"/>
    <s v="T018"/>
    <x v="3"/>
    <x v="1"/>
    <s v="4/7/2021"/>
    <s v="8/7/2022"/>
    <s v="150mg"/>
    <s v="Not Reported, Dizziness"/>
    <s v="TR0056"/>
    <s v="150mg"/>
    <x v="2"/>
    <s v="Dizziness"/>
    <n v="151"/>
    <n v="0"/>
    <s v="EGFR"/>
    <s v="Positive"/>
    <n v="3.64"/>
    <n v="3.77"/>
    <n v="8.6"/>
    <n v="10.5"/>
    <n v="11.3"/>
    <n v="150"/>
    <n v="150"/>
  </r>
  <r>
    <s v="P103"/>
    <n v="32"/>
    <s v="Other"/>
    <s v="African American"/>
    <s v="Asthma"/>
    <s v="EGFR Mutation"/>
    <s v="T020"/>
    <x v="2"/>
    <x v="1"/>
    <s v="7/26/2021"/>
    <s v="2/26/2022"/>
    <s v="200mg"/>
    <s v="Dizziness, Not Reported"/>
    <s v="TR0007"/>
    <s v="200mg"/>
    <x v="2"/>
    <s v="Not Reported"/>
    <n v="161"/>
    <n v="0"/>
    <s v="EGFR"/>
    <s v="Negative"/>
    <n v="1.88"/>
    <n v="4.95"/>
    <n v="9.5"/>
    <n v="6.7"/>
    <n v="15"/>
    <n v="200"/>
    <n v="200"/>
  </r>
  <r>
    <s v="P104"/>
    <n v="80"/>
    <s v="Male"/>
    <s v="African American"/>
    <s v="Diabetes"/>
    <s v="BRCA1 Mutation"/>
    <s v="T004"/>
    <x v="2"/>
    <x v="1"/>
    <s v="4/22/2019"/>
    <s v="8/22/2020"/>
    <s v="100mg"/>
    <s v="Headache, Nausea, Dizziness"/>
    <s v="TR0138"/>
    <s v="100mg"/>
    <x v="2"/>
    <s v="Headache"/>
    <n v="48"/>
    <n v="0"/>
    <s v="BRCA2"/>
    <s v="Positive"/>
    <n v="4.7"/>
    <n v="1.72"/>
    <n v="6.1"/>
    <n v="22.5"/>
    <n v="3.6"/>
    <n v="100"/>
    <n v="100"/>
  </r>
  <r>
    <s v="P105"/>
    <n v="76"/>
    <s v="Other"/>
    <s v="African American"/>
    <s v="Hypertension"/>
    <s v="BRCA1 Mutation"/>
    <s v="T006"/>
    <x v="0"/>
    <x v="1"/>
    <s v="4/9/2023"/>
    <s v="4/9/2024"/>
    <s v="200mg"/>
    <s v="Headache, Dizziness"/>
    <s v="TR0081"/>
    <s v="200mg"/>
    <x v="0"/>
    <s v="Headache"/>
    <n v="60"/>
    <n v="1"/>
    <s v="EGFR"/>
    <s v="Positive"/>
    <n v="3.79"/>
    <n v="2.19"/>
    <n v="9.3000000000000007"/>
    <n v="23.5"/>
    <n v="19.100000000000001"/>
    <n v="200"/>
    <n v="200"/>
  </r>
  <r>
    <s v="P106"/>
    <n v="26"/>
    <s v="Other"/>
    <s v="Other"/>
    <s v="Hypertension"/>
    <s v="Not Reported"/>
    <s v="T003"/>
    <x v="0"/>
    <x v="1"/>
    <s v="11/10/2021"/>
    <s v="2/10/2023"/>
    <s v="50mg"/>
    <s v="Headache, Dizziness"/>
    <s v="TR0102"/>
    <s v="50mg"/>
    <x v="2"/>
    <s v="Nausea"/>
    <n v="151"/>
    <n v="0"/>
    <s v="BRCA2"/>
    <s v="Positive"/>
    <n v="2.9"/>
    <n v="4.45"/>
    <n v="8.6"/>
    <n v="11.7"/>
    <n v="17.100000000000001"/>
    <n v="50"/>
    <n v="50"/>
  </r>
  <r>
    <s v="P107"/>
    <n v="35"/>
    <s v="Other"/>
    <s v="Hispanic"/>
    <s v="Heart Disease"/>
    <s v="BRCA2 Mutation"/>
    <s v="T010"/>
    <x v="0"/>
    <x v="1"/>
    <s v="9/5/2023"/>
    <s v="4/5/2024"/>
    <s v="50mg"/>
    <s v="Dizziness"/>
    <s v="TR0153"/>
    <s v="50mg"/>
    <x v="1"/>
    <s v="Dizziness"/>
    <n v="170"/>
    <n v="0"/>
    <s v="BRCA1"/>
    <s v="Negative"/>
    <n v="1.1499999999999999"/>
    <n v="3.39"/>
    <n v="3.1"/>
    <n v="8.1999999999999993"/>
    <n v="4.3"/>
    <n v="50"/>
    <n v="50"/>
  </r>
  <r>
    <s v="P108"/>
    <n v="44"/>
    <s v="Other"/>
    <s v="African American"/>
    <s v="Diabetes"/>
    <s v="EGFR Mutation"/>
    <s v="T005"/>
    <x v="2"/>
    <x v="2"/>
    <s v="10/27/2020"/>
    <s v="8/27/2021"/>
    <s v="100mg"/>
    <s v="Fatigue"/>
    <s v="TR0172"/>
    <s v="100mg"/>
    <x v="2"/>
    <s v="Nausea"/>
    <n v="170"/>
    <n v="0"/>
    <s v="HER2"/>
    <s v="Positive"/>
    <n v="3.79"/>
    <n v="2.36"/>
    <n v="7.5"/>
    <n v="7.2"/>
    <n v="8.4"/>
    <n v="100"/>
    <n v="100"/>
  </r>
  <r>
    <s v="P109"/>
    <n v="55"/>
    <s v="Other"/>
    <s v="Caucasian"/>
    <s v="Not Reported"/>
    <s v="EGFR Mutation"/>
    <s v="T016"/>
    <x v="0"/>
    <x v="3"/>
    <s v="11/21/2020"/>
    <s v="8/21/2021"/>
    <s v="50mg"/>
    <s v="Dizziness, Nausea"/>
    <s v="TR0050"/>
    <s v="50mg"/>
    <x v="1"/>
    <s v="Headache"/>
    <n v="145"/>
    <n v="0"/>
    <s v="TP53"/>
    <s v="Negative"/>
    <n v="3.16"/>
    <n v="4.16"/>
    <n v="3.9"/>
    <n v="17.3"/>
    <n v="18.100000000000001"/>
    <n v="50"/>
    <n v="50"/>
  </r>
  <r>
    <s v="P110"/>
    <n v="37"/>
    <s v="Other"/>
    <s v="Other"/>
    <s v="Not Reported"/>
    <s v="Not Reported"/>
    <s v="T014"/>
    <x v="2"/>
    <x v="1"/>
    <s v="4/26/2021"/>
    <s v="1/26/2022"/>
    <s v="200mg"/>
    <s v="Not Reported, Fatigue"/>
    <s v="TR0174"/>
    <s v="200mg"/>
    <x v="2"/>
    <s v="Not Reported"/>
    <n v="152"/>
    <n v="0"/>
    <s v="HER2"/>
    <s v="Negative"/>
    <n v="3.46"/>
    <n v="1.93"/>
    <n v="1.2"/>
    <n v="21.7"/>
    <n v="3.4"/>
    <n v="200"/>
    <n v="200"/>
  </r>
  <r>
    <s v="P111"/>
    <n v="63"/>
    <s v="Female"/>
    <s v="Hispanic"/>
    <s v="Heart Disease"/>
    <s v="EGFR Mutation"/>
    <s v="T003"/>
    <x v="0"/>
    <x v="2"/>
    <s v="4/9/2023"/>
    <s v="9/9/2024"/>
    <s v="50mg"/>
    <s v="Nausea, Dizziness, Not Reported"/>
    <s v="TR0162"/>
    <s v="50mg"/>
    <x v="0"/>
    <s v="Dizziness"/>
    <n v="178"/>
    <n v="1"/>
    <s v="HER2"/>
    <s v="Positive"/>
    <n v="4.5"/>
    <n v="3.12"/>
    <n v="9.5"/>
    <n v="20.399999999999999"/>
    <n v="20"/>
    <n v="50"/>
    <n v="50"/>
  </r>
  <r>
    <s v="P112"/>
    <n v="22"/>
    <s v="Other"/>
    <s v="African American"/>
    <s v="Heart Disease"/>
    <s v="Not Reported"/>
    <s v="T018"/>
    <x v="3"/>
    <x v="2"/>
    <s v="7/8/2021"/>
    <s v="1/8/2023"/>
    <s v="150mg"/>
    <s v="Headache"/>
    <s v="TR0129"/>
    <s v="150mg"/>
    <x v="2"/>
    <s v="Nausea"/>
    <n v="131"/>
    <n v="0"/>
    <s v="TP53"/>
    <s v="Positive"/>
    <n v="2.4"/>
    <n v="4.07"/>
    <n v="4.5999999999999996"/>
    <n v="14.6"/>
    <n v="13.7"/>
    <n v="150"/>
    <n v="150"/>
  </r>
  <r>
    <s v="P113"/>
    <n v="48"/>
    <s v="Other"/>
    <s v="Asian"/>
    <s v="Heart Disease"/>
    <s v="BRCA2 Mutation"/>
    <s v="T006"/>
    <x v="2"/>
    <x v="0"/>
    <s v="1/8/2021"/>
    <s v="7/8/2022"/>
    <s v="200mg"/>
    <s v="Nausea"/>
    <s v="TR0068"/>
    <s v="200mg"/>
    <x v="1"/>
    <s v="Fatigue"/>
    <n v="40"/>
    <n v="0"/>
    <s v="BRCA2"/>
    <s v="Negative"/>
    <n v="4.49"/>
    <n v="4.9400000000000004"/>
    <n v="7.9"/>
    <n v="13.5"/>
    <n v="10.199999999999999"/>
    <n v="200"/>
    <n v="200"/>
  </r>
  <r>
    <s v="P114"/>
    <n v="67"/>
    <s v="Female"/>
    <s v="Hispanic"/>
    <s v="Hypertension"/>
    <s v="TP53 Mutation"/>
    <s v="T004"/>
    <x v="0"/>
    <x v="3"/>
    <s v="9/19/2023"/>
    <s v="5/19/2024"/>
    <s v="200mg"/>
    <s v="Headache, Not Reported, Dizziness"/>
    <s v="TR0168"/>
    <s v="200mg"/>
    <x v="0"/>
    <s v="Dizziness"/>
    <n v="94"/>
    <n v="1"/>
    <s v="HER2"/>
    <s v="Positive"/>
    <n v="3.95"/>
    <n v="1.96"/>
    <n v="2"/>
    <n v="12.4"/>
    <n v="7.9"/>
    <n v="200"/>
    <n v="200"/>
  </r>
  <r>
    <s v="P115"/>
    <n v="84"/>
    <s v="Female"/>
    <s v="African American"/>
    <s v="Not Reported"/>
    <s v="HER2 Mutation"/>
    <s v="T020"/>
    <x v="1"/>
    <x v="2"/>
    <s v="3/8/2022"/>
    <s v="10/8/2022"/>
    <s v="150mg"/>
    <s v="Fatigue"/>
    <s v="TR0048"/>
    <s v="150mg"/>
    <x v="0"/>
    <s v="Not Reported"/>
    <n v="60"/>
    <n v="1"/>
    <s v="BRCA2"/>
    <s v="Negative"/>
    <n v="2.19"/>
    <n v="1.93"/>
    <n v="1.4"/>
    <n v="6.3"/>
    <n v="19.8"/>
    <n v="150"/>
    <n v="150"/>
  </r>
  <r>
    <s v="P116"/>
    <n v="60"/>
    <s v="Other"/>
    <s v="Caucasian"/>
    <s v="Asthma"/>
    <s v="Not Reported"/>
    <s v="T016"/>
    <x v="2"/>
    <x v="2"/>
    <s v="1/8/2022"/>
    <s v="7/8/2022"/>
    <s v="100mg"/>
    <s v="Dizziness, Fatigue, Nausea"/>
    <s v="TR0162"/>
    <s v="100mg"/>
    <x v="2"/>
    <s v="Nausea"/>
    <n v="176"/>
    <n v="0"/>
    <s v="BRCA2"/>
    <s v="Positive"/>
    <n v="2.71"/>
    <n v="2.54"/>
    <n v="7.1"/>
    <n v="9.9"/>
    <n v="19.100000000000001"/>
    <n v="100"/>
    <n v="100"/>
  </r>
  <r>
    <s v="P117"/>
    <n v="39"/>
    <s v="Female"/>
    <s v="Asian"/>
    <s v="Heart Disease"/>
    <s v="Not Reported"/>
    <s v="T020"/>
    <x v="1"/>
    <x v="3"/>
    <s v="4/15/2019"/>
    <s v="7/15/2020"/>
    <s v="200mg"/>
    <s v="Fatigue, Dizziness"/>
    <s v="TR0106"/>
    <s v="200mg"/>
    <x v="2"/>
    <s v="Fatigue"/>
    <n v="179"/>
    <n v="0"/>
    <s v="BRCA2"/>
    <s v="Negative"/>
    <n v="4.1500000000000004"/>
    <n v="1.36"/>
    <n v="4.8"/>
    <n v="21.8"/>
    <n v="19.100000000000001"/>
    <n v="200"/>
    <n v="200"/>
  </r>
  <r>
    <s v="P118"/>
    <n v="39"/>
    <s v="Other"/>
    <s v="African American"/>
    <s v="Asthma"/>
    <s v="Not Reported"/>
    <s v="T003"/>
    <x v="2"/>
    <x v="0"/>
    <s v="3/4/2022"/>
    <s v="9/4/2022"/>
    <s v="100mg"/>
    <s v="Dizziness, Headache, Nausea"/>
    <s v="TR0156"/>
    <s v="100mg"/>
    <x v="0"/>
    <s v="Fatigue"/>
    <n v="151"/>
    <n v="1"/>
    <s v="EGFR"/>
    <s v="Positive"/>
    <n v="2.87"/>
    <n v="3.45"/>
    <n v="2.5"/>
    <n v="23.8"/>
    <n v="6.9"/>
    <n v="100"/>
    <n v="100"/>
  </r>
  <r>
    <s v="P119"/>
    <n v="82"/>
    <s v="Male"/>
    <s v="Caucasian"/>
    <s v="Asthma"/>
    <s v="Not Reported"/>
    <s v="T020"/>
    <x v="1"/>
    <x v="0"/>
    <s v="7/12/2023"/>
    <s v="1/12/2024"/>
    <s v="200mg"/>
    <s v="Headache"/>
    <s v="TR0197"/>
    <s v="200mg"/>
    <x v="1"/>
    <s v="Not Reported"/>
    <n v="180"/>
    <n v="0"/>
    <s v="EGFR"/>
    <s v="Positive"/>
    <n v="4.7699999999999996"/>
    <n v="3.6"/>
    <n v="6.5"/>
    <n v="15.2"/>
    <n v="6.9"/>
    <n v="200"/>
    <n v="200"/>
  </r>
  <r>
    <s v="P120"/>
    <n v="72"/>
    <s v="Male"/>
    <s v="African American"/>
    <s v="Asthma"/>
    <s v="Not Reported"/>
    <s v="T003"/>
    <x v="0"/>
    <x v="0"/>
    <s v="4/1/2021"/>
    <s v="9/1/2022"/>
    <s v="50mg"/>
    <s v="Dizziness, Nausea, Not Reported"/>
    <s v="TR0002"/>
    <s v="50mg"/>
    <x v="1"/>
    <s v="Fatigue"/>
    <n v="110"/>
    <n v="0"/>
    <s v="HER2"/>
    <s v="Negative"/>
    <n v="1.71"/>
    <n v="1.88"/>
    <n v="2.7"/>
    <n v="20"/>
    <n v="9"/>
    <n v="50"/>
    <n v="50"/>
  </r>
  <r>
    <s v="P121"/>
    <n v="31"/>
    <s v="Male"/>
    <s v="Hispanic"/>
    <s v="Heart Disease"/>
    <s v="EGFR Mutation"/>
    <s v="T014"/>
    <x v="0"/>
    <x v="3"/>
    <s v="4/14/2022"/>
    <s v="6/14/2023"/>
    <s v="200mg"/>
    <s v="Not Reported"/>
    <s v="TR0144"/>
    <s v="200mg"/>
    <x v="2"/>
    <s v="Headache"/>
    <n v="94"/>
    <n v="0"/>
    <s v="TP53"/>
    <s v="Negative"/>
    <n v="1.23"/>
    <n v="4.88"/>
    <n v="9"/>
    <n v="22.7"/>
    <n v="19.899999999999999"/>
    <n v="200"/>
    <n v="200"/>
  </r>
  <r>
    <s v="P122"/>
    <n v="68"/>
    <s v="Other"/>
    <s v="Asian"/>
    <s v="Hypertension"/>
    <s v="Not Reported"/>
    <s v="T015"/>
    <x v="2"/>
    <x v="1"/>
    <s v="9/13/2020"/>
    <s v="3/13/2022"/>
    <s v="150mg"/>
    <s v="Dizziness, Nausea, Headache"/>
    <s v="TR0100"/>
    <s v="150mg"/>
    <x v="2"/>
    <s v="Nausea"/>
    <n v="53"/>
    <n v="0"/>
    <s v="BRCA2"/>
    <s v="Negative"/>
    <n v="1.7"/>
    <n v="2.58"/>
    <n v="7.8"/>
    <n v="18.5"/>
    <n v="5.6"/>
    <n v="150"/>
    <n v="150"/>
  </r>
  <r>
    <s v="P123"/>
    <n v="73"/>
    <s v="Male"/>
    <s v="Caucasian"/>
    <s v="Not Reported"/>
    <s v="BRCA1 Mutation"/>
    <s v="T020"/>
    <x v="1"/>
    <x v="0"/>
    <s v="10/21/2022"/>
    <s v="12/21/2023"/>
    <s v="150mg"/>
    <s v="Dizziness, Nausea, Headache"/>
    <s v="TR0164"/>
    <s v="150mg"/>
    <x v="1"/>
    <s v="Headache"/>
    <n v="32"/>
    <n v="0"/>
    <s v="BRCA2"/>
    <s v="Negative"/>
    <n v="4.26"/>
    <n v="1.9"/>
    <n v="3"/>
    <n v="15.7"/>
    <n v="13.1"/>
    <n v="150"/>
    <n v="150"/>
  </r>
  <r>
    <s v="P124"/>
    <n v="42"/>
    <s v="Male"/>
    <s v="Other"/>
    <s v="Heart Disease"/>
    <s v="Not Reported"/>
    <s v="T008"/>
    <x v="2"/>
    <x v="1"/>
    <s v="4/21/2021"/>
    <s v="10/21/2021"/>
    <s v="100mg"/>
    <s v="Not Reported"/>
    <s v="TR0200"/>
    <s v="100mg"/>
    <x v="1"/>
    <s v="Not Reported"/>
    <n v="131"/>
    <n v="0"/>
    <s v="HER2"/>
    <s v="Positive"/>
    <n v="3.32"/>
    <n v="1.37"/>
    <n v="8.9"/>
    <n v="10.8"/>
    <n v="5.2"/>
    <n v="100"/>
    <n v="100"/>
  </r>
  <r>
    <s v="P125"/>
    <n v="84"/>
    <s v="Male"/>
    <s v="Caucasian"/>
    <s v="Hypertension"/>
    <s v="Not Reported"/>
    <s v="T018"/>
    <x v="0"/>
    <x v="3"/>
    <s v="4/20/2021"/>
    <s v="1/20/2022"/>
    <s v="200mg"/>
    <s v="Dizziness, Nausea"/>
    <s v="TR0067"/>
    <s v="200mg"/>
    <x v="0"/>
    <s v="Headache"/>
    <n v="159"/>
    <n v="1"/>
    <s v="BRCA1"/>
    <s v="Positive"/>
    <n v="4.55"/>
    <n v="4.82"/>
    <n v="8.8000000000000007"/>
    <n v="20.6"/>
    <n v="14.1"/>
    <n v="200"/>
    <n v="200"/>
  </r>
  <r>
    <s v="P126"/>
    <n v="82"/>
    <s v="Female"/>
    <s v="African American"/>
    <s v="Hypertension"/>
    <s v="Not Reported"/>
    <s v="T009"/>
    <x v="0"/>
    <x v="0"/>
    <s v="10/16/2022"/>
    <s v="4/16/2024"/>
    <s v="100mg"/>
    <s v="Headache, Dizziness"/>
    <s v="TR0151"/>
    <s v="100mg"/>
    <x v="0"/>
    <s v="Headache"/>
    <n v="59"/>
    <n v="1"/>
    <s v="TP53"/>
    <s v="Positive"/>
    <n v="3.2"/>
    <n v="1.35"/>
    <n v="4.7"/>
    <n v="12.7"/>
    <n v="7.4"/>
    <n v="100"/>
    <n v="100"/>
  </r>
  <r>
    <s v="P127"/>
    <n v="66"/>
    <s v="Other"/>
    <s v="Asian"/>
    <s v="Diabetes"/>
    <s v="Not Reported"/>
    <s v="T014"/>
    <x v="0"/>
    <x v="1"/>
    <s v="4/10/2021"/>
    <s v="11/10/2021"/>
    <s v="200mg"/>
    <s v="Not Reported, Nausea, Dizziness"/>
    <s v="TR0046"/>
    <s v="200mg"/>
    <x v="1"/>
    <s v="Not Reported"/>
    <n v="120"/>
    <n v="0"/>
    <s v="BRCA2"/>
    <s v="Negative"/>
    <n v="3.89"/>
    <n v="2.98"/>
    <n v="1.7"/>
    <n v="10"/>
    <n v="14.6"/>
    <n v="200"/>
    <n v="200"/>
  </r>
  <r>
    <s v="P128"/>
    <n v="41"/>
    <s v="Other"/>
    <s v="Asian"/>
    <s v="Asthma"/>
    <s v="Not Reported"/>
    <s v="T008"/>
    <x v="2"/>
    <x v="3"/>
    <s v="4/7/2020"/>
    <s v="1/7/2021"/>
    <s v="150mg"/>
    <s v="Nausea"/>
    <s v="TR0031"/>
    <s v="150mg"/>
    <x v="0"/>
    <s v="Headache"/>
    <n v="31"/>
    <n v="1"/>
    <s v="EGFR"/>
    <s v="Positive"/>
    <n v="1.3"/>
    <n v="4.4000000000000004"/>
    <n v="5.5"/>
    <n v="14.7"/>
    <n v="13.1"/>
    <n v="150"/>
    <n v="150"/>
  </r>
  <r>
    <s v="P129"/>
    <n v="79"/>
    <s v="Female"/>
    <s v="Other"/>
    <s v="Not Reported"/>
    <s v="EGFR Mutation"/>
    <s v="T009"/>
    <x v="3"/>
    <x v="2"/>
    <s v="5/13/2023"/>
    <s v="2/13/2024"/>
    <s v="100mg"/>
    <s v="Dizziness"/>
    <s v="TR0109"/>
    <s v="100mg"/>
    <x v="1"/>
    <s v="Dizziness"/>
    <n v="38"/>
    <n v="0"/>
    <s v="EGFR"/>
    <s v="Negative"/>
    <n v="4.3"/>
    <n v="2.39"/>
    <n v="7.1"/>
    <n v="16.2"/>
    <n v="7.5"/>
    <n v="100"/>
    <n v="100"/>
  </r>
  <r>
    <s v="P130"/>
    <n v="68"/>
    <s v="Other"/>
    <s v="Asian"/>
    <s v="Asthma"/>
    <s v="Not Reported"/>
    <s v="T017"/>
    <x v="3"/>
    <x v="3"/>
    <s v="1/22/2019"/>
    <s v="10/22/2019"/>
    <s v="200mg"/>
    <s v="Nausea, Not Reported, Fatigue"/>
    <s v="TR0157"/>
    <s v="200mg"/>
    <x v="1"/>
    <s v="Fatigue"/>
    <n v="170"/>
    <n v="0"/>
    <s v="TP53"/>
    <s v="Positive"/>
    <n v="4.51"/>
    <n v="4.1900000000000004"/>
    <n v="6.9"/>
    <n v="21.3"/>
    <n v="17.7"/>
    <n v="200"/>
    <n v="200"/>
  </r>
  <r>
    <s v="P131"/>
    <n v="52"/>
    <s v="Female"/>
    <s v="Other"/>
    <s v="Not Reported"/>
    <s v="HER2 Mutation"/>
    <s v="T014"/>
    <x v="2"/>
    <x v="0"/>
    <s v="6/28/2021"/>
    <s v="6/28/2022"/>
    <s v="150mg"/>
    <s v="Fatigue, Dizziness"/>
    <s v="TR0148"/>
    <s v="150mg"/>
    <x v="2"/>
    <s v="Fatigue"/>
    <n v="55"/>
    <n v="0"/>
    <s v="TP53"/>
    <s v="Positive"/>
    <n v="3.83"/>
    <n v="4.3499999999999996"/>
    <n v="7.3"/>
    <n v="18.2"/>
    <n v="13.5"/>
    <n v="150"/>
    <n v="150"/>
  </r>
  <r>
    <s v="P132"/>
    <n v="73"/>
    <s v="Female"/>
    <s v="Asian"/>
    <s v="Diabetes"/>
    <s v="Not Reported"/>
    <s v="T005"/>
    <x v="3"/>
    <x v="1"/>
    <s v="7/16/2020"/>
    <s v="3/16/2021"/>
    <s v="150mg"/>
    <s v="Not Reported, Dizziness"/>
    <s v="TR0144"/>
    <s v="150mg"/>
    <x v="2"/>
    <s v="Nausea"/>
    <n v="131"/>
    <n v="0"/>
    <s v="BRCA1"/>
    <s v="Positive"/>
    <n v="4.01"/>
    <n v="1.63"/>
    <n v="8.9"/>
    <n v="21.7"/>
    <n v="3.5"/>
    <n v="150"/>
    <n v="150"/>
  </r>
  <r>
    <s v="P133"/>
    <n v="25"/>
    <s v="Male"/>
    <s v="African American"/>
    <s v="Asthma"/>
    <s v="Not Reported"/>
    <s v="T004"/>
    <x v="3"/>
    <x v="3"/>
    <s v="6/12/2021"/>
    <s v="8/12/2022"/>
    <s v="150mg"/>
    <s v="Nausea, Headache"/>
    <s v="TR0032"/>
    <s v="150mg"/>
    <x v="1"/>
    <s v="Dizziness"/>
    <n v="80"/>
    <n v="0"/>
    <s v="EGFR"/>
    <s v="Positive"/>
    <n v="4.3"/>
    <n v="1.52"/>
    <n v="4"/>
    <n v="19.399999999999999"/>
    <n v="5.7"/>
    <n v="150"/>
    <n v="150"/>
  </r>
  <r>
    <s v="P134"/>
    <n v="54"/>
    <s v="Female"/>
    <s v="African American"/>
    <s v="Heart Disease"/>
    <s v="HER2 Mutation"/>
    <s v="T003"/>
    <x v="3"/>
    <x v="3"/>
    <s v="11/5/2022"/>
    <s v="7/5/2023"/>
    <s v="150mg"/>
    <s v="Dizziness, Headache"/>
    <s v="TR0019"/>
    <s v="150mg"/>
    <x v="0"/>
    <s v="Fatigue"/>
    <n v="117"/>
    <n v="1"/>
    <s v="BRCA2"/>
    <s v="Negative"/>
    <n v="4.2699999999999996"/>
    <n v="4.33"/>
    <n v="5.6"/>
    <n v="6.1"/>
    <n v="7.9"/>
    <n v="150"/>
    <n v="150"/>
  </r>
  <r>
    <s v="P135"/>
    <n v="58"/>
    <s v="Other"/>
    <s v="African American"/>
    <s v="Not Reported"/>
    <s v="Not Reported"/>
    <s v="T013"/>
    <x v="0"/>
    <x v="0"/>
    <s v="12/19/2021"/>
    <s v="2/19/2023"/>
    <s v="200mg"/>
    <s v="Fatigue, Dizziness"/>
    <s v="TR0006"/>
    <s v="200mg"/>
    <x v="0"/>
    <s v="Fatigue"/>
    <n v="94"/>
    <n v="1"/>
    <s v="BRCA1"/>
    <s v="Positive"/>
    <n v="3.47"/>
    <n v="4.92"/>
    <n v="6.7"/>
    <n v="10.7"/>
    <n v="13.8"/>
    <n v="200"/>
    <n v="200"/>
  </r>
  <r>
    <s v="P136"/>
    <n v="39"/>
    <s v="Female"/>
    <s v="Caucasian"/>
    <s v="Hypertension"/>
    <s v="HER2 Mutation"/>
    <s v="T018"/>
    <x v="1"/>
    <x v="1"/>
    <s v="9/25/2022"/>
    <s v="4/25/2023"/>
    <s v="50mg"/>
    <s v="Dizziness, Fatigue"/>
    <s v="TR0022"/>
    <s v="50mg"/>
    <x v="2"/>
    <s v="Headache"/>
    <n v="109"/>
    <n v="0"/>
    <s v="BRCA2"/>
    <s v="Positive"/>
    <n v="3.16"/>
    <n v="4.12"/>
    <n v="2"/>
    <n v="19.7"/>
    <n v="12.2"/>
    <n v="50"/>
    <n v="50"/>
  </r>
  <r>
    <s v="P137"/>
    <n v="54"/>
    <s v="Female"/>
    <s v="Asian"/>
    <s v="Diabetes"/>
    <s v="Not Reported"/>
    <s v="T006"/>
    <x v="1"/>
    <x v="1"/>
    <s v="6/28/2021"/>
    <s v="7/28/2022"/>
    <s v="200mg"/>
    <s v="Not Reported, Headache, Nausea"/>
    <s v="TR0179"/>
    <s v="200mg"/>
    <x v="2"/>
    <s v="Fatigue"/>
    <n v="146"/>
    <n v="0"/>
    <s v="EGFR"/>
    <s v="Negative"/>
    <n v="4.8499999999999996"/>
    <n v="2.37"/>
    <n v="6.7"/>
    <n v="22.8"/>
    <n v="4.7"/>
    <n v="200"/>
    <n v="200"/>
  </r>
  <r>
    <s v="P138"/>
    <n v="85"/>
    <s v="Other"/>
    <s v="Other"/>
    <s v="Not Reported"/>
    <s v="Not Reported"/>
    <s v="T016"/>
    <x v="2"/>
    <x v="1"/>
    <s v="5/12/2022"/>
    <s v="5/12/2023"/>
    <s v="150mg"/>
    <s v="Not Reported"/>
    <s v="TR0003"/>
    <s v="150mg"/>
    <x v="0"/>
    <s v="Dizziness"/>
    <n v="64"/>
    <n v="1"/>
    <s v="TP53"/>
    <s v="Negative"/>
    <n v="4.75"/>
    <n v="3.75"/>
    <n v="1.6"/>
    <n v="11.4"/>
    <n v="15"/>
    <n v="150"/>
    <n v="150"/>
  </r>
  <r>
    <s v="P139"/>
    <n v="78"/>
    <s v="Other"/>
    <s v="Caucasian"/>
    <s v="Asthma"/>
    <s v="Not Reported"/>
    <s v="T016"/>
    <x v="0"/>
    <x v="1"/>
    <s v="5/20/2022"/>
    <s v="2/20/2023"/>
    <s v="50mg"/>
    <s v="Not Reported, Fatigue, Headache"/>
    <s v="TR0144"/>
    <s v="50mg"/>
    <x v="1"/>
    <s v="Headache"/>
    <n v="93"/>
    <n v="0"/>
    <s v="BRCA2"/>
    <s v="Negative"/>
    <n v="1.27"/>
    <n v="3.33"/>
    <n v="4.0999999999999996"/>
    <n v="17.2"/>
    <n v="3.8"/>
    <n v="50"/>
    <n v="50"/>
  </r>
  <r>
    <s v="P140"/>
    <n v="66"/>
    <s v="Male"/>
    <s v="African American"/>
    <s v="Hypertension"/>
    <s v="BRCA2 Mutation"/>
    <s v="T017"/>
    <x v="0"/>
    <x v="3"/>
    <s v="5/14/2023"/>
    <s v="2/14/2024"/>
    <s v="50mg"/>
    <s v="Fatigue"/>
    <s v="TR0075"/>
    <s v="50mg"/>
    <x v="0"/>
    <s v="Headache"/>
    <n v="145"/>
    <n v="1"/>
    <s v="TP53"/>
    <s v="Negative"/>
    <n v="4.49"/>
    <n v="4.8899999999999997"/>
    <n v="9.6999999999999993"/>
    <n v="19.5"/>
    <n v="5.2"/>
    <n v="50"/>
    <n v="50"/>
  </r>
  <r>
    <s v="P141"/>
    <n v="42"/>
    <s v="Female"/>
    <s v="Caucasian"/>
    <s v="Diabetes"/>
    <s v="EGFR Mutation"/>
    <s v="T001"/>
    <x v="2"/>
    <x v="1"/>
    <s v="5/5/2021"/>
    <s v="10/5/2022"/>
    <s v="200mg"/>
    <s v="Nausea, Fatigue, Dizziness"/>
    <s v="TR0039"/>
    <s v="200mg"/>
    <x v="0"/>
    <s v="Headache"/>
    <n v="85"/>
    <n v="1"/>
    <s v="TP53"/>
    <s v="Negative"/>
    <n v="4.03"/>
    <n v="1.1000000000000001"/>
    <n v="1.2"/>
    <n v="11.8"/>
    <n v="11.3"/>
    <n v="200"/>
    <n v="200"/>
  </r>
  <r>
    <s v="P142"/>
    <n v="57"/>
    <s v="Female"/>
    <s v="African American"/>
    <s v="Asthma"/>
    <s v="Not Reported"/>
    <s v="T002"/>
    <x v="0"/>
    <x v="1"/>
    <s v="1/9/2020"/>
    <s v="7/9/2021"/>
    <s v="200mg"/>
    <s v="Dizziness"/>
    <s v="TR0121"/>
    <s v="200mg"/>
    <x v="0"/>
    <s v="Fatigue"/>
    <n v="94"/>
    <n v="1"/>
    <s v="HER2"/>
    <s v="Positive"/>
    <n v="4.08"/>
    <n v="3.73"/>
    <n v="5"/>
    <n v="10.9"/>
    <n v="20"/>
    <n v="200"/>
    <n v="200"/>
  </r>
  <r>
    <s v="P143"/>
    <n v="33"/>
    <s v="Other"/>
    <s v="Asian"/>
    <s v="Asthma"/>
    <s v="Not Reported"/>
    <s v="T015"/>
    <x v="2"/>
    <x v="1"/>
    <s v="8/24/2020"/>
    <s v="2/24/2022"/>
    <s v="50mg"/>
    <s v="Fatigue, Headache, Dizziness"/>
    <s v="TR0175"/>
    <s v="50mg"/>
    <x v="1"/>
    <s v="Not Reported"/>
    <n v="70"/>
    <n v="0"/>
    <s v="BRCA1"/>
    <s v="Positive"/>
    <n v="2.7"/>
    <n v="2.81"/>
    <n v="2.5"/>
    <n v="20.3"/>
    <n v="14.8"/>
    <n v="50"/>
    <n v="50"/>
  </r>
  <r>
    <s v="P144"/>
    <n v="50"/>
    <s v="Female"/>
    <s v="African American"/>
    <s v="Diabetes"/>
    <s v="BRCA1 Mutation"/>
    <s v="T007"/>
    <x v="1"/>
    <x v="2"/>
    <s v="6/1/2022"/>
    <s v="2/1/2023"/>
    <s v="150mg"/>
    <s v="Nausea, Headache, Dizziness"/>
    <s v="TR0003"/>
    <s v="150mg"/>
    <x v="0"/>
    <s v="Dizziness"/>
    <n v="151"/>
    <n v="1"/>
    <s v="EGFR"/>
    <s v="Positive"/>
    <n v="1.88"/>
    <n v="1.33"/>
    <n v="7.1"/>
    <n v="17.8"/>
    <n v="7.6"/>
    <n v="150"/>
    <n v="150"/>
  </r>
  <r>
    <s v="P145"/>
    <n v="65"/>
    <s v="Male"/>
    <s v="Asian"/>
    <s v="Diabetes"/>
    <s v="EGFR Mutation"/>
    <s v="T011"/>
    <x v="1"/>
    <x v="1"/>
    <s v="11/5/2021"/>
    <s v="4/5/2023"/>
    <s v="50mg"/>
    <s v="Headache"/>
    <s v="TR0060"/>
    <s v="50mg"/>
    <x v="1"/>
    <s v="Dizziness"/>
    <n v="118"/>
    <n v="0"/>
    <s v="HER2"/>
    <s v="Positive"/>
    <n v="4.8"/>
    <n v="1.6"/>
    <n v="4.9000000000000004"/>
    <n v="23"/>
    <n v="10.1"/>
    <n v="50"/>
    <n v="50"/>
  </r>
  <r>
    <s v="P146"/>
    <n v="20"/>
    <s v="Other"/>
    <s v="Hispanic"/>
    <s v="Not Reported"/>
    <s v="Not Reported"/>
    <s v="T009"/>
    <x v="1"/>
    <x v="0"/>
    <s v="9/10/2022"/>
    <s v="11/10/2023"/>
    <s v="200mg"/>
    <s v="Dizziness"/>
    <s v="TR0048"/>
    <s v="200mg"/>
    <x v="2"/>
    <s v="Not Reported"/>
    <n v="112"/>
    <n v="0"/>
    <s v="HER2"/>
    <s v="Negative"/>
    <n v="3.55"/>
    <n v="2.59"/>
    <n v="3.5"/>
    <n v="23.7"/>
    <n v="10"/>
    <n v="200"/>
    <n v="200"/>
  </r>
  <r>
    <s v="P147"/>
    <n v="38"/>
    <s v="Male"/>
    <s v="Other"/>
    <s v="Diabetes"/>
    <s v="TP53 Mutation"/>
    <s v="T018"/>
    <x v="0"/>
    <x v="0"/>
    <s v="11/17/2019"/>
    <s v="11/17/2020"/>
    <s v="100mg"/>
    <s v="Dizziness"/>
    <s v="TR0094"/>
    <s v="100mg"/>
    <x v="2"/>
    <s v="Fatigue"/>
    <n v="112"/>
    <n v="0"/>
    <s v="BRCA1"/>
    <s v="Negative"/>
    <n v="4.58"/>
    <n v="1.92"/>
    <n v="2.9"/>
    <n v="6.6"/>
    <n v="14.1"/>
    <n v="100"/>
    <n v="100"/>
  </r>
  <r>
    <s v="P148"/>
    <n v="42"/>
    <s v="Other"/>
    <s v="Hispanic"/>
    <s v="Heart Disease"/>
    <s v="TP53 Mutation"/>
    <s v="T011"/>
    <x v="3"/>
    <x v="3"/>
    <s v="2/17/2019"/>
    <s v="6/17/2020"/>
    <s v="50mg"/>
    <s v="Fatigue"/>
    <s v="TR0046"/>
    <s v="50mg"/>
    <x v="0"/>
    <s v="Fatigue"/>
    <n v="57"/>
    <n v="1"/>
    <s v="HER2"/>
    <s v="Positive"/>
    <n v="2.4700000000000002"/>
    <n v="4.46"/>
    <n v="5.3"/>
    <n v="23.4"/>
    <n v="6.2"/>
    <n v="50"/>
    <n v="50"/>
  </r>
  <r>
    <s v="P149"/>
    <n v="30"/>
    <s v="Male"/>
    <s v="Other"/>
    <s v="Asthma"/>
    <s v="Not Reported"/>
    <s v="T017"/>
    <x v="0"/>
    <x v="1"/>
    <s v="4/20/2021"/>
    <s v="9/20/2022"/>
    <s v="50mg"/>
    <s v="Fatigue"/>
    <s v="TR0168"/>
    <s v="50mg"/>
    <x v="1"/>
    <s v="Nausea"/>
    <n v="149"/>
    <n v="0"/>
    <s v="BRCA1"/>
    <s v="Negative"/>
    <n v="4.47"/>
    <n v="4.1100000000000003"/>
    <n v="7.9"/>
    <n v="21.2"/>
    <n v="15.9"/>
    <n v="50"/>
    <n v="50"/>
  </r>
  <r>
    <s v="P150"/>
    <n v="71"/>
    <s v="Female"/>
    <s v="Caucasian"/>
    <s v="Heart Disease"/>
    <s v="BRCA1 Mutation"/>
    <s v="T003"/>
    <x v="0"/>
    <x v="1"/>
    <s v="9/4/2020"/>
    <s v="4/4/2021"/>
    <s v="100mg"/>
    <s v="Headache, Fatigue, Nausea"/>
    <s v="TR0135"/>
    <s v="100mg"/>
    <x v="2"/>
    <s v="Fatigue"/>
    <n v="175"/>
    <n v="0"/>
    <s v="BRCA2"/>
    <s v="Negative"/>
    <n v="3.5"/>
    <n v="1.52"/>
    <n v="1.3"/>
    <n v="22.6"/>
    <n v="13.5"/>
    <n v="100"/>
    <n v="100"/>
  </r>
  <r>
    <s v="P151"/>
    <n v="31"/>
    <s v="Other"/>
    <s v="Other"/>
    <s v="Not Reported"/>
    <s v="Not Reported"/>
    <s v="T014"/>
    <x v="1"/>
    <x v="2"/>
    <s v="9/13/2020"/>
    <s v="11/13/2021"/>
    <s v="150mg"/>
    <s v="Fatigue, Headache, Dizziness"/>
    <s v="TR0081"/>
    <s v="150mg"/>
    <x v="2"/>
    <s v="Not Reported"/>
    <n v="125"/>
    <n v="0"/>
    <s v="HER2"/>
    <s v="Negative"/>
    <n v="4.1900000000000004"/>
    <n v="2.93"/>
    <n v="2.1"/>
    <n v="8.3000000000000007"/>
    <n v="14.7"/>
    <n v="150"/>
    <n v="150"/>
  </r>
  <r>
    <s v="P152"/>
    <n v="59"/>
    <s v="Other"/>
    <s v="Asian"/>
    <s v="Heart Disease"/>
    <s v="Not Reported"/>
    <s v="T013"/>
    <x v="0"/>
    <x v="3"/>
    <s v="8/13/2022"/>
    <s v="2/13/2023"/>
    <s v="50mg"/>
    <s v="Dizziness, Nausea"/>
    <s v="TR0133"/>
    <s v="50mg"/>
    <x v="0"/>
    <s v="Not Reported"/>
    <n v="31"/>
    <n v="1"/>
    <s v="TP53"/>
    <s v="Positive"/>
    <n v="2.72"/>
    <n v="1.8"/>
    <n v="5.4"/>
    <n v="7.2"/>
    <n v="12.9"/>
    <n v="50"/>
    <n v="50"/>
  </r>
  <r>
    <s v="P153"/>
    <n v="45"/>
    <s v="Female"/>
    <s v="Caucasian"/>
    <s v="Not Reported"/>
    <s v="Not Reported"/>
    <s v="T017"/>
    <x v="2"/>
    <x v="1"/>
    <s v="8/12/2019"/>
    <s v="4/12/2020"/>
    <s v="100mg"/>
    <s v="Not Reported, Fatigue"/>
    <s v="TR0060"/>
    <s v="100mg"/>
    <x v="1"/>
    <s v="Not Reported"/>
    <n v="53"/>
    <n v="0"/>
    <s v="EGFR"/>
    <s v="Negative"/>
    <n v="2.08"/>
    <n v="4.1900000000000004"/>
    <n v="3.8"/>
    <n v="14.2"/>
    <n v="3.2"/>
    <n v="100"/>
    <n v="100"/>
  </r>
  <r>
    <s v="P154"/>
    <n v="45"/>
    <s v="Other"/>
    <s v="Caucasian"/>
    <s v="Not Reported"/>
    <s v="Not Reported"/>
    <s v="T006"/>
    <x v="3"/>
    <x v="1"/>
    <s v="11/10/2023"/>
    <s v="5/10/2024"/>
    <s v="200mg"/>
    <s v="Nausea"/>
    <s v="TR0198"/>
    <s v="200mg"/>
    <x v="1"/>
    <s v="Not Reported"/>
    <n v="141"/>
    <n v="0"/>
    <s v="HER2"/>
    <s v="Positive"/>
    <n v="1.29"/>
    <n v="2.57"/>
    <n v="5.3"/>
    <n v="16.8"/>
    <n v="8"/>
    <n v="200"/>
    <n v="200"/>
  </r>
  <r>
    <s v="P155"/>
    <n v="47"/>
    <s v="Other"/>
    <s v="Other"/>
    <s v="Hypertension"/>
    <s v="Not Reported"/>
    <s v="T013"/>
    <x v="1"/>
    <x v="3"/>
    <s v="1/11/2023"/>
    <s v="3/11/2024"/>
    <s v="100mg"/>
    <s v="Dizziness, Fatigue"/>
    <s v="TR0040"/>
    <s v="100mg"/>
    <x v="0"/>
    <s v="Headache"/>
    <n v="144"/>
    <n v="1"/>
    <s v="EGFR"/>
    <s v="Positive"/>
    <n v="3.78"/>
    <n v="4.4400000000000004"/>
    <n v="8"/>
    <n v="6.7"/>
    <n v="11.2"/>
    <n v="100"/>
    <n v="100"/>
  </r>
  <r>
    <s v="P156"/>
    <n v="46"/>
    <s v="Female"/>
    <s v="African American"/>
    <s v="Asthma"/>
    <s v="TP53 Mutation"/>
    <s v="T003"/>
    <x v="3"/>
    <x v="1"/>
    <s v="7/9/2023"/>
    <s v="2/9/2024"/>
    <s v="200mg"/>
    <s v="Headache, Fatigue, Nausea"/>
    <s v="TR0124"/>
    <s v="200mg"/>
    <x v="2"/>
    <s v="Fatigue"/>
    <n v="154"/>
    <n v="0"/>
    <s v="HER2"/>
    <s v="Positive"/>
    <n v="1.42"/>
    <n v="1.97"/>
    <n v="9.9"/>
    <n v="8.6"/>
    <n v="11.5"/>
    <n v="200"/>
    <n v="200"/>
  </r>
  <r>
    <s v="P157"/>
    <n v="85"/>
    <s v="Male"/>
    <s v="Asian"/>
    <s v="Hypertension"/>
    <s v="HER2 Mutation"/>
    <s v="T011"/>
    <x v="1"/>
    <x v="1"/>
    <s v="7/12/2022"/>
    <s v="6/12/2023"/>
    <s v="100mg"/>
    <s v="Not Reported, Nausea"/>
    <s v="TR0198"/>
    <s v="100mg"/>
    <x v="1"/>
    <s v="Fatigue"/>
    <n v="119"/>
    <n v="0"/>
    <s v="EGFR"/>
    <s v="Negative"/>
    <n v="3.47"/>
    <n v="3.81"/>
    <n v="6"/>
    <n v="6.2"/>
    <n v="8.5"/>
    <n v="100"/>
    <n v="100"/>
  </r>
  <r>
    <s v="P158"/>
    <n v="36"/>
    <s v="Female"/>
    <s v="Caucasian"/>
    <s v="Diabetes"/>
    <s v="TP53 Mutation"/>
    <s v="T005"/>
    <x v="1"/>
    <x v="1"/>
    <s v="4/20/2019"/>
    <s v="12/20/2019"/>
    <s v="150mg"/>
    <s v="Not Reported"/>
    <s v="TR0178"/>
    <s v="150mg"/>
    <x v="0"/>
    <s v="Not Reported"/>
    <n v="145"/>
    <n v="1"/>
    <s v="HER2"/>
    <s v="Positive"/>
    <n v="3.07"/>
    <n v="1.35"/>
    <n v="4.2"/>
    <n v="6.6"/>
    <n v="4.3"/>
    <n v="150"/>
    <n v="150"/>
  </r>
  <r>
    <s v="P159"/>
    <n v="60"/>
    <s v="Male"/>
    <s v="Other"/>
    <s v="Diabetes"/>
    <s v="EGFR Mutation"/>
    <s v="T009"/>
    <x v="3"/>
    <x v="2"/>
    <s v="7/19/2019"/>
    <s v="11/19/2020"/>
    <s v="50mg"/>
    <s v="Fatigue, Nausea"/>
    <s v="TR0073"/>
    <s v="50mg"/>
    <x v="0"/>
    <s v="Dizziness"/>
    <n v="99"/>
    <n v="1"/>
    <s v="BRCA1"/>
    <s v="Negative"/>
    <n v="2.59"/>
    <n v="1.53"/>
    <n v="6.1"/>
    <n v="18.399999999999999"/>
    <n v="16.600000000000001"/>
    <n v="50"/>
    <n v="50"/>
  </r>
  <r>
    <s v="P160"/>
    <n v="19"/>
    <s v="Male"/>
    <s v="Hispanic"/>
    <s v="Not Reported"/>
    <s v="Not Reported"/>
    <s v="T012"/>
    <x v="1"/>
    <x v="1"/>
    <s v="11/13/2021"/>
    <s v="8/13/2022"/>
    <s v="200mg"/>
    <s v="Nausea, Not Reported, Fatigue"/>
    <s v="TR0153"/>
    <s v="200mg"/>
    <x v="2"/>
    <s v="Nausea"/>
    <n v="77"/>
    <n v="0"/>
    <s v="BRCA2"/>
    <s v="Negative"/>
    <n v="1.8"/>
    <n v="1.67"/>
    <n v="1.9"/>
    <n v="17.5"/>
    <n v="15"/>
    <n v="200"/>
    <n v="200"/>
  </r>
  <r>
    <s v="P161"/>
    <n v="20"/>
    <s v="Male"/>
    <s v="Asian"/>
    <s v="Heart Disease"/>
    <s v="HER2 Mutation"/>
    <s v="T013"/>
    <x v="2"/>
    <x v="1"/>
    <s v="11/12/2021"/>
    <s v="10/12/2022"/>
    <s v="150mg"/>
    <s v="Dizziness"/>
    <s v="TR0071"/>
    <s v="150mg"/>
    <x v="0"/>
    <s v="Not Reported"/>
    <n v="129"/>
    <n v="1"/>
    <s v="BRCA1"/>
    <s v="Negative"/>
    <n v="1.1299999999999999"/>
    <n v="4.74"/>
    <n v="1.5"/>
    <n v="15.7"/>
    <n v="15.1"/>
    <n v="150"/>
    <n v="150"/>
  </r>
  <r>
    <s v="P162"/>
    <n v="46"/>
    <s v="Male"/>
    <s v="African American"/>
    <s v="Asthma"/>
    <s v="Not Reported"/>
    <s v="T003"/>
    <x v="3"/>
    <x v="2"/>
    <s v="4/19/2022"/>
    <s v="12/19/2022"/>
    <s v="200mg"/>
    <s v="Dizziness, Not Reported"/>
    <s v="TR0115"/>
    <s v="200mg"/>
    <x v="2"/>
    <s v="Fatigue"/>
    <n v="82"/>
    <n v="0"/>
    <s v="BRCA2"/>
    <s v="Positive"/>
    <n v="4.4800000000000004"/>
    <n v="3.86"/>
    <n v="8.1999999999999993"/>
    <n v="12.1"/>
    <n v="16.899999999999999"/>
    <n v="200"/>
    <n v="200"/>
  </r>
  <r>
    <s v="P163"/>
    <n v="35"/>
    <s v="Female"/>
    <s v="Other"/>
    <s v="Diabetes"/>
    <s v="BRCA2 Mutation"/>
    <s v="T019"/>
    <x v="2"/>
    <x v="3"/>
    <s v="9/18/2019"/>
    <s v="2/18/2021"/>
    <s v="50mg"/>
    <s v="Not Reported"/>
    <s v="TR0038"/>
    <s v="50mg"/>
    <x v="2"/>
    <s v="Nausea"/>
    <n v="111"/>
    <n v="0"/>
    <s v="HER2"/>
    <s v="Negative"/>
    <n v="1.32"/>
    <n v="4.58"/>
    <n v="5.9"/>
    <n v="20.7"/>
    <n v="10.7"/>
    <n v="50"/>
    <n v="50"/>
  </r>
  <r>
    <s v="P164"/>
    <n v="56"/>
    <s v="Female"/>
    <s v="African American"/>
    <s v="Diabetes"/>
    <s v="Not Reported"/>
    <s v="T004"/>
    <x v="2"/>
    <x v="2"/>
    <s v="10/20/2019"/>
    <s v="8/20/2020"/>
    <s v="100mg"/>
    <s v="Fatigue, Dizziness, Not Reported"/>
    <s v="TR0007"/>
    <s v="100mg"/>
    <x v="1"/>
    <s v="Nausea"/>
    <n v="152"/>
    <n v="0"/>
    <s v="BRCA2"/>
    <s v="Negative"/>
    <n v="3.57"/>
    <n v="3.11"/>
    <n v="7.6"/>
    <n v="7.5"/>
    <n v="4"/>
    <n v="100"/>
    <n v="100"/>
  </r>
  <r>
    <s v="P165"/>
    <n v="65"/>
    <s v="Male"/>
    <s v="Hispanic"/>
    <s v="Asthma"/>
    <s v="BRCA2 Mutation"/>
    <s v="T007"/>
    <x v="2"/>
    <x v="1"/>
    <s v="1/9/2022"/>
    <s v="1/9/2023"/>
    <s v="100mg"/>
    <s v="Fatigue, Dizziness, Nausea"/>
    <s v="TR0046"/>
    <s v="100mg"/>
    <x v="1"/>
    <s v="Dizziness"/>
    <n v="155"/>
    <n v="0"/>
    <s v="TP53"/>
    <s v="Negative"/>
    <n v="1.99"/>
    <n v="1.64"/>
    <n v="8.8000000000000007"/>
    <n v="9.9"/>
    <n v="19.600000000000001"/>
    <n v="100"/>
    <n v="100"/>
  </r>
  <r>
    <s v="P166"/>
    <n v="49"/>
    <s v="Female"/>
    <s v="Hispanic"/>
    <s v="Hypertension"/>
    <s v="Not Reported"/>
    <s v="T013"/>
    <x v="0"/>
    <x v="0"/>
    <s v="12/19/2023"/>
    <s v="3/19/2025"/>
    <s v="50mg"/>
    <s v="Nausea, Headache, Fatigue"/>
    <s v="TR0011"/>
    <s v="50mg"/>
    <x v="0"/>
    <s v="Dizziness"/>
    <n v="167"/>
    <n v="1"/>
    <s v="HER2"/>
    <s v="Positive"/>
    <n v="2.35"/>
    <n v="1.73"/>
    <n v="8.1"/>
    <n v="17.899999999999999"/>
    <n v="11.5"/>
    <n v="50"/>
    <n v="50"/>
  </r>
  <r>
    <s v="P167"/>
    <n v="67"/>
    <s v="Other"/>
    <s v="Caucasian"/>
    <s v="Diabetes"/>
    <s v="HER2 Mutation"/>
    <s v="T010"/>
    <x v="0"/>
    <x v="0"/>
    <s v="7/10/2020"/>
    <s v="10/10/2021"/>
    <s v="50mg"/>
    <s v="Dizziness, Fatigue, Headache"/>
    <s v="TR0166"/>
    <s v="50mg"/>
    <x v="1"/>
    <s v="Nausea"/>
    <n v="158"/>
    <n v="0"/>
    <s v="BRCA1"/>
    <s v="Positive"/>
    <n v="3.22"/>
    <n v="3.88"/>
    <n v="3.1"/>
    <n v="23.9"/>
    <n v="19.600000000000001"/>
    <n v="50"/>
    <n v="50"/>
  </r>
  <r>
    <s v="P168"/>
    <n v="35"/>
    <s v="Female"/>
    <s v="Hispanic"/>
    <s v="Not Reported"/>
    <s v="BRCA2 Mutation"/>
    <s v="T015"/>
    <x v="2"/>
    <x v="0"/>
    <s v="5/11/2019"/>
    <s v="10/11/2020"/>
    <s v="100mg"/>
    <s v="Nausea, Dizziness, Headache"/>
    <s v="TR0181"/>
    <s v="100mg"/>
    <x v="1"/>
    <s v="Not Reported"/>
    <n v="51"/>
    <n v="0"/>
    <s v="EGFR"/>
    <s v="Negative"/>
    <n v="3.6"/>
    <n v="1.8"/>
    <n v="7.1"/>
    <n v="7.3"/>
    <n v="3.5"/>
    <n v="100"/>
    <n v="100"/>
  </r>
  <r>
    <s v="P169"/>
    <n v="83"/>
    <s v="Other"/>
    <s v="Asian"/>
    <s v="Asthma"/>
    <s v="Not Reported"/>
    <s v="T002"/>
    <x v="2"/>
    <x v="3"/>
    <s v="11/28/2023"/>
    <s v="7/28/2024"/>
    <s v="100mg"/>
    <s v="Fatigue"/>
    <s v="TR0197"/>
    <s v="100mg"/>
    <x v="2"/>
    <s v="Nausea"/>
    <n v="137"/>
    <n v="0"/>
    <s v="TP53"/>
    <s v="Negative"/>
    <n v="2.0299999999999998"/>
    <n v="2.85"/>
    <n v="8.8000000000000007"/>
    <n v="19.100000000000001"/>
    <n v="15.6"/>
    <n v="100"/>
    <n v="100"/>
  </r>
  <r>
    <s v="P170"/>
    <n v="75"/>
    <s v="Female"/>
    <s v="Asian"/>
    <s v="Hypertension"/>
    <s v="Not Reported"/>
    <s v="T007"/>
    <x v="1"/>
    <x v="3"/>
    <s v="8/16/2019"/>
    <s v="9/16/2020"/>
    <s v="50mg"/>
    <s v="Headache, Fatigue, Nausea"/>
    <s v="TR0151"/>
    <s v="50mg"/>
    <x v="2"/>
    <s v="Headache"/>
    <n v="146"/>
    <n v="0"/>
    <s v="HER2"/>
    <s v="Negative"/>
    <n v="2.7"/>
    <n v="2.38"/>
    <n v="4.3"/>
    <n v="23.8"/>
    <n v="3.7"/>
    <n v="50"/>
    <n v="50"/>
  </r>
  <r>
    <s v="P171"/>
    <n v="28"/>
    <s v="Other"/>
    <s v="Other"/>
    <s v="Hypertension"/>
    <s v="EGFR Mutation"/>
    <s v="T009"/>
    <x v="2"/>
    <x v="1"/>
    <s v="3/2/2020"/>
    <s v="7/2/2021"/>
    <s v="150mg"/>
    <s v="Fatigue"/>
    <s v="TR0009"/>
    <s v="150mg"/>
    <x v="2"/>
    <s v="Dizziness"/>
    <n v="106"/>
    <n v="0"/>
    <s v="TP53"/>
    <s v="Positive"/>
    <n v="4.47"/>
    <n v="3.31"/>
    <n v="4.9000000000000004"/>
    <n v="19.100000000000001"/>
    <n v="11.3"/>
    <n v="150"/>
    <n v="150"/>
  </r>
  <r>
    <s v="P172"/>
    <n v="24"/>
    <s v="Male"/>
    <s v="Hispanic"/>
    <s v="Diabetes"/>
    <s v="TP53 Mutation"/>
    <s v="T020"/>
    <x v="2"/>
    <x v="0"/>
    <s v="6/2/2023"/>
    <s v="1/2/2024"/>
    <s v="150mg"/>
    <s v="Not Reported, Headache"/>
    <s v="TR0018"/>
    <s v="150mg"/>
    <x v="1"/>
    <s v="Dizziness"/>
    <n v="46"/>
    <n v="0"/>
    <s v="TP53"/>
    <s v="Negative"/>
    <n v="4.49"/>
    <n v="4.5999999999999996"/>
    <n v="4.8"/>
    <n v="11"/>
    <n v="13.1"/>
    <n v="150"/>
    <n v="150"/>
  </r>
  <r>
    <s v="P173"/>
    <n v="35"/>
    <s v="Male"/>
    <s v="African American"/>
    <s v="Not Reported"/>
    <s v="Not Reported"/>
    <s v="T017"/>
    <x v="2"/>
    <x v="2"/>
    <s v="1/4/2023"/>
    <s v="4/4/2024"/>
    <s v="50mg"/>
    <s v="Dizziness, Not Reported"/>
    <s v="TR0110"/>
    <s v="50mg"/>
    <x v="2"/>
    <s v="Not Reported"/>
    <n v="96"/>
    <n v="0"/>
    <s v="EGFR"/>
    <s v="Negative"/>
    <n v="4.6500000000000004"/>
    <n v="1.84"/>
    <n v="6.6"/>
    <n v="17.399999999999999"/>
    <n v="15.5"/>
    <n v="50"/>
    <n v="50"/>
  </r>
  <r>
    <s v="P174"/>
    <n v="34"/>
    <s v="Other"/>
    <s v="Other"/>
    <s v="Asthma"/>
    <s v="Not Reported"/>
    <s v="T016"/>
    <x v="3"/>
    <x v="2"/>
    <s v="4/23/2023"/>
    <s v="2/23/2024"/>
    <s v="100mg"/>
    <s v="Nausea"/>
    <s v="TR0007"/>
    <s v="100mg"/>
    <x v="1"/>
    <s v="Nausea"/>
    <n v="83"/>
    <n v="0"/>
    <s v="EGFR"/>
    <s v="Negative"/>
    <n v="1.53"/>
    <n v="3.86"/>
    <n v="9.1999999999999993"/>
    <n v="9.1999999999999993"/>
    <n v="7"/>
    <n v="100"/>
    <n v="100"/>
  </r>
  <r>
    <s v="P175"/>
    <n v="70"/>
    <s v="Male"/>
    <s v="African American"/>
    <s v="Not Reported"/>
    <s v="Not Reported"/>
    <s v="T007"/>
    <x v="1"/>
    <x v="2"/>
    <s v="5/26/2021"/>
    <s v="12/26/2021"/>
    <s v="150mg"/>
    <s v="Dizziness, Not Reported"/>
    <s v="TR0197"/>
    <s v="150mg"/>
    <x v="0"/>
    <s v="Nausea"/>
    <n v="115"/>
    <n v="1"/>
    <s v="TP53"/>
    <s v="Negative"/>
    <n v="4.8899999999999997"/>
    <n v="1.72"/>
    <n v="8.6999999999999993"/>
    <n v="14.9"/>
    <n v="7.2"/>
    <n v="150"/>
    <n v="150"/>
  </r>
  <r>
    <s v="P176"/>
    <n v="21"/>
    <s v="Male"/>
    <s v="Asian"/>
    <s v="Not Reported"/>
    <s v="Not Reported"/>
    <s v="T016"/>
    <x v="3"/>
    <x v="1"/>
    <s v="8/5/2020"/>
    <s v="12/5/2021"/>
    <s v="200mg"/>
    <s v="Not Reported, Headache, Fatigue"/>
    <s v="TR0191"/>
    <s v="200mg"/>
    <x v="0"/>
    <s v="Dizziness"/>
    <n v="106"/>
    <n v="1"/>
    <s v="EGFR"/>
    <s v="Negative"/>
    <n v="4.4800000000000004"/>
    <n v="2.78"/>
    <n v="5.6"/>
    <n v="12.5"/>
    <n v="13.1"/>
    <n v="200"/>
    <n v="200"/>
  </r>
  <r>
    <s v="P177"/>
    <n v="20"/>
    <s v="Male"/>
    <s v="Other"/>
    <s v="Not Reported"/>
    <s v="Not Reported"/>
    <s v="T012"/>
    <x v="1"/>
    <x v="2"/>
    <s v="1/11/2021"/>
    <s v="1/11/2022"/>
    <s v="100mg"/>
    <s v="Dizziness, Headache, Nausea"/>
    <s v="TR0153"/>
    <s v="100mg"/>
    <x v="0"/>
    <s v="Not Reported"/>
    <n v="110"/>
    <n v="1"/>
    <s v="BRCA1"/>
    <s v="Negative"/>
    <n v="1.65"/>
    <n v="2.56"/>
    <n v="9.6999999999999993"/>
    <n v="10.6"/>
    <n v="14.2"/>
    <n v="100"/>
    <n v="100"/>
  </r>
  <r>
    <s v="P178"/>
    <n v="70"/>
    <s v="Male"/>
    <s v="Hispanic"/>
    <s v="Diabetes"/>
    <s v="TP53 Mutation"/>
    <s v="T007"/>
    <x v="0"/>
    <x v="2"/>
    <s v="6/26/2019"/>
    <s v="12/26/2019"/>
    <s v="100mg"/>
    <s v="Headache"/>
    <s v="TR0130"/>
    <s v="100mg"/>
    <x v="0"/>
    <s v="Headache"/>
    <n v="158"/>
    <n v="1"/>
    <s v="BRCA2"/>
    <s v="Positive"/>
    <n v="2.2999999999999998"/>
    <n v="4.09"/>
    <n v="2.2000000000000002"/>
    <n v="23.5"/>
    <n v="10.7"/>
    <n v="100"/>
    <n v="100"/>
  </r>
  <r>
    <s v="P179"/>
    <n v="61"/>
    <s v="Female"/>
    <s v="Other"/>
    <s v="Not Reported"/>
    <s v="Not Reported"/>
    <s v="T005"/>
    <x v="1"/>
    <x v="2"/>
    <s v="12/2/2020"/>
    <s v="1/2/2022"/>
    <s v="200mg"/>
    <s v="Dizziness, Nausea, Headache"/>
    <s v="TR0080"/>
    <s v="200mg"/>
    <x v="0"/>
    <s v="Dizziness"/>
    <n v="52"/>
    <n v="1"/>
    <s v="TP53"/>
    <s v="Negative"/>
    <n v="1.94"/>
    <n v="1.29"/>
    <n v="2.5"/>
    <n v="15.4"/>
    <n v="8.6999999999999993"/>
    <n v="200"/>
    <n v="200"/>
  </r>
  <r>
    <s v="P180"/>
    <n v="23"/>
    <s v="Male"/>
    <s v="Other"/>
    <s v="Not Reported"/>
    <s v="TP53 Mutation"/>
    <s v="T007"/>
    <x v="0"/>
    <x v="2"/>
    <s v="5/9/2020"/>
    <s v="7/9/2021"/>
    <s v="150mg"/>
    <s v="Nausea, Not Reported"/>
    <s v="TR0039"/>
    <s v="150mg"/>
    <x v="0"/>
    <s v="Not Reported"/>
    <n v="59"/>
    <n v="1"/>
    <s v="BRCA1"/>
    <s v="Positive"/>
    <n v="4.32"/>
    <n v="2.72"/>
    <n v="3.2"/>
    <n v="17.100000000000001"/>
    <n v="15"/>
    <n v="150"/>
    <n v="150"/>
  </r>
  <r>
    <s v="P181"/>
    <n v="44"/>
    <s v="Other"/>
    <s v="African American"/>
    <s v="Heart Disease"/>
    <s v="BRCA2 Mutation"/>
    <s v="T010"/>
    <x v="2"/>
    <x v="2"/>
    <s v="5/20/2019"/>
    <s v="4/20/2020"/>
    <s v="200mg"/>
    <s v="Fatigue"/>
    <s v="TR0008"/>
    <s v="200mg"/>
    <x v="1"/>
    <s v="Nausea"/>
    <n v="57"/>
    <n v="0"/>
    <s v="HER2"/>
    <s v="Positive"/>
    <n v="1.67"/>
    <n v="1.67"/>
    <n v="1.3"/>
    <n v="19.3"/>
    <n v="14.3"/>
    <n v="200"/>
    <n v="200"/>
  </r>
  <r>
    <s v="P182"/>
    <n v="29"/>
    <s v="Female"/>
    <s v="Hispanic"/>
    <s v="Diabetes"/>
    <s v="Not Reported"/>
    <s v="T019"/>
    <x v="3"/>
    <x v="3"/>
    <s v="6/27/2021"/>
    <s v="3/27/2022"/>
    <s v="50mg"/>
    <s v="Dizziness, Fatigue"/>
    <s v="TR0024"/>
    <s v="50mg"/>
    <x v="2"/>
    <s v="Headache"/>
    <n v="54"/>
    <n v="0"/>
    <s v="HER2"/>
    <s v="Negative"/>
    <n v="2.9"/>
    <n v="4.38"/>
    <n v="8.3000000000000007"/>
    <n v="16.5"/>
    <n v="17.8"/>
    <n v="50"/>
    <n v="50"/>
  </r>
  <r>
    <s v="P183"/>
    <n v="77"/>
    <s v="Female"/>
    <s v="Asian"/>
    <s v="Diabetes"/>
    <s v="EGFR Mutation"/>
    <s v="T009"/>
    <x v="0"/>
    <x v="0"/>
    <s v="12/22/2020"/>
    <s v="11/22/2021"/>
    <s v="150mg"/>
    <s v="Headache, Nausea"/>
    <s v="TR0017"/>
    <s v="150mg"/>
    <x v="1"/>
    <s v="Nausea"/>
    <n v="119"/>
    <n v="0"/>
    <s v="HER2"/>
    <s v="Negative"/>
    <n v="1.82"/>
    <n v="1.45"/>
    <n v="3.4"/>
    <n v="7"/>
    <n v="12"/>
    <n v="150"/>
    <n v="150"/>
  </r>
  <r>
    <s v="P184"/>
    <n v="39"/>
    <s v="Female"/>
    <s v="African American"/>
    <s v="Heart Disease"/>
    <s v="Not Reported"/>
    <s v="T017"/>
    <x v="1"/>
    <x v="0"/>
    <s v="6/18/2019"/>
    <s v="10/18/2020"/>
    <s v="50mg"/>
    <s v="Dizziness, Headache"/>
    <s v="TR0103"/>
    <s v="50mg"/>
    <x v="2"/>
    <s v="Headache"/>
    <n v="91"/>
    <n v="0"/>
    <s v="EGFR"/>
    <s v="Positive"/>
    <n v="4.75"/>
    <n v="1.1599999999999999"/>
    <n v="2.1"/>
    <n v="14.1"/>
    <n v="18.899999999999999"/>
    <n v="50"/>
    <n v="50"/>
  </r>
  <r>
    <s v="P185"/>
    <n v="38"/>
    <s v="Female"/>
    <s v="Hispanic"/>
    <s v="Hypertension"/>
    <s v="EGFR Mutation"/>
    <s v="T014"/>
    <x v="3"/>
    <x v="3"/>
    <s v="12/8/2023"/>
    <s v="8/8/2024"/>
    <s v="50mg"/>
    <s v="Dizziness, Headache, Nausea"/>
    <s v="TR0152"/>
    <s v="50mg"/>
    <x v="2"/>
    <s v="Headache"/>
    <n v="113"/>
    <n v="0"/>
    <s v="EGFR"/>
    <s v="Positive"/>
    <n v="2.2599999999999998"/>
    <n v="3.03"/>
    <n v="1.4"/>
    <n v="8.6999999999999993"/>
    <n v="19.8"/>
    <n v="50"/>
    <n v="50"/>
  </r>
  <r>
    <s v="P186"/>
    <n v="74"/>
    <s v="Male"/>
    <s v="African American"/>
    <s v="Asthma"/>
    <s v="BRCA1 Mutation"/>
    <s v="T020"/>
    <x v="3"/>
    <x v="3"/>
    <s v="11/22/2022"/>
    <s v="5/22/2023"/>
    <s v="50mg"/>
    <s v="Fatigue"/>
    <s v="TR0149"/>
    <s v="50mg"/>
    <x v="2"/>
    <s v="Nausea"/>
    <n v="67"/>
    <n v="0"/>
    <s v="BRCA2"/>
    <s v="Negative"/>
    <n v="4.8600000000000003"/>
    <n v="1.02"/>
    <n v="9.6"/>
    <n v="17.5"/>
    <n v="17.8"/>
    <n v="50"/>
    <n v="50"/>
  </r>
  <r>
    <s v="P187"/>
    <n v="55"/>
    <s v="Female"/>
    <s v="Other"/>
    <s v="Heart Disease"/>
    <s v="BRCA2 Mutation"/>
    <s v="T011"/>
    <x v="0"/>
    <x v="3"/>
    <s v="12/12/2022"/>
    <s v="7/12/2023"/>
    <s v="50mg"/>
    <s v="Dizziness, Headache, Nausea"/>
    <s v="TR0076"/>
    <s v="50mg"/>
    <x v="0"/>
    <s v="Not Reported"/>
    <n v="170"/>
    <n v="1"/>
    <s v="BRCA1"/>
    <s v="Positive"/>
    <n v="2.82"/>
    <n v="3.06"/>
    <n v="5.4"/>
    <n v="18"/>
    <n v="5.4"/>
    <n v="50"/>
    <n v="50"/>
  </r>
  <r>
    <s v="P188"/>
    <n v="63"/>
    <s v="Male"/>
    <s v="African American"/>
    <s v="Hypertension"/>
    <s v="EGFR Mutation"/>
    <s v="T013"/>
    <x v="0"/>
    <x v="0"/>
    <s v="7/14/2022"/>
    <s v="9/14/2023"/>
    <s v="100mg"/>
    <s v="Fatigue, Headache, Nausea"/>
    <s v="TR0049"/>
    <s v="100mg"/>
    <x v="2"/>
    <s v="Headache"/>
    <n v="122"/>
    <n v="0"/>
    <s v="HER2"/>
    <s v="Positive"/>
    <n v="1.1200000000000001"/>
    <n v="2.23"/>
    <n v="7.3"/>
    <n v="9.6"/>
    <n v="14.4"/>
    <n v="100"/>
    <n v="100"/>
  </r>
  <r>
    <s v="P189"/>
    <n v="54"/>
    <s v="Other"/>
    <s v="Asian"/>
    <s v="Diabetes"/>
    <s v="BRCA1 Mutation"/>
    <s v="T005"/>
    <x v="3"/>
    <x v="0"/>
    <s v="2/5/2020"/>
    <s v="6/5/2021"/>
    <s v="200mg"/>
    <s v="Dizziness, Headache"/>
    <s v="TR0160"/>
    <s v="200mg"/>
    <x v="0"/>
    <s v="Headache"/>
    <n v="160"/>
    <n v="1"/>
    <s v="HER2"/>
    <s v="Negative"/>
    <n v="4.88"/>
    <n v="1.38"/>
    <n v="7.1"/>
    <n v="14"/>
    <n v="17.8"/>
    <n v="200"/>
    <n v="200"/>
  </r>
  <r>
    <s v="P190"/>
    <n v="67"/>
    <s v="Female"/>
    <s v="Asian"/>
    <s v="Diabetes"/>
    <s v="BRCA1 Mutation"/>
    <s v="T019"/>
    <x v="3"/>
    <x v="2"/>
    <s v="5/14/2023"/>
    <s v="7/14/2024"/>
    <s v="150mg"/>
    <s v="Nausea"/>
    <s v="TR0146"/>
    <s v="150mg"/>
    <x v="1"/>
    <s v="Not Reported"/>
    <n v="58"/>
    <n v="0"/>
    <s v="EGFR"/>
    <s v="Negative"/>
    <n v="1.71"/>
    <n v="3.77"/>
    <n v="8.5"/>
    <n v="23"/>
    <n v="14.6"/>
    <n v="150"/>
    <n v="150"/>
  </r>
  <r>
    <s v="P191"/>
    <n v="28"/>
    <s v="Male"/>
    <s v="Other"/>
    <s v="Not Reported"/>
    <s v="BRCA1 Mutation"/>
    <s v="T017"/>
    <x v="1"/>
    <x v="2"/>
    <s v="11/24/2022"/>
    <s v="3/24/2024"/>
    <s v="50mg"/>
    <s v="Dizziness, Not Reported, Headache"/>
    <s v="TR0014"/>
    <s v="50mg"/>
    <x v="1"/>
    <s v="Dizziness"/>
    <n v="32"/>
    <n v="0"/>
    <s v="HER2"/>
    <s v="Negative"/>
    <n v="2.99"/>
    <n v="3.47"/>
    <n v="8.8000000000000007"/>
    <n v="16.3"/>
    <n v="3.5"/>
    <n v="50"/>
    <n v="50"/>
  </r>
  <r>
    <s v="P192"/>
    <n v="83"/>
    <s v="Female"/>
    <s v="Other"/>
    <s v="Not Reported"/>
    <s v="TP53 Mutation"/>
    <s v="T010"/>
    <x v="2"/>
    <x v="1"/>
    <s v="12/10/2023"/>
    <s v="5/10/2025"/>
    <s v="150mg"/>
    <s v="Headache"/>
    <s v="TR0149"/>
    <s v="150mg"/>
    <x v="0"/>
    <s v="Dizziness"/>
    <n v="43"/>
    <n v="1"/>
    <s v="TP53"/>
    <s v="Positive"/>
    <n v="4.72"/>
    <n v="3.76"/>
    <n v="7.1"/>
    <n v="9.9"/>
    <n v="14.2"/>
    <n v="150"/>
    <n v="150"/>
  </r>
  <r>
    <s v="P193"/>
    <n v="54"/>
    <s v="Female"/>
    <s v="Caucasian"/>
    <s v="Diabetes"/>
    <s v="Not Reported"/>
    <s v="T009"/>
    <x v="0"/>
    <x v="2"/>
    <s v="5/9/2023"/>
    <s v="3/9/2024"/>
    <s v="50mg"/>
    <s v="Nausea, Fatigue, Not Reported"/>
    <s v="TR0190"/>
    <s v="50mg"/>
    <x v="0"/>
    <s v="Headache"/>
    <n v="124"/>
    <n v="1"/>
    <s v="BRCA2"/>
    <s v="Negative"/>
    <n v="2.58"/>
    <n v="3.6"/>
    <n v="2"/>
    <n v="17.8"/>
    <n v="20"/>
    <n v="50"/>
    <n v="50"/>
  </r>
  <r>
    <s v="P194"/>
    <n v="48"/>
    <s v="Female"/>
    <s v="Asian"/>
    <s v="Heart Disease"/>
    <s v="Not Reported"/>
    <s v="T011"/>
    <x v="1"/>
    <x v="2"/>
    <s v="3/27/2023"/>
    <s v="4/27/2024"/>
    <s v="200mg"/>
    <s v="Fatigue, Headache"/>
    <s v="TR0186"/>
    <s v="200mg"/>
    <x v="2"/>
    <s v="Fatigue"/>
    <n v="83"/>
    <n v="0"/>
    <s v="EGFR"/>
    <s v="Negative"/>
    <n v="1.19"/>
    <n v="4.91"/>
    <n v="4.7"/>
    <n v="21.7"/>
    <n v="16.3"/>
    <n v="200"/>
    <n v="200"/>
  </r>
  <r>
    <s v="P195"/>
    <n v="24"/>
    <s v="Other"/>
    <s v="African American"/>
    <s v="Hypertension"/>
    <s v="HER2 Mutation"/>
    <s v="T013"/>
    <x v="3"/>
    <x v="3"/>
    <s v="12/25/2022"/>
    <s v="2/25/2024"/>
    <s v="100mg"/>
    <s v="Headache, Dizziness"/>
    <s v="TR0068"/>
    <s v="100mg"/>
    <x v="0"/>
    <s v="Dizziness"/>
    <n v="141"/>
    <n v="1"/>
    <s v="BRCA1"/>
    <s v="Negative"/>
    <n v="3.27"/>
    <n v="3.95"/>
    <n v="8.9"/>
    <n v="13.3"/>
    <n v="8.6"/>
    <n v="100"/>
    <n v="100"/>
  </r>
  <r>
    <s v="P196"/>
    <n v="75"/>
    <s v="Female"/>
    <s v="African American"/>
    <s v="Heart Disease"/>
    <s v="Not Reported"/>
    <s v="T002"/>
    <x v="1"/>
    <x v="3"/>
    <s v="10/21/2022"/>
    <s v="8/21/2023"/>
    <s v="150mg"/>
    <s v="Not Reported, Nausea"/>
    <s v="TR0066"/>
    <s v="150mg"/>
    <x v="2"/>
    <s v="Dizziness"/>
    <n v="130"/>
    <n v="0"/>
    <s v="HER2"/>
    <s v="Positive"/>
    <n v="3.67"/>
    <n v="4.2300000000000004"/>
    <n v="7.9"/>
    <n v="20.399999999999999"/>
    <n v="10.4"/>
    <n v="150"/>
    <n v="150"/>
  </r>
  <r>
    <s v="P197"/>
    <n v="42"/>
    <s v="Other"/>
    <s v="African American"/>
    <s v="Diabetes"/>
    <s v="BRCA1 Mutation"/>
    <s v="T001"/>
    <x v="1"/>
    <x v="1"/>
    <s v="2/17/2022"/>
    <s v="9/17/2022"/>
    <s v="200mg"/>
    <s v="Fatigue, Not Reported"/>
    <s v="TR0065"/>
    <s v="200mg"/>
    <x v="0"/>
    <s v="Nausea"/>
    <n v="36"/>
    <n v="1"/>
    <s v="EGFR"/>
    <s v="Positive"/>
    <n v="4.2699999999999996"/>
    <n v="1.48"/>
    <n v="5.9"/>
    <n v="6.1"/>
    <n v="8.5"/>
    <n v="200"/>
    <n v="200"/>
  </r>
  <r>
    <s v="P198"/>
    <n v="25"/>
    <s v="Other"/>
    <s v="Asian"/>
    <s v="Heart Disease"/>
    <s v="Not Reported"/>
    <s v="T004"/>
    <x v="1"/>
    <x v="2"/>
    <s v="11/25/2022"/>
    <s v="3/25/2024"/>
    <s v="100mg"/>
    <s v="Fatigue"/>
    <s v="TR0065"/>
    <s v="100mg"/>
    <x v="1"/>
    <s v="Headache"/>
    <n v="49"/>
    <n v="0"/>
    <s v="HER2"/>
    <s v="Negative"/>
    <n v="2.4700000000000002"/>
    <n v="2.58"/>
    <n v="7.3"/>
    <n v="13"/>
    <n v="10.6"/>
    <n v="100"/>
    <n v="100"/>
  </r>
  <r>
    <s v="P199"/>
    <n v="72"/>
    <s v="Other"/>
    <s v="African American"/>
    <s v="Not Reported"/>
    <s v="BRCA1 Mutation"/>
    <s v="T009"/>
    <x v="1"/>
    <x v="0"/>
    <s v="6/2/2022"/>
    <s v="4/2/2023"/>
    <s v="150mg"/>
    <s v="Headache"/>
    <s v="TR0018"/>
    <s v="150mg"/>
    <x v="1"/>
    <s v="Fatigue"/>
    <n v="130"/>
    <n v="0"/>
    <s v="BRCA2"/>
    <s v="Negative"/>
    <n v="1.95"/>
    <n v="2.4900000000000002"/>
    <n v="3"/>
    <n v="7.3"/>
    <n v="13.3"/>
    <n v="150"/>
    <n v="150"/>
  </r>
  <r>
    <s v="P200"/>
    <n v="31"/>
    <s v="Male"/>
    <s v="Other"/>
    <s v="Asthma"/>
    <s v="BRCA1 Mutation"/>
    <s v="T015"/>
    <x v="0"/>
    <x v="1"/>
    <s v="2/3/2019"/>
    <s v="5/3/2020"/>
    <s v="150mg"/>
    <s v="Nausea, Headache"/>
    <s v="TR0039"/>
    <s v="150mg"/>
    <x v="2"/>
    <s v="Nausea"/>
    <n v="39"/>
    <n v="0"/>
    <s v="HER2"/>
    <s v="Negative"/>
    <n v="3.67"/>
    <n v="3.48"/>
    <n v="5.2"/>
    <n v="12.8"/>
    <n v="17.7"/>
    <n v="150"/>
    <n v="150"/>
  </r>
  <r>
    <s v="P201"/>
    <n v="37"/>
    <s v="Other"/>
    <s v="African American"/>
    <s v="Asthma"/>
    <s v="Not Reported"/>
    <s v="T017"/>
    <x v="3"/>
    <x v="0"/>
    <s v="7/28/2022"/>
    <s v="12/28/2023"/>
    <s v="50mg"/>
    <s v="Fatigue, Nausea, Dizziness"/>
    <s v="TR0177"/>
    <s v="50mg"/>
    <x v="1"/>
    <s v="Nausea"/>
    <n v="175"/>
    <n v="0"/>
    <s v="EGFR"/>
    <s v="Negative"/>
    <n v="3.08"/>
    <n v="2.92"/>
    <n v="1.2"/>
    <n v="12.1"/>
    <n v="9.5"/>
    <n v="50"/>
    <n v="50"/>
  </r>
  <r>
    <s v="P202"/>
    <n v="60"/>
    <s v="Other"/>
    <s v="African American"/>
    <s v="Asthma"/>
    <s v="BRCA1 Mutation"/>
    <s v="T012"/>
    <x v="0"/>
    <x v="1"/>
    <s v="5/21/2022"/>
    <s v="2/21/2023"/>
    <s v="100mg"/>
    <s v="Nausea, Headache, Not Reported"/>
    <s v="TR0049"/>
    <s v="100mg"/>
    <x v="1"/>
    <s v="Headache"/>
    <n v="57"/>
    <n v="0"/>
    <s v="TP53"/>
    <s v="Negative"/>
    <n v="2.6"/>
    <n v="3.32"/>
    <n v="5.8"/>
    <n v="16.899999999999999"/>
    <n v="16"/>
    <n v="100"/>
    <n v="100"/>
  </r>
  <r>
    <s v="P203"/>
    <n v="28"/>
    <s v="Other"/>
    <s v="Hispanic"/>
    <s v="Diabetes"/>
    <s v="BRCA2 Mutation"/>
    <s v="T001"/>
    <x v="2"/>
    <x v="0"/>
    <s v="2/26/2022"/>
    <s v="4/26/2023"/>
    <s v="150mg"/>
    <s v="Dizziness, Headache"/>
    <s v="TR0005"/>
    <s v="150mg"/>
    <x v="0"/>
    <s v="Not Reported"/>
    <n v="44"/>
    <n v="1"/>
    <s v="TP53"/>
    <s v="Positive"/>
    <n v="4.25"/>
    <n v="3.87"/>
    <n v="9.6"/>
    <n v="6.3"/>
    <n v="6.3"/>
    <n v="150"/>
    <n v="150"/>
  </r>
  <r>
    <s v="P204"/>
    <n v="69"/>
    <s v="Male"/>
    <s v="Asian"/>
    <s v="Heart Disease"/>
    <s v="EGFR Mutation"/>
    <s v="T005"/>
    <x v="2"/>
    <x v="1"/>
    <s v="12/5/2019"/>
    <s v="1/5/2021"/>
    <s v="50mg"/>
    <s v="Dizziness, Nausea"/>
    <s v="TR0063"/>
    <s v="50mg"/>
    <x v="2"/>
    <s v="Fatigue"/>
    <n v="33"/>
    <n v="0"/>
    <s v="BRCA2"/>
    <s v="Positive"/>
    <n v="1.03"/>
    <n v="3.59"/>
    <n v="9.1"/>
    <n v="10.4"/>
    <n v="18.8"/>
    <n v="50"/>
    <n v="50"/>
  </r>
  <r>
    <s v="P205"/>
    <n v="57"/>
    <s v="Male"/>
    <s v="Hispanic"/>
    <s v="Heart Disease"/>
    <s v="EGFR Mutation"/>
    <s v="T003"/>
    <x v="1"/>
    <x v="1"/>
    <s v="10/26/2022"/>
    <s v="1/26/2024"/>
    <s v="100mg"/>
    <s v="Fatigue"/>
    <s v="TR0110"/>
    <s v="100mg"/>
    <x v="1"/>
    <s v="Headache"/>
    <n v="113"/>
    <n v="0"/>
    <s v="BRCA1"/>
    <s v="Positive"/>
    <n v="1.24"/>
    <n v="4.74"/>
    <n v="4.2"/>
    <n v="7.8"/>
    <n v="11.3"/>
    <n v="100"/>
    <n v="100"/>
  </r>
  <r>
    <s v="P206"/>
    <n v="59"/>
    <s v="Male"/>
    <s v="Caucasian"/>
    <s v="Heart Disease"/>
    <s v="BRCA1 Mutation"/>
    <s v="T004"/>
    <x v="0"/>
    <x v="2"/>
    <s v="3/23/2022"/>
    <s v="2/23/2023"/>
    <s v="100mg"/>
    <s v="Fatigue, Nausea"/>
    <s v="TR0035"/>
    <s v="100mg"/>
    <x v="0"/>
    <s v="Dizziness"/>
    <n v="126"/>
    <n v="1"/>
    <s v="BRCA2"/>
    <s v="Positive"/>
    <n v="2.0299999999999998"/>
    <n v="2.14"/>
    <n v="3.8"/>
    <n v="20.5"/>
    <n v="12.2"/>
    <n v="100"/>
    <n v="100"/>
  </r>
  <r>
    <s v="P207"/>
    <n v="80"/>
    <s v="Male"/>
    <s v="Caucasian"/>
    <s v="Hypertension"/>
    <s v="BRCA1 Mutation"/>
    <s v="T019"/>
    <x v="0"/>
    <x v="0"/>
    <s v="12/5/2022"/>
    <s v="9/5/2023"/>
    <s v="100mg"/>
    <s v="Not Reported, Headache, Fatigue"/>
    <s v="TR0062"/>
    <s v="100mg"/>
    <x v="0"/>
    <s v="Dizziness"/>
    <n v="39"/>
    <n v="1"/>
    <s v="EGFR"/>
    <s v="Positive"/>
    <n v="2.25"/>
    <n v="3.44"/>
    <n v="7.4"/>
    <n v="10.9"/>
    <n v="10"/>
    <n v="100"/>
    <n v="100"/>
  </r>
  <r>
    <s v="P208"/>
    <n v="81"/>
    <s v="Other"/>
    <s v="Caucasian"/>
    <s v="Not Reported"/>
    <s v="BRCA1 Mutation"/>
    <s v="T018"/>
    <x v="2"/>
    <x v="2"/>
    <s v="9/4/2019"/>
    <s v="12/4/2020"/>
    <s v="150mg"/>
    <s v="Dizziness, Fatigue, Headache"/>
    <s v="TR0198"/>
    <s v="150mg"/>
    <x v="2"/>
    <s v="Fatigue"/>
    <n v="100"/>
    <n v="0"/>
    <s v="BRCA1"/>
    <s v="Positive"/>
    <n v="1.49"/>
    <n v="1.72"/>
    <n v="7.1"/>
    <n v="9.3000000000000007"/>
    <n v="11.9"/>
    <n v="150"/>
    <n v="150"/>
  </r>
  <r>
    <s v="P209"/>
    <n v="32"/>
    <s v="Male"/>
    <s v="Hispanic"/>
    <s v="Asthma"/>
    <s v="BRCA1 Mutation"/>
    <s v="T002"/>
    <x v="0"/>
    <x v="3"/>
    <s v="7/9/2020"/>
    <s v="6/9/2021"/>
    <s v="200mg"/>
    <s v="Nausea"/>
    <s v="TR0190"/>
    <s v="200mg"/>
    <x v="0"/>
    <s v="Dizziness"/>
    <n v="75"/>
    <n v="1"/>
    <s v="BRCA2"/>
    <s v="Positive"/>
    <n v="3.84"/>
    <n v="1.43"/>
    <n v="6.1"/>
    <n v="10.6"/>
    <n v="19.399999999999999"/>
    <n v="200"/>
    <n v="200"/>
  </r>
  <r>
    <s v="P210"/>
    <n v="80"/>
    <s v="Other"/>
    <s v="Caucasian"/>
    <s v="Hypertension"/>
    <s v="Not Reported"/>
    <s v="T015"/>
    <x v="0"/>
    <x v="0"/>
    <s v="12/22/2020"/>
    <s v="11/22/2021"/>
    <s v="100mg"/>
    <s v="Not Reported"/>
    <s v="TR0059"/>
    <s v="100mg"/>
    <x v="0"/>
    <s v="Fatigue"/>
    <n v="135"/>
    <n v="1"/>
    <s v="BRCA2"/>
    <s v="Negative"/>
    <n v="2.93"/>
    <n v="4.22"/>
    <n v="6"/>
    <n v="6.8"/>
    <n v="13.8"/>
    <n v="100"/>
    <n v="100"/>
  </r>
  <r>
    <s v="P211"/>
    <n v="46"/>
    <s v="Male"/>
    <s v="Hispanic"/>
    <s v="Heart Disease"/>
    <s v="HER2 Mutation"/>
    <s v="T005"/>
    <x v="2"/>
    <x v="0"/>
    <s v="7/12/2020"/>
    <s v="3/12/2021"/>
    <s v="200mg"/>
    <s v="Fatigue, Not Reported, Dizziness"/>
    <s v="TR0052"/>
    <s v="200mg"/>
    <x v="1"/>
    <s v="Fatigue"/>
    <n v="38"/>
    <n v="0"/>
    <s v="EGFR"/>
    <s v="Positive"/>
    <n v="4.8099999999999996"/>
    <n v="3.41"/>
    <n v="8.4"/>
    <n v="21.9"/>
    <n v="6.9"/>
    <n v="200"/>
    <n v="200"/>
  </r>
  <r>
    <s v="P212"/>
    <n v="53"/>
    <s v="Male"/>
    <s v="Caucasian"/>
    <s v="Asthma"/>
    <s v="BRCA2 Mutation"/>
    <s v="T011"/>
    <x v="2"/>
    <x v="3"/>
    <s v="3/26/2023"/>
    <s v="9/26/2024"/>
    <s v="100mg"/>
    <s v="Dizziness, Fatigue, Nausea"/>
    <s v="TR0106"/>
    <s v="100mg"/>
    <x v="2"/>
    <s v="Headache"/>
    <n v="85"/>
    <n v="0"/>
    <s v="EGFR"/>
    <s v="Negative"/>
    <n v="1.85"/>
    <n v="3.44"/>
    <n v="4.7"/>
    <n v="21.1"/>
    <n v="18.3"/>
    <n v="100"/>
    <n v="100"/>
  </r>
  <r>
    <s v="P213"/>
    <n v="77"/>
    <s v="Female"/>
    <s v="Caucasian"/>
    <s v="Asthma"/>
    <s v="Not Reported"/>
    <s v="T008"/>
    <x v="2"/>
    <x v="3"/>
    <s v="10/8/2022"/>
    <s v="1/8/2024"/>
    <s v="100mg"/>
    <s v="Nausea, Headache, Dizziness"/>
    <s v="TR0011"/>
    <s v="100mg"/>
    <x v="1"/>
    <s v="Dizziness"/>
    <n v="38"/>
    <n v="0"/>
    <s v="HER2"/>
    <s v="Negative"/>
    <n v="2.41"/>
    <n v="1.95"/>
    <n v="8"/>
    <n v="10.9"/>
    <n v="17"/>
    <n v="100"/>
    <n v="100"/>
  </r>
  <r>
    <s v="P214"/>
    <n v="79"/>
    <s v="Other"/>
    <s v="Caucasian"/>
    <s v="Asthma"/>
    <s v="BRCA1 Mutation"/>
    <s v="T018"/>
    <x v="1"/>
    <x v="0"/>
    <s v="3/12/2020"/>
    <s v="1/12/2021"/>
    <s v="100mg"/>
    <s v="Nausea, Dizziness, Fatigue"/>
    <s v="TR0172"/>
    <s v="100mg"/>
    <x v="1"/>
    <s v="Fatigue"/>
    <n v="147"/>
    <n v="0"/>
    <s v="EGFR"/>
    <s v="Positive"/>
    <n v="2.69"/>
    <n v="3.67"/>
    <n v="1.9"/>
    <n v="17.2"/>
    <n v="10.7"/>
    <n v="100"/>
    <n v="100"/>
  </r>
  <r>
    <s v="P215"/>
    <n v="76"/>
    <s v="Female"/>
    <s v="Asian"/>
    <s v="Asthma"/>
    <s v="TP53 Mutation"/>
    <s v="T015"/>
    <x v="1"/>
    <x v="1"/>
    <s v="12/11/2022"/>
    <s v="2/11/2024"/>
    <s v="50mg"/>
    <s v="Headache, Not Reported"/>
    <s v="TR0179"/>
    <s v="50mg"/>
    <x v="2"/>
    <s v="Dizziness"/>
    <n v="177"/>
    <n v="0"/>
    <s v="BRCA2"/>
    <s v="Positive"/>
    <n v="3.35"/>
    <n v="1.67"/>
    <n v="7.6"/>
    <n v="21.5"/>
    <n v="6.7"/>
    <n v="50"/>
    <n v="50"/>
  </r>
  <r>
    <s v="P216"/>
    <n v="60"/>
    <s v="Other"/>
    <s v="Caucasian"/>
    <s v="Heart Disease"/>
    <s v="Not Reported"/>
    <s v="T012"/>
    <x v="1"/>
    <x v="1"/>
    <s v="6/15/2022"/>
    <s v="9/15/2023"/>
    <s v="50mg"/>
    <s v="Not Reported, Fatigue"/>
    <s v="TR0166"/>
    <s v="50mg"/>
    <x v="2"/>
    <s v="Nausea"/>
    <n v="173"/>
    <n v="0"/>
    <s v="BRCA2"/>
    <s v="Positive"/>
    <n v="1.38"/>
    <n v="1.0900000000000001"/>
    <n v="6.8"/>
    <n v="16.899999999999999"/>
    <n v="12.3"/>
    <n v="50"/>
    <n v="50"/>
  </r>
  <r>
    <s v="P217"/>
    <n v="60"/>
    <s v="Male"/>
    <s v="Other"/>
    <s v="Hypertension"/>
    <s v="Not Reported"/>
    <s v="T019"/>
    <x v="2"/>
    <x v="2"/>
    <s v="6/9/2021"/>
    <s v="8/9/2022"/>
    <s v="200mg"/>
    <s v="Nausea, Dizziness"/>
    <s v="TR0096"/>
    <s v="200mg"/>
    <x v="1"/>
    <s v="Headache"/>
    <n v="154"/>
    <n v="0"/>
    <s v="EGFR"/>
    <s v="Positive"/>
    <n v="1.93"/>
    <n v="2.56"/>
    <n v="6.4"/>
    <n v="14.9"/>
    <n v="19.8"/>
    <n v="200"/>
    <n v="200"/>
  </r>
  <r>
    <s v="P218"/>
    <n v="78"/>
    <s v="Other"/>
    <s v="Other"/>
    <s v="Heart Disease"/>
    <s v="Not Reported"/>
    <s v="T015"/>
    <x v="0"/>
    <x v="1"/>
    <s v="8/3/2020"/>
    <s v="3/3/2021"/>
    <s v="200mg"/>
    <s v="Not Reported"/>
    <s v="TR0020"/>
    <s v="200mg"/>
    <x v="0"/>
    <s v="Fatigue"/>
    <n v="100"/>
    <n v="1"/>
    <s v="BRCA1"/>
    <s v="Positive"/>
    <n v="1.55"/>
    <n v="3.78"/>
    <n v="4.5999999999999996"/>
    <n v="13.7"/>
    <n v="15.2"/>
    <n v="200"/>
    <n v="200"/>
  </r>
  <r>
    <s v="P219"/>
    <n v="81"/>
    <s v="Male"/>
    <s v="Asian"/>
    <s v="Heart Disease"/>
    <s v="Not Reported"/>
    <s v="T001"/>
    <x v="0"/>
    <x v="0"/>
    <s v="3/16/2023"/>
    <s v="2/16/2024"/>
    <s v="200mg"/>
    <s v="Nausea, Not Reported"/>
    <s v="TR0049"/>
    <s v="200mg"/>
    <x v="0"/>
    <s v="Nausea"/>
    <n v="89"/>
    <n v="1"/>
    <s v="EGFR"/>
    <s v="Negative"/>
    <n v="3.77"/>
    <n v="4.97"/>
    <n v="2.2000000000000002"/>
    <n v="7.9"/>
    <n v="15.3"/>
    <n v="200"/>
    <n v="200"/>
  </r>
  <r>
    <s v="P220"/>
    <n v="70"/>
    <s v="Other"/>
    <s v="African American"/>
    <s v="Not Reported"/>
    <s v="EGFR Mutation"/>
    <s v="T018"/>
    <x v="3"/>
    <x v="0"/>
    <s v="10/5/2021"/>
    <s v="4/5/2023"/>
    <s v="150mg"/>
    <s v="Not Reported"/>
    <s v="TR0059"/>
    <s v="150mg"/>
    <x v="1"/>
    <s v="Not Reported"/>
    <n v="103"/>
    <n v="0"/>
    <s v="BRCA1"/>
    <s v="Positive"/>
    <n v="3.31"/>
    <n v="2.1"/>
    <n v="1.7"/>
    <n v="7.5"/>
    <n v="18.2"/>
    <n v="150"/>
    <n v="150"/>
  </r>
  <r>
    <s v="P221"/>
    <n v="63"/>
    <s v="Female"/>
    <s v="Hispanic"/>
    <s v="Diabetes"/>
    <s v="Not Reported"/>
    <s v="T006"/>
    <x v="0"/>
    <x v="2"/>
    <s v="12/23/2020"/>
    <s v="4/23/2022"/>
    <s v="100mg"/>
    <s v="Fatigue"/>
    <s v="TR0030"/>
    <s v="100mg"/>
    <x v="0"/>
    <s v="Not Reported"/>
    <n v="177"/>
    <n v="1"/>
    <s v="BRCA2"/>
    <s v="Negative"/>
    <n v="1.77"/>
    <n v="2.29"/>
    <n v="3"/>
    <n v="12.4"/>
    <n v="4.2"/>
    <n v="100"/>
    <n v="100"/>
  </r>
  <r>
    <s v="P222"/>
    <n v="51"/>
    <s v="Female"/>
    <s v="Asian"/>
    <s v="Diabetes"/>
    <s v="Not Reported"/>
    <s v="T002"/>
    <x v="0"/>
    <x v="3"/>
    <s v="6/15/2020"/>
    <s v="8/15/2021"/>
    <s v="100mg"/>
    <s v="Not Reported, Nausea, Headache"/>
    <s v="TR0104"/>
    <s v="100mg"/>
    <x v="1"/>
    <s v="Fatigue"/>
    <n v="147"/>
    <n v="0"/>
    <s v="TP53"/>
    <s v="Positive"/>
    <n v="3.08"/>
    <n v="1.27"/>
    <n v="8.1999999999999993"/>
    <n v="10.199999999999999"/>
    <n v="12.2"/>
    <n v="100"/>
    <n v="100"/>
  </r>
  <r>
    <s v="P223"/>
    <n v="18"/>
    <s v="Other"/>
    <s v="Other"/>
    <s v="Heart Disease"/>
    <s v="TP53 Mutation"/>
    <s v="T016"/>
    <x v="0"/>
    <x v="2"/>
    <s v="12/15/2023"/>
    <s v="11/15/2024"/>
    <s v="50mg"/>
    <s v="Headache, Nausea, Dizziness"/>
    <s v="TR0174"/>
    <s v="50mg"/>
    <x v="2"/>
    <s v="Nausea"/>
    <n v="108"/>
    <n v="0"/>
    <s v="BRCA1"/>
    <s v="Negative"/>
    <n v="4.5199999999999996"/>
    <n v="3.6"/>
    <n v="5.8"/>
    <n v="11.8"/>
    <n v="8.6999999999999993"/>
    <n v="50"/>
    <n v="50"/>
  </r>
  <r>
    <s v="P224"/>
    <n v="46"/>
    <s v="Female"/>
    <s v="African American"/>
    <s v="Hypertension"/>
    <s v="EGFR Mutation"/>
    <s v="T007"/>
    <x v="2"/>
    <x v="3"/>
    <s v="1/3/2020"/>
    <s v="3/3/2021"/>
    <s v="200mg"/>
    <s v="Nausea, Headache, Dizziness"/>
    <s v="TR0126"/>
    <s v="200mg"/>
    <x v="1"/>
    <s v="Dizziness"/>
    <n v="160"/>
    <n v="0"/>
    <s v="BRCA1"/>
    <s v="Negative"/>
    <n v="3.68"/>
    <n v="4.9800000000000004"/>
    <n v="7"/>
    <n v="16"/>
    <n v="15.4"/>
    <n v="200"/>
    <n v="200"/>
  </r>
  <r>
    <s v="P225"/>
    <n v="68"/>
    <s v="Male"/>
    <s v="Hispanic"/>
    <s v="Not Reported"/>
    <s v="BRCA1 Mutation"/>
    <s v="T010"/>
    <x v="0"/>
    <x v="3"/>
    <s v="8/28/2021"/>
    <s v="10/28/2022"/>
    <s v="50mg"/>
    <s v="Headache"/>
    <s v="TR0190"/>
    <s v="50mg"/>
    <x v="1"/>
    <s v="Headache"/>
    <n v="103"/>
    <n v="0"/>
    <s v="BRCA2"/>
    <s v="Negative"/>
    <n v="2.86"/>
    <n v="1.24"/>
    <n v="6.1"/>
    <n v="23.2"/>
    <n v="6"/>
    <n v="50"/>
    <n v="50"/>
  </r>
  <r>
    <s v="P226"/>
    <n v="71"/>
    <s v="Male"/>
    <s v="Other"/>
    <s v="Heart Disease"/>
    <s v="BRCA2 Mutation"/>
    <s v="T010"/>
    <x v="3"/>
    <x v="3"/>
    <s v="10/25/2019"/>
    <s v="10/25/2020"/>
    <s v="50mg"/>
    <s v="Headache"/>
    <s v="TR0164"/>
    <s v="50mg"/>
    <x v="1"/>
    <s v="Headache"/>
    <n v="74"/>
    <n v="0"/>
    <s v="EGFR"/>
    <s v="Negative"/>
    <n v="3.76"/>
    <n v="1.8"/>
    <n v="5.8"/>
    <n v="7.7"/>
    <n v="10.7"/>
    <n v="50"/>
    <n v="50"/>
  </r>
  <r>
    <s v="P227"/>
    <n v="35"/>
    <s v="Male"/>
    <s v="Asian"/>
    <s v="Asthma"/>
    <s v="HER2 Mutation"/>
    <s v="T002"/>
    <x v="0"/>
    <x v="3"/>
    <s v="9/24/2022"/>
    <s v="10/24/2023"/>
    <s v="100mg"/>
    <s v="Nausea"/>
    <s v="TR0040"/>
    <s v="100mg"/>
    <x v="1"/>
    <s v="Not Reported"/>
    <n v="150"/>
    <n v="0"/>
    <s v="BRCA1"/>
    <s v="Negative"/>
    <n v="4.0199999999999996"/>
    <n v="2.39"/>
    <n v="7"/>
    <n v="20.3"/>
    <n v="18.8"/>
    <n v="100"/>
    <n v="100"/>
  </r>
  <r>
    <s v="P228"/>
    <n v="71"/>
    <s v="Male"/>
    <s v="Hispanic"/>
    <s v="Diabetes"/>
    <s v="TP53 Mutation"/>
    <s v="T016"/>
    <x v="1"/>
    <x v="3"/>
    <s v="8/19/2023"/>
    <s v="8/19/2024"/>
    <s v="150mg"/>
    <s v="Headache, Nausea, Fatigue"/>
    <s v="TR0132"/>
    <s v="150mg"/>
    <x v="2"/>
    <s v="Dizziness"/>
    <n v="34"/>
    <n v="0"/>
    <s v="TP53"/>
    <s v="Positive"/>
    <n v="1.94"/>
    <n v="2.6"/>
    <n v="2.4"/>
    <n v="23.9"/>
    <n v="18.8"/>
    <n v="150"/>
    <n v="150"/>
  </r>
  <r>
    <s v="P229"/>
    <n v="25"/>
    <s v="Male"/>
    <s v="African American"/>
    <s v="Asthma"/>
    <s v="Not Reported"/>
    <s v="T005"/>
    <x v="0"/>
    <x v="2"/>
    <s v="5/12/2019"/>
    <s v="5/12/2020"/>
    <s v="150mg"/>
    <s v="Not Reported"/>
    <s v="TR0075"/>
    <s v="150mg"/>
    <x v="2"/>
    <s v="Nausea"/>
    <n v="161"/>
    <n v="0"/>
    <s v="BRCA2"/>
    <s v="Positive"/>
    <n v="3.16"/>
    <n v="4.37"/>
    <n v="5.7"/>
    <n v="17.2"/>
    <n v="4.5"/>
    <n v="150"/>
    <n v="150"/>
  </r>
  <r>
    <s v="P230"/>
    <n v="30"/>
    <s v="Other"/>
    <s v="Asian"/>
    <s v="Heart Disease"/>
    <s v="TP53 Mutation"/>
    <s v="T010"/>
    <x v="0"/>
    <x v="3"/>
    <s v="9/19/2019"/>
    <s v="8/19/2020"/>
    <s v="100mg"/>
    <s v="Fatigue"/>
    <s v="TR0133"/>
    <s v="100mg"/>
    <x v="1"/>
    <s v="Not Reported"/>
    <n v="154"/>
    <n v="0"/>
    <s v="HER2"/>
    <s v="Negative"/>
    <n v="4.0199999999999996"/>
    <n v="1.51"/>
    <n v="8.4"/>
    <n v="20.100000000000001"/>
    <n v="15"/>
    <n v="100"/>
    <n v="100"/>
  </r>
  <r>
    <s v="P231"/>
    <n v="38"/>
    <s v="Male"/>
    <s v="Asian"/>
    <s v="Diabetes"/>
    <s v="Not Reported"/>
    <s v="T007"/>
    <x v="1"/>
    <x v="0"/>
    <s v="2/4/2022"/>
    <s v="10/4/2022"/>
    <s v="50mg"/>
    <s v="Not Reported, Dizziness"/>
    <s v="TR0177"/>
    <s v="50mg"/>
    <x v="1"/>
    <s v="Fatigue"/>
    <n v="143"/>
    <n v="0"/>
    <s v="EGFR"/>
    <s v="Negative"/>
    <n v="1.1399999999999999"/>
    <n v="2.21"/>
    <n v="3.4"/>
    <n v="12.5"/>
    <n v="4.5"/>
    <n v="50"/>
    <n v="50"/>
  </r>
  <r>
    <s v="P232"/>
    <n v="40"/>
    <s v="Other"/>
    <s v="African American"/>
    <s v="Hypertension"/>
    <s v="Not Reported"/>
    <s v="T004"/>
    <x v="2"/>
    <x v="2"/>
    <s v="12/8/2020"/>
    <s v="10/8/2021"/>
    <s v="100mg"/>
    <s v="Fatigue"/>
    <s v="TR0021"/>
    <s v="100mg"/>
    <x v="1"/>
    <s v="Nausea"/>
    <n v="49"/>
    <n v="0"/>
    <s v="BRCA1"/>
    <s v="Negative"/>
    <n v="4.75"/>
    <n v="3.22"/>
    <n v="3.7"/>
    <n v="13.1"/>
    <n v="10.6"/>
    <n v="100"/>
    <n v="100"/>
  </r>
  <r>
    <s v="P233"/>
    <n v="73"/>
    <s v="Male"/>
    <s v="Asian"/>
    <s v="Hypertension"/>
    <s v="EGFR Mutation"/>
    <s v="T019"/>
    <x v="1"/>
    <x v="0"/>
    <s v="5/2/2019"/>
    <s v="12/2/2019"/>
    <s v="150mg"/>
    <s v="Nausea, Dizziness, Headache"/>
    <s v="TR0155"/>
    <s v="150mg"/>
    <x v="0"/>
    <s v="Dizziness"/>
    <n v="81"/>
    <n v="1"/>
    <s v="BRCA2"/>
    <s v="Negative"/>
    <n v="3.4"/>
    <n v="3.06"/>
    <n v="9.3000000000000007"/>
    <n v="14.9"/>
    <n v="19.899999999999999"/>
    <n v="150"/>
    <n v="150"/>
  </r>
  <r>
    <s v="P234"/>
    <n v="21"/>
    <s v="Male"/>
    <s v="Asian"/>
    <s v="Not Reported"/>
    <s v="Not Reported"/>
    <s v="T012"/>
    <x v="0"/>
    <x v="2"/>
    <s v="12/20/2023"/>
    <s v="9/20/2024"/>
    <s v="50mg"/>
    <s v="Dizziness"/>
    <s v="TR0196"/>
    <s v="50mg"/>
    <x v="0"/>
    <s v="Dizziness"/>
    <n v="85"/>
    <n v="1"/>
    <s v="BRCA2"/>
    <s v="Negative"/>
    <n v="4.41"/>
    <n v="1.83"/>
    <n v="9.4"/>
    <n v="8.1"/>
    <n v="16.899999999999999"/>
    <n v="50"/>
    <n v="50"/>
  </r>
  <r>
    <s v="P235"/>
    <n v="39"/>
    <s v="Other"/>
    <s v="Caucasian"/>
    <s v="Hypertension"/>
    <s v="Not Reported"/>
    <s v="T017"/>
    <x v="3"/>
    <x v="3"/>
    <s v="3/15/2023"/>
    <s v="7/15/2024"/>
    <s v="50mg"/>
    <s v="Not Reported"/>
    <s v="TR0098"/>
    <s v="50mg"/>
    <x v="1"/>
    <s v="Fatigue"/>
    <n v="161"/>
    <n v="0"/>
    <s v="BRCA2"/>
    <s v="Negative"/>
    <n v="2.52"/>
    <n v="4.51"/>
    <n v="8.8000000000000007"/>
    <n v="20.5"/>
    <n v="16.399999999999999"/>
    <n v="50"/>
    <n v="50"/>
  </r>
  <r>
    <s v="P236"/>
    <n v="32"/>
    <s v="Female"/>
    <s v="Caucasian"/>
    <s v="Asthma"/>
    <s v="BRCA2 Mutation"/>
    <s v="T016"/>
    <x v="0"/>
    <x v="3"/>
    <s v="12/2/2023"/>
    <s v="7/2/2024"/>
    <s v="150mg"/>
    <s v="Nausea, Headache"/>
    <s v="TR0073"/>
    <s v="150mg"/>
    <x v="1"/>
    <s v="Dizziness"/>
    <n v="109"/>
    <n v="0"/>
    <s v="HER2"/>
    <s v="Positive"/>
    <n v="2.2200000000000002"/>
    <n v="1.32"/>
    <n v="4.5999999999999996"/>
    <n v="9.1"/>
    <n v="14.8"/>
    <n v="150"/>
    <n v="150"/>
  </r>
  <r>
    <s v="P237"/>
    <n v="70"/>
    <s v="Female"/>
    <s v="Hispanic"/>
    <s v="Diabetes"/>
    <s v="Not Reported"/>
    <s v="T016"/>
    <x v="0"/>
    <x v="2"/>
    <s v="11/16/2019"/>
    <s v="3/16/2021"/>
    <s v="50mg"/>
    <s v="Headache, Nausea"/>
    <s v="TR0031"/>
    <s v="50mg"/>
    <x v="0"/>
    <s v="Headache"/>
    <n v="132"/>
    <n v="1"/>
    <s v="EGFR"/>
    <s v="Positive"/>
    <n v="2.38"/>
    <n v="4.9000000000000004"/>
    <n v="6.8"/>
    <n v="20.8"/>
    <n v="5.3"/>
    <n v="50"/>
    <n v="50"/>
  </r>
  <r>
    <s v="P238"/>
    <n v="39"/>
    <s v="Male"/>
    <s v="African American"/>
    <s v="Diabetes"/>
    <s v="EGFR Mutation"/>
    <s v="T013"/>
    <x v="1"/>
    <x v="2"/>
    <s v="12/16/2022"/>
    <s v="10/16/2023"/>
    <s v="150mg"/>
    <s v="Headache, Not Reported, Fatigue"/>
    <s v="TR0171"/>
    <s v="150mg"/>
    <x v="2"/>
    <s v="Headache"/>
    <n v="154"/>
    <n v="0"/>
    <s v="EGFR"/>
    <s v="Negative"/>
    <n v="4.45"/>
    <n v="4.6900000000000004"/>
    <n v="5.4"/>
    <n v="16.899999999999999"/>
    <n v="16"/>
    <n v="150"/>
    <n v="150"/>
  </r>
  <r>
    <s v="P239"/>
    <n v="36"/>
    <s v="Female"/>
    <s v="Caucasian"/>
    <s v="Hypertension"/>
    <s v="HER2 Mutation"/>
    <s v="T008"/>
    <x v="2"/>
    <x v="1"/>
    <s v="12/2/2019"/>
    <s v="7/2/2020"/>
    <s v="200mg"/>
    <s v="Nausea, Fatigue, Headache"/>
    <s v="TR0155"/>
    <s v="200mg"/>
    <x v="2"/>
    <s v="Not Reported"/>
    <n v="69"/>
    <n v="0"/>
    <s v="TP53"/>
    <s v="Positive"/>
    <n v="1.7"/>
    <n v="3.01"/>
    <n v="4.5999999999999996"/>
    <n v="8.6"/>
    <n v="9.1999999999999993"/>
    <n v="200"/>
    <n v="200"/>
  </r>
  <r>
    <s v="P240"/>
    <n v="27"/>
    <s v="Other"/>
    <s v="Other"/>
    <s v="Asthma"/>
    <s v="Not Reported"/>
    <s v="T007"/>
    <x v="0"/>
    <x v="0"/>
    <s v="9/9/2022"/>
    <s v="11/9/2023"/>
    <s v="150mg"/>
    <s v="Dizziness, Nausea, Headache"/>
    <s v="TR0111"/>
    <s v="150mg"/>
    <x v="0"/>
    <s v="Headache"/>
    <n v="145"/>
    <n v="1"/>
    <s v="TP53"/>
    <s v="Negative"/>
    <n v="1.27"/>
    <n v="1.1000000000000001"/>
    <n v="2.2000000000000002"/>
    <n v="23.3"/>
    <n v="12.3"/>
    <n v="150"/>
    <n v="150"/>
  </r>
  <r>
    <s v="P241"/>
    <n v="74"/>
    <s v="Female"/>
    <s v="Caucasian"/>
    <s v="Hypertension"/>
    <s v="TP53 Mutation"/>
    <s v="T006"/>
    <x v="3"/>
    <x v="0"/>
    <s v="5/23/2020"/>
    <s v="5/23/2021"/>
    <s v="200mg"/>
    <s v="Dizziness"/>
    <s v="TR0173"/>
    <s v="200mg"/>
    <x v="1"/>
    <s v="Dizziness"/>
    <n v="168"/>
    <n v="0"/>
    <s v="EGFR"/>
    <s v="Negative"/>
    <n v="4.8600000000000003"/>
    <n v="2.73"/>
    <n v="3.8"/>
    <n v="15.1"/>
    <n v="10.5"/>
    <n v="200"/>
    <n v="200"/>
  </r>
  <r>
    <s v="P242"/>
    <n v="78"/>
    <s v="Other"/>
    <s v="Asian"/>
    <s v="Heart Disease"/>
    <s v="TP53 Mutation"/>
    <s v="T016"/>
    <x v="3"/>
    <x v="3"/>
    <s v="6/2/2021"/>
    <s v="12/2/2021"/>
    <s v="50mg"/>
    <s v="Not Reported"/>
    <s v="TR0090"/>
    <s v="50mg"/>
    <x v="2"/>
    <s v="Dizziness"/>
    <n v="36"/>
    <n v="0"/>
    <s v="TP53"/>
    <s v="Negative"/>
    <n v="1.42"/>
    <n v="3.56"/>
    <n v="2.9"/>
    <n v="17.2"/>
    <n v="14.1"/>
    <n v="50"/>
    <n v="50"/>
  </r>
  <r>
    <s v="P243"/>
    <n v="30"/>
    <s v="Female"/>
    <s v="African American"/>
    <s v="Not Reported"/>
    <s v="BRCA1 Mutation"/>
    <s v="T008"/>
    <x v="2"/>
    <x v="2"/>
    <s v="10/3/2021"/>
    <s v="3/3/2023"/>
    <s v="50mg"/>
    <s v="Nausea, Not Reported"/>
    <s v="TR0044"/>
    <s v="50mg"/>
    <x v="0"/>
    <s v="Dizziness"/>
    <n v="113"/>
    <n v="1"/>
    <s v="BRCA1"/>
    <s v="Negative"/>
    <n v="1.61"/>
    <n v="1.25"/>
    <n v="8"/>
    <n v="14.3"/>
    <n v="4"/>
    <n v="50"/>
    <n v="50"/>
  </r>
  <r>
    <s v="P244"/>
    <n v="72"/>
    <s v="Other"/>
    <s v="Other"/>
    <s v="Asthma"/>
    <s v="HER2 Mutation"/>
    <s v="T019"/>
    <x v="1"/>
    <x v="3"/>
    <s v="10/13/2022"/>
    <s v="9/13/2023"/>
    <s v="50mg"/>
    <s v="Nausea, Fatigue"/>
    <s v="TR0087"/>
    <s v="50mg"/>
    <x v="1"/>
    <s v="Dizziness"/>
    <n v="116"/>
    <n v="0"/>
    <s v="BRCA2"/>
    <s v="Negative"/>
    <n v="4.9800000000000004"/>
    <n v="1.23"/>
    <n v="7.3"/>
    <n v="23.7"/>
    <n v="7.1"/>
    <n v="50"/>
    <n v="50"/>
  </r>
  <r>
    <s v="P245"/>
    <n v="64"/>
    <s v="Female"/>
    <s v="Asian"/>
    <s v="Asthma"/>
    <s v="Not Reported"/>
    <s v="T003"/>
    <x v="2"/>
    <x v="3"/>
    <s v="1/10/2021"/>
    <s v="4/10/2022"/>
    <s v="200mg"/>
    <s v="Dizziness"/>
    <s v="TR0191"/>
    <s v="200mg"/>
    <x v="0"/>
    <s v="Dizziness"/>
    <n v="54"/>
    <n v="1"/>
    <s v="EGFR"/>
    <s v="Negative"/>
    <n v="1.57"/>
    <n v="1.49"/>
    <n v="3.7"/>
    <n v="7.8"/>
    <n v="14.8"/>
    <n v="200"/>
    <n v="200"/>
  </r>
  <r>
    <s v="P246"/>
    <n v="52"/>
    <s v="Male"/>
    <s v="Other"/>
    <s v="Heart Disease"/>
    <s v="BRCA2 Mutation"/>
    <s v="T012"/>
    <x v="1"/>
    <x v="3"/>
    <s v="5/14/2023"/>
    <s v="9/14/2024"/>
    <s v="150mg"/>
    <s v="Headache"/>
    <s v="TR0103"/>
    <s v="150mg"/>
    <x v="1"/>
    <s v="Dizziness"/>
    <n v="161"/>
    <n v="0"/>
    <s v="HER2"/>
    <s v="Positive"/>
    <n v="1.25"/>
    <n v="3.04"/>
    <n v="10"/>
    <n v="20.7"/>
    <n v="13.5"/>
    <n v="150"/>
    <n v="150"/>
  </r>
  <r>
    <s v="P247"/>
    <n v="20"/>
    <s v="Other"/>
    <s v="Other"/>
    <s v="Diabetes"/>
    <s v="Not Reported"/>
    <s v="T007"/>
    <x v="3"/>
    <x v="3"/>
    <s v="10/28/2023"/>
    <s v="4/28/2025"/>
    <s v="200mg"/>
    <s v="Nausea, Fatigue, Headache"/>
    <s v="TR0119"/>
    <s v="200mg"/>
    <x v="0"/>
    <s v="Fatigue"/>
    <n v="68"/>
    <n v="1"/>
    <s v="TP53"/>
    <s v="Negative"/>
    <n v="2.23"/>
    <n v="3.5"/>
    <n v="5.7"/>
    <n v="13.7"/>
    <n v="5.2"/>
    <n v="200"/>
    <n v="200"/>
  </r>
  <r>
    <s v="P248"/>
    <n v="70"/>
    <s v="Female"/>
    <s v="Caucasian"/>
    <s v="Diabetes"/>
    <s v="Not Reported"/>
    <s v="T009"/>
    <x v="0"/>
    <x v="2"/>
    <s v="11/20/2021"/>
    <s v="8/20/2022"/>
    <s v="200mg"/>
    <s v="Nausea"/>
    <s v="TR0039"/>
    <s v="200mg"/>
    <x v="0"/>
    <s v="Nausea"/>
    <n v="92"/>
    <n v="1"/>
    <s v="TP53"/>
    <s v="Negative"/>
    <n v="4.55"/>
    <n v="2.8"/>
    <n v="2.8"/>
    <n v="12.6"/>
    <n v="10"/>
    <n v="200"/>
    <n v="200"/>
  </r>
  <r>
    <s v="P249"/>
    <n v="80"/>
    <s v="Other"/>
    <s v="Hispanic"/>
    <s v="Asthma"/>
    <s v="Not Reported"/>
    <s v="T002"/>
    <x v="2"/>
    <x v="2"/>
    <s v="3/1/2021"/>
    <s v="1/1/2022"/>
    <s v="150mg"/>
    <s v="Dizziness, Fatigue, Not Reported"/>
    <s v="TR0011"/>
    <s v="150mg"/>
    <x v="2"/>
    <s v="Headache"/>
    <n v="35"/>
    <n v="0"/>
    <s v="BRCA1"/>
    <s v="Positive"/>
    <n v="4.3099999999999996"/>
    <n v="3.93"/>
    <n v="7.9"/>
    <n v="6.2"/>
    <n v="10.1"/>
    <n v="150"/>
    <n v="150"/>
  </r>
  <r>
    <s v="P250"/>
    <n v="58"/>
    <s v="Other"/>
    <s v="African American"/>
    <s v="Hypertension"/>
    <s v="Not Reported"/>
    <s v="T014"/>
    <x v="0"/>
    <x v="1"/>
    <s v="12/27/2022"/>
    <s v="8/27/2023"/>
    <s v="100mg"/>
    <s v="Dizziness"/>
    <s v="TR0189"/>
    <s v="100mg"/>
    <x v="2"/>
    <s v="Nausea"/>
    <n v="163"/>
    <n v="0"/>
    <s v="EGFR"/>
    <s v="Negative"/>
    <n v="2.93"/>
    <n v="1.08"/>
    <n v="3.3"/>
    <n v="19.7"/>
    <n v="5.3"/>
    <n v="100"/>
    <n v="100"/>
  </r>
  <r>
    <s v="P251"/>
    <n v="81"/>
    <s v="Male"/>
    <s v="Asian"/>
    <s v="Heart Disease"/>
    <s v="TP53 Mutation"/>
    <s v="T011"/>
    <x v="3"/>
    <x v="2"/>
    <s v="4/5/2022"/>
    <s v="11/5/2022"/>
    <s v="100mg"/>
    <s v="Not Reported"/>
    <s v="TR0113"/>
    <s v="100mg"/>
    <x v="1"/>
    <s v="Not Reported"/>
    <n v="180"/>
    <n v="0"/>
    <s v="BRCA1"/>
    <s v="Negative"/>
    <n v="3.14"/>
    <n v="1.86"/>
    <n v="1.1000000000000001"/>
    <n v="10.3"/>
    <n v="19.600000000000001"/>
    <n v="100"/>
    <n v="100"/>
  </r>
  <r>
    <s v="P252"/>
    <n v="65"/>
    <s v="Other"/>
    <s v="Caucasian"/>
    <s v="Not Reported"/>
    <s v="Not Reported"/>
    <s v="T016"/>
    <x v="2"/>
    <x v="3"/>
    <s v="6/16/2020"/>
    <s v="11/16/2021"/>
    <s v="150mg"/>
    <s v="Nausea, Dizziness"/>
    <s v="TR0190"/>
    <s v="150mg"/>
    <x v="2"/>
    <s v="Nausea"/>
    <n v="91"/>
    <n v="0"/>
    <s v="TP53"/>
    <s v="Negative"/>
    <n v="4.21"/>
    <n v="4.84"/>
    <n v="5.4"/>
    <n v="8"/>
    <n v="12.3"/>
    <n v="150"/>
    <n v="150"/>
  </r>
  <r>
    <s v="P253"/>
    <n v="57"/>
    <s v="Other"/>
    <s v="African American"/>
    <s v="Hypertension"/>
    <s v="Not Reported"/>
    <s v="T008"/>
    <x v="3"/>
    <x v="0"/>
    <s v="7/9/2019"/>
    <s v="5/9/2020"/>
    <s v="50mg"/>
    <s v="Not Reported"/>
    <s v="TR0054"/>
    <s v="50mg"/>
    <x v="0"/>
    <s v="Headache"/>
    <n v="111"/>
    <n v="1"/>
    <s v="HER2"/>
    <s v="Positive"/>
    <n v="2.82"/>
    <n v="4.38"/>
    <n v="1.9"/>
    <n v="14.8"/>
    <n v="5.6"/>
    <n v="50"/>
    <n v="50"/>
  </r>
  <r>
    <s v="P254"/>
    <n v="53"/>
    <s v="Male"/>
    <s v="Hispanic"/>
    <s v="Asthma"/>
    <s v="Not Reported"/>
    <s v="T011"/>
    <x v="3"/>
    <x v="1"/>
    <s v="12/9/2020"/>
    <s v="2/9/2022"/>
    <s v="50mg"/>
    <s v="Headache, Not Reported"/>
    <s v="TR0117"/>
    <s v="50mg"/>
    <x v="2"/>
    <s v="Nausea"/>
    <n v="43"/>
    <n v="0"/>
    <s v="BRCA2"/>
    <s v="Negative"/>
    <n v="2.2999999999999998"/>
    <n v="3.95"/>
    <n v="5.3"/>
    <n v="12.8"/>
    <n v="9.6999999999999993"/>
    <n v="50"/>
    <n v="50"/>
  </r>
  <r>
    <s v="P255"/>
    <n v="35"/>
    <s v="Male"/>
    <s v="Hispanic"/>
    <s v="Diabetes"/>
    <s v="Not Reported"/>
    <s v="T011"/>
    <x v="1"/>
    <x v="1"/>
    <s v="4/17/2020"/>
    <s v="9/17/2021"/>
    <s v="100mg"/>
    <s v="Headache, Not Reported, Fatigue"/>
    <s v="TR0123"/>
    <s v="100mg"/>
    <x v="2"/>
    <s v="Fatigue"/>
    <n v="96"/>
    <n v="0"/>
    <s v="BRCA2"/>
    <s v="Negative"/>
    <n v="2.84"/>
    <n v="4.1399999999999997"/>
    <n v="9"/>
    <n v="23.2"/>
    <n v="16.399999999999999"/>
    <n v="100"/>
    <n v="100"/>
  </r>
  <r>
    <s v="P256"/>
    <n v="54"/>
    <s v="Male"/>
    <s v="Caucasian"/>
    <s v="Asthma"/>
    <s v="HER2 Mutation"/>
    <s v="T013"/>
    <x v="2"/>
    <x v="1"/>
    <s v="9/21/2019"/>
    <s v="12/21/2020"/>
    <s v="100mg"/>
    <s v="Headache"/>
    <s v="TR0051"/>
    <s v="100mg"/>
    <x v="1"/>
    <s v="Fatigue"/>
    <n v="42"/>
    <n v="0"/>
    <s v="HER2"/>
    <s v="Negative"/>
    <n v="2.2599999999999998"/>
    <n v="3.75"/>
    <n v="4.9000000000000004"/>
    <n v="10.6"/>
    <n v="17.3"/>
    <n v="100"/>
    <n v="100"/>
  </r>
  <r>
    <s v="P257"/>
    <n v="51"/>
    <s v="Male"/>
    <s v="Caucasian"/>
    <s v="Not Reported"/>
    <s v="EGFR Mutation"/>
    <s v="T004"/>
    <x v="1"/>
    <x v="0"/>
    <s v="11/16/2022"/>
    <s v="6/16/2023"/>
    <s v="100mg"/>
    <s v="Fatigue, Dizziness, Headache"/>
    <s v="TR0074"/>
    <s v="100mg"/>
    <x v="2"/>
    <s v="Headache"/>
    <n v="127"/>
    <n v="0"/>
    <s v="BRCA2"/>
    <s v="Negative"/>
    <n v="1.1499999999999999"/>
    <n v="4.6100000000000003"/>
    <n v="5.2"/>
    <n v="17.5"/>
    <n v="14.2"/>
    <n v="100"/>
    <n v="100"/>
  </r>
  <r>
    <s v="P258"/>
    <n v="44"/>
    <s v="Other"/>
    <s v="Asian"/>
    <s v="Not Reported"/>
    <s v="Not Reported"/>
    <s v="T007"/>
    <x v="3"/>
    <x v="2"/>
    <s v="3/1/2022"/>
    <s v="1/1/2023"/>
    <s v="150mg"/>
    <s v="Dizziness"/>
    <s v="TR0116"/>
    <s v="150mg"/>
    <x v="0"/>
    <s v="Not Reported"/>
    <n v="179"/>
    <n v="1"/>
    <s v="HER2"/>
    <s v="Positive"/>
    <n v="4.58"/>
    <n v="3.55"/>
    <n v="6.5"/>
    <n v="7.2"/>
    <n v="11.8"/>
    <n v="150"/>
    <n v="150"/>
  </r>
  <r>
    <s v="P259"/>
    <n v="19"/>
    <s v="Female"/>
    <s v="Asian"/>
    <s v="Not Reported"/>
    <s v="Not Reported"/>
    <s v="T013"/>
    <x v="2"/>
    <x v="0"/>
    <s v="12/20/2022"/>
    <s v="10/20/2023"/>
    <s v="50mg"/>
    <s v="Dizziness"/>
    <s v="TR0016"/>
    <s v="50mg"/>
    <x v="0"/>
    <s v="Not Reported"/>
    <n v="90"/>
    <n v="1"/>
    <s v="HER2"/>
    <s v="Negative"/>
    <n v="1.6"/>
    <n v="3.95"/>
    <n v="5.6"/>
    <n v="18.2"/>
    <n v="3.7"/>
    <n v="50"/>
    <n v="50"/>
  </r>
  <r>
    <s v="P260"/>
    <n v="23"/>
    <s v="Male"/>
    <s v="African American"/>
    <s v="Heart Disease"/>
    <s v="Not Reported"/>
    <s v="T010"/>
    <x v="3"/>
    <x v="3"/>
    <s v="9/2/2020"/>
    <s v="12/2/2021"/>
    <s v="100mg"/>
    <s v="Fatigue, Headache"/>
    <s v="TR0087"/>
    <s v="100mg"/>
    <x v="1"/>
    <s v="Fatigue"/>
    <n v="52"/>
    <n v="0"/>
    <s v="TP53"/>
    <s v="Negative"/>
    <n v="1.34"/>
    <n v="3.87"/>
    <n v="1.6"/>
    <n v="7.3"/>
    <n v="3.2"/>
    <n v="100"/>
    <n v="100"/>
  </r>
  <r>
    <s v="P261"/>
    <n v="36"/>
    <s v="Female"/>
    <s v="Caucasian"/>
    <s v="Not Reported"/>
    <s v="BRCA2 Mutation"/>
    <s v="T016"/>
    <x v="0"/>
    <x v="3"/>
    <s v="5/9/2022"/>
    <s v="8/9/2023"/>
    <s v="150mg"/>
    <s v="Not Reported, Headache, Nausea"/>
    <s v="TR0081"/>
    <s v="150mg"/>
    <x v="2"/>
    <s v="Headache"/>
    <n v="68"/>
    <n v="0"/>
    <s v="EGFR"/>
    <s v="Negative"/>
    <n v="4.83"/>
    <n v="3.95"/>
    <n v="4.2"/>
    <n v="11.3"/>
    <n v="8.9"/>
    <n v="150"/>
    <n v="150"/>
  </r>
  <r>
    <s v="P262"/>
    <n v="24"/>
    <s v="Male"/>
    <s v="Asian"/>
    <s v="Hypertension"/>
    <s v="BRCA1 Mutation"/>
    <s v="T016"/>
    <x v="0"/>
    <x v="2"/>
    <s v="7/4/2022"/>
    <s v="8/4/2023"/>
    <s v="50mg"/>
    <s v="Not Reported, Headache"/>
    <s v="TR0118"/>
    <s v="50mg"/>
    <x v="1"/>
    <s v="Nausea"/>
    <n v="67"/>
    <n v="0"/>
    <s v="BRCA1"/>
    <s v="Negative"/>
    <n v="4.0999999999999996"/>
    <n v="3.65"/>
    <n v="2.7"/>
    <n v="9.1"/>
    <n v="4.7"/>
    <n v="50"/>
    <n v="50"/>
  </r>
  <r>
    <s v="P263"/>
    <n v="29"/>
    <s v="Male"/>
    <s v="African American"/>
    <s v="Diabetes"/>
    <s v="Not Reported"/>
    <s v="T017"/>
    <x v="0"/>
    <x v="2"/>
    <s v="1/17/2023"/>
    <s v="7/17/2024"/>
    <s v="100mg"/>
    <s v="Nausea, Fatigue"/>
    <s v="TR0197"/>
    <s v="100mg"/>
    <x v="1"/>
    <s v="Nausea"/>
    <n v="114"/>
    <n v="0"/>
    <s v="BRCA1"/>
    <s v="Negative"/>
    <n v="3.64"/>
    <n v="4.0599999999999996"/>
    <n v="3.4"/>
    <n v="6.4"/>
    <n v="4.4000000000000004"/>
    <n v="100"/>
    <n v="100"/>
  </r>
  <r>
    <s v="P264"/>
    <n v="33"/>
    <s v="Female"/>
    <s v="African American"/>
    <s v="Heart Disease"/>
    <s v="Not Reported"/>
    <s v="T004"/>
    <x v="0"/>
    <x v="2"/>
    <s v="2/15/2019"/>
    <s v="7/15/2020"/>
    <s v="200mg"/>
    <s v="Not Reported, Nausea"/>
    <s v="TR0085"/>
    <s v="200mg"/>
    <x v="0"/>
    <s v="Dizziness"/>
    <n v="145"/>
    <n v="1"/>
    <s v="TP53"/>
    <s v="Positive"/>
    <n v="4.87"/>
    <n v="2.1800000000000002"/>
    <n v="7.9"/>
    <n v="17.2"/>
    <n v="9.5"/>
    <n v="200"/>
    <n v="200"/>
  </r>
  <r>
    <s v="P265"/>
    <n v="45"/>
    <s v="Male"/>
    <s v="African American"/>
    <s v="Not Reported"/>
    <s v="Not Reported"/>
    <s v="T003"/>
    <x v="3"/>
    <x v="1"/>
    <s v="5/6/2022"/>
    <s v="2/6/2023"/>
    <s v="200mg"/>
    <s v="Nausea"/>
    <s v="TR0054"/>
    <s v="200mg"/>
    <x v="0"/>
    <s v="Headache"/>
    <n v="133"/>
    <n v="1"/>
    <s v="TP53"/>
    <s v="Positive"/>
    <n v="1.82"/>
    <n v="1.49"/>
    <n v="6.5"/>
    <n v="19.899999999999999"/>
    <n v="13.9"/>
    <n v="200"/>
    <n v="200"/>
  </r>
  <r>
    <s v="P266"/>
    <n v="33"/>
    <s v="Female"/>
    <s v="Hispanic"/>
    <s v="Asthma"/>
    <s v="Not Reported"/>
    <s v="T010"/>
    <x v="2"/>
    <x v="3"/>
    <s v="6/17/2019"/>
    <s v="3/17/2020"/>
    <s v="200mg"/>
    <s v="Headache, Dizziness"/>
    <s v="TR0069"/>
    <s v="200mg"/>
    <x v="2"/>
    <s v="Dizziness"/>
    <n v="138"/>
    <n v="0"/>
    <s v="BRCA1"/>
    <s v="Negative"/>
    <n v="3.12"/>
    <n v="1.17"/>
    <n v="9.6999999999999993"/>
    <n v="20.399999999999999"/>
    <n v="8"/>
    <n v="200"/>
    <n v="200"/>
  </r>
  <r>
    <s v="P267"/>
    <n v="65"/>
    <s v="Other"/>
    <s v="Asian"/>
    <s v="Asthma"/>
    <s v="Not Reported"/>
    <s v="T003"/>
    <x v="1"/>
    <x v="3"/>
    <s v="11/8/2022"/>
    <s v="3/8/2024"/>
    <s v="100mg"/>
    <s v="Dizziness, Nausea"/>
    <s v="TR0075"/>
    <s v="100mg"/>
    <x v="1"/>
    <s v="Headache"/>
    <n v="50"/>
    <n v="0"/>
    <s v="HER2"/>
    <s v="Negative"/>
    <n v="4.92"/>
    <n v="3.41"/>
    <n v="6.2"/>
    <n v="19.5"/>
    <n v="16.8"/>
    <n v="100"/>
    <n v="100"/>
  </r>
  <r>
    <s v="P268"/>
    <n v="37"/>
    <s v="Male"/>
    <s v="African American"/>
    <s v="Diabetes"/>
    <s v="Not Reported"/>
    <s v="T010"/>
    <x v="1"/>
    <x v="1"/>
    <s v="9/4/2019"/>
    <s v="11/4/2020"/>
    <s v="200mg"/>
    <s v="Nausea, Headache"/>
    <s v="TR0170"/>
    <s v="200mg"/>
    <x v="2"/>
    <s v="Dizziness"/>
    <n v="94"/>
    <n v="0"/>
    <s v="TP53"/>
    <s v="Negative"/>
    <n v="3.63"/>
    <n v="1.51"/>
    <n v="4"/>
    <n v="22.7"/>
    <n v="6.8"/>
    <n v="200"/>
    <n v="200"/>
  </r>
  <r>
    <s v="P269"/>
    <n v="28"/>
    <s v="Other"/>
    <s v="Caucasian"/>
    <s v="Hypertension"/>
    <s v="Not Reported"/>
    <s v="T015"/>
    <x v="2"/>
    <x v="2"/>
    <s v="1/3/2022"/>
    <s v="1/3/2023"/>
    <s v="150mg"/>
    <s v="Dizziness, Headache"/>
    <s v="TR0194"/>
    <s v="150mg"/>
    <x v="2"/>
    <s v="Headache"/>
    <n v="97"/>
    <n v="0"/>
    <s v="TP53"/>
    <s v="Positive"/>
    <n v="2.4900000000000002"/>
    <n v="2.73"/>
    <n v="5"/>
    <n v="17"/>
    <n v="19"/>
    <n v="150"/>
    <n v="150"/>
  </r>
  <r>
    <s v="P270"/>
    <n v="45"/>
    <s v="Male"/>
    <s v="Caucasian"/>
    <s v="Heart Disease"/>
    <s v="BRCA1 Mutation"/>
    <s v="T014"/>
    <x v="1"/>
    <x v="1"/>
    <s v="2/1/2022"/>
    <s v="10/1/2022"/>
    <s v="200mg"/>
    <s v="Headache, Dizziness"/>
    <s v="TR0078"/>
    <s v="200mg"/>
    <x v="2"/>
    <s v="Dizziness"/>
    <n v="122"/>
    <n v="0"/>
    <s v="HER2"/>
    <s v="Negative"/>
    <n v="1.96"/>
    <n v="1.49"/>
    <n v="2.8"/>
    <n v="22"/>
    <n v="14"/>
    <n v="200"/>
    <n v="200"/>
  </r>
  <r>
    <s v="P271"/>
    <n v="29"/>
    <s v="Male"/>
    <s v="Asian"/>
    <s v="Hypertension"/>
    <s v="BRCA1 Mutation"/>
    <s v="T007"/>
    <x v="1"/>
    <x v="2"/>
    <s v="11/5/2022"/>
    <s v="3/5/2024"/>
    <s v="100mg"/>
    <s v="Dizziness, Fatigue"/>
    <s v="TR0023"/>
    <s v="100mg"/>
    <x v="1"/>
    <s v="Headache"/>
    <n v="67"/>
    <n v="0"/>
    <s v="HER2"/>
    <s v="Negative"/>
    <n v="2.14"/>
    <n v="4.26"/>
    <n v="8.8000000000000007"/>
    <n v="21.2"/>
    <n v="18.600000000000001"/>
    <n v="100"/>
    <n v="100"/>
  </r>
  <r>
    <s v="P272"/>
    <n v="20"/>
    <s v="Male"/>
    <s v="Asian"/>
    <s v="Diabetes"/>
    <s v="Not Reported"/>
    <s v="T015"/>
    <x v="3"/>
    <x v="0"/>
    <s v="8/19/2019"/>
    <s v="5/19/2020"/>
    <s v="100mg"/>
    <s v="Dizziness, Headache"/>
    <s v="TR0014"/>
    <s v="100mg"/>
    <x v="1"/>
    <s v="Nausea"/>
    <n v="56"/>
    <n v="0"/>
    <s v="HER2"/>
    <s v="Negative"/>
    <n v="2.0099999999999998"/>
    <n v="4.0199999999999996"/>
    <n v="5.0999999999999996"/>
    <n v="21.2"/>
    <n v="15.4"/>
    <n v="100"/>
    <n v="100"/>
  </r>
  <r>
    <s v="P273"/>
    <n v="81"/>
    <s v="Other"/>
    <s v="Other"/>
    <s v="Heart Disease"/>
    <s v="Not Reported"/>
    <s v="T010"/>
    <x v="1"/>
    <x v="0"/>
    <s v="8/17/2022"/>
    <s v="11/17/2023"/>
    <s v="200mg"/>
    <s v="Nausea"/>
    <s v="TR0136"/>
    <s v="200mg"/>
    <x v="0"/>
    <s v="Headache"/>
    <n v="177"/>
    <n v="1"/>
    <s v="TP53"/>
    <s v="Positive"/>
    <n v="4.1100000000000003"/>
    <n v="3.62"/>
    <n v="2.6"/>
    <n v="15.8"/>
    <n v="19.7"/>
    <n v="200"/>
    <n v="200"/>
  </r>
  <r>
    <s v="P274"/>
    <n v="52"/>
    <s v="Other"/>
    <s v="Hispanic"/>
    <s v="Asthma"/>
    <s v="EGFR Mutation"/>
    <s v="T012"/>
    <x v="3"/>
    <x v="0"/>
    <s v="3/10/2019"/>
    <s v="8/10/2020"/>
    <s v="100mg"/>
    <s v="Not Reported, Headache"/>
    <s v="TR0060"/>
    <s v="100mg"/>
    <x v="2"/>
    <s v="Fatigue"/>
    <n v="180"/>
    <n v="0"/>
    <s v="TP53"/>
    <s v="Negative"/>
    <n v="4.75"/>
    <n v="1.17"/>
    <n v="2.5"/>
    <n v="8.4"/>
    <n v="15.3"/>
    <n v="100"/>
    <n v="100"/>
  </r>
  <r>
    <s v="P275"/>
    <n v="34"/>
    <s v="Female"/>
    <s v="Hispanic"/>
    <s v="Asthma"/>
    <s v="Not Reported"/>
    <s v="T012"/>
    <x v="3"/>
    <x v="2"/>
    <s v="4/10/2023"/>
    <s v="9/10/2024"/>
    <s v="50mg"/>
    <s v="Headache, Fatigue, Nausea"/>
    <s v="TR0052"/>
    <s v="50mg"/>
    <x v="0"/>
    <s v="Dizziness"/>
    <n v="155"/>
    <n v="1"/>
    <s v="BRCA1"/>
    <s v="Negative"/>
    <n v="4.2699999999999996"/>
    <n v="1.85"/>
    <n v="5.6"/>
    <n v="21.1"/>
    <n v="15.5"/>
    <n v="50"/>
    <n v="50"/>
  </r>
  <r>
    <s v="P276"/>
    <n v="81"/>
    <s v="Female"/>
    <s v="Asian"/>
    <s v="Diabetes"/>
    <s v="Not Reported"/>
    <s v="T001"/>
    <x v="0"/>
    <x v="3"/>
    <s v="11/6/2021"/>
    <s v="7/6/2022"/>
    <s v="50mg"/>
    <s v="Not Reported"/>
    <s v="TR0111"/>
    <s v="50mg"/>
    <x v="0"/>
    <s v="Dizziness"/>
    <n v="88"/>
    <n v="1"/>
    <s v="BRCA1"/>
    <s v="Positive"/>
    <n v="3.17"/>
    <n v="3.36"/>
    <n v="5.6"/>
    <n v="11.4"/>
    <n v="12.6"/>
    <n v="50"/>
    <n v="50"/>
  </r>
  <r>
    <s v="P277"/>
    <n v="80"/>
    <s v="Female"/>
    <s v="African American"/>
    <s v="Not Reported"/>
    <s v="Not Reported"/>
    <s v="T018"/>
    <x v="0"/>
    <x v="2"/>
    <s v="10/22/2023"/>
    <s v="5/22/2024"/>
    <s v="50mg"/>
    <s v="Headache, Nausea"/>
    <s v="TR0028"/>
    <s v="50mg"/>
    <x v="2"/>
    <s v="Dizziness"/>
    <n v="56"/>
    <n v="0"/>
    <s v="EGFR"/>
    <s v="Positive"/>
    <n v="3.76"/>
    <n v="4.49"/>
    <n v="6.7"/>
    <n v="19.7"/>
    <n v="5.7"/>
    <n v="50"/>
    <n v="50"/>
  </r>
  <r>
    <s v="P278"/>
    <n v="82"/>
    <s v="Male"/>
    <s v="Asian"/>
    <s v="Hypertension"/>
    <s v="Not Reported"/>
    <s v="T012"/>
    <x v="2"/>
    <x v="3"/>
    <s v="9/16/2022"/>
    <s v="2/16/2024"/>
    <s v="50mg"/>
    <s v="Not Reported"/>
    <s v="TR0086"/>
    <s v="50mg"/>
    <x v="0"/>
    <s v="Nausea"/>
    <n v="81"/>
    <n v="1"/>
    <s v="HER2"/>
    <s v="Negative"/>
    <n v="2.85"/>
    <n v="1.04"/>
    <n v="3.2"/>
    <n v="19.100000000000001"/>
    <n v="19.899999999999999"/>
    <n v="50"/>
    <n v="50"/>
  </r>
  <r>
    <s v="P279"/>
    <n v="18"/>
    <s v="Male"/>
    <s v="Hispanic"/>
    <s v="Not Reported"/>
    <s v="BRCA2 Mutation"/>
    <s v="T003"/>
    <x v="0"/>
    <x v="3"/>
    <s v="6/21/2022"/>
    <s v="10/21/2023"/>
    <s v="100mg"/>
    <s v="Dizziness"/>
    <s v="TR0108"/>
    <s v="100mg"/>
    <x v="0"/>
    <s v="Fatigue"/>
    <n v="139"/>
    <n v="1"/>
    <s v="HER2"/>
    <s v="Negative"/>
    <n v="1.4"/>
    <n v="2.61"/>
    <n v="8.1999999999999993"/>
    <n v="9.6999999999999993"/>
    <n v="12.4"/>
    <n v="100"/>
    <n v="100"/>
  </r>
  <r>
    <s v="P280"/>
    <n v="76"/>
    <s v="Other"/>
    <s v="African American"/>
    <s v="Hypertension"/>
    <s v="BRCA1 Mutation"/>
    <s v="T017"/>
    <x v="1"/>
    <x v="1"/>
    <s v="6/13/2021"/>
    <s v="12/13/2022"/>
    <s v="100mg"/>
    <s v="Nausea, Headache"/>
    <s v="TR0195"/>
    <s v="100mg"/>
    <x v="0"/>
    <s v="Fatigue"/>
    <n v="177"/>
    <n v="1"/>
    <s v="BRCA1"/>
    <s v="Negative"/>
    <n v="3.93"/>
    <n v="3.46"/>
    <n v="2.7"/>
    <n v="12.4"/>
    <n v="16.3"/>
    <n v="100"/>
    <n v="100"/>
  </r>
  <r>
    <s v="P281"/>
    <n v="71"/>
    <s v="Female"/>
    <s v="Other"/>
    <s v="Not Reported"/>
    <s v="Not Reported"/>
    <s v="T011"/>
    <x v="0"/>
    <x v="1"/>
    <s v="9/20/2021"/>
    <s v="5/20/2022"/>
    <s v="200mg"/>
    <s v="Fatigue, Headache"/>
    <s v="TR0179"/>
    <s v="200mg"/>
    <x v="1"/>
    <s v="Headache"/>
    <n v="80"/>
    <n v="0"/>
    <s v="TP53"/>
    <s v="Positive"/>
    <n v="3.22"/>
    <n v="1.02"/>
    <n v="7.8"/>
    <n v="6.6"/>
    <n v="15.7"/>
    <n v="200"/>
    <n v="200"/>
  </r>
  <r>
    <s v="P282"/>
    <n v="22"/>
    <s v="Other"/>
    <s v="African American"/>
    <s v="Asthma"/>
    <s v="Not Reported"/>
    <s v="T005"/>
    <x v="0"/>
    <x v="2"/>
    <s v="9/18/2019"/>
    <s v="7/18/2020"/>
    <s v="150mg"/>
    <s v="Fatigue, Nausea, Headache"/>
    <s v="TR0139"/>
    <s v="150mg"/>
    <x v="2"/>
    <s v="Not Reported"/>
    <n v="91"/>
    <n v="0"/>
    <s v="TP53"/>
    <s v="Negative"/>
    <n v="1.81"/>
    <n v="4.83"/>
    <n v="4.3"/>
    <n v="11.9"/>
    <n v="5.5"/>
    <n v="150"/>
    <n v="150"/>
  </r>
  <r>
    <s v="P283"/>
    <n v="82"/>
    <s v="Male"/>
    <s v="Caucasian"/>
    <s v="Not Reported"/>
    <s v="EGFR Mutation"/>
    <s v="T012"/>
    <x v="1"/>
    <x v="1"/>
    <s v="8/10/2019"/>
    <s v="11/10/2020"/>
    <s v="50mg"/>
    <s v="Not Reported, Fatigue"/>
    <s v="TR0191"/>
    <s v="50mg"/>
    <x v="2"/>
    <s v="Dizziness"/>
    <n v="166"/>
    <n v="0"/>
    <s v="EGFR"/>
    <s v="Positive"/>
    <n v="2.2200000000000002"/>
    <n v="4.51"/>
    <n v="10"/>
    <n v="12.6"/>
    <n v="10.6"/>
    <n v="50"/>
    <n v="50"/>
  </r>
  <r>
    <s v="P284"/>
    <n v="62"/>
    <s v="Female"/>
    <s v="African American"/>
    <s v="Heart Disease"/>
    <s v="Not Reported"/>
    <s v="T013"/>
    <x v="2"/>
    <x v="1"/>
    <s v="9/19/2021"/>
    <s v="6/19/2022"/>
    <s v="150mg"/>
    <s v="Nausea, Fatigue"/>
    <s v="TR0183"/>
    <s v="150mg"/>
    <x v="1"/>
    <s v="Headache"/>
    <n v="50"/>
    <n v="0"/>
    <s v="BRCA1"/>
    <s v="Positive"/>
    <n v="3.89"/>
    <n v="4.54"/>
    <n v="6.3"/>
    <n v="13"/>
    <n v="10"/>
    <n v="150"/>
    <n v="150"/>
  </r>
  <r>
    <s v="P285"/>
    <n v="72"/>
    <s v="Male"/>
    <s v="Hispanic"/>
    <s v="Diabetes"/>
    <s v="TP53 Mutation"/>
    <s v="T017"/>
    <x v="3"/>
    <x v="0"/>
    <s v="10/16/2021"/>
    <s v="2/16/2023"/>
    <s v="200mg"/>
    <s v="Headache, Dizziness"/>
    <s v="TR0042"/>
    <s v="200mg"/>
    <x v="0"/>
    <s v="Dizziness"/>
    <n v="62"/>
    <n v="1"/>
    <s v="HER2"/>
    <s v="Negative"/>
    <n v="3.78"/>
    <n v="1.01"/>
    <n v="6.6"/>
    <n v="12.4"/>
    <n v="16.5"/>
    <n v="200"/>
    <n v="200"/>
  </r>
  <r>
    <s v="P286"/>
    <n v="34"/>
    <s v="Other"/>
    <s v="Other"/>
    <s v="Heart Disease"/>
    <s v="BRCA2 Mutation"/>
    <s v="T015"/>
    <x v="3"/>
    <x v="1"/>
    <s v="9/12/2020"/>
    <s v="4/12/2021"/>
    <s v="200mg"/>
    <s v="Nausea"/>
    <s v="TR0095"/>
    <s v="200mg"/>
    <x v="2"/>
    <s v="Not Reported"/>
    <n v="40"/>
    <n v="0"/>
    <s v="EGFR"/>
    <s v="Positive"/>
    <n v="1.37"/>
    <n v="3.35"/>
    <n v="5.3"/>
    <n v="17.600000000000001"/>
    <n v="4.0999999999999996"/>
    <n v="200"/>
    <n v="200"/>
  </r>
  <r>
    <s v="P287"/>
    <n v="33"/>
    <s v="Female"/>
    <s v="African American"/>
    <s v="Not Reported"/>
    <s v="HER2 Mutation"/>
    <s v="T001"/>
    <x v="2"/>
    <x v="2"/>
    <s v="7/2/2023"/>
    <s v="5/2/2024"/>
    <s v="150mg"/>
    <s v="Fatigue"/>
    <s v="TR0190"/>
    <s v="150mg"/>
    <x v="1"/>
    <s v="Nausea"/>
    <n v="61"/>
    <n v="0"/>
    <s v="EGFR"/>
    <s v="Negative"/>
    <n v="3.32"/>
    <n v="3.25"/>
    <n v="6"/>
    <n v="16.899999999999999"/>
    <n v="14.5"/>
    <n v="150"/>
    <n v="150"/>
  </r>
  <r>
    <s v="P288"/>
    <n v="26"/>
    <s v="Male"/>
    <s v="Hispanic"/>
    <s v="Asthma"/>
    <s v="Not Reported"/>
    <s v="T019"/>
    <x v="3"/>
    <x v="3"/>
    <s v="8/27/2022"/>
    <s v="1/27/2024"/>
    <s v="100mg"/>
    <s v="Dizziness"/>
    <s v="TR0163"/>
    <s v="100mg"/>
    <x v="1"/>
    <s v="Headache"/>
    <n v="144"/>
    <n v="0"/>
    <s v="BRCA2"/>
    <s v="Negative"/>
    <n v="4.22"/>
    <n v="2.08"/>
    <n v="8.4"/>
    <n v="15"/>
    <n v="4.3"/>
    <n v="100"/>
    <n v="100"/>
  </r>
  <r>
    <s v="P289"/>
    <n v="29"/>
    <s v="Other"/>
    <s v="Other"/>
    <s v="Asthma"/>
    <s v="HER2 Mutation"/>
    <s v="T011"/>
    <x v="1"/>
    <x v="0"/>
    <s v="11/3/2021"/>
    <s v="7/3/2022"/>
    <s v="50mg"/>
    <s v="Not Reported, Nausea, Dizziness"/>
    <s v="TR0144"/>
    <s v="50mg"/>
    <x v="0"/>
    <s v="Fatigue"/>
    <n v="168"/>
    <n v="1"/>
    <s v="EGFR"/>
    <s v="Positive"/>
    <n v="1.23"/>
    <n v="2.34"/>
    <n v="8.1"/>
    <n v="18.7"/>
    <n v="16.399999999999999"/>
    <n v="50"/>
    <n v="50"/>
  </r>
  <r>
    <s v="P290"/>
    <n v="84"/>
    <s v="Male"/>
    <s v="Hispanic"/>
    <s v="Heart Disease"/>
    <s v="Not Reported"/>
    <s v="T004"/>
    <x v="2"/>
    <x v="1"/>
    <s v="4/8/2021"/>
    <s v="9/8/2022"/>
    <s v="200mg"/>
    <s v="Dizziness"/>
    <s v="TR0156"/>
    <s v="200mg"/>
    <x v="1"/>
    <s v="Headache"/>
    <n v="180"/>
    <n v="0"/>
    <s v="BRCA1"/>
    <s v="Negative"/>
    <n v="3.07"/>
    <n v="2.76"/>
    <n v="2.2999999999999998"/>
    <n v="11.9"/>
    <n v="10.4"/>
    <n v="200"/>
    <n v="200"/>
  </r>
  <r>
    <s v="P291"/>
    <n v="20"/>
    <s v="Female"/>
    <s v="Hispanic"/>
    <s v="Diabetes"/>
    <s v="EGFR Mutation"/>
    <s v="T011"/>
    <x v="3"/>
    <x v="3"/>
    <s v="2/4/2019"/>
    <s v="4/4/2020"/>
    <s v="100mg"/>
    <s v="Fatigue, Dizziness"/>
    <s v="TR0066"/>
    <s v="100mg"/>
    <x v="0"/>
    <s v="Fatigue"/>
    <n v="108"/>
    <n v="1"/>
    <s v="HER2"/>
    <s v="Positive"/>
    <n v="1.35"/>
    <n v="1.88"/>
    <n v="6.4"/>
    <n v="19.2"/>
    <n v="20"/>
    <n v="100"/>
    <n v="100"/>
  </r>
  <r>
    <s v="P292"/>
    <n v="25"/>
    <s v="Other"/>
    <s v="African American"/>
    <s v="Diabetes"/>
    <s v="BRCA1 Mutation"/>
    <s v="T010"/>
    <x v="3"/>
    <x v="1"/>
    <s v="3/14/2021"/>
    <s v="2/14/2022"/>
    <s v="150mg"/>
    <s v="Nausea, Dizziness"/>
    <s v="TR0052"/>
    <s v="150mg"/>
    <x v="0"/>
    <s v="Dizziness"/>
    <n v="180"/>
    <n v="1"/>
    <s v="BRCA2"/>
    <s v="Negative"/>
    <n v="4.7300000000000004"/>
    <n v="3.57"/>
    <n v="4.8"/>
    <n v="17.5"/>
    <n v="16.399999999999999"/>
    <n v="150"/>
    <n v="150"/>
  </r>
  <r>
    <s v="P293"/>
    <n v="83"/>
    <s v="Other"/>
    <s v="Hispanic"/>
    <s v="Hypertension"/>
    <s v="TP53 Mutation"/>
    <s v="T015"/>
    <x v="3"/>
    <x v="1"/>
    <s v="1/14/2022"/>
    <s v="5/14/2023"/>
    <s v="100mg"/>
    <s v="Not Reported"/>
    <s v="TR0142"/>
    <s v="100mg"/>
    <x v="2"/>
    <s v="Nausea"/>
    <n v="93"/>
    <n v="0"/>
    <s v="EGFR"/>
    <s v="Positive"/>
    <n v="1.47"/>
    <n v="2.64"/>
    <n v="8.6"/>
    <n v="12.9"/>
    <n v="12.7"/>
    <n v="100"/>
    <n v="100"/>
  </r>
  <r>
    <s v="P294"/>
    <n v="56"/>
    <s v="Other"/>
    <s v="Hispanic"/>
    <s v="Asthma"/>
    <s v="EGFR Mutation"/>
    <s v="T007"/>
    <x v="2"/>
    <x v="3"/>
    <s v="3/26/2023"/>
    <s v="12/26/2023"/>
    <s v="200mg"/>
    <s v="Headache, Nausea, Dizziness"/>
    <s v="TR0119"/>
    <s v="200mg"/>
    <x v="2"/>
    <s v="Not Reported"/>
    <n v="72"/>
    <n v="0"/>
    <s v="BRCA1"/>
    <s v="Positive"/>
    <n v="3.35"/>
    <n v="1.74"/>
    <n v="4.3"/>
    <n v="12"/>
    <n v="3.4"/>
    <n v="200"/>
    <n v="200"/>
  </r>
  <r>
    <s v="P295"/>
    <n v="79"/>
    <s v="Female"/>
    <s v="Other"/>
    <s v="Not Reported"/>
    <s v="Not Reported"/>
    <s v="T013"/>
    <x v="0"/>
    <x v="2"/>
    <s v="9/10/2023"/>
    <s v="3/10/2024"/>
    <s v="100mg"/>
    <s v="Dizziness, Nausea, Fatigue"/>
    <s v="TR0023"/>
    <s v="100mg"/>
    <x v="1"/>
    <s v="Nausea"/>
    <n v="65"/>
    <n v="0"/>
    <s v="EGFR"/>
    <s v="Negative"/>
    <n v="1.1000000000000001"/>
    <n v="4.33"/>
    <n v="3.5"/>
    <n v="15.3"/>
    <n v="8.1"/>
    <n v="100"/>
    <n v="100"/>
  </r>
  <r>
    <s v="P296"/>
    <n v="73"/>
    <s v="Male"/>
    <s v="Other"/>
    <s v="Heart Disease"/>
    <s v="Not Reported"/>
    <s v="T011"/>
    <x v="0"/>
    <x v="3"/>
    <s v="5/8/2022"/>
    <s v="9/8/2023"/>
    <s v="150mg"/>
    <s v="Fatigue, Headache"/>
    <s v="TR0154"/>
    <s v="150mg"/>
    <x v="1"/>
    <s v="Nausea"/>
    <n v="64"/>
    <n v="0"/>
    <s v="BRCA1"/>
    <s v="Negative"/>
    <n v="4.76"/>
    <n v="2.04"/>
    <n v="4.9000000000000004"/>
    <n v="21.7"/>
    <n v="17.3"/>
    <n v="150"/>
    <n v="150"/>
  </r>
  <r>
    <s v="P297"/>
    <n v="18"/>
    <s v="Male"/>
    <s v="Asian"/>
    <s v="Asthma"/>
    <s v="Not Reported"/>
    <s v="T016"/>
    <x v="3"/>
    <x v="1"/>
    <s v="9/1/2019"/>
    <s v="1/1/2021"/>
    <s v="200mg"/>
    <s v="Nausea, Not Reported, Fatigue"/>
    <s v="TR0154"/>
    <s v="200mg"/>
    <x v="1"/>
    <s v="Headache"/>
    <n v="75"/>
    <n v="0"/>
    <s v="BRCA1"/>
    <s v="Positive"/>
    <n v="1.74"/>
    <n v="4.21"/>
    <n v="5.0999999999999996"/>
    <n v="14.7"/>
    <n v="5.3"/>
    <n v="200"/>
    <n v="200"/>
  </r>
  <r>
    <s v="P298"/>
    <n v="77"/>
    <s v="Female"/>
    <s v="Asian"/>
    <s v="Asthma"/>
    <s v="BRCA1 Mutation"/>
    <s v="T009"/>
    <x v="0"/>
    <x v="2"/>
    <s v="10/21/2019"/>
    <s v="8/21/2020"/>
    <s v="100mg"/>
    <s v="Headache"/>
    <s v="TR0093"/>
    <s v="100mg"/>
    <x v="0"/>
    <s v="Not Reported"/>
    <n v="156"/>
    <n v="1"/>
    <s v="EGFR"/>
    <s v="Positive"/>
    <n v="1.32"/>
    <n v="3.91"/>
    <n v="5.5"/>
    <n v="13.9"/>
    <n v="15.4"/>
    <n v="100"/>
    <n v="100"/>
  </r>
  <r>
    <s v="P299"/>
    <n v="18"/>
    <s v="Male"/>
    <s v="Hispanic"/>
    <s v="Hypertension"/>
    <s v="Not Reported"/>
    <s v="T019"/>
    <x v="3"/>
    <x v="2"/>
    <s v="4/22/2023"/>
    <s v="9/22/2024"/>
    <s v="100mg"/>
    <s v="Dizziness"/>
    <s v="TR0033"/>
    <s v="100mg"/>
    <x v="2"/>
    <s v="Nausea"/>
    <n v="62"/>
    <n v="0"/>
    <s v="TP53"/>
    <s v="Positive"/>
    <n v="4.0599999999999996"/>
    <n v="1.64"/>
    <n v="6.5"/>
    <n v="8.4"/>
    <n v="15.8"/>
    <n v="100"/>
    <n v="100"/>
  </r>
  <r>
    <s v="P300"/>
    <n v="84"/>
    <s v="Other"/>
    <s v="African American"/>
    <s v="Diabetes"/>
    <s v="Not Reported"/>
    <s v="T001"/>
    <x v="0"/>
    <x v="0"/>
    <s v="7/21/2019"/>
    <s v="11/21/2020"/>
    <s v="50mg"/>
    <s v="Headache, Dizziness"/>
    <s v="TR0071"/>
    <s v="50mg"/>
    <x v="0"/>
    <s v="Dizziness"/>
    <n v="149"/>
    <n v="1"/>
    <s v="HER2"/>
    <s v="Negative"/>
    <n v="3.63"/>
    <n v="4.83"/>
    <n v="1.6"/>
    <n v="7"/>
    <n v="7.8"/>
    <n v="50"/>
    <n v="50"/>
  </r>
  <r>
    <s v="P301"/>
    <n v="84"/>
    <s v="Male"/>
    <s v="Asian"/>
    <s v="Hypertension"/>
    <s v="HER2 Mutation"/>
    <s v="T018"/>
    <x v="3"/>
    <x v="3"/>
    <s v="7/7/2019"/>
    <s v="6/7/2020"/>
    <s v="50mg"/>
    <s v="Nausea, Fatigue, Not Reported"/>
    <s v="TR0109"/>
    <s v="50mg"/>
    <x v="0"/>
    <s v="Fatigue"/>
    <n v="80"/>
    <n v="1"/>
    <s v="BRCA2"/>
    <s v="Negative"/>
    <n v="2.0499999999999998"/>
    <n v="1.99"/>
    <n v="9.1999999999999993"/>
    <n v="10.5"/>
    <n v="7.6"/>
    <n v="50"/>
    <n v="50"/>
  </r>
  <r>
    <s v="P302"/>
    <n v="57"/>
    <s v="Male"/>
    <s v="Caucasian"/>
    <s v="Hypertension"/>
    <s v="BRCA1 Mutation"/>
    <s v="T019"/>
    <x v="0"/>
    <x v="3"/>
    <s v="2/16/2020"/>
    <s v="11/16/2020"/>
    <s v="150mg"/>
    <s v="Not Reported"/>
    <s v="TR0134"/>
    <s v="150mg"/>
    <x v="0"/>
    <s v="Nausea"/>
    <n v="142"/>
    <n v="1"/>
    <s v="BRCA1"/>
    <s v="Negative"/>
    <n v="4.04"/>
    <n v="2.8"/>
    <n v="8"/>
    <n v="7.2"/>
    <n v="11.3"/>
    <n v="150"/>
    <n v="150"/>
  </r>
  <r>
    <s v="P303"/>
    <n v="33"/>
    <s v="Male"/>
    <s v="Caucasian"/>
    <s v="Hypertension"/>
    <s v="BRCA1 Mutation"/>
    <s v="T005"/>
    <x v="1"/>
    <x v="0"/>
    <s v="5/20/2019"/>
    <s v="9/20/2020"/>
    <s v="200mg"/>
    <s v="Nausea"/>
    <s v="TR0174"/>
    <s v="200mg"/>
    <x v="0"/>
    <s v="Dizziness"/>
    <n v="43"/>
    <n v="1"/>
    <s v="TP53"/>
    <s v="Negative"/>
    <n v="1.1299999999999999"/>
    <n v="1.25"/>
    <n v="9.1999999999999993"/>
    <n v="8.5"/>
    <n v="12.1"/>
    <n v="200"/>
    <n v="200"/>
  </r>
  <r>
    <s v="P304"/>
    <n v="69"/>
    <s v="Male"/>
    <s v="Other"/>
    <s v="Asthma"/>
    <s v="EGFR Mutation"/>
    <s v="T020"/>
    <x v="1"/>
    <x v="0"/>
    <s v="8/26/2022"/>
    <s v="8/26/2023"/>
    <s v="50mg"/>
    <s v="Nausea, Headache"/>
    <s v="TR0133"/>
    <s v="50mg"/>
    <x v="1"/>
    <s v="Dizziness"/>
    <n v="79"/>
    <n v="0"/>
    <s v="BRCA1"/>
    <s v="Positive"/>
    <n v="2.64"/>
    <n v="2.39"/>
    <n v="9.1"/>
    <n v="6.4"/>
    <n v="14.3"/>
    <n v="50"/>
    <n v="50"/>
  </r>
  <r>
    <s v="P305"/>
    <n v="19"/>
    <s v="Other"/>
    <s v="Caucasian"/>
    <s v="Heart Disease"/>
    <s v="Not Reported"/>
    <s v="T007"/>
    <x v="2"/>
    <x v="3"/>
    <s v="7/16/2021"/>
    <s v="12/16/2022"/>
    <s v="200mg"/>
    <s v="Fatigue"/>
    <s v="TR0036"/>
    <s v="200mg"/>
    <x v="0"/>
    <s v="Nausea"/>
    <n v="62"/>
    <n v="1"/>
    <s v="TP53"/>
    <s v="Negative"/>
    <n v="4.8499999999999996"/>
    <n v="3.24"/>
    <n v="9.4"/>
    <n v="6.9"/>
    <n v="10.1"/>
    <n v="200"/>
    <n v="200"/>
  </r>
  <r>
    <s v="P306"/>
    <n v="83"/>
    <s v="Other"/>
    <s v="African American"/>
    <s v="Not Reported"/>
    <s v="Not Reported"/>
    <s v="T018"/>
    <x v="2"/>
    <x v="2"/>
    <s v="5/20/2022"/>
    <s v="4/20/2023"/>
    <s v="150mg"/>
    <s v="Nausea, Fatigue"/>
    <s v="TR0015"/>
    <s v="150mg"/>
    <x v="0"/>
    <s v="Dizziness"/>
    <n v="173"/>
    <n v="1"/>
    <s v="BRCA1"/>
    <s v="Negative"/>
    <n v="2.04"/>
    <n v="3.92"/>
    <n v="9.8000000000000007"/>
    <n v="10.6"/>
    <n v="14.1"/>
    <n v="150"/>
    <n v="150"/>
  </r>
  <r>
    <s v="P307"/>
    <n v="62"/>
    <s v="Male"/>
    <s v="Asian"/>
    <s v="Diabetes"/>
    <s v="Not Reported"/>
    <s v="T011"/>
    <x v="2"/>
    <x v="0"/>
    <s v="10/23/2022"/>
    <s v="9/23/2023"/>
    <s v="150mg"/>
    <s v="Not Reported, Headache, Fatigue"/>
    <s v="TR0042"/>
    <s v="150mg"/>
    <x v="0"/>
    <s v="Headache"/>
    <n v="40"/>
    <n v="1"/>
    <s v="HER2"/>
    <s v="Positive"/>
    <n v="1.79"/>
    <n v="3.26"/>
    <n v="5.2"/>
    <n v="23.5"/>
    <n v="13.3"/>
    <n v="150"/>
    <n v="150"/>
  </r>
  <r>
    <s v="P308"/>
    <n v="18"/>
    <s v="Other"/>
    <s v="Asian"/>
    <s v="Diabetes"/>
    <s v="BRCA2 Mutation"/>
    <s v="T008"/>
    <x v="3"/>
    <x v="3"/>
    <s v="4/13/2022"/>
    <s v="12/13/2022"/>
    <s v="50mg"/>
    <s v="Nausea, Dizziness"/>
    <s v="TR0092"/>
    <s v="50mg"/>
    <x v="0"/>
    <s v="Dizziness"/>
    <n v="59"/>
    <n v="1"/>
    <s v="BRCA2"/>
    <s v="Negative"/>
    <n v="2.4"/>
    <n v="1.46"/>
    <n v="2.4"/>
    <n v="10.1"/>
    <n v="7.3"/>
    <n v="50"/>
    <n v="50"/>
  </r>
  <r>
    <s v="P309"/>
    <n v="74"/>
    <s v="Male"/>
    <s v="Other"/>
    <s v="Not Reported"/>
    <s v="BRCA1 Mutation"/>
    <s v="T007"/>
    <x v="2"/>
    <x v="3"/>
    <s v="4/9/2020"/>
    <s v="9/9/2021"/>
    <s v="100mg"/>
    <s v="Dizziness, Fatigue"/>
    <s v="TR0046"/>
    <s v="100mg"/>
    <x v="0"/>
    <s v="Nausea"/>
    <n v="75"/>
    <n v="1"/>
    <s v="TP53"/>
    <s v="Positive"/>
    <n v="4.4000000000000004"/>
    <n v="3.24"/>
    <n v="5.7"/>
    <n v="8.1"/>
    <n v="17.600000000000001"/>
    <n v="100"/>
    <n v="100"/>
  </r>
  <r>
    <s v="P310"/>
    <n v="20"/>
    <s v="Other"/>
    <s v="Asian"/>
    <s v="Asthma"/>
    <s v="Not Reported"/>
    <s v="T004"/>
    <x v="0"/>
    <x v="2"/>
    <s v="8/8/2021"/>
    <s v="7/8/2022"/>
    <s v="150mg"/>
    <s v="Fatigue, Headache, Not Reported"/>
    <s v="TR0017"/>
    <s v="150mg"/>
    <x v="0"/>
    <s v="Fatigue"/>
    <n v="63"/>
    <n v="1"/>
    <s v="BRCA2"/>
    <s v="Positive"/>
    <n v="3.89"/>
    <n v="1.27"/>
    <n v="7.4"/>
    <n v="15.8"/>
    <n v="4.4000000000000004"/>
    <n v="150"/>
    <n v="150"/>
  </r>
  <r>
    <s v="P311"/>
    <n v="66"/>
    <s v="Other"/>
    <s v="African American"/>
    <s v="Not Reported"/>
    <s v="Not Reported"/>
    <s v="T008"/>
    <x v="1"/>
    <x v="2"/>
    <s v="5/26/2023"/>
    <s v="1/26/2024"/>
    <s v="150mg"/>
    <s v="Nausea"/>
    <s v="TR0162"/>
    <s v="150mg"/>
    <x v="1"/>
    <s v="Fatigue"/>
    <n v="160"/>
    <n v="0"/>
    <s v="EGFR"/>
    <s v="Negative"/>
    <n v="2.83"/>
    <n v="2.94"/>
    <n v="2.5"/>
    <n v="23"/>
    <n v="17.399999999999999"/>
    <n v="150"/>
    <n v="150"/>
  </r>
  <r>
    <s v="P312"/>
    <n v="44"/>
    <s v="Other"/>
    <s v="Caucasian"/>
    <s v="Asthma"/>
    <s v="Not Reported"/>
    <s v="T020"/>
    <x v="1"/>
    <x v="2"/>
    <s v="7/25/2023"/>
    <s v="11/25/2024"/>
    <s v="150mg"/>
    <s v="Dizziness, Headache"/>
    <s v="TR0046"/>
    <s v="150mg"/>
    <x v="1"/>
    <s v="Not Reported"/>
    <n v="164"/>
    <n v="0"/>
    <s v="HER2"/>
    <s v="Negative"/>
    <n v="3.68"/>
    <n v="2.85"/>
    <n v="4.7"/>
    <n v="17.7"/>
    <n v="12.3"/>
    <n v="150"/>
    <n v="150"/>
  </r>
  <r>
    <s v="P313"/>
    <n v="78"/>
    <s v="Female"/>
    <s v="Other"/>
    <s v="Asthma"/>
    <s v="Not Reported"/>
    <s v="T019"/>
    <x v="1"/>
    <x v="2"/>
    <s v="4/15/2020"/>
    <s v="1/15/2021"/>
    <s v="200mg"/>
    <s v="Not Reported"/>
    <s v="TR0109"/>
    <s v="200mg"/>
    <x v="1"/>
    <s v="Dizziness"/>
    <n v="70"/>
    <n v="0"/>
    <s v="TP53"/>
    <s v="Negative"/>
    <n v="1.25"/>
    <n v="3.05"/>
    <n v="8.3000000000000007"/>
    <n v="14.3"/>
    <n v="3.9"/>
    <n v="200"/>
    <n v="200"/>
  </r>
  <r>
    <s v="P314"/>
    <n v="28"/>
    <s v="Male"/>
    <s v="Caucasian"/>
    <s v="Not Reported"/>
    <s v="TP53 Mutation"/>
    <s v="T008"/>
    <x v="1"/>
    <x v="0"/>
    <s v="10/11/2023"/>
    <s v="10/11/2024"/>
    <s v="200mg"/>
    <s v="Headache, Dizziness"/>
    <s v="TR0095"/>
    <s v="200mg"/>
    <x v="1"/>
    <s v="Not Reported"/>
    <n v="99"/>
    <n v="0"/>
    <s v="HER2"/>
    <s v="Positive"/>
    <n v="4.1500000000000004"/>
    <n v="1.81"/>
    <n v="3.3"/>
    <n v="9"/>
    <n v="8.6"/>
    <n v="200"/>
    <n v="200"/>
  </r>
  <r>
    <s v="P315"/>
    <n v="40"/>
    <s v="Female"/>
    <s v="Asian"/>
    <s v="Not Reported"/>
    <s v="Not Reported"/>
    <s v="T012"/>
    <x v="1"/>
    <x v="3"/>
    <s v="9/18/2023"/>
    <s v="1/18/2025"/>
    <s v="50mg"/>
    <s v="Fatigue, Nausea"/>
    <s v="TR0031"/>
    <s v="50mg"/>
    <x v="0"/>
    <s v="Not Reported"/>
    <n v="39"/>
    <n v="1"/>
    <s v="EGFR"/>
    <s v="Positive"/>
    <n v="4.03"/>
    <n v="3.08"/>
    <n v="2.8"/>
    <n v="21.8"/>
    <n v="18"/>
    <n v="50"/>
    <n v="50"/>
  </r>
  <r>
    <s v="P316"/>
    <n v="60"/>
    <s v="Male"/>
    <s v="African American"/>
    <s v="Not Reported"/>
    <s v="TP53 Mutation"/>
    <s v="T007"/>
    <x v="2"/>
    <x v="3"/>
    <s v="5/10/2019"/>
    <s v="4/10/2020"/>
    <s v="200mg"/>
    <s v="Dizziness, Nausea"/>
    <s v="TR0121"/>
    <s v="200mg"/>
    <x v="2"/>
    <s v="Dizziness"/>
    <n v="68"/>
    <n v="0"/>
    <s v="HER2"/>
    <s v="Positive"/>
    <n v="4.4800000000000004"/>
    <n v="1.96"/>
    <n v="5.0999999999999996"/>
    <n v="23.7"/>
    <n v="16.100000000000001"/>
    <n v="200"/>
    <n v="200"/>
  </r>
  <r>
    <s v="P317"/>
    <n v="47"/>
    <s v="Other"/>
    <s v="Asian"/>
    <s v="Asthma"/>
    <s v="EGFR Mutation"/>
    <s v="T018"/>
    <x v="3"/>
    <x v="0"/>
    <s v="2/11/2021"/>
    <s v="11/11/2021"/>
    <s v="200mg"/>
    <s v="Headache, Fatigue, Dizziness"/>
    <s v="TR0116"/>
    <s v="200mg"/>
    <x v="2"/>
    <s v="Nausea"/>
    <n v="125"/>
    <n v="0"/>
    <s v="BRCA2"/>
    <s v="Positive"/>
    <n v="1.1100000000000001"/>
    <n v="1.26"/>
    <n v="5.2"/>
    <n v="22.4"/>
    <n v="12.2"/>
    <n v="200"/>
    <n v="200"/>
  </r>
  <r>
    <s v="P318"/>
    <n v="57"/>
    <s v="Other"/>
    <s v="Caucasian"/>
    <s v="Asthma"/>
    <s v="Not Reported"/>
    <s v="T012"/>
    <x v="0"/>
    <x v="2"/>
    <s v="7/22/2022"/>
    <s v="1/22/2024"/>
    <s v="200mg"/>
    <s v="Dizziness, Not Reported, Fatigue"/>
    <s v="TR0151"/>
    <s v="200mg"/>
    <x v="0"/>
    <s v="Dizziness"/>
    <n v="38"/>
    <n v="1"/>
    <s v="BRCA2"/>
    <s v="Positive"/>
    <n v="2.99"/>
    <n v="1.42"/>
    <n v="6.9"/>
    <n v="20.8"/>
    <n v="9.5"/>
    <n v="200"/>
    <n v="200"/>
  </r>
  <r>
    <s v="P319"/>
    <n v="60"/>
    <s v="Other"/>
    <s v="Other"/>
    <s v="Heart Disease"/>
    <s v="Not Reported"/>
    <s v="T013"/>
    <x v="3"/>
    <x v="2"/>
    <s v="2/18/2022"/>
    <s v="2/18/2023"/>
    <s v="100mg"/>
    <s v="Nausea, Not Reported"/>
    <s v="TR0146"/>
    <s v="100mg"/>
    <x v="1"/>
    <s v="Not Reported"/>
    <n v="53"/>
    <n v="0"/>
    <s v="BRCA2"/>
    <s v="Positive"/>
    <n v="4.0999999999999996"/>
    <n v="4.8600000000000003"/>
    <n v="2.8"/>
    <n v="15.4"/>
    <n v="7.9"/>
    <n v="100"/>
    <n v="100"/>
  </r>
  <r>
    <s v="P320"/>
    <n v="40"/>
    <s v="Male"/>
    <s v="Other"/>
    <s v="Asthma"/>
    <s v="BRCA2 Mutation"/>
    <s v="T003"/>
    <x v="3"/>
    <x v="3"/>
    <s v="4/10/2020"/>
    <s v="8/10/2021"/>
    <s v="50mg"/>
    <s v="Nausea, Not Reported"/>
    <s v="TR0133"/>
    <s v="50mg"/>
    <x v="0"/>
    <s v="Fatigue"/>
    <n v="113"/>
    <n v="1"/>
    <s v="HER2"/>
    <s v="Negative"/>
    <n v="4.17"/>
    <n v="3.31"/>
    <n v="6.7"/>
    <n v="20.399999999999999"/>
    <n v="9.6999999999999993"/>
    <n v="50"/>
    <n v="50"/>
  </r>
  <r>
    <s v="P321"/>
    <n v="38"/>
    <s v="Male"/>
    <s v="Asian"/>
    <s v="Heart Disease"/>
    <s v="BRCA1 Mutation"/>
    <s v="T013"/>
    <x v="2"/>
    <x v="2"/>
    <s v="5/14/2020"/>
    <s v="10/14/2021"/>
    <s v="200mg"/>
    <s v="Dizziness"/>
    <s v="TR0148"/>
    <s v="200mg"/>
    <x v="1"/>
    <s v="Dizziness"/>
    <n v="81"/>
    <n v="0"/>
    <s v="EGFR"/>
    <s v="Negative"/>
    <n v="4.66"/>
    <n v="3.13"/>
    <n v="2.4"/>
    <n v="18.5"/>
    <n v="16.5"/>
    <n v="200"/>
    <n v="200"/>
  </r>
  <r>
    <s v="P322"/>
    <n v="53"/>
    <s v="Male"/>
    <s v="Caucasian"/>
    <s v="Diabetes"/>
    <s v="HER2 Mutation"/>
    <s v="T020"/>
    <x v="2"/>
    <x v="3"/>
    <s v="8/15/2023"/>
    <s v="9/15/2024"/>
    <s v="50mg"/>
    <s v="Nausea, Not Reported, Headache"/>
    <s v="TR0117"/>
    <s v="50mg"/>
    <x v="1"/>
    <s v="Not Reported"/>
    <n v="130"/>
    <n v="0"/>
    <s v="EGFR"/>
    <s v="Positive"/>
    <n v="2.27"/>
    <n v="4.43"/>
    <n v="9.1999999999999993"/>
    <n v="11"/>
    <n v="19.7"/>
    <n v="50"/>
    <n v="50"/>
  </r>
  <r>
    <s v="P323"/>
    <n v="71"/>
    <s v="Male"/>
    <s v="Asian"/>
    <s v="Heart Disease"/>
    <s v="Not Reported"/>
    <s v="T015"/>
    <x v="3"/>
    <x v="2"/>
    <s v="2/13/2023"/>
    <s v="7/13/2024"/>
    <s v="50mg"/>
    <s v="Fatigue"/>
    <s v="TR0071"/>
    <s v="50mg"/>
    <x v="2"/>
    <s v="Dizziness"/>
    <n v="104"/>
    <n v="0"/>
    <s v="BRCA1"/>
    <s v="Positive"/>
    <n v="1.56"/>
    <n v="1.81"/>
    <n v="2.7"/>
    <n v="22.1"/>
    <n v="14.1"/>
    <n v="50"/>
    <n v="50"/>
  </r>
  <r>
    <s v="P324"/>
    <n v="81"/>
    <s v="Female"/>
    <s v="Other"/>
    <s v="Hypertension"/>
    <s v="Not Reported"/>
    <s v="T003"/>
    <x v="1"/>
    <x v="3"/>
    <s v="8/6/2022"/>
    <s v="6/6/2023"/>
    <s v="100mg"/>
    <s v="Nausea, Headache, Dizziness"/>
    <s v="TR0019"/>
    <s v="100mg"/>
    <x v="2"/>
    <s v="Headache"/>
    <n v="127"/>
    <n v="0"/>
    <s v="TP53"/>
    <s v="Negative"/>
    <n v="1.61"/>
    <n v="2.76"/>
    <n v="6.5"/>
    <n v="7.5"/>
    <n v="18"/>
    <n v="100"/>
    <n v="100"/>
  </r>
  <r>
    <s v="P325"/>
    <n v="42"/>
    <s v="Female"/>
    <s v="Caucasian"/>
    <s v="Hypertension"/>
    <s v="BRCA2 Mutation"/>
    <s v="T011"/>
    <x v="3"/>
    <x v="0"/>
    <s v="2/3/2022"/>
    <s v="4/3/2023"/>
    <s v="100mg"/>
    <s v="Headache, Fatigue, Dizziness"/>
    <s v="TR0072"/>
    <s v="100mg"/>
    <x v="0"/>
    <s v="Fatigue"/>
    <n v="34"/>
    <n v="1"/>
    <s v="EGFR"/>
    <s v="Positive"/>
    <n v="4.21"/>
    <n v="3.02"/>
    <n v="9.6999999999999993"/>
    <n v="13.5"/>
    <n v="19.7"/>
    <n v="100"/>
    <n v="100"/>
  </r>
  <r>
    <s v="P326"/>
    <n v="40"/>
    <s v="Female"/>
    <s v="Caucasian"/>
    <s v="Heart Disease"/>
    <s v="Not Reported"/>
    <s v="T006"/>
    <x v="1"/>
    <x v="1"/>
    <s v="3/15/2021"/>
    <s v="2/15/2022"/>
    <s v="100mg"/>
    <s v="Nausea"/>
    <s v="TR0173"/>
    <s v="100mg"/>
    <x v="2"/>
    <s v="Fatigue"/>
    <n v="143"/>
    <n v="0"/>
    <s v="BRCA1"/>
    <s v="Positive"/>
    <n v="3.67"/>
    <n v="3.54"/>
    <n v="2.5"/>
    <n v="21.9"/>
    <n v="10.3"/>
    <n v="100"/>
    <n v="100"/>
  </r>
  <r>
    <s v="P327"/>
    <n v="67"/>
    <s v="Other"/>
    <s v="African American"/>
    <s v="Asthma"/>
    <s v="BRCA1 Mutation"/>
    <s v="T002"/>
    <x v="3"/>
    <x v="2"/>
    <s v="6/8/2020"/>
    <s v="3/8/2021"/>
    <s v="50mg"/>
    <s v="Headache"/>
    <s v="TR0008"/>
    <s v="50mg"/>
    <x v="0"/>
    <s v="Not Reported"/>
    <n v="79"/>
    <n v="1"/>
    <s v="BRCA1"/>
    <s v="Positive"/>
    <n v="1.65"/>
    <n v="1.05"/>
    <n v="6"/>
    <n v="15.5"/>
    <n v="15.2"/>
    <n v="50"/>
    <n v="50"/>
  </r>
  <r>
    <s v="P328"/>
    <n v="30"/>
    <s v="Other"/>
    <s v="Asian"/>
    <s v="Diabetes"/>
    <s v="EGFR Mutation"/>
    <s v="T004"/>
    <x v="0"/>
    <x v="3"/>
    <s v="11/7/2023"/>
    <s v="2/7/2025"/>
    <s v="100mg"/>
    <s v="Headache, Dizziness, Nausea"/>
    <s v="TR0060"/>
    <s v="100mg"/>
    <x v="0"/>
    <s v="Nausea"/>
    <n v="121"/>
    <n v="1"/>
    <s v="TP53"/>
    <s v="Positive"/>
    <n v="4.5599999999999996"/>
    <n v="1.32"/>
    <n v="7.6"/>
    <n v="9.4"/>
    <n v="17.600000000000001"/>
    <n v="100"/>
    <n v="100"/>
  </r>
  <r>
    <s v="P329"/>
    <n v="19"/>
    <s v="Female"/>
    <s v="African American"/>
    <s v="Hypertension"/>
    <s v="HER2 Mutation"/>
    <s v="T008"/>
    <x v="1"/>
    <x v="3"/>
    <s v="6/2/2023"/>
    <s v="1/2/2024"/>
    <s v="100mg"/>
    <s v="Not Reported, Headache"/>
    <s v="TR0027"/>
    <s v="100mg"/>
    <x v="2"/>
    <s v="Dizziness"/>
    <n v="175"/>
    <n v="0"/>
    <s v="BRCA2"/>
    <s v="Negative"/>
    <n v="4.28"/>
    <n v="3.16"/>
    <n v="7.4"/>
    <n v="11.7"/>
    <n v="11"/>
    <n v="100"/>
    <n v="100"/>
  </r>
  <r>
    <s v="P330"/>
    <n v="30"/>
    <s v="Other"/>
    <s v="African American"/>
    <s v="Asthma"/>
    <s v="Not Reported"/>
    <s v="T005"/>
    <x v="0"/>
    <x v="2"/>
    <s v="11/16/2021"/>
    <s v="6/16/2022"/>
    <s v="150mg"/>
    <s v="Dizziness"/>
    <s v="TR0150"/>
    <s v="150mg"/>
    <x v="1"/>
    <s v="Headache"/>
    <n v="160"/>
    <n v="0"/>
    <s v="BRCA2"/>
    <s v="Positive"/>
    <n v="4.29"/>
    <n v="2.84"/>
    <n v="4.2"/>
    <n v="14.9"/>
    <n v="17.100000000000001"/>
    <n v="150"/>
    <n v="150"/>
  </r>
  <r>
    <s v="P331"/>
    <n v="47"/>
    <s v="Male"/>
    <s v="Other"/>
    <s v="Hypertension"/>
    <s v="HER2 Mutation"/>
    <s v="T008"/>
    <x v="1"/>
    <x v="1"/>
    <s v="6/16/2020"/>
    <s v="4/16/2021"/>
    <s v="100mg"/>
    <s v="Headache"/>
    <s v="TR0053"/>
    <s v="100mg"/>
    <x v="2"/>
    <s v="Nausea"/>
    <n v="90"/>
    <n v="0"/>
    <s v="EGFR"/>
    <s v="Negative"/>
    <n v="2.34"/>
    <n v="1.7"/>
    <n v="7.4"/>
    <n v="20.9"/>
    <n v="4.7"/>
    <n v="100"/>
    <n v="100"/>
  </r>
  <r>
    <s v="P332"/>
    <n v="60"/>
    <s v="Male"/>
    <s v="African American"/>
    <s v="Not Reported"/>
    <s v="Not Reported"/>
    <s v="T002"/>
    <x v="3"/>
    <x v="3"/>
    <s v="4/28/2019"/>
    <s v="9/28/2020"/>
    <s v="150mg"/>
    <s v="Fatigue, Dizziness"/>
    <s v="TR0139"/>
    <s v="150mg"/>
    <x v="0"/>
    <s v="Fatigue"/>
    <n v="86"/>
    <n v="1"/>
    <s v="EGFR"/>
    <s v="Negative"/>
    <n v="1.96"/>
    <n v="1.57"/>
    <n v="4.0999999999999996"/>
    <n v="14.1"/>
    <n v="15.7"/>
    <n v="150"/>
    <n v="150"/>
  </r>
  <r>
    <s v="P333"/>
    <n v="84"/>
    <s v="Female"/>
    <s v="Asian"/>
    <s v="Asthma"/>
    <s v="Not Reported"/>
    <s v="T003"/>
    <x v="3"/>
    <x v="1"/>
    <s v="1/21/2020"/>
    <s v="9/21/2020"/>
    <s v="100mg"/>
    <s v="Nausea"/>
    <s v="TR0045"/>
    <s v="100mg"/>
    <x v="2"/>
    <s v="Dizziness"/>
    <n v="82"/>
    <n v="0"/>
    <s v="BRCA2"/>
    <s v="Positive"/>
    <n v="3.6"/>
    <n v="3.48"/>
    <n v="4.2"/>
    <n v="21.1"/>
    <n v="11"/>
    <n v="100"/>
    <n v="100"/>
  </r>
  <r>
    <s v="P334"/>
    <n v="72"/>
    <s v="Other"/>
    <s v="Hispanic"/>
    <s v="Not Reported"/>
    <s v="BRCA2 Mutation"/>
    <s v="T008"/>
    <x v="3"/>
    <x v="2"/>
    <s v="4/10/2023"/>
    <s v="2/10/2024"/>
    <s v="200mg"/>
    <s v="Fatigue, Not Reported, Dizziness"/>
    <s v="TR0021"/>
    <s v="200mg"/>
    <x v="1"/>
    <s v="Headache"/>
    <n v="126"/>
    <n v="0"/>
    <s v="BRCA2"/>
    <s v="Negative"/>
    <n v="4.92"/>
    <n v="3.54"/>
    <n v="2.1"/>
    <n v="18.2"/>
    <n v="8.5"/>
    <n v="200"/>
    <n v="200"/>
  </r>
  <r>
    <s v="P335"/>
    <n v="74"/>
    <s v="Female"/>
    <s v="Other"/>
    <s v="Heart Disease"/>
    <s v="Not Reported"/>
    <s v="T005"/>
    <x v="3"/>
    <x v="1"/>
    <s v="7/28/2022"/>
    <s v="2/28/2023"/>
    <s v="150mg"/>
    <s v="Dizziness, Fatigue, Not Reported"/>
    <s v="TR0187"/>
    <s v="150mg"/>
    <x v="0"/>
    <s v="Not Reported"/>
    <n v="127"/>
    <n v="1"/>
    <s v="HER2"/>
    <s v="Negative"/>
    <n v="3.75"/>
    <n v="1.28"/>
    <n v="2.6"/>
    <n v="21.4"/>
    <n v="6.9"/>
    <n v="150"/>
    <n v="150"/>
  </r>
  <r>
    <s v="P336"/>
    <n v="76"/>
    <s v="Female"/>
    <s v="Hispanic"/>
    <s v="Heart Disease"/>
    <s v="Not Reported"/>
    <s v="T003"/>
    <x v="0"/>
    <x v="2"/>
    <s v="4/5/2022"/>
    <s v="1/5/2023"/>
    <s v="50mg"/>
    <s v="Dizziness"/>
    <s v="TR0187"/>
    <s v="50mg"/>
    <x v="2"/>
    <s v="Not Reported"/>
    <n v="155"/>
    <n v="0"/>
    <s v="HER2"/>
    <s v="Negative"/>
    <n v="4.3499999999999996"/>
    <n v="2.12"/>
    <n v="6.8"/>
    <n v="18.5"/>
    <n v="11.7"/>
    <n v="50"/>
    <n v="50"/>
  </r>
  <r>
    <s v="P337"/>
    <n v="68"/>
    <s v="Other"/>
    <s v="African American"/>
    <s v="Asthma"/>
    <s v="EGFR Mutation"/>
    <s v="T003"/>
    <x v="3"/>
    <x v="1"/>
    <s v="7/19/2019"/>
    <s v="3/19/2020"/>
    <s v="100mg"/>
    <s v="Not Reported, Dizziness"/>
    <s v="TR0131"/>
    <s v="100mg"/>
    <x v="2"/>
    <s v="Headache"/>
    <n v="124"/>
    <n v="0"/>
    <s v="BRCA1"/>
    <s v="Negative"/>
    <n v="2.2200000000000002"/>
    <n v="1.85"/>
    <n v="1.3"/>
    <n v="11.5"/>
    <n v="14.1"/>
    <n v="100"/>
    <n v="100"/>
  </r>
  <r>
    <s v="P338"/>
    <n v="72"/>
    <s v="Other"/>
    <s v="Asian"/>
    <s v="Diabetes"/>
    <s v="TP53 Mutation"/>
    <s v="T001"/>
    <x v="2"/>
    <x v="3"/>
    <s v="8/22/2023"/>
    <s v="4/22/2024"/>
    <s v="150mg"/>
    <s v="Dizziness"/>
    <s v="TR0149"/>
    <s v="150mg"/>
    <x v="2"/>
    <s v="Fatigue"/>
    <n v="33"/>
    <n v="0"/>
    <s v="BRCA1"/>
    <s v="Positive"/>
    <n v="4.75"/>
    <n v="4.4800000000000004"/>
    <n v="7.9"/>
    <n v="20.2"/>
    <n v="14.3"/>
    <n v="150"/>
    <n v="150"/>
  </r>
  <r>
    <s v="P339"/>
    <n v="67"/>
    <s v="Female"/>
    <s v="Other"/>
    <s v="Hypertension"/>
    <s v="Not Reported"/>
    <s v="T007"/>
    <x v="3"/>
    <x v="2"/>
    <s v="5/23/2022"/>
    <s v="3/23/2023"/>
    <s v="200mg"/>
    <s v="Not Reported, Headache, Dizziness"/>
    <s v="TR0023"/>
    <s v="200mg"/>
    <x v="0"/>
    <s v="Dizziness"/>
    <n v="118"/>
    <n v="1"/>
    <s v="BRCA2"/>
    <s v="Negative"/>
    <n v="2.04"/>
    <n v="4.63"/>
    <n v="7"/>
    <n v="16.100000000000001"/>
    <n v="4.9000000000000004"/>
    <n v="200"/>
    <n v="200"/>
  </r>
  <r>
    <s v="P340"/>
    <n v="44"/>
    <s v="Other"/>
    <s v="Hispanic"/>
    <s v="Not Reported"/>
    <s v="BRCA2 Mutation"/>
    <s v="T016"/>
    <x v="1"/>
    <x v="1"/>
    <s v="12/14/2019"/>
    <s v="2/14/2021"/>
    <s v="200mg"/>
    <s v="Not Reported, Headache, Nausea"/>
    <s v="TR0046"/>
    <s v="200mg"/>
    <x v="1"/>
    <s v="Fatigue"/>
    <n v="64"/>
    <n v="0"/>
    <s v="BRCA2"/>
    <s v="Negative"/>
    <n v="2.79"/>
    <n v="2.84"/>
    <n v="8.8000000000000007"/>
    <n v="15.8"/>
    <n v="9.5"/>
    <n v="200"/>
    <n v="200"/>
  </r>
  <r>
    <s v="P341"/>
    <n v="41"/>
    <s v="Other"/>
    <s v="Caucasian"/>
    <s v="Asthma"/>
    <s v="Not Reported"/>
    <s v="T007"/>
    <x v="2"/>
    <x v="2"/>
    <s v="12/6/2019"/>
    <s v="6/6/2021"/>
    <s v="100mg"/>
    <s v="Headache, Dizziness"/>
    <s v="TR0161"/>
    <s v="100mg"/>
    <x v="2"/>
    <s v="Nausea"/>
    <n v="72"/>
    <n v="0"/>
    <s v="BRCA1"/>
    <s v="Negative"/>
    <n v="4.91"/>
    <n v="1.44"/>
    <n v="4.8"/>
    <n v="6.8"/>
    <n v="15.6"/>
    <n v="100"/>
    <n v="100"/>
  </r>
  <r>
    <s v="P342"/>
    <n v="28"/>
    <s v="Female"/>
    <s v="Caucasian"/>
    <s v="Not Reported"/>
    <s v="BRCA1 Mutation"/>
    <s v="T019"/>
    <x v="2"/>
    <x v="0"/>
    <s v="11/25/2022"/>
    <s v="6/25/2023"/>
    <s v="50mg"/>
    <s v="Not Reported"/>
    <s v="TR0193"/>
    <s v="50mg"/>
    <x v="0"/>
    <s v="Dizziness"/>
    <n v="40"/>
    <n v="1"/>
    <s v="BRCA1"/>
    <s v="Positive"/>
    <n v="4.67"/>
    <n v="2.12"/>
    <n v="8.6999999999999993"/>
    <n v="11.3"/>
    <n v="18.5"/>
    <n v="50"/>
    <n v="50"/>
  </r>
  <r>
    <s v="P343"/>
    <n v="84"/>
    <s v="Male"/>
    <s v="Hispanic"/>
    <s v="Heart Disease"/>
    <s v="Not Reported"/>
    <s v="T009"/>
    <x v="3"/>
    <x v="0"/>
    <s v="10/14/2021"/>
    <s v="9/14/2022"/>
    <s v="150mg"/>
    <s v="Not Reported, Dizziness, Nausea"/>
    <s v="TR0093"/>
    <s v="150mg"/>
    <x v="2"/>
    <s v="Headache"/>
    <n v="126"/>
    <n v="0"/>
    <s v="EGFR"/>
    <s v="Positive"/>
    <n v="4.0199999999999996"/>
    <n v="4.22"/>
    <n v="1.2"/>
    <n v="23.3"/>
    <n v="15.4"/>
    <n v="150"/>
    <n v="150"/>
  </r>
  <r>
    <s v="P344"/>
    <n v="63"/>
    <s v="Female"/>
    <s v="Caucasian"/>
    <s v="Hypertension"/>
    <s v="HER2 Mutation"/>
    <s v="T005"/>
    <x v="1"/>
    <x v="1"/>
    <s v="5/23/2023"/>
    <s v="11/23/2024"/>
    <s v="100mg"/>
    <s v="Headache, Dizziness"/>
    <s v="TR0132"/>
    <s v="100mg"/>
    <x v="1"/>
    <s v="Fatigue"/>
    <n v="30"/>
    <n v="0"/>
    <s v="TP53"/>
    <s v="Positive"/>
    <n v="2.2200000000000002"/>
    <n v="4.32"/>
    <n v="3.5"/>
    <n v="21.7"/>
    <n v="4.9000000000000004"/>
    <n v="100"/>
    <n v="100"/>
  </r>
  <r>
    <s v="P345"/>
    <n v="64"/>
    <s v="Male"/>
    <s v="African American"/>
    <s v="Asthma"/>
    <s v="HER2 Mutation"/>
    <s v="T013"/>
    <x v="1"/>
    <x v="3"/>
    <s v="8/22/2022"/>
    <s v="1/22/2024"/>
    <s v="50mg"/>
    <s v="Headache, Not Reported, Dizziness"/>
    <s v="TR0050"/>
    <s v="50mg"/>
    <x v="2"/>
    <s v="Fatigue"/>
    <n v="163"/>
    <n v="0"/>
    <s v="EGFR"/>
    <s v="Positive"/>
    <n v="3.81"/>
    <n v="3.16"/>
    <n v="1.9"/>
    <n v="10.4"/>
    <n v="3.2"/>
    <n v="50"/>
    <n v="50"/>
  </r>
  <r>
    <s v="P346"/>
    <n v="34"/>
    <s v="Female"/>
    <s v="Caucasian"/>
    <s v="Not Reported"/>
    <s v="Not Reported"/>
    <s v="T018"/>
    <x v="3"/>
    <x v="2"/>
    <s v="2/16/2022"/>
    <s v="6/16/2023"/>
    <s v="100mg"/>
    <s v="Fatigue"/>
    <s v="TR0044"/>
    <s v="100mg"/>
    <x v="2"/>
    <s v="Nausea"/>
    <n v="57"/>
    <n v="0"/>
    <s v="HER2"/>
    <s v="Positive"/>
    <n v="2.88"/>
    <n v="2.21"/>
    <n v="6.4"/>
    <n v="11.4"/>
    <n v="8.1"/>
    <n v="100"/>
    <n v="100"/>
  </r>
  <r>
    <s v="P347"/>
    <n v="38"/>
    <s v="Female"/>
    <s v="Hispanic"/>
    <s v="Not Reported"/>
    <s v="TP53 Mutation"/>
    <s v="T016"/>
    <x v="1"/>
    <x v="2"/>
    <s v="11/24/2023"/>
    <s v="12/24/2024"/>
    <s v="50mg"/>
    <s v="Not Reported, Fatigue, Dizziness"/>
    <s v="TR0197"/>
    <s v="50mg"/>
    <x v="2"/>
    <s v="Nausea"/>
    <n v="117"/>
    <n v="0"/>
    <s v="HER2"/>
    <s v="Negative"/>
    <n v="3.97"/>
    <n v="1.19"/>
    <n v="9.1"/>
    <n v="21.3"/>
    <n v="14.4"/>
    <n v="50"/>
    <n v="50"/>
  </r>
  <r>
    <s v="P348"/>
    <n v="73"/>
    <s v="Male"/>
    <s v="Asian"/>
    <s v="Not Reported"/>
    <s v="BRCA1 Mutation"/>
    <s v="T004"/>
    <x v="1"/>
    <x v="3"/>
    <s v="4/24/2023"/>
    <s v="11/24/2023"/>
    <s v="150mg"/>
    <s v="Not Reported"/>
    <s v="TR0098"/>
    <s v="150mg"/>
    <x v="2"/>
    <s v="Nausea"/>
    <n v="109"/>
    <n v="0"/>
    <s v="BRCA1"/>
    <s v="Positive"/>
    <n v="3.37"/>
    <n v="4.57"/>
    <n v="2.7"/>
    <n v="7.4"/>
    <n v="7.1"/>
    <n v="150"/>
    <n v="150"/>
  </r>
  <r>
    <s v="P349"/>
    <n v="67"/>
    <s v="Female"/>
    <s v="African American"/>
    <s v="Not Reported"/>
    <s v="Not Reported"/>
    <s v="T005"/>
    <x v="2"/>
    <x v="1"/>
    <s v="1/18/2022"/>
    <s v="2/18/2023"/>
    <s v="150mg"/>
    <s v="Not Reported"/>
    <s v="TR0057"/>
    <s v="150mg"/>
    <x v="1"/>
    <s v="Headache"/>
    <n v="67"/>
    <n v="0"/>
    <s v="EGFR"/>
    <s v="Negative"/>
    <n v="4.18"/>
    <n v="1.1399999999999999"/>
    <n v="6.2"/>
    <n v="23.9"/>
    <n v="17.5"/>
    <n v="150"/>
    <n v="150"/>
  </r>
  <r>
    <s v="P350"/>
    <n v="36"/>
    <s v="Other"/>
    <s v="Caucasian"/>
    <s v="Heart Disease"/>
    <s v="EGFR Mutation"/>
    <s v="T004"/>
    <x v="0"/>
    <x v="0"/>
    <s v="8/10/2020"/>
    <s v="1/10/2022"/>
    <s v="200mg"/>
    <s v="Not Reported"/>
    <s v="TR0040"/>
    <s v="200mg"/>
    <x v="2"/>
    <s v="Fatigue"/>
    <n v="87"/>
    <n v="0"/>
    <s v="BRCA1"/>
    <s v="Positive"/>
    <n v="3.09"/>
    <n v="1.25"/>
    <n v="8.5"/>
    <n v="16.8"/>
    <n v="5"/>
    <n v="200"/>
    <n v="200"/>
  </r>
  <r>
    <s v="P351"/>
    <n v="80"/>
    <s v="Other"/>
    <s v="Hispanic"/>
    <s v="Not Reported"/>
    <s v="Not Reported"/>
    <s v="T006"/>
    <x v="1"/>
    <x v="0"/>
    <s v="7/22/2021"/>
    <s v="8/22/2022"/>
    <s v="150mg"/>
    <s v="Headache, Nausea"/>
    <s v="TR0136"/>
    <s v="150mg"/>
    <x v="2"/>
    <s v="Not Reported"/>
    <n v="102"/>
    <n v="0"/>
    <s v="BRCA2"/>
    <s v="Negative"/>
    <n v="1.38"/>
    <n v="4.6399999999999997"/>
    <n v="7"/>
    <n v="20.9"/>
    <n v="17.899999999999999"/>
    <n v="150"/>
    <n v="150"/>
  </r>
  <r>
    <s v="P352"/>
    <n v="30"/>
    <s v="Male"/>
    <s v="African American"/>
    <s v="Heart Disease"/>
    <s v="Not Reported"/>
    <s v="T002"/>
    <x v="0"/>
    <x v="0"/>
    <s v="10/5/2020"/>
    <s v="11/5/2021"/>
    <s v="200mg"/>
    <s v="Fatigue, Dizziness"/>
    <s v="TR0056"/>
    <s v="200mg"/>
    <x v="2"/>
    <s v="Fatigue"/>
    <n v="32"/>
    <n v="0"/>
    <s v="TP53"/>
    <s v="Positive"/>
    <n v="3.29"/>
    <n v="3.07"/>
    <n v="4.9000000000000004"/>
    <n v="11.7"/>
    <n v="10.4"/>
    <n v="200"/>
    <n v="200"/>
  </r>
  <r>
    <s v="P353"/>
    <n v="36"/>
    <s v="Female"/>
    <s v="Hispanic"/>
    <s v="Diabetes"/>
    <s v="Not Reported"/>
    <s v="T004"/>
    <x v="0"/>
    <x v="0"/>
    <s v="1/4/2020"/>
    <s v="3/4/2021"/>
    <s v="150mg"/>
    <s v="Headache, Fatigue, Not Reported"/>
    <s v="TR0185"/>
    <s v="150mg"/>
    <x v="1"/>
    <s v="Fatigue"/>
    <n v="38"/>
    <n v="0"/>
    <s v="BRCA1"/>
    <s v="Positive"/>
    <n v="4.0999999999999996"/>
    <n v="3.41"/>
    <n v="9"/>
    <n v="14"/>
    <n v="13.3"/>
    <n v="150"/>
    <n v="150"/>
  </r>
  <r>
    <s v="P354"/>
    <n v="68"/>
    <s v="Female"/>
    <s v="African American"/>
    <s v="Heart Disease"/>
    <s v="Not Reported"/>
    <s v="T013"/>
    <x v="1"/>
    <x v="0"/>
    <s v="5/21/2022"/>
    <s v="9/21/2023"/>
    <s v="200mg"/>
    <s v="Nausea, Dizziness"/>
    <s v="TR0030"/>
    <s v="200mg"/>
    <x v="0"/>
    <s v="Nausea"/>
    <n v="155"/>
    <n v="1"/>
    <s v="EGFR"/>
    <s v="Positive"/>
    <n v="3.53"/>
    <n v="3.37"/>
    <n v="7.3"/>
    <n v="10.3"/>
    <n v="11.7"/>
    <n v="200"/>
    <n v="200"/>
  </r>
  <r>
    <s v="P355"/>
    <n v="20"/>
    <s v="Other"/>
    <s v="Other"/>
    <s v="Heart Disease"/>
    <s v="BRCA1 Mutation"/>
    <s v="T019"/>
    <x v="2"/>
    <x v="0"/>
    <s v="11/23/2022"/>
    <s v="11/23/2023"/>
    <s v="150mg"/>
    <s v="Fatigue, Nausea, Dizziness"/>
    <s v="TR0017"/>
    <s v="150mg"/>
    <x v="2"/>
    <s v="Dizziness"/>
    <n v="77"/>
    <n v="0"/>
    <s v="HER2"/>
    <s v="Positive"/>
    <n v="1.42"/>
    <n v="2.54"/>
    <n v="5.4"/>
    <n v="17.7"/>
    <n v="19.2"/>
    <n v="150"/>
    <n v="150"/>
  </r>
  <r>
    <s v="P356"/>
    <n v="68"/>
    <s v="Other"/>
    <s v="Other"/>
    <s v="Heart Disease"/>
    <s v="EGFR Mutation"/>
    <s v="T019"/>
    <x v="1"/>
    <x v="2"/>
    <s v="3/28/2019"/>
    <s v="6/28/2020"/>
    <s v="100mg"/>
    <s v="Dizziness"/>
    <s v="TR0115"/>
    <s v="100mg"/>
    <x v="1"/>
    <s v="Nausea"/>
    <n v="40"/>
    <n v="0"/>
    <s v="BRCA2"/>
    <s v="Positive"/>
    <n v="3.4"/>
    <n v="3.97"/>
    <n v="5.6"/>
    <n v="17.399999999999999"/>
    <n v="4.2"/>
    <n v="100"/>
    <n v="100"/>
  </r>
  <r>
    <s v="P357"/>
    <n v="38"/>
    <s v="Male"/>
    <s v="Other"/>
    <s v="Not Reported"/>
    <s v="Not Reported"/>
    <s v="T002"/>
    <x v="1"/>
    <x v="1"/>
    <s v="5/12/2023"/>
    <s v="7/12/2024"/>
    <s v="100mg"/>
    <s v="Nausea, Fatigue"/>
    <s v="TR0077"/>
    <s v="100mg"/>
    <x v="0"/>
    <s v="Dizziness"/>
    <n v="105"/>
    <n v="1"/>
    <s v="EGFR"/>
    <s v="Negative"/>
    <n v="2.02"/>
    <n v="2.4500000000000002"/>
    <n v="5.3"/>
    <n v="6.8"/>
    <n v="5.4"/>
    <n v="100"/>
    <n v="100"/>
  </r>
  <r>
    <s v="P358"/>
    <n v="35"/>
    <s v="Other"/>
    <s v="Hispanic"/>
    <s v="Not Reported"/>
    <s v="Not Reported"/>
    <s v="T012"/>
    <x v="2"/>
    <x v="1"/>
    <s v="4/2/2019"/>
    <s v="1/2/2020"/>
    <s v="100mg"/>
    <s v="Fatigue, Dizziness"/>
    <s v="TR0155"/>
    <s v="100mg"/>
    <x v="2"/>
    <s v="Fatigue"/>
    <n v="121"/>
    <n v="0"/>
    <s v="TP53"/>
    <s v="Positive"/>
    <n v="2.11"/>
    <n v="4.8899999999999997"/>
    <n v="4"/>
    <n v="14.7"/>
    <n v="6.3"/>
    <n v="100"/>
    <n v="100"/>
  </r>
  <r>
    <s v="P359"/>
    <n v="72"/>
    <s v="Male"/>
    <s v="Other"/>
    <s v="Not Reported"/>
    <s v="BRCA2 Mutation"/>
    <s v="T013"/>
    <x v="3"/>
    <x v="1"/>
    <s v="11/14/2021"/>
    <s v="4/14/2023"/>
    <s v="100mg"/>
    <s v="Fatigue, Nausea, Not Reported"/>
    <s v="TR0188"/>
    <s v="100mg"/>
    <x v="1"/>
    <s v="Fatigue"/>
    <n v="125"/>
    <n v="0"/>
    <s v="EGFR"/>
    <s v="Positive"/>
    <n v="3.44"/>
    <n v="2.12"/>
    <n v="2.9"/>
    <n v="15.3"/>
    <n v="3.1"/>
    <n v="100"/>
    <n v="100"/>
  </r>
  <r>
    <s v="P360"/>
    <n v="71"/>
    <s v="Male"/>
    <s v="African American"/>
    <s v="Asthma"/>
    <s v="EGFR Mutation"/>
    <s v="T008"/>
    <x v="1"/>
    <x v="3"/>
    <s v="9/4/2019"/>
    <s v="1/4/2021"/>
    <s v="200mg"/>
    <s v="Not Reported"/>
    <s v="TR0164"/>
    <s v="200mg"/>
    <x v="0"/>
    <s v="Not Reported"/>
    <n v="115"/>
    <n v="1"/>
    <s v="TP53"/>
    <s v="Positive"/>
    <n v="1.03"/>
    <n v="1.88"/>
    <n v="1.3"/>
    <n v="7.9"/>
    <n v="8.8000000000000007"/>
    <n v="200"/>
    <n v="200"/>
  </r>
  <r>
    <s v="P361"/>
    <n v="46"/>
    <s v="Female"/>
    <s v="Caucasian"/>
    <s v="Hypertension"/>
    <s v="BRCA2 Mutation"/>
    <s v="T013"/>
    <x v="1"/>
    <x v="1"/>
    <s v="9/24/2020"/>
    <s v="7/24/2021"/>
    <s v="200mg"/>
    <s v="Dizziness"/>
    <s v="TR0090"/>
    <s v="200mg"/>
    <x v="2"/>
    <s v="Dizziness"/>
    <n v="102"/>
    <n v="0"/>
    <s v="EGFR"/>
    <s v="Negative"/>
    <n v="4.21"/>
    <n v="3.29"/>
    <n v="5.6"/>
    <n v="11.3"/>
    <n v="18.8"/>
    <n v="200"/>
    <n v="200"/>
  </r>
  <r>
    <s v="P362"/>
    <n v="30"/>
    <s v="Male"/>
    <s v="Asian"/>
    <s v="Not Reported"/>
    <s v="Not Reported"/>
    <s v="T013"/>
    <x v="2"/>
    <x v="3"/>
    <s v="9/20/2023"/>
    <s v="9/20/2024"/>
    <s v="200mg"/>
    <s v="Fatigue, Not Reported, Nausea"/>
    <s v="TR0176"/>
    <s v="200mg"/>
    <x v="2"/>
    <s v="Fatigue"/>
    <n v="62"/>
    <n v="0"/>
    <s v="BRCA2"/>
    <s v="Negative"/>
    <n v="2.59"/>
    <n v="1.35"/>
    <n v="6.6"/>
    <n v="8"/>
    <n v="8.9"/>
    <n v="200"/>
    <n v="200"/>
  </r>
  <r>
    <s v="P363"/>
    <n v="52"/>
    <s v="Male"/>
    <s v="African American"/>
    <s v="Diabetes"/>
    <s v="Not Reported"/>
    <s v="T014"/>
    <x v="3"/>
    <x v="2"/>
    <s v="6/26/2022"/>
    <s v="7/26/2023"/>
    <s v="150mg"/>
    <s v="Headache, Fatigue"/>
    <s v="TR0079"/>
    <s v="150mg"/>
    <x v="2"/>
    <s v="Nausea"/>
    <n v="108"/>
    <n v="0"/>
    <s v="HER2"/>
    <s v="Negative"/>
    <n v="3.03"/>
    <n v="4.5"/>
    <n v="5.4"/>
    <n v="18.600000000000001"/>
    <n v="19.899999999999999"/>
    <n v="150"/>
    <n v="150"/>
  </r>
  <r>
    <s v="P364"/>
    <n v="29"/>
    <s v="Other"/>
    <s v="Caucasian"/>
    <s v="Hypertension"/>
    <s v="Not Reported"/>
    <s v="T003"/>
    <x v="2"/>
    <x v="1"/>
    <s v="12/10/2019"/>
    <s v="2/10/2021"/>
    <s v="200mg"/>
    <s v="Headache"/>
    <s v="TR0174"/>
    <s v="200mg"/>
    <x v="2"/>
    <s v="Fatigue"/>
    <n v="152"/>
    <n v="0"/>
    <s v="HER2"/>
    <s v="Positive"/>
    <n v="1.53"/>
    <n v="2.1"/>
    <n v="4.5999999999999996"/>
    <n v="13.6"/>
    <n v="10"/>
    <n v="200"/>
    <n v="200"/>
  </r>
  <r>
    <s v="P365"/>
    <n v="69"/>
    <s v="Male"/>
    <s v="Other"/>
    <s v="Diabetes"/>
    <s v="Not Reported"/>
    <s v="T001"/>
    <x v="3"/>
    <x v="3"/>
    <s v="12/22/2020"/>
    <s v="2/22/2022"/>
    <s v="50mg"/>
    <s v="Headache, Fatigue, Not Reported"/>
    <s v="TR0196"/>
    <s v="50mg"/>
    <x v="2"/>
    <s v="Fatigue"/>
    <n v="74"/>
    <n v="0"/>
    <s v="BRCA1"/>
    <s v="Negative"/>
    <n v="4.63"/>
    <n v="3.86"/>
    <n v="6.5"/>
    <n v="11.6"/>
    <n v="17"/>
    <n v="50"/>
    <n v="50"/>
  </r>
  <r>
    <s v="P366"/>
    <n v="35"/>
    <s v="Other"/>
    <s v="African American"/>
    <s v="Hypertension"/>
    <s v="HER2 Mutation"/>
    <s v="T006"/>
    <x v="0"/>
    <x v="1"/>
    <s v="11/8/2021"/>
    <s v="1/8/2023"/>
    <s v="50mg"/>
    <s v="Not Reported, Headache"/>
    <s v="TR0076"/>
    <s v="50mg"/>
    <x v="1"/>
    <s v="Fatigue"/>
    <n v="30"/>
    <n v="0"/>
    <s v="EGFR"/>
    <s v="Negative"/>
    <n v="4.82"/>
    <n v="4.28"/>
    <n v="1"/>
    <n v="17.5"/>
    <n v="3.9"/>
    <n v="50"/>
    <n v="50"/>
  </r>
  <r>
    <s v="P367"/>
    <n v="45"/>
    <s v="Female"/>
    <s v="Other"/>
    <s v="Hypertension"/>
    <s v="Not Reported"/>
    <s v="T020"/>
    <x v="3"/>
    <x v="1"/>
    <s v="1/20/2021"/>
    <s v="2/20/2022"/>
    <s v="150mg"/>
    <s v="Not Reported, Nausea"/>
    <s v="TR0002"/>
    <s v="150mg"/>
    <x v="1"/>
    <s v="Fatigue"/>
    <n v="132"/>
    <n v="0"/>
    <s v="TP53"/>
    <s v="Positive"/>
    <n v="2.0299999999999998"/>
    <n v="1.24"/>
    <n v="6.4"/>
    <n v="18.399999999999999"/>
    <n v="4.9000000000000004"/>
    <n v="150"/>
    <n v="150"/>
  </r>
  <r>
    <s v="P368"/>
    <n v="30"/>
    <s v="Female"/>
    <s v="Hispanic"/>
    <s v="Diabetes"/>
    <s v="EGFR Mutation"/>
    <s v="T005"/>
    <x v="3"/>
    <x v="1"/>
    <s v="1/5/2022"/>
    <s v="7/5/2023"/>
    <s v="150mg"/>
    <s v="Headache"/>
    <s v="TR0102"/>
    <s v="150mg"/>
    <x v="1"/>
    <s v="Not Reported"/>
    <n v="123"/>
    <n v="0"/>
    <s v="HER2"/>
    <s v="Positive"/>
    <n v="2.54"/>
    <n v="2.82"/>
    <n v="4.3"/>
    <n v="8.1999999999999993"/>
    <n v="10.1"/>
    <n v="150"/>
    <n v="150"/>
  </r>
  <r>
    <s v="P369"/>
    <n v="52"/>
    <s v="Male"/>
    <s v="Hispanic"/>
    <s v="Asthma"/>
    <s v="TP53 Mutation"/>
    <s v="T014"/>
    <x v="1"/>
    <x v="3"/>
    <s v="2/7/2020"/>
    <s v="12/7/2020"/>
    <s v="50mg"/>
    <s v="Headache"/>
    <s v="TR0108"/>
    <s v="50mg"/>
    <x v="2"/>
    <s v="Not Reported"/>
    <n v="38"/>
    <n v="0"/>
    <s v="BRCA2"/>
    <s v="Positive"/>
    <n v="4"/>
    <n v="1.28"/>
    <n v="1.7"/>
    <n v="12.4"/>
    <n v="19"/>
    <n v="50"/>
    <n v="50"/>
  </r>
  <r>
    <s v="P370"/>
    <n v="79"/>
    <s v="Other"/>
    <s v="African American"/>
    <s v="Hypertension"/>
    <s v="EGFR Mutation"/>
    <s v="T016"/>
    <x v="2"/>
    <x v="3"/>
    <s v="9/24/2022"/>
    <s v="2/24/2024"/>
    <s v="200mg"/>
    <s v="Nausea"/>
    <s v="TR0028"/>
    <s v="200mg"/>
    <x v="0"/>
    <s v="Fatigue"/>
    <n v="69"/>
    <n v="1"/>
    <s v="TP53"/>
    <s v="Positive"/>
    <n v="3.67"/>
    <n v="3.71"/>
    <n v="4.3"/>
    <n v="16.7"/>
    <n v="3.2"/>
    <n v="200"/>
    <n v="200"/>
  </r>
  <r>
    <s v="P371"/>
    <n v="48"/>
    <s v="Male"/>
    <s v="African American"/>
    <s v="Asthma"/>
    <s v="Not Reported"/>
    <s v="T001"/>
    <x v="3"/>
    <x v="0"/>
    <s v="5/16/2021"/>
    <s v="12/16/2021"/>
    <s v="200mg"/>
    <s v="Dizziness"/>
    <s v="TR0040"/>
    <s v="200mg"/>
    <x v="2"/>
    <s v="Dizziness"/>
    <n v="77"/>
    <n v="0"/>
    <s v="BRCA2"/>
    <s v="Negative"/>
    <n v="3.54"/>
    <n v="4.6500000000000004"/>
    <n v="6.5"/>
    <n v="21.7"/>
    <n v="15.3"/>
    <n v="200"/>
    <n v="200"/>
  </r>
  <r>
    <s v="P372"/>
    <n v="32"/>
    <s v="Female"/>
    <s v="Asian"/>
    <s v="Asthma"/>
    <s v="BRCA1 Mutation"/>
    <s v="T017"/>
    <x v="2"/>
    <x v="2"/>
    <s v="11/21/2023"/>
    <s v="7/21/2024"/>
    <s v="100mg"/>
    <s v="Fatigue"/>
    <s v="TR0103"/>
    <s v="100mg"/>
    <x v="0"/>
    <s v="Not Reported"/>
    <n v="79"/>
    <n v="1"/>
    <s v="BRCA2"/>
    <s v="Negative"/>
    <n v="1.48"/>
    <n v="4.6100000000000003"/>
    <n v="1.6"/>
    <n v="15.6"/>
    <n v="5.4"/>
    <n v="100"/>
    <n v="100"/>
  </r>
  <r>
    <s v="P373"/>
    <n v="20"/>
    <s v="Other"/>
    <s v="Asian"/>
    <s v="Hypertension"/>
    <s v="Not Reported"/>
    <s v="T013"/>
    <x v="3"/>
    <x v="3"/>
    <s v="4/11/2020"/>
    <s v="4/11/2021"/>
    <s v="200mg"/>
    <s v="Dizziness"/>
    <s v="TR0110"/>
    <s v="200mg"/>
    <x v="2"/>
    <s v="Nausea"/>
    <n v="107"/>
    <n v="0"/>
    <s v="BRCA1"/>
    <s v="Negative"/>
    <n v="1.05"/>
    <n v="2.69"/>
    <n v="3.7"/>
    <n v="14.7"/>
    <n v="12.8"/>
    <n v="200"/>
    <n v="200"/>
  </r>
  <r>
    <s v="P374"/>
    <n v="64"/>
    <s v="Female"/>
    <s v="African American"/>
    <s v="Asthma"/>
    <s v="BRCA1 Mutation"/>
    <s v="T006"/>
    <x v="1"/>
    <x v="1"/>
    <s v="11/24/2019"/>
    <s v="10/24/2020"/>
    <s v="100mg"/>
    <s v="Headache, Not Reported"/>
    <s v="TR0156"/>
    <s v="100mg"/>
    <x v="0"/>
    <s v="Headache"/>
    <n v="77"/>
    <n v="1"/>
    <s v="TP53"/>
    <s v="Negative"/>
    <n v="1.17"/>
    <n v="1.49"/>
    <n v="6"/>
    <n v="12.2"/>
    <n v="15.4"/>
    <n v="100"/>
    <n v="100"/>
  </r>
  <r>
    <s v="P375"/>
    <n v="64"/>
    <s v="Female"/>
    <s v="African American"/>
    <s v="Hypertension"/>
    <s v="BRCA1 Mutation"/>
    <s v="T018"/>
    <x v="2"/>
    <x v="3"/>
    <s v="12/26/2021"/>
    <s v="11/26/2022"/>
    <s v="150mg"/>
    <s v="Not Reported"/>
    <s v="TR0054"/>
    <s v="150mg"/>
    <x v="2"/>
    <s v="Headache"/>
    <n v="52"/>
    <n v="0"/>
    <s v="BRCA1"/>
    <s v="Positive"/>
    <n v="3.61"/>
    <n v="4.38"/>
    <n v="7.2"/>
    <n v="13.7"/>
    <n v="14.4"/>
    <n v="150"/>
    <n v="150"/>
  </r>
  <r>
    <s v="P376"/>
    <n v="33"/>
    <s v="Male"/>
    <s v="Other"/>
    <s v="Diabetes"/>
    <s v="HER2 Mutation"/>
    <s v="T004"/>
    <x v="1"/>
    <x v="3"/>
    <s v="12/16/2021"/>
    <s v="6/16/2023"/>
    <s v="100mg"/>
    <s v="Fatigue, Nausea, Headache"/>
    <s v="TR0050"/>
    <s v="100mg"/>
    <x v="1"/>
    <s v="Dizziness"/>
    <n v="94"/>
    <n v="0"/>
    <s v="EGFR"/>
    <s v="Negative"/>
    <n v="2.1"/>
    <n v="2.23"/>
    <n v="8.1"/>
    <n v="14"/>
    <n v="16.600000000000001"/>
    <n v="100"/>
    <n v="100"/>
  </r>
  <r>
    <s v="P377"/>
    <n v="64"/>
    <s v="Female"/>
    <s v="Caucasian"/>
    <s v="Asthma"/>
    <s v="HER2 Mutation"/>
    <s v="T017"/>
    <x v="1"/>
    <x v="2"/>
    <s v="5/23/2023"/>
    <s v="1/23/2024"/>
    <s v="150mg"/>
    <s v="Dizziness"/>
    <s v="TR0016"/>
    <s v="150mg"/>
    <x v="2"/>
    <s v="Fatigue"/>
    <n v="131"/>
    <n v="0"/>
    <s v="HER2"/>
    <s v="Positive"/>
    <n v="4.29"/>
    <n v="4.43"/>
    <n v="9.1999999999999993"/>
    <n v="13.8"/>
    <n v="8.4"/>
    <n v="150"/>
    <n v="150"/>
  </r>
  <r>
    <s v="P378"/>
    <n v="39"/>
    <s v="Female"/>
    <s v="Other"/>
    <s v="Asthma"/>
    <s v="Not Reported"/>
    <s v="T013"/>
    <x v="3"/>
    <x v="3"/>
    <s v="3/1/2020"/>
    <s v="11/1/2020"/>
    <s v="100mg"/>
    <s v="Nausea, Headache, Not Reported"/>
    <s v="TR0182"/>
    <s v="100mg"/>
    <x v="2"/>
    <s v="Dizziness"/>
    <n v="96"/>
    <n v="0"/>
    <s v="TP53"/>
    <s v="Positive"/>
    <n v="3.33"/>
    <n v="2.48"/>
    <n v="6.4"/>
    <n v="18.7"/>
    <n v="14.7"/>
    <n v="100"/>
    <n v="100"/>
  </r>
  <r>
    <s v="P379"/>
    <n v="55"/>
    <s v="Other"/>
    <s v="African American"/>
    <s v="Heart Disease"/>
    <s v="BRCA2 Mutation"/>
    <s v="T002"/>
    <x v="2"/>
    <x v="3"/>
    <s v="11/5/2019"/>
    <s v="9/5/2020"/>
    <s v="100mg"/>
    <s v="Nausea, Fatigue"/>
    <s v="TR0054"/>
    <s v="100mg"/>
    <x v="2"/>
    <s v="Nausea"/>
    <n v="30"/>
    <n v="0"/>
    <s v="TP53"/>
    <s v="Negative"/>
    <n v="2.5"/>
    <n v="1.67"/>
    <n v="4.9000000000000004"/>
    <n v="8.6"/>
    <n v="18.100000000000001"/>
    <n v="100"/>
    <n v="100"/>
  </r>
  <r>
    <s v="P380"/>
    <n v="59"/>
    <s v="Male"/>
    <s v="Other"/>
    <s v="Not Reported"/>
    <s v="Not Reported"/>
    <s v="T014"/>
    <x v="0"/>
    <x v="3"/>
    <s v="11/27/2019"/>
    <s v="5/27/2020"/>
    <s v="150mg"/>
    <s v="Not Reported"/>
    <s v="TR0046"/>
    <s v="150mg"/>
    <x v="1"/>
    <s v="Nausea"/>
    <n v="167"/>
    <n v="0"/>
    <s v="EGFR"/>
    <s v="Positive"/>
    <n v="2.38"/>
    <n v="1.62"/>
    <n v="1.2"/>
    <n v="17.600000000000001"/>
    <n v="13.8"/>
    <n v="150"/>
    <n v="150"/>
  </r>
  <r>
    <s v="P381"/>
    <n v="66"/>
    <s v="Other"/>
    <s v="African American"/>
    <s v="Heart Disease"/>
    <s v="Not Reported"/>
    <s v="T015"/>
    <x v="2"/>
    <x v="3"/>
    <s v="4/19/2021"/>
    <s v="8/19/2022"/>
    <s v="200mg"/>
    <s v="Headache"/>
    <s v="TR0060"/>
    <s v="200mg"/>
    <x v="2"/>
    <s v="Headache"/>
    <n v="124"/>
    <n v="0"/>
    <s v="BRCA2"/>
    <s v="Negative"/>
    <n v="2.36"/>
    <n v="1.29"/>
    <n v="4.7"/>
    <n v="11.6"/>
    <n v="14.5"/>
    <n v="200"/>
    <n v="200"/>
  </r>
  <r>
    <s v="P382"/>
    <n v="29"/>
    <s v="Female"/>
    <s v="Asian"/>
    <s v="Asthma"/>
    <s v="BRCA2 Mutation"/>
    <s v="T007"/>
    <x v="3"/>
    <x v="2"/>
    <s v="1/10/2021"/>
    <s v="9/10/2021"/>
    <s v="100mg"/>
    <s v="Dizziness, Fatigue"/>
    <s v="TR0018"/>
    <s v="100mg"/>
    <x v="0"/>
    <s v="Nausea"/>
    <n v="139"/>
    <n v="1"/>
    <s v="BRCA2"/>
    <s v="Negative"/>
    <n v="3.42"/>
    <n v="2.46"/>
    <n v="3"/>
    <n v="23.8"/>
    <n v="10.7"/>
    <n v="100"/>
    <n v="100"/>
  </r>
  <r>
    <s v="P383"/>
    <n v="69"/>
    <s v="Male"/>
    <s v="Other"/>
    <s v="Diabetes"/>
    <s v="Not Reported"/>
    <s v="T001"/>
    <x v="1"/>
    <x v="0"/>
    <s v="1/4/2022"/>
    <s v="7/4/2022"/>
    <s v="50mg"/>
    <s v="Fatigue"/>
    <s v="TR0198"/>
    <s v="50mg"/>
    <x v="0"/>
    <s v="Not Reported"/>
    <n v="66"/>
    <n v="1"/>
    <s v="EGFR"/>
    <s v="Positive"/>
    <n v="3.75"/>
    <n v="1.56"/>
    <n v="5.4"/>
    <n v="6.5"/>
    <n v="11.6"/>
    <n v="50"/>
    <n v="50"/>
  </r>
  <r>
    <s v="P384"/>
    <n v="19"/>
    <s v="Male"/>
    <s v="Other"/>
    <s v="Not Reported"/>
    <s v="Not Reported"/>
    <s v="T003"/>
    <x v="2"/>
    <x v="2"/>
    <s v="10/15/2022"/>
    <s v="6/15/2023"/>
    <s v="150mg"/>
    <s v="Headache, Fatigue"/>
    <s v="TR0063"/>
    <s v="150mg"/>
    <x v="0"/>
    <s v="Dizziness"/>
    <n v="98"/>
    <n v="1"/>
    <s v="EGFR"/>
    <s v="Positive"/>
    <n v="4.8600000000000003"/>
    <n v="2.54"/>
    <n v="1.4"/>
    <n v="6.6"/>
    <n v="9.6"/>
    <n v="150"/>
    <n v="150"/>
  </r>
  <r>
    <s v="P385"/>
    <n v="20"/>
    <s v="Male"/>
    <s v="Caucasian"/>
    <s v="Heart Disease"/>
    <s v="EGFR Mutation"/>
    <s v="T014"/>
    <x v="2"/>
    <x v="1"/>
    <s v="1/8/2020"/>
    <s v="1/8/2021"/>
    <s v="200mg"/>
    <s v="Not Reported"/>
    <s v="TR0168"/>
    <s v="200mg"/>
    <x v="1"/>
    <s v="Fatigue"/>
    <n v="128"/>
    <n v="0"/>
    <s v="BRCA1"/>
    <s v="Negative"/>
    <n v="1.64"/>
    <n v="1.0900000000000001"/>
    <n v="7.8"/>
    <n v="14.3"/>
    <n v="7.9"/>
    <n v="200"/>
    <n v="200"/>
  </r>
  <r>
    <s v="P386"/>
    <n v="39"/>
    <s v="Male"/>
    <s v="Asian"/>
    <s v="Hypertension"/>
    <s v="Not Reported"/>
    <s v="T010"/>
    <x v="0"/>
    <x v="1"/>
    <s v="6/4/2023"/>
    <s v="5/4/2024"/>
    <s v="50mg"/>
    <s v="Dizziness"/>
    <s v="TR0039"/>
    <s v="50mg"/>
    <x v="0"/>
    <s v="Headache"/>
    <n v="165"/>
    <n v="1"/>
    <s v="TP53"/>
    <s v="Positive"/>
    <n v="4.5999999999999996"/>
    <n v="1.46"/>
    <n v="9.6"/>
    <n v="11.7"/>
    <n v="18.100000000000001"/>
    <n v="50"/>
    <n v="50"/>
  </r>
  <r>
    <s v="P387"/>
    <n v="72"/>
    <s v="Male"/>
    <s v="African American"/>
    <s v="Heart Disease"/>
    <s v="Not Reported"/>
    <s v="T012"/>
    <x v="1"/>
    <x v="3"/>
    <s v="11/12/2022"/>
    <s v="9/12/2023"/>
    <s v="50mg"/>
    <s v="Fatigue"/>
    <s v="TR0200"/>
    <s v="50mg"/>
    <x v="2"/>
    <s v="Fatigue"/>
    <n v="111"/>
    <n v="0"/>
    <s v="BRCA2"/>
    <s v="Negative"/>
    <n v="3.41"/>
    <n v="4.3099999999999996"/>
    <n v="9.9"/>
    <n v="11.2"/>
    <n v="19.3"/>
    <n v="50"/>
    <n v="50"/>
  </r>
  <r>
    <s v="P388"/>
    <n v="75"/>
    <s v="Other"/>
    <s v="Hispanic"/>
    <s v="Hypertension"/>
    <s v="HER2 Mutation"/>
    <s v="T009"/>
    <x v="2"/>
    <x v="1"/>
    <s v="3/6/2021"/>
    <s v="9/6/2022"/>
    <s v="200mg"/>
    <s v="Not Reported, Headache"/>
    <s v="TR0109"/>
    <s v="200mg"/>
    <x v="1"/>
    <s v="Headache"/>
    <n v="115"/>
    <n v="0"/>
    <s v="BRCA2"/>
    <s v="Positive"/>
    <n v="2.56"/>
    <n v="2.54"/>
    <n v="4.0999999999999996"/>
    <n v="15.7"/>
    <n v="5.6"/>
    <n v="200"/>
    <n v="200"/>
  </r>
  <r>
    <s v="P389"/>
    <n v="67"/>
    <s v="Female"/>
    <s v="Other"/>
    <s v="Asthma"/>
    <s v="Not Reported"/>
    <s v="T016"/>
    <x v="2"/>
    <x v="0"/>
    <s v="10/23/2019"/>
    <s v="10/23/2020"/>
    <s v="100mg"/>
    <s v="Nausea, Fatigue, Headache"/>
    <s v="TR0001"/>
    <s v="100mg"/>
    <x v="0"/>
    <s v="Nausea"/>
    <n v="122"/>
    <n v="1"/>
    <s v="EGFR"/>
    <s v="Negative"/>
    <n v="3.21"/>
    <n v="3.17"/>
    <n v="7.9"/>
    <n v="21"/>
    <n v="10.5"/>
    <n v="100"/>
    <n v="100"/>
  </r>
  <r>
    <s v="P390"/>
    <n v="35"/>
    <s v="Male"/>
    <s v="Caucasian"/>
    <s v="Not Reported"/>
    <s v="BRCA2 Mutation"/>
    <s v="T010"/>
    <x v="3"/>
    <x v="2"/>
    <s v="7/8/2023"/>
    <s v="4/8/2024"/>
    <s v="100mg"/>
    <s v="Fatigue"/>
    <s v="TR0031"/>
    <s v="100mg"/>
    <x v="2"/>
    <s v="Fatigue"/>
    <n v="126"/>
    <n v="0"/>
    <s v="BRCA1"/>
    <s v="Negative"/>
    <n v="2.21"/>
    <n v="2.04"/>
    <n v="2.8"/>
    <n v="7"/>
    <n v="8.8000000000000007"/>
    <n v="100"/>
    <n v="100"/>
  </r>
  <r>
    <s v="P391"/>
    <n v="65"/>
    <s v="Male"/>
    <s v="Caucasian"/>
    <s v="Heart Disease"/>
    <s v="EGFR Mutation"/>
    <s v="T006"/>
    <x v="1"/>
    <x v="2"/>
    <s v="3/3/2021"/>
    <s v="12/3/2021"/>
    <s v="50mg"/>
    <s v="Dizziness"/>
    <s v="TR0107"/>
    <s v="50mg"/>
    <x v="0"/>
    <s v="Fatigue"/>
    <n v="150"/>
    <n v="1"/>
    <s v="BRCA2"/>
    <s v="Negative"/>
    <n v="2.08"/>
    <n v="4.87"/>
    <n v="6"/>
    <n v="12.3"/>
    <n v="12.9"/>
    <n v="50"/>
    <n v="50"/>
  </r>
  <r>
    <s v="P392"/>
    <n v="78"/>
    <s v="Female"/>
    <s v="African American"/>
    <s v="Asthma"/>
    <s v="Not Reported"/>
    <s v="T001"/>
    <x v="0"/>
    <x v="1"/>
    <s v="1/21/2020"/>
    <s v="7/21/2020"/>
    <s v="100mg"/>
    <s v="Fatigue, Nausea, Dizziness"/>
    <s v="TR0109"/>
    <s v="100mg"/>
    <x v="2"/>
    <s v="Headache"/>
    <n v="171"/>
    <n v="0"/>
    <s v="TP53"/>
    <s v="Negative"/>
    <n v="1.56"/>
    <n v="2.78"/>
    <n v="6.6"/>
    <n v="14.8"/>
    <n v="9.8000000000000007"/>
    <n v="100"/>
    <n v="100"/>
  </r>
  <r>
    <s v="P393"/>
    <n v="47"/>
    <s v="Female"/>
    <s v="Asian"/>
    <s v="Not Reported"/>
    <s v="Not Reported"/>
    <s v="T017"/>
    <x v="3"/>
    <x v="2"/>
    <s v="7/20/2020"/>
    <s v="1/20/2021"/>
    <s v="100mg"/>
    <s v="Fatigue, Nausea"/>
    <s v="TR0178"/>
    <s v="100mg"/>
    <x v="1"/>
    <s v="Headache"/>
    <n v="110"/>
    <n v="0"/>
    <s v="HER2"/>
    <s v="Negative"/>
    <n v="4.9800000000000004"/>
    <n v="4.5199999999999996"/>
    <n v="6.6"/>
    <n v="16.2"/>
    <n v="13.6"/>
    <n v="100"/>
    <n v="100"/>
  </r>
  <r>
    <s v="P394"/>
    <n v="39"/>
    <s v="Male"/>
    <s v="African American"/>
    <s v="Asthma"/>
    <s v="BRCA1 Mutation"/>
    <s v="T004"/>
    <x v="1"/>
    <x v="3"/>
    <s v="6/1/2023"/>
    <s v="3/1/2024"/>
    <s v="150mg"/>
    <s v="Dizziness"/>
    <s v="TR0028"/>
    <s v="150mg"/>
    <x v="0"/>
    <s v="Fatigue"/>
    <n v="32"/>
    <n v="1"/>
    <s v="TP53"/>
    <s v="Positive"/>
    <n v="1.81"/>
    <n v="2.58"/>
    <n v="1.4"/>
    <n v="14.6"/>
    <n v="12.2"/>
    <n v="150"/>
    <n v="150"/>
  </r>
  <r>
    <s v="P395"/>
    <n v="43"/>
    <s v="Other"/>
    <s v="Caucasian"/>
    <s v="Diabetes"/>
    <s v="EGFR Mutation"/>
    <s v="T019"/>
    <x v="1"/>
    <x v="0"/>
    <s v="1/11/2019"/>
    <s v="8/11/2019"/>
    <s v="150mg"/>
    <s v="Not Reported"/>
    <s v="TR0193"/>
    <s v="150mg"/>
    <x v="1"/>
    <s v="Headache"/>
    <n v="158"/>
    <n v="0"/>
    <s v="BRCA2"/>
    <s v="Negative"/>
    <n v="1.91"/>
    <n v="4.8600000000000003"/>
    <n v="9.1999999999999993"/>
    <n v="19"/>
    <n v="12.1"/>
    <n v="150"/>
    <n v="150"/>
  </r>
  <r>
    <s v="P396"/>
    <n v="68"/>
    <s v="Other"/>
    <s v="African American"/>
    <s v="Diabetes"/>
    <s v="Not Reported"/>
    <s v="T004"/>
    <x v="0"/>
    <x v="0"/>
    <s v="2/17/2023"/>
    <s v="8/17/2024"/>
    <s v="100mg"/>
    <s v="Dizziness"/>
    <s v="TR0098"/>
    <s v="100mg"/>
    <x v="1"/>
    <s v="Dizziness"/>
    <n v="39"/>
    <n v="0"/>
    <s v="TP53"/>
    <s v="Positive"/>
    <n v="4.4800000000000004"/>
    <n v="1.52"/>
    <n v="8.1"/>
    <n v="8.1999999999999993"/>
    <n v="16.5"/>
    <n v="100"/>
    <n v="100"/>
  </r>
  <r>
    <s v="P397"/>
    <n v="37"/>
    <s v="Other"/>
    <s v="Hispanic"/>
    <s v="Hypertension"/>
    <s v="Not Reported"/>
    <s v="T003"/>
    <x v="2"/>
    <x v="2"/>
    <s v="12/6/2020"/>
    <s v="2/6/2022"/>
    <s v="150mg"/>
    <s v="Fatigue, Not Reported"/>
    <s v="TR0075"/>
    <s v="150mg"/>
    <x v="1"/>
    <s v="Dizziness"/>
    <n v="140"/>
    <n v="0"/>
    <s v="BRCA1"/>
    <s v="Negative"/>
    <n v="2.1"/>
    <n v="4.51"/>
    <n v="9.5"/>
    <n v="8.6999999999999993"/>
    <n v="10.9"/>
    <n v="150"/>
    <n v="150"/>
  </r>
  <r>
    <s v="P398"/>
    <n v="48"/>
    <s v="Male"/>
    <s v="Other"/>
    <s v="Heart Disease"/>
    <s v="BRCA2 Mutation"/>
    <s v="T019"/>
    <x v="3"/>
    <x v="1"/>
    <s v="3/25/2019"/>
    <s v="1/25/2020"/>
    <s v="50mg"/>
    <s v="Nausea, Headache"/>
    <s v="TR0081"/>
    <s v="50mg"/>
    <x v="0"/>
    <s v="Not Reported"/>
    <n v="71"/>
    <n v="1"/>
    <s v="BRCA1"/>
    <s v="Negative"/>
    <n v="4.92"/>
    <n v="2.93"/>
    <n v="8.8000000000000007"/>
    <n v="16.600000000000001"/>
    <n v="9.4"/>
    <n v="50"/>
    <n v="50"/>
  </r>
  <r>
    <s v="P399"/>
    <n v="64"/>
    <s v="Female"/>
    <s v="Caucasian"/>
    <s v="Hypertension"/>
    <s v="HER2 Mutation"/>
    <s v="T009"/>
    <x v="3"/>
    <x v="3"/>
    <s v="11/5/2022"/>
    <s v="6/5/2023"/>
    <s v="200mg"/>
    <s v="Not Reported"/>
    <s v="TR0074"/>
    <s v="200mg"/>
    <x v="1"/>
    <s v="Headache"/>
    <n v="63"/>
    <n v="0"/>
    <s v="HER2"/>
    <s v="Negative"/>
    <n v="2.14"/>
    <n v="1.81"/>
    <n v="7.9"/>
    <n v="13"/>
    <n v="11.7"/>
    <n v="200"/>
    <n v="200"/>
  </r>
  <r>
    <s v="P400"/>
    <n v="83"/>
    <s v="Other"/>
    <s v="African American"/>
    <s v="Not Reported"/>
    <s v="HER2 Mutation"/>
    <s v="T017"/>
    <x v="3"/>
    <x v="3"/>
    <s v="10/21/2019"/>
    <s v="4/21/2020"/>
    <s v="100mg"/>
    <s v="Dizziness, Nausea, Headache"/>
    <s v="TR0027"/>
    <s v="100mg"/>
    <x v="1"/>
    <s v="Headache"/>
    <n v="70"/>
    <n v="0"/>
    <s v="EGFR"/>
    <s v="Negative"/>
    <n v="2.97"/>
    <n v="3.31"/>
    <n v="8.8000000000000007"/>
    <n v="23.7"/>
    <n v="9.9"/>
    <n v="100"/>
    <n v="100"/>
  </r>
  <r>
    <s v="P401"/>
    <n v="27"/>
    <s v="Male"/>
    <s v="Hispanic"/>
    <s v="Asthma"/>
    <s v="Not Reported"/>
    <s v="T012"/>
    <x v="3"/>
    <x v="0"/>
    <s v="8/4/2023"/>
    <s v="3/4/2024"/>
    <s v="100mg"/>
    <s v="Nausea, Headache, Fatigue"/>
    <s v="TR0052"/>
    <s v="100mg"/>
    <x v="1"/>
    <s v="Not Reported"/>
    <n v="46"/>
    <n v="0"/>
    <s v="TP53"/>
    <s v="Negative"/>
    <n v="4.3099999999999996"/>
    <n v="4.0599999999999996"/>
    <n v="6.2"/>
    <n v="23.2"/>
    <n v="6.4"/>
    <n v="100"/>
    <n v="100"/>
  </r>
  <r>
    <s v="P402"/>
    <n v="80"/>
    <s v="Male"/>
    <s v="Hispanic"/>
    <s v="Hypertension"/>
    <s v="BRCA1 Mutation"/>
    <s v="T018"/>
    <x v="2"/>
    <x v="0"/>
    <s v="11/7/2020"/>
    <s v="10/7/2021"/>
    <s v="50mg"/>
    <s v="Headache, Nausea, Fatigue"/>
    <s v="TR0111"/>
    <s v="50mg"/>
    <x v="1"/>
    <s v="Fatigue"/>
    <n v="43"/>
    <n v="0"/>
    <s v="BRCA2"/>
    <s v="Positive"/>
    <n v="1.44"/>
    <n v="4.42"/>
    <n v="5"/>
    <n v="21.2"/>
    <n v="18.2"/>
    <n v="50"/>
    <n v="50"/>
  </r>
  <r>
    <s v="P403"/>
    <n v="72"/>
    <s v="Female"/>
    <s v="African American"/>
    <s v="Diabetes"/>
    <s v="BRCA1 Mutation"/>
    <s v="T009"/>
    <x v="3"/>
    <x v="1"/>
    <s v="12/15/2021"/>
    <s v="12/15/2022"/>
    <s v="100mg"/>
    <s v="Not Reported, Fatigue, Nausea"/>
    <s v="TR0024"/>
    <s v="100mg"/>
    <x v="1"/>
    <s v="Not Reported"/>
    <n v="106"/>
    <n v="0"/>
    <s v="BRCA2"/>
    <s v="Positive"/>
    <n v="1.25"/>
    <n v="4.53"/>
    <n v="5"/>
    <n v="15.2"/>
    <n v="13.7"/>
    <n v="100"/>
    <n v="100"/>
  </r>
  <r>
    <s v="P404"/>
    <n v="62"/>
    <s v="Female"/>
    <s v="Hispanic"/>
    <s v="Asthma"/>
    <s v="Not Reported"/>
    <s v="T006"/>
    <x v="3"/>
    <x v="3"/>
    <s v="7/27/2023"/>
    <s v="1/27/2024"/>
    <s v="100mg"/>
    <s v="Dizziness"/>
    <s v="TR0158"/>
    <s v="100mg"/>
    <x v="0"/>
    <s v="Not Reported"/>
    <n v="111"/>
    <n v="1"/>
    <s v="BRCA1"/>
    <s v="Positive"/>
    <n v="4.71"/>
    <n v="1.08"/>
    <n v="5.3"/>
    <n v="18.399999999999999"/>
    <n v="15.3"/>
    <n v="100"/>
    <n v="100"/>
  </r>
  <r>
    <s v="P405"/>
    <n v="76"/>
    <s v="Male"/>
    <s v="Hispanic"/>
    <s v="Not Reported"/>
    <s v="HER2 Mutation"/>
    <s v="T009"/>
    <x v="1"/>
    <x v="0"/>
    <s v="11/15/2020"/>
    <s v="3/15/2022"/>
    <s v="50mg"/>
    <s v="Fatigue"/>
    <s v="TR0191"/>
    <s v="50mg"/>
    <x v="0"/>
    <s v="Headache"/>
    <n v="169"/>
    <n v="1"/>
    <s v="BRCA2"/>
    <s v="Negative"/>
    <n v="3.77"/>
    <n v="1.54"/>
    <n v="3.7"/>
    <n v="12.5"/>
    <n v="16.7"/>
    <n v="50"/>
    <n v="50"/>
  </r>
  <r>
    <s v="P406"/>
    <n v="45"/>
    <s v="Female"/>
    <s v="Asian"/>
    <s v="Diabetes"/>
    <s v="Not Reported"/>
    <s v="T019"/>
    <x v="1"/>
    <x v="3"/>
    <s v="1/10/2021"/>
    <s v="11/10/2021"/>
    <s v="50mg"/>
    <s v="Headache, Dizziness, Fatigue"/>
    <s v="TR0106"/>
    <s v="50mg"/>
    <x v="1"/>
    <s v="Not Reported"/>
    <n v="168"/>
    <n v="0"/>
    <s v="HER2"/>
    <s v="Negative"/>
    <n v="2.12"/>
    <n v="1.84"/>
    <n v="9.6"/>
    <n v="6.2"/>
    <n v="20"/>
    <n v="50"/>
    <n v="50"/>
  </r>
  <r>
    <s v="P407"/>
    <n v="32"/>
    <s v="Male"/>
    <s v="Hispanic"/>
    <s v="Asthma"/>
    <s v="EGFR Mutation"/>
    <s v="T020"/>
    <x v="2"/>
    <x v="0"/>
    <s v="5/28/2022"/>
    <s v="9/28/2023"/>
    <s v="200mg"/>
    <s v="Not Reported, Nausea, Headache"/>
    <s v="TR0027"/>
    <s v="200mg"/>
    <x v="0"/>
    <s v="Nausea"/>
    <n v="135"/>
    <n v="1"/>
    <s v="BRCA1"/>
    <s v="Negative"/>
    <n v="3.71"/>
    <n v="4.3099999999999996"/>
    <n v="3.7"/>
    <n v="6.3"/>
    <n v="15.5"/>
    <n v="200"/>
    <n v="200"/>
  </r>
  <r>
    <s v="P408"/>
    <n v="30"/>
    <s v="Other"/>
    <s v="Hispanic"/>
    <s v="Heart Disease"/>
    <s v="Not Reported"/>
    <s v="T002"/>
    <x v="0"/>
    <x v="0"/>
    <s v="4/25/2020"/>
    <s v="5/25/2021"/>
    <s v="200mg"/>
    <s v="Fatigue"/>
    <s v="TR0121"/>
    <s v="200mg"/>
    <x v="0"/>
    <s v="Not Reported"/>
    <n v="148"/>
    <n v="1"/>
    <s v="HER2"/>
    <s v="Negative"/>
    <n v="4.34"/>
    <n v="3.96"/>
    <n v="2.2999999999999998"/>
    <n v="19.600000000000001"/>
    <n v="16.100000000000001"/>
    <n v="200"/>
    <n v="200"/>
  </r>
  <r>
    <s v="P409"/>
    <n v="18"/>
    <s v="Female"/>
    <s v="Asian"/>
    <s v="Heart Disease"/>
    <s v="TP53 Mutation"/>
    <s v="T010"/>
    <x v="3"/>
    <x v="2"/>
    <s v="7/2/2019"/>
    <s v="1/2/2020"/>
    <s v="50mg"/>
    <s v="Not Reported"/>
    <s v="TR0133"/>
    <s v="50mg"/>
    <x v="2"/>
    <s v="Dizziness"/>
    <n v="111"/>
    <n v="0"/>
    <s v="TP53"/>
    <s v="Positive"/>
    <n v="3.63"/>
    <n v="4.0599999999999996"/>
    <n v="8.6"/>
    <n v="17"/>
    <n v="4.5"/>
    <n v="50"/>
    <n v="50"/>
  </r>
  <r>
    <s v="P410"/>
    <n v="73"/>
    <s v="Male"/>
    <s v="Other"/>
    <s v="Asthma"/>
    <s v="HER2 Mutation"/>
    <s v="T002"/>
    <x v="3"/>
    <x v="2"/>
    <s v="12/6/2022"/>
    <s v="12/6/2023"/>
    <s v="150mg"/>
    <s v="Fatigue, Headache, Nausea"/>
    <s v="TR0026"/>
    <s v="150mg"/>
    <x v="2"/>
    <s v="Fatigue"/>
    <n v="159"/>
    <n v="0"/>
    <s v="BRCA1"/>
    <s v="Negative"/>
    <n v="2.95"/>
    <n v="1.31"/>
    <n v="4.7"/>
    <n v="13.3"/>
    <n v="4.0999999999999996"/>
    <n v="150"/>
    <n v="150"/>
  </r>
  <r>
    <s v="P411"/>
    <n v="51"/>
    <s v="Other"/>
    <s v="Asian"/>
    <s v="Not Reported"/>
    <s v="BRCA1 Mutation"/>
    <s v="T001"/>
    <x v="3"/>
    <x v="1"/>
    <s v="3/1/2023"/>
    <s v="6/1/2024"/>
    <s v="50mg"/>
    <s v="Headache, Nausea, Not Reported"/>
    <s v="TR0188"/>
    <s v="50mg"/>
    <x v="0"/>
    <s v="Headache"/>
    <n v="121"/>
    <n v="1"/>
    <s v="BRCA2"/>
    <s v="Positive"/>
    <n v="2.4"/>
    <n v="1.44"/>
    <n v="8.3000000000000007"/>
    <n v="23.1"/>
    <n v="4.2"/>
    <n v="50"/>
    <n v="50"/>
  </r>
  <r>
    <s v="P412"/>
    <n v="46"/>
    <s v="Female"/>
    <s v="Asian"/>
    <s v="Heart Disease"/>
    <s v="Not Reported"/>
    <s v="T013"/>
    <x v="0"/>
    <x v="1"/>
    <s v="2/5/2021"/>
    <s v="6/5/2022"/>
    <s v="50mg"/>
    <s v="Dizziness, Nausea, Headache"/>
    <s v="TR0118"/>
    <s v="50mg"/>
    <x v="2"/>
    <s v="Nausea"/>
    <n v="57"/>
    <n v="0"/>
    <s v="BRCA2"/>
    <s v="Negative"/>
    <n v="4.82"/>
    <n v="3.09"/>
    <n v="3.7"/>
    <n v="7.4"/>
    <n v="11.5"/>
    <n v="50"/>
    <n v="50"/>
  </r>
  <r>
    <s v="P413"/>
    <n v="51"/>
    <s v="Male"/>
    <s v="Caucasian"/>
    <s v="Hypertension"/>
    <s v="TP53 Mutation"/>
    <s v="T007"/>
    <x v="3"/>
    <x v="1"/>
    <s v="1/14/2022"/>
    <s v="8/14/2022"/>
    <s v="200mg"/>
    <s v="Nausea, Fatigue, Not Reported"/>
    <s v="TR0108"/>
    <s v="200mg"/>
    <x v="1"/>
    <s v="Not Reported"/>
    <n v="145"/>
    <n v="0"/>
    <s v="BRCA2"/>
    <s v="Positive"/>
    <n v="4.18"/>
    <n v="3.83"/>
    <n v="1.5"/>
    <n v="7.3"/>
    <n v="9.8000000000000007"/>
    <n v="200"/>
    <n v="200"/>
  </r>
  <r>
    <s v="P414"/>
    <n v="56"/>
    <s v="Male"/>
    <s v="Asian"/>
    <s v="Heart Disease"/>
    <s v="Not Reported"/>
    <s v="T002"/>
    <x v="1"/>
    <x v="3"/>
    <s v="8/20/2021"/>
    <s v="11/20/2022"/>
    <s v="50mg"/>
    <s v="Dizziness"/>
    <s v="TR0190"/>
    <s v="50mg"/>
    <x v="1"/>
    <s v="Nausea"/>
    <n v="79"/>
    <n v="0"/>
    <s v="EGFR"/>
    <s v="Positive"/>
    <n v="2.1800000000000002"/>
    <n v="1.93"/>
    <n v="3.5"/>
    <n v="20.5"/>
    <n v="18.8"/>
    <n v="50"/>
    <n v="50"/>
  </r>
  <r>
    <s v="P415"/>
    <n v="20"/>
    <s v="Other"/>
    <s v="Other"/>
    <s v="Diabetes"/>
    <s v="TP53 Mutation"/>
    <s v="T004"/>
    <x v="2"/>
    <x v="1"/>
    <s v="3/8/2021"/>
    <s v="10/8/2021"/>
    <s v="100mg"/>
    <s v="Not Reported, Headache"/>
    <s v="TR0052"/>
    <s v="100mg"/>
    <x v="0"/>
    <s v="Not Reported"/>
    <n v="171"/>
    <n v="1"/>
    <s v="TP53"/>
    <s v="Negative"/>
    <n v="2.62"/>
    <n v="4.62"/>
    <n v="3.9"/>
    <n v="14.6"/>
    <n v="6.8"/>
    <n v="100"/>
    <n v="100"/>
  </r>
  <r>
    <s v="P416"/>
    <n v="81"/>
    <s v="Female"/>
    <s v="Other"/>
    <s v="Asthma"/>
    <s v="Not Reported"/>
    <s v="T009"/>
    <x v="2"/>
    <x v="2"/>
    <s v="7/4/2021"/>
    <s v="10/4/2022"/>
    <s v="150mg"/>
    <s v="Fatigue"/>
    <s v="TR0185"/>
    <s v="150mg"/>
    <x v="1"/>
    <s v="Headache"/>
    <n v="144"/>
    <n v="0"/>
    <s v="HER2"/>
    <s v="Negative"/>
    <n v="3.56"/>
    <n v="4.92"/>
    <n v="6.4"/>
    <n v="12.4"/>
    <n v="14"/>
    <n v="150"/>
    <n v="150"/>
  </r>
  <r>
    <s v="P417"/>
    <n v="58"/>
    <s v="Other"/>
    <s v="Caucasian"/>
    <s v="Heart Disease"/>
    <s v="BRCA2 Mutation"/>
    <s v="T019"/>
    <x v="0"/>
    <x v="3"/>
    <s v="8/6/2019"/>
    <s v="2/6/2020"/>
    <s v="150mg"/>
    <s v="Headache, Not Reported, Dizziness"/>
    <s v="TR0166"/>
    <s v="150mg"/>
    <x v="2"/>
    <s v="Not Reported"/>
    <n v="131"/>
    <n v="0"/>
    <s v="BRCA1"/>
    <s v="Positive"/>
    <n v="1.49"/>
    <n v="4.55"/>
    <n v="5.5"/>
    <n v="14.1"/>
    <n v="13"/>
    <n v="150"/>
    <n v="150"/>
  </r>
  <r>
    <s v="P418"/>
    <n v="41"/>
    <s v="Female"/>
    <s v="Hispanic"/>
    <s v="Diabetes"/>
    <s v="BRCA1 Mutation"/>
    <s v="T007"/>
    <x v="0"/>
    <x v="3"/>
    <s v="6/4/2020"/>
    <s v="12/4/2020"/>
    <s v="150mg"/>
    <s v="Nausea, Not Reported, Dizziness"/>
    <s v="TR0120"/>
    <s v="150mg"/>
    <x v="2"/>
    <s v="Not Reported"/>
    <n v="89"/>
    <n v="0"/>
    <s v="EGFR"/>
    <s v="Positive"/>
    <n v="3.5"/>
    <n v="1.29"/>
    <n v="7.1"/>
    <n v="10.4"/>
    <n v="15.1"/>
    <n v="150"/>
    <n v="150"/>
  </r>
  <r>
    <s v="P419"/>
    <n v="67"/>
    <s v="Female"/>
    <s v="Other"/>
    <s v="Diabetes"/>
    <s v="Not Reported"/>
    <s v="T004"/>
    <x v="0"/>
    <x v="1"/>
    <s v="11/14/2023"/>
    <s v="3/14/2025"/>
    <s v="200mg"/>
    <s v="Not Reported, Fatigue"/>
    <s v="TR0051"/>
    <s v="200mg"/>
    <x v="0"/>
    <s v="Headache"/>
    <n v="157"/>
    <n v="1"/>
    <s v="BRCA1"/>
    <s v="Negative"/>
    <n v="4.29"/>
    <n v="4.22"/>
    <n v="6"/>
    <n v="15.4"/>
    <n v="5.4"/>
    <n v="200"/>
    <n v="200"/>
  </r>
  <r>
    <s v="P420"/>
    <n v="71"/>
    <s v="Male"/>
    <s v="Caucasian"/>
    <s v="Asthma"/>
    <s v="TP53 Mutation"/>
    <s v="T019"/>
    <x v="3"/>
    <x v="2"/>
    <s v="1/10/2023"/>
    <s v="7/10/2023"/>
    <s v="50mg"/>
    <s v="Not Reported, Fatigue"/>
    <s v="TR0104"/>
    <s v="50mg"/>
    <x v="0"/>
    <s v="Dizziness"/>
    <n v="165"/>
    <n v="1"/>
    <s v="BRCA1"/>
    <s v="Negative"/>
    <n v="4.0999999999999996"/>
    <n v="2.09"/>
    <n v="5.5"/>
    <n v="11.1"/>
    <n v="5.3"/>
    <n v="50"/>
    <n v="50"/>
  </r>
  <r>
    <s v="P421"/>
    <n v="20"/>
    <s v="Male"/>
    <s v="Hispanic"/>
    <s v="Hypertension"/>
    <s v="Not Reported"/>
    <s v="T014"/>
    <x v="0"/>
    <x v="3"/>
    <s v="6/13/2021"/>
    <s v="1/13/2022"/>
    <s v="150mg"/>
    <s v="Dizziness, Nausea"/>
    <s v="TR0101"/>
    <s v="150mg"/>
    <x v="1"/>
    <s v="Headache"/>
    <n v="156"/>
    <n v="0"/>
    <s v="BRCA1"/>
    <s v="Negative"/>
    <n v="3.52"/>
    <n v="1.22"/>
    <n v="7.7"/>
    <n v="11.7"/>
    <n v="3"/>
    <n v="150"/>
    <n v="150"/>
  </r>
  <r>
    <s v="P422"/>
    <n v="31"/>
    <s v="Male"/>
    <s v="Asian"/>
    <s v="Hypertension"/>
    <s v="Not Reported"/>
    <s v="T005"/>
    <x v="1"/>
    <x v="3"/>
    <s v="4/6/2022"/>
    <s v="11/6/2022"/>
    <s v="100mg"/>
    <s v="Not Reported, Nausea, Dizziness"/>
    <s v="TR0014"/>
    <s v="100mg"/>
    <x v="1"/>
    <s v="Nausea"/>
    <n v="58"/>
    <n v="0"/>
    <s v="BRCA1"/>
    <s v="Negative"/>
    <n v="3.04"/>
    <n v="1.19"/>
    <n v="3.5"/>
    <n v="18.7"/>
    <n v="4.0999999999999996"/>
    <n v="100"/>
    <n v="100"/>
  </r>
  <r>
    <s v="P423"/>
    <n v="27"/>
    <s v="Female"/>
    <s v="African American"/>
    <s v="Heart Disease"/>
    <s v="Not Reported"/>
    <s v="T013"/>
    <x v="0"/>
    <x v="2"/>
    <s v="10/15/2020"/>
    <s v="5/15/2021"/>
    <s v="100mg"/>
    <s v="Fatigue, Headache"/>
    <s v="TR0164"/>
    <s v="100mg"/>
    <x v="1"/>
    <s v="Nausea"/>
    <n v="163"/>
    <n v="0"/>
    <s v="EGFR"/>
    <s v="Positive"/>
    <n v="4.3600000000000003"/>
    <n v="1.02"/>
    <n v="3.2"/>
    <n v="19.3"/>
    <n v="8.4"/>
    <n v="100"/>
    <n v="100"/>
  </r>
  <r>
    <s v="P424"/>
    <n v="79"/>
    <s v="Other"/>
    <s v="Hispanic"/>
    <s v="Not Reported"/>
    <s v="HER2 Mutation"/>
    <s v="T008"/>
    <x v="1"/>
    <x v="3"/>
    <s v="12/3/2021"/>
    <s v="11/3/2022"/>
    <s v="100mg"/>
    <s v="Fatigue, Nausea, Headache"/>
    <s v="TR0127"/>
    <s v="100mg"/>
    <x v="0"/>
    <s v="Fatigue"/>
    <n v="33"/>
    <n v="1"/>
    <s v="BRCA2"/>
    <s v="Negative"/>
    <n v="1.41"/>
    <n v="2.44"/>
    <n v="3.4"/>
    <n v="21.2"/>
    <n v="8.3000000000000007"/>
    <n v="100"/>
    <n v="100"/>
  </r>
  <r>
    <s v="P425"/>
    <n v="67"/>
    <s v="Male"/>
    <s v="Hispanic"/>
    <s v="Hypertension"/>
    <s v="EGFR Mutation"/>
    <s v="T017"/>
    <x v="0"/>
    <x v="3"/>
    <s v="11/5/2022"/>
    <s v="1/5/2024"/>
    <s v="50mg"/>
    <s v="Fatigue"/>
    <s v="TR0094"/>
    <s v="50mg"/>
    <x v="1"/>
    <s v="Headache"/>
    <n v="161"/>
    <n v="0"/>
    <s v="BRCA2"/>
    <s v="Negative"/>
    <n v="4.16"/>
    <n v="4.57"/>
    <n v="4.9000000000000004"/>
    <n v="22.4"/>
    <n v="9.4"/>
    <n v="50"/>
    <n v="50"/>
  </r>
  <r>
    <s v="P426"/>
    <n v="42"/>
    <s v="Male"/>
    <s v="African American"/>
    <s v="Asthma"/>
    <s v="TP53 Mutation"/>
    <s v="T019"/>
    <x v="1"/>
    <x v="2"/>
    <s v="2/24/2022"/>
    <s v="9/24/2022"/>
    <s v="100mg"/>
    <s v="Headache"/>
    <s v="TR0048"/>
    <s v="100mg"/>
    <x v="1"/>
    <s v="Nausea"/>
    <n v="151"/>
    <n v="0"/>
    <s v="EGFR"/>
    <s v="Negative"/>
    <n v="4.8600000000000003"/>
    <n v="1.36"/>
    <n v="7.2"/>
    <n v="14.9"/>
    <n v="9.6"/>
    <n v="100"/>
    <n v="100"/>
  </r>
  <r>
    <s v="P427"/>
    <n v="63"/>
    <s v="Female"/>
    <s v="Caucasian"/>
    <s v="Heart Disease"/>
    <s v="HER2 Mutation"/>
    <s v="T007"/>
    <x v="2"/>
    <x v="0"/>
    <s v="7/17/2023"/>
    <s v="6/17/2024"/>
    <s v="50mg"/>
    <s v="Not Reported, Dizziness"/>
    <s v="TR0026"/>
    <s v="50mg"/>
    <x v="0"/>
    <s v="Headache"/>
    <n v="138"/>
    <n v="1"/>
    <s v="BRCA2"/>
    <s v="Negative"/>
    <n v="3.53"/>
    <n v="3.82"/>
    <n v="1"/>
    <n v="9"/>
    <n v="15.1"/>
    <n v="50"/>
    <n v="50"/>
  </r>
  <r>
    <s v="P428"/>
    <n v="42"/>
    <s v="Female"/>
    <s v="Asian"/>
    <s v="Heart Disease"/>
    <s v="EGFR Mutation"/>
    <s v="T016"/>
    <x v="3"/>
    <x v="1"/>
    <s v="11/8/2019"/>
    <s v="6/8/2020"/>
    <s v="100mg"/>
    <s v="Nausea"/>
    <s v="TR0010"/>
    <s v="100mg"/>
    <x v="2"/>
    <s v="Not Reported"/>
    <n v="91"/>
    <n v="0"/>
    <s v="BRCA1"/>
    <s v="Positive"/>
    <n v="3.67"/>
    <n v="4.8600000000000003"/>
    <n v="7.8"/>
    <n v="23.1"/>
    <n v="14.9"/>
    <n v="100"/>
    <n v="100"/>
  </r>
  <r>
    <s v="P429"/>
    <n v="53"/>
    <s v="Male"/>
    <s v="Other"/>
    <s v="Asthma"/>
    <s v="BRCA1 Mutation"/>
    <s v="T008"/>
    <x v="0"/>
    <x v="0"/>
    <s v="3/26/2020"/>
    <s v="12/26/2020"/>
    <s v="150mg"/>
    <s v="Not Reported, Dizziness, Headache"/>
    <s v="TR0001"/>
    <s v="150mg"/>
    <x v="0"/>
    <s v="Fatigue"/>
    <n v="158"/>
    <n v="1"/>
    <s v="EGFR"/>
    <s v="Negative"/>
    <n v="2.19"/>
    <n v="1.42"/>
    <n v="8"/>
    <n v="17.600000000000001"/>
    <n v="3.8"/>
    <n v="150"/>
    <n v="150"/>
  </r>
  <r>
    <s v="P430"/>
    <n v="57"/>
    <s v="Other"/>
    <s v="Asian"/>
    <s v="Diabetes"/>
    <s v="BRCA1 Mutation"/>
    <s v="T006"/>
    <x v="2"/>
    <x v="3"/>
    <s v="3/1/2022"/>
    <s v="7/1/2023"/>
    <s v="200mg"/>
    <s v="Not Reported, Nausea"/>
    <s v="TR0046"/>
    <s v="200mg"/>
    <x v="1"/>
    <s v="Nausea"/>
    <n v="73"/>
    <n v="0"/>
    <s v="BRCA1"/>
    <s v="Negative"/>
    <n v="2.44"/>
    <n v="4.83"/>
    <n v="5.5"/>
    <n v="13.8"/>
    <n v="10.8"/>
    <n v="200"/>
    <n v="200"/>
  </r>
  <r>
    <s v="P431"/>
    <n v="78"/>
    <s v="Other"/>
    <s v="Caucasian"/>
    <s v="Asthma"/>
    <s v="Not Reported"/>
    <s v="T016"/>
    <x v="1"/>
    <x v="1"/>
    <s v="10/22/2019"/>
    <s v="8/22/2020"/>
    <s v="100mg"/>
    <s v="Dizziness, Fatigue, Nausea"/>
    <s v="TR0199"/>
    <s v="100mg"/>
    <x v="0"/>
    <s v="Nausea"/>
    <n v="107"/>
    <n v="1"/>
    <s v="TP53"/>
    <s v="Negative"/>
    <n v="1.84"/>
    <n v="2.4700000000000002"/>
    <n v="4.3"/>
    <n v="6.9"/>
    <n v="16"/>
    <n v="100"/>
    <n v="100"/>
  </r>
  <r>
    <s v="P432"/>
    <n v="80"/>
    <s v="Other"/>
    <s v="African American"/>
    <s v="Heart Disease"/>
    <s v="HER2 Mutation"/>
    <s v="T009"/>
    <x v="0"/>
    <x v="0"/>
    <s v="6/10/2019"/>
    <s v="11/10/2020"/>
    <s v="150mg"/>
    <s v="Dizziness, Headache, Nausea"/>
    <s v="TR0070"/>
    <s v="150mg"/>
    <x v="2"/>
    <s v="Dizziness"/>
    <n v="35"/>
    <n v="0"/>
    <s v="BRCA2"/>
    <s v="Negative"/>
    <n v="2.67"/>
    <n v="4.29"/>
    <n v="8.6999999999999993"/>
    <n v="9.8000000000000007"/>
    <n v="14.2"/>
    <n v="150"/>
    <n v="150"/>
  </r>
  <r>
    <s v="P433"/>
    <n v="46"/>
    <s v="Other"/>
    <s v="Asian"/>
    <s v="Not Reported"/>
    <s v="BRCA2 Mutation"/>
    <s v="T019"/>
    <x v="3"/>
    <x v="3"/>
    <s v="12/3/2020"/>
    <s v="9/3/2021"/>
    <s v="200mg"/>
    <s v="Nausea, Not Reported, Headache"/>
    <s v="TR0174"/>
    <s v="200mg"/>
    <x v="2"/>
    <s v="Headache"/>
    <n v="164"/>
    <n v="0"/>
    <s v="BRCA2"/>
    <s v="Negative"/>
    <n v="2.89"/>
    <n v="4.5199999999999996"/>
    <n v="2.9"/>
    <n v="18.2"/>
    <n v="13.3"/>
    <n v="200"/>
    <n v="200"/>
  </r>
  <r>
    <s v="P434"/>
    <n v="62"/>
    <s v="Female"/>
    <s v="Hispanic"/>
    <s v="Heart Disease"/>
    <s v="TP53 Mutation"/>
    <s v="T010"/>
    <x v="2"/>
    <x v="1"/>
    <s v="9/23/2023"/>
    <s v="8/23/2024"/>
    <s v="50mg"/>
    <s v="Headache, Not Reported"/>
    <s v="TR0074"/>
    <s v="50mg"/>
    <x v="0"/>
    <s v="Nausea"/>
    <n v="157"/>
    <n v="1"/>
    <s v="BRCA2"/>
    <s v="Negative"/>
    <n v="2.1800000000000002"/>
    <n v="1.55"/>
    <n v="6.9"/>
    <n v="19.3"/>
    <n v="8.4"/>
    <n v="50"/>
    <n v="50"/>
  </r>
  <r>
    <s v="P435"/>
    <n v="37"/>
    <s v="Other"/>
    <s v="African American"/>
    <s v="Heart Disease"/>
    <s v="Not Reported"/>
    <s v="T006"/>
    <x v="0"/>
    <x v="0"/>
    <s v="2/26/2021"/>
    <s v="12/26/2021"/>
    <s v="50mg"/>
    <s v="Nausea, Fatigue"/>
    <s v="TR0073"/>
    <s v="50mg"/>
    <x v="2"/>
    <s v="Nausea"/>
    <n v="43"/>
    <n v="0"/>
    <s v="HER2"/>
    <s v="Negative"/>
    <n v="3.58"/>
    <n v="2.58"/>
    <n v="7.4"/>
    <n v="9.6"/>
    <n v="18.100000000000001"/>
    <n v="50"/>
    <n v="50"/>
  </r>
  <r>
    <s v="P436"/>
    <n v="18"/>
    <s v="Female"/>
    <s v="African American"/>
    <s v="Hypertension"/>
    <s v="BRCA2 Mutation"/>
    <s v="T012"/>
    <x v="0"/>
    <x v="2"/>
    <s v="12/9/2019"/>
    <s v="8/9/2020"/>
    <s v="100mg"/>
    <s v="Dizziness, Nausea"/>
    <s v="TR0075"/>
    <s v="100mg"/>
    <x v="0"/>
    <s v="Nausea"/>
    <n v="151"/>
    <n v="1"/>
    <s v="TP53"/>
    <s v="Positive"/>
    <n v="2.15"/>
    <n v="2.4700000000000002"/>
    <n v="1.5"/>
    <n v="8"/>
    <n v="11.8"/>
    <n v="100"/>
    <n v="100"/>
  </r>
  <r>
    <s v="P437"/>
    <n v="67"/>
    <s v="Female"/>
    <s v="Hispanic"/>
    <s v="Hypertension"/>
    <s v="Not Reported"/>
    <s v="T010"/>
    <x v="0"/>
    <x v="2"/>
    <s v="7/22/2023"/>
    <s v="6/22/2024"/>
    <s v="100mg"/>
    <s v="Fatigue, Not Reported, Nausea"/>
    <s v="TR0107"/>
    <s v="100mg"/>
    <x v="2"/>
    <s v="Fatigue"/>
    <n v="107"/>
    <n v="0"/>
    <s v="TP53"/>
    <s v="Positive"/>
    <n v="2.0699999999999998"/>
    <n v="4.34"/>
    <n v="1.1000000000000001"/>
    <n v="12.8"/>
    <n v="8.6999999999999993"/>
    <n v="100"/>
    <n v="100"/>
  </r>
  <r>
    <s v="P438"/>
    <n v="56"/>
    <s v="Other"/>
    <s v="Hispanic"/>
    <s v="Heart Disease"/>
    <s v="HER2 Mutation"/>
    <s v="T004"/>
    <x v="2"/>
    <x v="0"/>
    <s v="9/22/2021"/>
    <s v="2/22/2023"/>
    <s v="150mg"/>
    <s v="Not Reported, Headache"/>
    <s v="TR0120"/>
    <s v="150mg"/>
    <x v="1"/>
    <s v="Headache"/>
    <n v="148"/>
    <n v="0"/>
    <s v="BRCA1"/>
    <s v="Positive"/>
    <n v="1.08"/>
    <n v="1.5"/>
    <n v="4.7"/>
    <n v="14.9"/>
    <n v="9.9"/>
    <n v="150"/>
    <n v="150"/>
  </r>
  <r>
    <s v="P439"/>
    <n v="71"/>
    <s v="Male"/>
    <s v="Asian"/>
    <s v="Heart Disease"/>
    <s v="Not Reported"/>
    <s v="T008"/>
    <x v="0"/>
    <x v="2"/>
    <s v="9/19/2023"/>
    <s v="7/19/2024"/>
    <s v="50mg"/>
    <s v="Fatigue, Headache"/>
    <s v="TR0172"/>
    <s v="50mg"/>
    <x v="0"/>
    <s v="Headache"/>
    <n v="162"/>
    <n v="1"/>
    <s v="HER2"/>
    <s v="Positive"/>
    <n v="3.12"/>
    <n v="3.38"/>
    <n v="1.1000000000000001"/>
    <n v="14.4"/>
    <n v="19.399999999999999"/>
    <n v="50"/>
    <n v="50"/>
  </r>
  <r>
    <s v="P440"/>
    <n v="28"/>
    <s v="Male"/>
    <s v="African American"/>
    <s v="Hypertension"/>
    <s v="BRCA1 Mutation"/>
    <s v="T010"/>
    <x v="3"/>
    <x v="3"/>
    <s v="2/24/2019"/>
    <s v="5/24/2020"/>
    <s v="50mg"/>
    <s v="Fatigue, Dizziness, Not Reported"/>
    <s v="TR0190"/>
    <s v="50mg"/>
    <x v="1"/>
    <s v="Fatigue"/>
    <n v="87"/>
    <n v="0"/>
    <s v="BRCA2"/>
    <s v="Negative"/>
    <n v="3.08"/>
    <n v="3.71"/>
    <n v="3.8"/>
    <n v="19.899999999999999"/>
    <n v="16.100000000000001"/>
    <n v="50"/>
    <n v="50"/>
  </r>
  <r>
    <s v="P441"/>
    <n v="57"/>
    <s v="Other"/>
    <s v="Caucasian"/>
    <s v="Asthma"/>
    <s v="Not Reported"/>
    <s v="T007"/>
    <x v="1"/>
    <x v="1"/>
    <s v="3/20/2019"/>
    <s v="10/20/2019"/>
    <s v="50mg"/>
    <s v="Fatigue"/>
    <s v="TR0027"/>
    <s v="50mg"/>
    <x v="1"/>
    <s v="Nausea"/>
    <n v="159"/>
    <n v="0"/>
    <s v="HER2"/>
    <s v="Negative"/>
    <n v="3.09"/>
    <n v="4.9000000000000004"/>
    <n v="2.1"/>
    <n v="6.3"/>
    <n v="16.100000000000001"/>
    <n v="50"/>
    <n v="50"/>
  </r>
  <r>
    <s v="P442"/>
    <n v="25"/>
    <s v="Male"/>
    <s v="African American"/>
    <s v="Asthma"/>
    <s v="BRCA2 Mutation"/>
    <s v="T008"/>
    <x v="0"/>
    <x v="0"/>
    <s v="2/14/2023"/>
    <s v="10/14/2023"/>
    <s v="50mg"/>
    <s v="Fatigue"/>
    <s v="TR0191"/>
    <s v="50mg"/>
    <x v="2"/>
    <s v="Fatigue"/>
    <n v="73"/>
    <n v="0"/>
    <s v="EGFR"/>
    <s v="Positive"/>
    <n v="4.2300000000000004"/>
    <n v="1.48"/>
    <n v="3.4"/>
    <n v="6.3"/>
    <n v="8"/>
    <n v="50"/>
    <n v="50"/>
  </r>
  <r>
    <s v="P443"/>
    <n v="78"/>
    <s v="Female"/>
    <s v="African American"/>
    <s v="Not Reported"/>
    <s v="Not Reported"/>
    <s v="T019"/>
    <x v="3"/>
    <x v="3"/>
    <s v="7/13/2021"/>
    <s v="12/13/2022"/>
    <s v="50mg"/>
    <s v="Headache, Dizziness"/>
    <s v="TR0038"/>
    <s v="50mg"/>
    <x v="0"/>
    <s v="Not Reported"/>
    <n v="147"/>
    <n v="1"/>
    <s v="BRCA1"/>
    <s v="Negative"/>
    <n v="4.09"/>
    <n v="3.07"/>
    <n v="4.0999999999999996"/>
    <n v="12.7"/>
    <n v="3"/>
    <n v="50"/>
    <n v="50"/>
  </r>
  <r>
    <s v="P444"/>
    <n v="19"/>
    <s v="Other"/>
    <s v="African American"/>
    <s v="Hypertension"/>
    <s v="Not Reported"/>
    <s v="T020"/>
    <x v="3"/>
    <x v="1"/>
    <s v="3/15/2021"/>
    <s v="8/15/2022"/>
    <s v="200mg"/>
    <s v="Nausea, Fatigue"/>
    <s v="TR0092"/>
    <s v="200mg"/>
    <x v="2"/>
    <s v="Dizziness"/>
    <n v="83"/>
    <n v="0"/>
    <s v="TP53"/>
    <s v="Negative"/>
    <n v="2.2000000000000002"/>
    <n v="3.59"/>
    <n v="9.8000000000000007"/>
    <n v="21.2"/>
    <n v="3.4"/>
    <n v="200"/>
    <n v="200"/>
  </r>
  <r>
    <s v="P445"/>
    <n v="83"/>
    <s v="Male"/>
    <s v="Asian"/>
    <s v="Diabetes"/>
    <s v="EGFR Mutation"/>
    <s v="T011"/>
    <x v="3"/>
    <x v="2"/>
    <s v="11/10/2021"/>
    <s v="11/10/2022"/>
    <s v="50mg"/>
    <s v="Headache, Dizziness, Fatigue"/>
    <s v="TR0156"/>
    <s v="50mg"/>
    <x v="2"/>
    <s v="Fatigue"/>
    <n v="177"/>
    <n v="0"/>
    <s v="EGFR"/>
    <s v="Negative"/>
    <n v="4.59"/>
    <n v="4.13"/>
    <n v="8"/>
    <n v="14.2"/>
    <n v="9.8000000000000007"/>
    <n v="50"/>
    <n v="50"/>
  </r>
  <r>
    <s v="P446"/>
    <n v="34"/>
    <s v="Other"/>
    <s v="African American"/>
    <s v="Heart Disease"/>
    <s v="Not Reported"/>
    <s v="T012"/>
    <x v="3"/>
    <x v="1"/>
    <s v="1/28/2019"/>
    <s v="6/28/2020"/>
    <s v="100mg"/>
    <s v="Nausea"/>
    <s v="TR0171"/>
    <s v="100mg"/>
    <x v="0"/>
    <s v="Headache"/>
    <n v="151"/>
    <n v="1"/>
    <s v="TP53"/>
    <s v="Positive"/>
    <n v="2.21"/>
    <n v="1.26"/>
    <n v="3.1"/>
    <n v="10.4"/>
    <n v="11.2"/>
    <n v="100"/>
    <n v="100"/>
  </r>
  <r>
    <s v="P447"/>
    <n v="48"/>
    <s v="Male"/>
    <s v="Asian"/>
    <s v="Asthma"/>
    <s v="Not Reported"/>
    <s v="T014"/>
    <x v="1"/>
    <x v="1"/>
    <s v="5/4/2023"/>
    <s v="11/4/2023"/>
    <s v="50mg"/>
    <s v="Not Reported, Nausea"/>
    <s v="TR0045"/>
    <s v="50mg"/>
    <x v="1"/>
    <s v="Nausea"/>
    <n v="145"/>
    <n v="0"/>
    <s v="HER2"/>
    <s v="Positive"/>
    <n v="3.99"/>
    <n v="2.9"/>
    <n v="1.5"/>
    <n v="23.2"/>
    <n v="19"/>
    <n v="50"/>
    <n v="50"/>
  </r>
  <r>
    <s v="P448"/>
    <n v="43"/>
    <s v="Male"/>
    <s v="African American"/>
    <s v="Asthma"/>
    <s v="TP53 Mutation"/>
    <s v="T008"/>
    <x v="2"/>
    <x v="2"/>
    <s v="9/26/2022"/>
    <s v="3/26/2024"/>
    <s v="100mg"/>
    <s v="Dizziness"/>
    <s v="TR0007"/>
    <s v="100mg"/>
    <x v="2"/>
    <s v="Nausea"/>
    <n v="82"/>
    <n v="0"/>
    <s v="BRCA1"/>
    <s v="Positive"/>
    <n v="4.1399999999999997"/>
    <n v="4.97"/>
    <n v="5.9"/>
    <n v="23.3"/>
    <n v="4.3"/>
    <n v="100"/>
    <n v="100"/>
  </r>
  <r>
    <s v="P449"/>
    <n v="18"/>
    <s v="Female"/>
    <s v="Hispanic"/>
    <s v="Heart Disease"/>
    <s v="Not Reported"/>
    <s v="T003"/>
    <x v="0"/>
    <x v="2"/>
    <s v="8/7/2023"/>
    <s v="5/7/2024"/>
    <s v="200mg"/>
    <s v="Not Reported, Dizziness, Headache"/>
    <s v="TR0144"/>
    <s v="200mg"/>
    <x v="0"/>
    <s v="Nausea"/>
    <n v="142"/>
    <n v="1"/>
    <s v="HER2"/>
    <s v="Negative"/>
    <n v="2.46"/>
    <n v="1.9"/>
    <n v="2.8"/>
    <n v="8.5"/>
    <n v="13.6"/>
    <n v="200"/>
    <n v="200"/>
  </r>
  <r>
    <s v="P450"/>
    <n v="27"/>
    <s v="Other"/>
    <s v="Caucasian"/>
    <s v="Diabetes"/>
    <s v="Not Reported"/>
    <s v="T010"/>
    <x v="1"/>
    <x v="1"/>
    <s v="4/2/2022"/>
    <s v="7/2/2023"/>
    <s v="150mg"/>
    <s v="Fatigue"/>
    <s v="TR0075"/>
    <s v="150mg"/>
    <x v="1"/>
    <s v="Headache"/>
    <n v="121"/>
    <n v="0"/>
    <s v="BRCA1"/>
    <s v="Positive"/>
    <n v="4.13"/>
    <n v="3.31"/>
    <n v="2.2999999999999998"/>
    <n v="20.6"/>
    <n v="13.8"/>
    <n v="150"/>
    <n v="150"/>
  </r>
  <r>
    <s v="P451"/>
    <n v="54"/>
    <s v="Male"/>
    <s v="Other"/>
    <s v="Heart Disease"/>
    <s v="EGFR Mutation"/>
    <s v="T020"/>
    <x v="0"/>
    <x v="0"/>
    <s v="1/18/2023"/>
    <s v="6/18/2024"/>
    <s v="50mg"/>
    <s v="Headache, Not Reported, Dizziness"/>
    <s v="TR0008"/>
    <s v="50mg"/>
    <x v="0"/>
    <s v="Not Reported"/>
    <n v="137"/>
    <n v="1"/>
    <s v="TP53"/>
    <s v="Positive"/>
    <n v="2.5499999999999998"/>
    <n v="3.7"/>
    <n v="3.3"/>
    <n v="12.2"/>
    <n v="18.600000000000001"/>
    <n v="50"/>
    <n v="50"/>
  </r>
  <r>
    <s v="P452"/>
    <n v="60"/>
    <s v="Male"/>
    <s v="Asian"/>
    <s v="Diabetes"/>
    <s v="Not Reported"/>
    <s v="T011"/>
    <x v="1"/>
    <x v="2"/>
    <s v="2/26/2022"/>
    <s v="5/26/2023"/>
    <s v="50mg"/>
    <s v="Nausea, Headache"/>
    <s v="TR0154"/>
    <s v="50mg"/>
    <x v="2"/>
    <s v="Dizziness"/>
    <n v="50"/>
    <n v="0"/>
    <s v="EGFR"/>
    <s v="Negative"/>
    <n v="2.16"/>
    <n v="2.88"/>
    <n v="9"/>
    <n v="18.7"/>
    <n v="4.0999999999999996"/>
    <n v="50"/>
    <n v="50"/>
  </r>
  <r>
    <s v="P453"/>
    <n v="34"/>
    <s v="Female"/>
    <s v="Caucasian"/>
    <s v="Hypertension"/>
    <s v="EGFR Mutation"/>
    <s v="T008"/>
    <x v="0"/>
    <x v="0"/>
    <s v="5/26/2022"/>
    <s v="2/26/2023"/>
    <s v="50mg"/>
    <s v="Nausea"/>
    <s v="TR0199"/>
    <s v="50mg"/>
    <x v="0"/>
    <s v="Dizziness"/>
    <n v="127"/>
    <n v="1"/>
    <s v="BRCA1"/>
    <s v="Negative"/>
    <n v="1.59"/>
    <n v="1.03"/>
    <n v="6.7"/>
    <n v="14.1"/>
    <n v="5.3"/>
    <n v="50"/>
    <n v="50"/>
  </r>
  <r>
    <s v="P454"/>
    <n v="24"/>
    <s v="Female"/>
    <s v="Hispanic"/>
    <s v="Diabetes"/>
    <s v="HER2 Mutation"/>
    <s v="T018"/>
    <x v="2"/>
    <x v="1"/>
    <s v="2/20/2022"/>
    <s v="1/20/2023"/>
    <s v="150mg"/>
    <s v="Not Reported"/>
    <s v="TR0112"/>
    <s v="150mg"/>
    <x v="0"/>
    <s v="Fatigue"/>
    <n v="89"/>
    <n v="1"/>
    <s v="BRCA1"/>
    <s v="Positive"/>
    <n v="4.83"/>
    <n v="3.12"/>
    <n v="3.2"/>
    <n v="15"/>
    <n v="14.6"/>
    <n v="150"/>
    <n v="150"/>
  </r>
  <r>
    <s v="P455"/>
    <n v="47"/>
    <s v="Female"/>
    <s v="Other"/>
    <s v="Heart Disease"/>
    <s v="BRCA1 Mutation"/>
    <s v="T008"/>
    <x v="1"/>
    <x v="1"/>
    <s v="3/15/2019"/>
    <s v="11/15/2019"/>
    <s v="150mg"/>
    <s v="Not Reported"/>
    <s v="TR0090"/>
    <s v="150mg"/>
    <x v="2"/>
    <s v="Fatigue"/>
    <n v="104"/>
    <n v="0"/>
    <s v="BRCA2"/>
    <s v="Negative"/>
    <n v="1.3"/>
    <n v="2.1"/>
    <n v="8.3000000000000007"/>
    <n v="14.3"/>
    <n v="12.3"/>
    <n v="150"/>
    <n v="150"/>
  </r>
  <r>
    <s v="P456"/>
    <n v="79"/>
    <s v="Other"/>
    <s v="Caucasian"/>
    <s v="Hypertension"/>
    <s v="EGFR Mutation"/>
    <s v="T007"/>
    <x v="3"/>
    <x v="3"/>
    <s v="8/23/2020"/>
    <s v="6/23/2021"/>
    <s v="150mg"/>
    <s v="Not Reported, Fatigue, Dizziness"/>
    <s v="TR0069"/>
    <s v="150mg"/>
    <x v="1"/>
    <s v="Dizziness"/>
    <n v="158"/>
    <n v="0"/>
    <s v="BRCA1"/>
    <s v="Positive"/>
    <n v="2.73"/>
    <n v="1.18"/>
    <n v="2.5"/>
    <n v="14"/>
    <n v="6.6"/>
    <n v="150"/>
    <n v="150"/>
  </r>
  <r>
    <s v="P457"/>
    <n v="62"/>
    <s v="Female"/>
    <s v="Other"/>
    <s v="Asthma"/>
    <s v="BRCA2 Mutation"/>
    <s v="T005"/>
    <x v="2"/>
    <x v="3"/>
    <s v="4/4/2023"/>
    <s v="3/4/2024"/>
    <s v="100mg"/>
    <s v="Fatigue"/>
    <s v="TR0179"/>
    <s v="100mg"/>
    <x v="1"/>
    <s v="Headache"/>
    <n v="59"/>
    <n v="0"/>
    <s v="BRCA1"/>
    <s v="Negative"/>
    <n v="1.2"/>
    <n v="4.37"/>
    <n v="9.8000000000000007"/>
    <n v="20.3"/>
    <n v="17.5"/>
    <n v="100"/>
    <n v="100"/>
  </r>
  <r>
    <s v="P458"/>
    <n v="22"/>
    <s v="Female"/>
    <s v="African American"/>
    <s v="Heart Disease"/>
    <s v="BRCA1 Mutation"/>
    <s v="T002"/>
    <x v="0"/>
    <x v="0"/>
    <s v="1/28/2022"/>
    <s v="1/28/2023"/>
    <s v="200mg"/>
    <s v="Nausea, Fatigue"/>
    <s v="TR0053"/>
    <s v="200mg"/>
    <x v="1"/>
    <s v="Fatigue"/>
    <n v="140"/>
    <n v="0"/>
    <s v="EGFR"/>
    <s v="Positive"/>
    <n v="1.97"/>
    <n v="4.84"/>
    <n v="2.8"/>
    <n v="23.1"/>
    <n v="19.899999999999999"/>
    <n v="200"/>
    <n v="200"/>
  </r>
  <r>
    <s v="P459"/>
    <n v="57"/>
    <s v="Male"/>
    <s v="Other"/>
    <s v="Not Reported"/>
    <s v="Not Reported"/>
    <s v="T020"/>
    <x v="0"/>
    <x v="3"/>
    <s v="4/25/2023"/>
    <s v="10/25/2023"/>
    <s v="150mg"/>
    <s v="Dizziness, Headache, Fatigue"/>
    <s v="TR0187"/>
    <s v="150mg"/>
    <x v="2"/>
    <s v="Nausea"/>
    <n v="57"/>
    <n v="0"/>
    <s v="EGFR"/>
    <s v="Negative"/>
    <n v="3.85"/>
    <n v="4.92"/>
    <n v="6.1"/>
    <n v="10.7"/>
    <n v="10.4"/>
    <n v="150"/>
    <n v="150"/>
  </r>
  <r>
    <s v="P460"/>
    <n v="54"/>
    <s v="Other"/>
    <s v="Hispanic"/>
    <s v="Asthma"/>
    <s v="Not Reported"/>
    <s v="T019"/>
    <x v="0"/>
    <x v="2"/>
    <s v="8/24/2022"/>
    <s v="5/24/2023"/>
    <s v="100mg"/>
    <s v="Not Reported"/>
    <s v="TR0175"/>
    <s v="100mg"/>
    <x v="1"/>
    <s v="Nausea"/>
    <n v="93"/>
    <n v="0"/>
    <s v="EGFR"/>
    <s v="Negative"/>
    <n v="3.37"/>
    <n v="1.29"/>
    <n v="6.6"/>
    <n v="23.7"/>
    <n v="6.2"/>
    <n v="100"/>
    <n v="100"/>
  </r>
  <r>
    <s v="P461"/>
    <n v="61"/>
    <s v="Other"/>
    <s v="Hispanic"/>
    <s v="Hypertension"/>
    <s v="Not Reported"/>
    <s v="T012"/>
    <x v="0"/>
    <x v="3"/>
    <s v="1/4/2023"/>
    <s v="11/4/2023"/>
    <s v="150mg"/>
    <s v="Fatigue, Headache"/>
    <s v="TR0119"/>
    <s v="150mg"/>
    <x v="0"/>
    <s v="Headache"/>
    <n v="32"/>
    <n v="1"/>
    <s v="HER2"/>
    <s v="Positive"/>
    <n v="4.17"/>
    <n v="4.63"/>
    <n v="9.5"/>
    <n v="23.3"/>
    <n v="11.9"/>
    <n v="150"/>
    <n v="150"/>
  </r>
  <r>
    <s v="P462"/>
    <n v="63"/>
    <s v="Female"/>
    <s v="Other"/>
    <s v="Diabetes"/>
    <s v="EGFR Mutation"/>
    <s v="T003"/>
    <x v="0"/>
    <x v="3"/>
    <s v="8/6/2019"/>
    <s v="6/6/2020"/>
    <s v="150mg"/>
    <s v="Headache, Fatigue"/>
    <s v="TR0059"/>
    <s v="150mg"/>
    <x v="2"/>
    <s v="Fatigue"/>
    <n v="67"/>
    <n v="0"/>
    <s v="EGFR"/>
    <s v="Positive"/>
    <n v="4.91"/>
    <n v="4.03"/>
    <n v="2.5"/>
    <n v="14.6"/>
    <n v="15.2"/>
    <n v="150"/>
    <n v="150"/>
  </r>
  <r>
    <s v="P463"/>
    <n v="47"/>
    <s v="Male"/>
    <s v="Caucasian"/>
    <s v="Diabetes"/>
    <s v="Not Reported"/>
    <s v="T015"/>
    <x v="0"/>
    <x v="1"/>
    <s v="12/8/2023"/>
    <s v="6/8/2024"/>
    <s v="150mg"/>
    <s v="Nausea, Not Reported"/>
    <s v="TR0139"/>
    <s v="150mg"/>
    <x v="2"/>
    <s v="Nausea"/>
    <n v="90"/>
    <n v="0"/>
    <s v="TP53"/>
    <s v="Positive"/>
    <n v="1.99"/>
    <n v="3.56"/>
    <n v="7"/>
    <n v="8.9"/>
    <n v="12.6"/>
    <n v="150"/>
    <n v="150"/>
  </r>
  <r>
    <s v="P464"/>
    <n v="27"/>
    <s v="Other"/>
    <s v="Hispanic"/>
    <s v="Hypertension"/>
    <s v="Not Reported"/>
    <s v="T008"/>
    <x v="2"/>
    <x v="3"/>
    <s v="6/27/2023"/>
    <s v="10/27/2024"/>
    <s v="200mg"/>
    <s v="Headache"/>
    <s v="TR0073"/>
    <s v="200mg"/>
    <x v="0"/>
    <s v="Nausea"/>
    <n v="113"/>
    <n v="1"/>
    <s v="EGFR"/>
    <s v="Negative"/>
    <n v="4.09"/>
    <n v="3"/>
    <n v="1.1000000000000001"/>
    <n v="6.2"/>
    <n v="9.1"/>
    <n v="200"/>
    <n v="200"/>
  </r>
  <r>
    <s v="P465"/>
    <n v="60"/>
    <s v="Female"/>
    <s v="African American"/>
    <s v="Asthma"/>
    <s v="Not Reported"/>
    <s v="T010"/>
    <x v="1"/>
    <x v="2"/>
    <s v="1/10/2021"/>
    <s v="9/10/2021"/>
    <s v="50mg"/>
    <s v="Dizziness"/>
    <s v="TR0055"/>
    <s v="50mg"/>
    <x v="1"/>
    <s v="Dizziness"/>
    <n v="160"/>
    <n v="0"/>
    <s v="EGFR"/>
    <s v="Negative"/>
    <n v="4.7"/>
    <n v="1.91"/>
    <n v="6.7"/>
    <n v="10"/>
    <n v="8.5"/>
    <n v="50"/>
    <n v="50"/>
  </r>
  <r>
    <s v="P466"/>
    <n v="45"/>
    <s v="Female"/>
    <s v="Other"/>
    <s v="Hypertension"/>
    <s v="Not Reported"/>
    <s v="T005"/>
    <x v="3"/>
    <x v="1"/>
    <s v="4/19/2019"/>
    <s v="6/19/2020"/>
    <s v="200mg"/>
    <s v="Nausea, Dizziness, Not Reported"/>
    <s v="TR0121"/>
    <s v="200mg"/>
    <x v="2"/>
    <s v="Dizziness"/>
    <n v="163"/>
    <n v="0"/>
    <s v="HER2"/>
    <s v="Negative"/>
    <n v="4.3899999999999997"/>
    <n v="3.92"/>
    <n v="1.9"/>
    <n v="13.7"/>
    <n v="3.5"/>
    <n v="200"/>
    <n v="200"/>
  </r>
  <r>
    <s v="P467"/>
    <n v="52"/>
    <s v="Male"/>
    <s v="Other"/>
    <s v="Not Reported"/>
    <s v="Not Reported"/>
    <s v="T011"/>
    <x v="2"/>
    <x v="3"/>
    <s v="8/11/2020"/>
    <s v="1/11/2022"/>
    <s v="50mg"/>
    <s v="Fatigue, Headache, Not Reported"/>
    <s v="TR0105"/>
    <s v="50mg"/>
    <x v="1"/>
    <s v="Nausea"/>
    <n v="120"/>
    <n v="0"/>
    <s v="EGFR"/>
    <s v="Positive"/>
    <n v="2.92"/>
    <n v="3.65"/>
    <n v="2.1"/>
    <n v="11.2"/>
    <n v="9.8000000000000007"/>
    <n v="50"/>
    <n v="50"/>
  </r>
  <r>
    <s v="P468"/>
    <n v="64"/>
    <s v="Other"/>
    <s v="Hispanic"/>
    <s v="Heart Disease"/>
    <s v="HER2 Mutation"/>
    <s v="T008"/>
    <x v="2"/>
    <x v="2"/>
    <s v="11/19/2022"/>
    <s v="3/19/2024"/>
    <s v="100mg"/>
    <s v="Not Reported, Dizziness, Fatigue"/>
    <s v="TR0081"/>
    <s v="100mg"/>
    <x v="0"/>
    <s v="Nausea"/>
    <n v="134"/>
    <n v="1"/>
    <s v="HER2"/>
    <s v="Positive"/>
    <n v="4.68"/>
    <n v="4.97"/>
    <n v="1.4"/>
    <n v="19.7"/>
    <n v="9.3000000000000007"/>
    <n v="100"/>
    <n v="100"/>
  </r>
  <r>
    <s v="P469"/>
    <n v="81"/>
    <s v="Other"/>
    <s v="Asian"/>
    <s v="Diabetes"/>
    <s v="Not Reported"/>
    <s v="T001"/>
    <x v="2"/>
    <x v="1"/>
    <s v="5/25/2022"/>
    <s v="7/25/2023"/>
    <s v="200mg"/>
    <s v="Nausea, Fatigue, Dizziness"/>
    <s v="TR0111"/>
    <s v="200mg"/>
    <x v="0"/>
    <s v="Fatigue"/>
    <n v="48"/>
    <n v="1"/>
    <s v="BRCA2"/>
    <s v="Negative"/>
    <n v="2.57"/>
    <n v="4.0199999999999996"/>
    <n v="9.3000000000000007"/>
    <n v="23.1"/>
    <n v="12.8"/>
    <n v="200"/>
    <n v="200"/>
  </r>
  <r>
    <s v="P470"/>
    <n v="72"/>
    <s v="Female"/>
    <s v="Asian"/>
    <s v="Asthma"/>
    <s v="Not Reported"/>
    <s v="T008"/>
    <x v="0"/>
    <x v="1"/>
    <s v="6/19/2021"/>
    <s v="9/19/2022"/>
    <s v="50mg"/>
    <s v="Nausea, Dizziness, Not Reported"/>
    <s v="TR0091"/>
    <s v="50mg"/>
    <x v="1"/>
    <s v="Headache"/>
    <n v="145"/>
    <n v="0"/>
    <s v="HER2"/>
    <s v="Negative"/>
    <n v="2.4300000000000002"/>
    <n v="4.1500000000000004"/>
    <n v="3.3"/>
    <n v="16.2"/>
    <n v="9.1"/>
    <n v="50"/>
    <n v="50"/>
  </r>
  <r>
    <s v="P471"/>
    <n v="79"/>
    <s v="Other"/>
    <s v="Asian"/>
    <s v="Diabetes"/>
    <s v="Not Reported"/>
    <s v="T019"/>
    <x v="1"/>
    <x v="2"/>
    <s v="10/19/2019"/>
    <s v="9/19/2020"/>
    <s v="200mg"/>
    <s v="Not Reported, Headache"/>
    <s v="TR0046"/>
    <s v="200mg"/>
    <x v="2"/>
    <s v="Dizziness"/>
    <n v="101"/>
    <n v="0"/>
    <s v="BRCA1"/>
    <s v="Positive"/>
    <n v="3.63"/>
    <n v="1.96"/>
    <n v="2.7"/>
    <n v="22.5"/>
    <n v="4.7"/>
    <n v="200"/>
    <n v="200"/>
  </r>
  <r>
    <s v="P472"/>
    <n v="56"/>
    <s v="Female"/>
    <s v="African American"/>
    <s v="Hypertension"/>
    <s v="Not Reported"/>
    <s v="T017"/>
    <x v="3"/>
    <x v="3"/>
    <s v="7/11/2021"/>
    <s v="1/11/2023"/>
    <s v="100mg"/>
    <s v="Nausea"/>
    <s v="TR0189"/>
    <s v="100mg"/>
    <x v="2"/>
    <s v="Fatigue"/>
    <n v="140"/>
    <n v="0"/>
    <s v="EGFR"/>
    <s v="Negative"/>
    <n v="3.02"/>
    <n v="1.88"/>
    <n v="1.4"/>
    <n v="6.6"/>
    <n v="6"/>
    <n v="100"/>
    <n v="100"/>
  </r>
  <r>
    <s v="P473"/>
    <n v="58"/>
    <s v="Male"/>
    <s v="African American"/>
    <s v="Not Reported"/>
    <s v="TP53 Mutation"/>
    <s v="T009"/>
    <x v="3"/>
    <x v="0"/>
    <s v="3/10/2020"/>
    <s v="1/10/2021"/>
    <s v="50mg"/>
    <s v="Not Reported"/>
    <s v="TR0037"/>
    <s v="50mg"/>
    <x v="0"/>
    <s v="Fatigue"/>
    <n v="171"/>
    <n v="1"/>
    <s v="EGFR"/>
    <s v="Positive"/>
    <n v="4.47"/>
    <n v="2.13"/>
    <n v="9.6"/>
    <n v="16.5"/>
    <n v="10.4"/>
    <n v="50"/>
    <n v="50"/>
  </r>
  <r>
    <s v="P474"/>
    <n v="21"/>
    <s v="Other"/>
    <s v="Caucasian"/>
    <s v="Heart Disease"/>
    <s v="Not Reported"/>
    <s v="T007"/>
    <x v="1"/>
    <x v="0"/>
    <s v="6/7/2019"/>
    <s v="4/7/2020"/>
    <s v="200mg"/>
    <s v="Headache, Fatigue, Dizziness"/>
    <s v="TR0076"/>
    <s v="200mg"/>
    <x v="0"/>
    <s v="Nausea"/>
    <n v="143"/>
    <n v="1"/>
    <s v="HER2"/>
    <s v="Negative"/>
    <n v="3.32"/>
    <n v="3.07"/>
    <n v="7.8"/>
    <n v="11.1"/>
    <n v="9"/>
    <n v="200"/>
    <n v="200"/>
  </r>
  <r>
    <s v="P475"/>
    <n v="51"/>
    <s v="Male"/>
    <s v="Asian"/>
    <s v="Not Reported"/>
    <s v="Not Reported"/>
    <s v="T004"/>
    <x v="0"/>
    <x v="1"/>
    <s v="12/3/2020"/>
    <s v="11/3/2021"/>
    <s v="100mg"/>
    <s v="Not Reported, Dizziness, Fatigue"/>
    <s v="TR0162"/>
    <s v="100mg"/>
    <x v="2"/>
    <s v="Dizziness"/>
    <n v="48"/>
    <n v="0"/>
    <s v="TP53"/>
    <s v="Positive"/>
    <n v="4.58"/>
    <n v="4.79"/>
    <n v="9"/>
    <n v="13.6"/>
    <n v="16.3"/>
    <n v="100"/>
    <n v="100"/>
  </r>
  <r>
    <s v="P476"/>
    <n v="73"/>
    <s v="Male"/>
    <s v="Other"/>
    <s v="Not Reported"/>
    <s v="EGFR Mutation"/>
    <s v="T002"/>
    <x v="1"/>
    <x v="2"/>
    <s v="10/13/2020"/>
    <s v="7/13/2021"/>
    <s v="100mg"/>
    <s v="Headache, Fatigue"/>
    <s v="TR0125"/>
    <s v="100mg"/>
    <x v="0"/>
    <s v="Headache"/>
    <n v="102"/>
    <n v="1"/>
    <s v="BRCA2"/>
    <s v="Positive"/>
    <n v="2.91"/>
    <n v="2.99"/>
    <n v="2.8"/>
    <n v="16.600000000000001"/>
    <n v="6.2"/>
    <n v="100"/>
    <n v="100"/>
  </r>
  <r>
    <s v="P477"/>
    <n v="29"/>
    <s v="Other"/>
    <s v="Asian"/>
    <s v="Hypertension"/>
    <s v="HER2 Mutation"/>
    <s v="T018"/>
    <x v="2"/>
    <x v="2"/>
    <s v="7/23/2019"/>
    <s v="5/23/2020"/>
    <s v="200mg"/>
    <s v="Dizziness, Fatigue, Not Reported"/>
    <s v="TR0090"/>
    <s v="200mg"/>
    <x v="1"/>
    <s v="Dizziness"/>
    <n v="76"/>
    <n v="0"/>
    <s v="TP53"/>
    <s v="Positive"/>
    <n v="2.33"/>
    <n v="4.42"/>
    <n v="2.9"/>
    <n v="7.3"/>
    <n v="4.2"/>
    <n v="200"/>
    <n v="200"/>
  </r>
  <r>
    <s v="P478"/>
    <n v="55"/>
    <s v="Other"/>
    <s v="Hispanic"/>
    <s v="Asthma"/>
    <s v="Not Reported"/>
    <s v="T013"/>
    <x v="0"/>
    <x v="0"/>
    <s v="2/8/2021"/>
    <s v="9/8/2021"/>
    <s v="150mg"/>
    <s v="Headache, Not Reported"/>
    <s v="TR0064"/>
    <s v="150mg"/>
    <x v="2"/>
    <s v="Headache"/>
    <n v="59"/>
    <n v="0"/>
    <s v="BRCA2"/>
    <s v="Negative"/>
    <n v="4.76"/>
    <n v="3.03"/>
    <n v="4.7"/>
    <n v="20.6"/>
    <n v="17.2"/>
    <n v="150"/>
    <n v="150"/>
  </r>
  <r>
    <s v="P479"/>
    <n v="58"/>
    <s v="Other"/>
    <s v="Caucasian"/>
    <s v="Not Reported"/>
    <s v="Not Reported"/>
    <s v="T005"/>
    <x v="3"/>
    <x v="0"/>
    <s v="7/22/2023"/>
    <s v="4/22/2024"/>
    <s v="50mg"/>
    <s v="Not Reported, Fatigue"/>
    <s v="TR0105"/>
    <s v="50mg"/>
    <x v="0"/>
    <s v="Dizziness"/>
    <n v="112"/>
    <n v="1"/>
    <s v="TP53"/>
    <s v="Negative"/>
    <n v="2.33"/>
    <n v="3.77"/>
    <n v="7.9"/>
    <n v="17.8"/>
    <n v="5.6"/>
    <n v="50"/>
    <n v="50"/>
  </r>
  <r>
    <s v="P480"/>
    <n v="70"/>
    <s v="Female"/>
    <s v="Hispanic"/>
    <s v="Asthma"/>
    <s v="BRCA1 Mutation"/>
    <s v="T009"/>
    <x v="3"/>
    <x v="2"/>
    <s v="11/27/2021"/>
    <s v="5/27/2022"/>
    <s v="150mg"/>
    <s v="Headache, Fatigue"/>
    <s v="TR0147"/>
    <s v="150mg"/>
    <x v="0"/>
    <s v="Dizziness"/>
    <n v="82"/>
    <n v="1"/>
    <s v="BRCA1"/>
    <s v="Negative"/>
    <n v="4.5"/>
    <n v="3.16"/>
    <n v="3.5"/>
    <n v="13.7"/>
    <n v="3.6"/>
    <n v="150"/>
    <n v="150"/>
  </r>
  <r>
    <s v="P481"/>
    <n v="34"/>
    <s v="Other"/>
    <s v="Other"/>
    <s v="Hypertension"/>
    <s v="Not Reported"/>
    <s v="T001"/>
    <x v="3"/>
    <x v="1"/>
    <s v="6/25/2021"/>
    <s v="12/25/2022"/>
    <s v="50mg"/>
    <s v="Nausea, Fatigue, Headache"/>
    <s v="TR0138"/>
    <s v="50mg"/>
    <x v="0"/>
    <s v="Fatigue"/>
    <n v="167"/>
    <n v="1"/>
    <s v="HER2"/>
    <s v="Positive"/>
    <n v="1.51"/>
    <n v="4.0599999999999996"/>
    <n v="1"/>
    <n v="13.5"/>
    <n v="11.9"/>
    <n v="50"/>
    <n v="50"/>
  </r>
  <r>
    <s v="P482"/>
    <n v="55"/>
    <s v="Male"/>
    <s v="African American"/>
    <s v="Not Reported"/>
    <s v="EGFR Mutation"/>
    <s v="T008"/>
    <x v="1"/>
    <x v="1"/>
    <s v="9/4/2019"/>
    <s v="11/4/2020"/>
    <s v="200mg"/>
    <s v="Nausea, Fatigue"/>
    <s v="TR0073"/>
    <s v="200mg"/>
    <x v="1"/>
    <s v="Nausea"/>
    <n v="88"/>
    <n v="0"/>
    <s v="BRCA2"/>
    <s v="Positive"/>
    <n v="1.22"/>
    <n v="4.8899999999999997"/>
    <n v="3"/>
    <n v="11.5"/>
    <n v="8.1999999999999993"/>
    <n v="200"/>
    <n v="200"/>
  </r>
  <r>
    <s v="P483"/>
    <n v="52"/>
    <s v="Other"/>
    <s v="Caucasian"/>
    <s v="Asthma"/>
    <s v="Not Reported"/>
    <s v="T005"/>
    <x v="0"/>
    <x v="1"/>
    <s v="2/17/2019"/>
    <s v="7/17/2020"/>
    <s v="200mg"/>
    <s v="Nausea"/>
    <s v="TR0191"/>
    <s v="200mg"/>
    <x v="2"/>
    <s v="Dizziness"/>
    <n v="68"/>
    <n v="0"/>
    <s v="BRCA1"/>
    <s v="Negative"/>
    <n v="1.92"/>
    <n v="1.01"/>
    <n v="7.6"/>
    <n v="23.4"/>
    <n v="6.8"/>
    <n v="200"/>
    <n v="200"/>
  </r>
  <r>
    <s v="P484"/>
    <n v="42"/>
    <s v="Other"/>
    <s v="African American"/>
    <s v="Not Reported"/>
    <s v="BRCA1 Mutation"/>
    <s v="T010"/>
    <x v="0"/>
    <x v="0"/>
    <s v="2/9/2020"/>
    <s v="6/9/2021"/>
    <s v="200mg"/>
    <s v="Not Reported, Headache"/>
    <s v="TR0024"/>
    <s v="200mg"/>
    <x v="0"/>
    <s v="Headache"/>
    <n v="173"/>
    <n v="1"/>
    <s v="TP53"/>
    <s v="Negative"/>
    <n v="3.65"/>
    <n v="3.97"/>
    <n v="8.6"/>
    <n v="13.6"/>
    <n v="8.1"/>
    <n v="200"/>
    <n v="200"/>
  </r>
  <r>
    <s v="P485"/>
    <n v="54"/>
    <s v="Other"/>
    <s v="Other"/>
    <s v="Heart Disease"/>
    <s v="BRCA1 Mutation"/>
    <s v="T016"/>
    <x v="3"/>
    <x v="3"/>
    <s v="12/4/2023"/>
    <s v="1/4/2025"/>
    <s v="100mg"/>
    <s v="Nausea, Headache, Dizziness"/>
    <s v="TR0115"/>
    <s v="100mg"/>
    <x v="1"/>
    <s v="Headache"/>
    <n v="174"/>
    <n v="0"/>
    <s v="BRCA1"/>
    <s v="Negative"/>
    <n v="2.2999999999999998"/>
    <n v="3.85"/>
    <n v="8.4"/>
    <n v="9.3000000000000007"/>
    <n v="9.3000000000000007"/>
    <n v="100"/>
    <n v="100"/>
  </r>
  <r>
    <s v="P486"/>
    <n v="60"/>
    <s v="Male"/>
    <s v="Caucasian"/>
    <s v="Hypertension"/>
    <s v="Not Reported"/>
    <s v="T007"/>
    <x v="3"/>
    <x v="2"/>
    <s v="3/13/2019"/>
    <s v="6/13/2020"/>
    <s v="200mg"/>
    <s v="Dizziness, Fatigue, Nausea"/>
    <s v="TR0197"/>
    <s v="200mg"/>
    <x v="1"/>
    <s v="Not Reported"/>
    <n v="135"/>
    <n v="0"/>
    <s v="TP53"/>
    <s v="Negative"/>
    <n v="4.6100000000000003"/>
    <n v="4.2300000000000004"/>
    <n v="9.9"/>
    <n v="19.600000000000001"/>
    <n v="9.6999999999999993"/>
    <n v="200"/>
    <n v="200"/>
  </r>
  <r>
    <s v="P487"/>
    <n v="37"/>
    <s v="Male"/>
    <s v="African American"/>
    <s v="Heart Disease"/>
    <s v="Not Reported"/>
    <s v="T001"/>
    <x v="0"/>
    <x v="2"/>
    <s v="8/18/2023"/>
    <s v="9/18/2024"/>
    <s v="150mg"/>
    <s v="Fatigue, Not Reported, Dizziness"/>
    <s v="TR0182"/>
    <s v="150mg"/>
    <x v="1"/>
    <s v="Dizziness"/>
    <n v="172"/>
    <n v="0"/>
    <s v="BRCA1"/>
    <s v="Positive"/>
    <n v="3.36"/>
    <n v="3.64"/>
    <n v="1.7"/>
    <n v="15.8"/>
    <n v="15.1"/>
    <n v="150"/>
    <n v="150"/>
  </r>
  <r>
    <s v="P488"/>
    <n v="72"/>
    <s v="Other"/>
    <s v="Caucasian"/>
    <s v="Asthma"/>
    <s v="BRCA1 Mutation"/>
    <s v="T006"/>
    <x v="1"/>
    <x v="2"/>
    <s v="8/28/2020"/>
    <s v="3/28/2021"/>
    <s v="50mg"/>
    <s v="Headache, Fatigue"/>
    <s v="TR0161"/>
    <s v="50mg"/>
    <x v="2"/>
    <s v="Headache"/>
    <n v="65"/>
    <n v="0"/>
    <s v="EGFR"/>
    <s v="Negative"/>
    <n v="1.67"/>
    <n v="4.12"/>
    <n v="6.3"/>
    <n v="23.1"/>
    <n v="3.7"/>
    <n v="50"/>
    <n v="50"/>
  </r>
  <r>
    <s v="P489"/>
    <n v="69"/>
    <s v="Male"/>
    <s v="African American"/>
    <s v="Hypertension"/>
    <s v="TP53 Mutation"/>
    <s v="T009"/>
    <x v="0"/>
    <x v="3"/>
    <s v="11/6/2023"/>
    <s v="7/6/2024"/>
    <s v="150mg"/>
    <s v="Fatigue, Not Reported, Headache"/>
    <s v="TR0155"/>
    <s v="150mg"/>
    <x v="1"/>
    <s v="Headache"/>
    <n v="148"/>
    <n v="0"/>
    <s v="BRCA2"/>
    <s v="Negative"/>
    <n v="2.06"/>
    <n v="3.41"/>
    <n v="3.7"/>
    <n v="18.899999999999999"/>
    <n v="15.9"/>
    <n v="150"/>
    <n v="150"/>
  </r>
  <r>
    <s v="P490"/>
    <n v="35"/>
    <s v="Male"/>
    <s v="Other"/>
    <s v="Asthma"/>
    <s v="HER2 Mutation"/>
    <s v="T006"/>
    <x v="2"/>
    <x v="0"/>
    <s v="1/10/2019"/>
    <s v="6/10/2020"/>
    <s v="100mg"/>
    <s v="Nausea"/>
    <s v="TR0138"/>
    <s v="100mg"/>
    <x v="1"/>
    <s v="Not Reported"/>
    <n v="54"/>
    <n v="0"/>
    <s v="BRCA1"/>
    <s v="Negative"/>
    <n v="1.41"/>
    <n v="3.06"/>
    <n v="5.6"/>
    <n v="12.6"/>
    <n v="18.899999999999999"/>
    <n v="100"/>
    <n v="100"/>
  </r>
  <r>
    <s v="P491"/>
    <n v="38"/>
    <s v="Male"/>
    <s v="African American"/>
    <s v="Heart Disease"/>
    <s v="Not Reported"/>
    <s v="T012"/>
    <x v="1"/>
    <x v="2"/>
    <s v="5/27/2021"/>
    <s v="5/27/2022"/>
    <s v="150mg"/>
    <s v="Dizziness, Headache"/>
    <s v="TR0066"/>
    <s v="150mg"/>
    <x v="2"/>
    <s v="Dizziness"/>
    <n v="81"/>
    <n v="0"/>
    <s v="BRCA1"/>
    <s v="Positive"/>
    <n v="4.3099999999999996"/>
    <n v="3.79"/>
    <n v="7.4"/>
    <n v="14.3"/>
    <n v="18.7"/>
    <n v="150"/>
    <n v="150"/>
  </r>
  <r>
    <s v="P492"/>
    <n v="31"/>
    <s v="Other"/>
    <s v="Asian"/>
    <s v="Not Reported"/>
    <s v="EGFR Mutation"/>
    <s v="T004"/>
    <x v="2"/>
    <x v="0"/>
    <s v="10/25/2021"/>
    <s v="1/25/2023"/>
    <s v="150mg"/>
    <s v="Dizziness, Headache, Nausea"/>
    <s v="TR0044"/>
    <s v="150mg"/>
    <x v="0"/>
    <s v="Fatigue"/>
    <n v="85"/>
    <n v="1"/>
    <s v="BRCA1"/>
    <s v="Positive"/>
    <n v="3.78"/>
    <n v="3.92"/>
    <n v="8.8000000000000007"/>
    <n v="10.9"/>
    <n v="16.7"/>
    <n v="150"/>
    <n v="150"/>
  </r>
  <r>
    <s v="P493"/>
    <n v="36"/>
    <s v="Male"/>
    <s v="Hispanic"/>
    <s v="Hypertension"/>
    <s v="BRCA1 Mutation"/>
    <s v="T005"/>
    <x v="3"/>
    <x v="0"/>
    <s v="6/10/2022"/>
    <s v="8/10/2023"/>
    <s v="50mg"/>
    <s v="Dizziness"/>
    <s v="TR0101"/>
    <s v="50mg"/>
    <x v="1"/>
    <s v="Headache"/>
    <n v="151"/>
    <n v="0"/>
    <s v="TP53"/>
    <s v="Negative"/>
    <n v="1.78"/>
    <n v="2.38"/>
    <n v="4"/>
    <n v="23.6"/>
    <n v="17.600000000000001"/>
    <n v="50"/>
    <n v="50"/>
  </r>
  <r>
    <s v="P494"/>
    <n v="84"/>
    <s v="Female"/>
    <s v="Other"/>
    <s v="Hypertension"/>
    <s v="Not Reported"/>
    <s v="T007"/>
    <x v="2"/>
    <x v="3"/>
    <s v="7/18/2020"/>
    <s v="8/18/2021"/>
    <s v="200mg"/>
    <s v="Not Reported, Nausea, Dizziness"/>
    <s v="TR0112"/>
    <s v="200mg"/>
    <x v="2"/>
    <s v="Not Reported"/>
    <n v="75"/>
    <n v="0"/>
    <s v="BRCA1"/>
    <s v="Negative"/>
    <n v="3.8"/>
    <n v="3.91"/>
    <n v="6.1"/>
    <n v="23"/>
    <n v="11.4"/>
    <n v="200"/>
    <n v="200"/>
  </r>
  <r>
    <s v="P495"/>
    <n v="77"/>
    <s v="Other"/>
    <s v="African American"/>
    <s v="Asthma"/>
    <s v="EGFR Mutation"/>
    <s v="T007"/>
    <x v="3"/>
    <x v="3"/>
    <s v="12/1/2020"/>
    <s v="9/1/2021"/>
    <s v="200mg"/>
    <s v="Dizziness, Fatigue"/>
    <s v="TR0002"/>
    <s v="200mg"/>
    <x v="2"/>
    <s v="Not Reported"/>
    <n v="114"/>
    <n v="0"/>
    <s v="BRCA1"/>
    <s v="Negative"/>
    <n v="2.52"/>
    <n v="1.65"/>
    <n v="8.1"/>
    <n v="19.2"/>
    <n v="9.5"/>
    <n v="200"/>
    <n v="200"/>
  </r>
  <r>
    <s v="P496"/>
    <n v="50"/>
    <s v="Other"/>
    <s v="Caucasian"/>
    <s v="Heart Disease"/>
    <s v="TP53 Mutation"/>
    <s v="T016"/>
    <x v="3"/>
    <x v="1"/>
    <s v="5/21/2021"/>
    <s v="11/21/2021"/>
    <s v="50mg"/>
    <s v="Headache, Dizziness, Fatigue"/>
    <s v="TR0045"/>
    <s v="50mg"/>
    <x v="1"/>
    <s v="Dizziness"/>
    <n v="56"/>
    <n v="0"/>
    <s v="BRCA1"/>
    <s v="Negative"/>
    <n v="1.1000000000000001"/>
    <n v="4.3600000000000003"/>
    <n v="1.1000000000000001"/>
    <n v="18.7"/>
    <n v="19.5"/>
    <n v="50"/>
    <n v="50"/>
  </r>
  <r>
    <s v="P497"/>
    <n v="21"/>
    <s v="Other"/>
    <s v="Asian"/>
    <s v="Diabetes"/>
    <s v="Not Reported"/>
    <s v="T005"/>
    <x v="1"/>
    <x v="0"/>
    <s v="1/15/2019"/>
    <s v="5/15/2020"/>
    <s v="50mg"/>
    <s v="Nausea, Not Reported"/>
    <s v="TR0050"/>
    <s v="50mg"/>
    <x v="2"/>
    <s v="Dizziness"/>
    <n v="34"/>
    <n v="0"/>
    <s v="TP53"/>
    <s v="Negative"/>
    <n v="2.75"/>
    <n v="1.94"/>
    <n v="7.3"/>
    <n v="20.7"/>
    <n v="12.3"/>
    <n v="50"/>
    <n v="50"/>
  </r>
  <r>
    <s v="P498"/>
    <n v="39"/>
    <s v="Other"/>
    <s v="African American"/>
    <s v="Heart Disease"/>
    <s v="HER2 Mutation"/>
    <s v="T014"/>
    <x v="1"/>
    <x v="1"/>
    <s v="9/5/2020"/>
    <s v="2/5/2022"/>
    <s v="150mg"/>
    <s v="Fatigue"/>
    <s v="TR0114"/>
    <s v="150mg"/>
    <x v="0"/>
    <s v="Not Reported"/>
    <n v="80"/>
    <n v="1"/>
    <s v="EGFR"/>
    <s v="Negative"/>
    <n v="4.87"/>
    <n v="1.21"/>
    <n v="5.5"/>
    <n v="18.899999999999999"/>
    <n v="17.7"/>
    <n v="150"/>
    <n v="150"/>
  </r>
  <r>
    <s v="P499"/>
    <n v="40"/>
    <s v="Other"/>
    <s v="Caucasian"/>
    <s v="Not Reported"/>
    <s v="TP53 Mutation"/>
    <s v="T004"/>
    <x v="0"/>
    <x v="0"/>
    <s v="12/3/2023"/>
    <s v="3/3/2025"/>
    <s v="200mg"/>
    <s v="Nausea"/>
    <s v="TR0024"/>
    <s v="200mg"/>
    <x v="0"/>
    <s v="Nausea"/>
    <n v="77"/>
    <n v="1"/>
    <s v="TP53"/>
    <s v="Positive"/>
    <n v="1.72"/>
    <n v="4.2"/>
    <n v="6"/>
    <n v="13.1"/>
    <n v="5.2"/>
    <n v="200"/>
    <n v="200"/>
  </r>
  <r>
    <s v="P500"/>
    <n v="39"/>
    <s v="Male"/>
    <s v="Asian"/>
    <s v="Not Reported"/>
    <s v="BRCA2 Mutation"/>
    <s v="T010"/>
    <x v="2"/>
    <x v="2"/>
    <s v="1/13/2021"/>
    <s v="6/13/2022"/>
    <s v="150mg"/>
    <s v="Not Reported"/>
    <s v="TR0036"/>
    <s v="150mg"/>
    <x v="2"/>
    <s v="Not Reported"/>
    <n v="135"/>
    <n v="0"/>
    <s v="BRCA2"/>
    <s v="Positive"/>
    <n v="4.46"/>
    <n v="1.63"/>
    <n v="3.8"/>
    <n v="11.2"/>
    <n v="17.8"/>
    <n v="150"/>
    <n v="150"/>
  </r>
  <r>
    <s v="P501"/>
    <n v="52"/>
    <s v="Male"/>
    <s v="Asian"/>
    <s v="Not Reported"/>
    <s v="HER2 Mutation"/>
    <s v="T009"/>
    <x v="1"/>
    <x v="0"/>
    <s v="10/12/2021"/>
    <s v="9/12/2022"/>
    <s v="200mg"/>
    <s v="Fatigue, Nausea, Not Reported"/>
    <s v="TR0099"/>
    <s v="200mg"/>
    <x v="0"/>
    <s v="Dizziness"/>
    <n v="175"/>
    <n v="1"/>
    <s v="BRCA2"/>
    <s v="Negative"/>
    <n v="3.69"/>
    <n v="4.1900000000000004"/>
    <n v="3.3"/>
    <n v="17.2"/>
    <n v="12.7"/>
    <n v="200"/>
    <n v="200"/>
  </r>
  <r>
    <s v="P502"/>
    <n v="62"/>
    <s v="Other"/>
    <s v="African American"/>
    <s v="Diabetes"/>
    <s v="EGFR Mutation"/>
    <s v="T018"/>
    <x v="0"/>
    <x v="1"/>
    <s v="4/9/2023"/>
    <s v="1/9/2024"/>
    <s v="200mg"/>
    <s v="Nausea, Dizziness"/>
    <s v="TR0133"/>
    <s v="200mg"/>
    <x v="2"/>
    <s v="Fatigue"/>
    <n v="151"/>
    <n v="0"/>
    <s v="BRCA2"/>
    <s v="Negative"/>
    <n v="4.33"/>
    <n v="4.62"/>
    <n v="1.1000000000000001"/>
    <n v="18.100000000000001"/>
    <n v="3.9"/>
    <n v="200"/>
    <n v="200"/>
  </r>
  <r>
    <s v="P503"/>
    <n v="59"/>
    <s v="Female"/>
    <s v="Other"/>
    <s v="Asthma"/>
    <s v="Not Reported"/>
    <s v="T002"/>
    <x v="0"/>
    <x v="1"/>
    <s v="1/6/2021"/>
    <s v="1/6/2022"/>
    <s v="200mg"/>
    <s v="Not Reported, Nausea"/>
    <s v="TR0048"/>
    <s v="200mg"/>
    <x v="1"/>
    <s v="Not Reported"/>
    <n v="71"/>
    <n v="0"/>
    <s v="HER2"/>
    <s v="Positive"/>
    <n v="3.2"/>
    <n v="2.15"/>
    <n v="3.8"/>
    <n v="12.4"/>
    <n v="13.6"/>
    <n v="200"/>
    <n v="200"/>
  </r>
  <r>
    <s v="P504"/>
    <n v="20"/>
    <s v="Female"/>
    <s v="Other"/>
    <s v="Asthma"/>
    <s v="Not Reported"/>
    <s v="T014"/>
    <x v="3"/>
    <x v="0"/>
    <s v="5/24/2020"/>
    <s v="4/24/2021"/>
    <s v="150mg"/>
    <s v="Headache, Not Reported"/>
    <s v="TR0011"/>
    <s v="150mg"/>
    <x v="0"/>
    <s v="Dizziness"/>
    <n v="57"/>
    <n v="1"/>
    <s v="HER2"/>
    <s v="Negative"/>
    <n v="2.34"/>
    <n v="3.93"/>
    <n v="4.5999999999999996"/>
    <n v="7.2"/>
    <n v="16.3"/>
    <n v="150"/>
    <n v="150"/>
  </r>
  <r>
    <s v="P505"/>
    <n v="52"/>
    <s v="Other"/>
    <s v="Hispanic"/>
    <s v="Heart Disease"/>
    <s v="EGFR Mutation"/>
    <s v="T006"/>
    <x v="0"/>
    <x v="2"/>
    <s v="3/5/2023"/>
    <s v="7/5/2024"/>
    <s v="150mg"/>
    <s v="Nausea"/>
    <s v="TR0080"/>
    <s v="150mg"/>
    <x v="0"/>
    <s v="Not Reported"/>
    <n v="147"/>
    <n v="1"/>
    <s v="HER2"/>
    <s v="Positive"/>
    <n v="2.14"/>
    <n v="2.73"/>
    <n v="7.2"/>
    <n v="12"/>
    <n v="4"/>
    <n v="150"/>
    <n v="150"/>
  </r>
  <r>
    <s v="P506"/>
    <n v="76"/>
    <s v="Male"/>
    <s v="Asian"/>
    <s v="Diabetes"/>
    <s v="Not Reported"/>
    <s v="T010"/>
    <x v="0"/>
    <x v="1"/>
    <s v="4/28/2020"/>
    <s v="1/28/2021"/>
    <s v="200mg"/>
    <s v="Fatigue"/>
    <s v="TR0040"/>
    <s v="200mg"/>
    <x v="2"/>
    <s v="Dizziness"/>
    <n v="125"/>
    <n v="0"/>
    <s v="BRCA1"/>
    <s v="Negative"/>
    <n v="2.5"/>
    <n v="4.78"/>
    <n v="6.8"/>
    <n v="18.100000000000001"/>
    <n v="13.7"/>
    <n v="200"/>
    <n v="200"/>
  </r>
  <r>
    <s v="P507"/>
    <n v="38"/>
    <s v="Female"/>
    <s v="Caucasian"/>
    <s v="Asthma"/>
    <s v="Not Reported"/>
    <s v="T013"/>
    <x v="2"/>
    <x v="0"/>
    <s v="8/23/2022"/>
    <s v="5/23/2023"/>
    <s v="50mg"/>
    <s v="Fatigue, Not Reported"/>
    <s v="TR0196"/>
    <s v="50mg"/>
    <x v="0"/>
    <s v="Headache"/>
    <n v="113"/>
    <n v="1"/>
    <s v="TP53"/>
    <s v="Negative"/>
    <n v="1.8"/>
    <n v="2.67"/>
    <n v="7.8"/>
    <n v="7.8"/>
    <n v="7.7"/>
    <n v="50"/>
    <n v="50"/>
  </r>
  <r>
    <s v="P508"/>
    <n v="68"/>
    <s v="Other"/>
    <s v="Caucasian"/>
    <s v="Not Reported"/>
    <s v="EGFR Mutation"/>
    <s v="T001"/>
    <x v="2"/>
    <x v="2"/>
    <s v="6/12/2020"/>
    <s v="5/12/2021"/>
    <s v="50mg"/>
    <s v="Dizziness, Headache, Nausea"/>
    <s v="TR0166"/>
    <s v="50mg"/>
    <x v="0"/>
    <s v="Fatigue"/>
    <n v="157"/>
    <n v="1"/>
    <s v="BRCA2"/>
    <s v="Positive"/>
    <n v="2.11"/>
    <n v="2.73"/>
    <n v="9.8000000000000007"/>
    <n v="7.2"/>
    <n v="11.8"/>
    <n v="50"/>
    <n v="50"/>
  </r>
  <r>
    <s v="P509"/>
    <n v="45"/>
    <s v="Female"/>
    <s v="Hispanic"/>
    <s v="Hypertension"/>
    <s v="BRCA2 Mutation"/>
    <s v="T014"/>
    <x v="2"/>
    <x v="3"/>
    <s v="7/22/2021"/>
    <s v="8/22/2022"/>
    <s v="50mg"/>
    <s v="Headache, Fatigue"/>
    <s v="TR0042"/>
    <s v="50mg"/>
    <x v="1"/>
    <s v="Dizziness"/>
    <n v="57"/>
    <n v="0"/>
    <s v="HER2"/>
    <s v="Positive"/>
    <n v="1.72"/>
    <n v="4.88"/>
    <n v="2"/>
    <n v="13.3"/>
    <n v="15.5"/>
    <n v="50"/>
    <n v="50"/>
  </r>
  <r>
    <s v="P510"/>
    <n v="62"/>
    <s v="Other"/>
    <s v="Caucasian"/>
    <s v="Asthma"/>
    <s v="Not Reported"/>
    <s v="T001"/>
    <x v="2"/>
    <x v="3"/>
    <s v="10/17/2020"/>
    <s v="10/17/2021"/>
    <s v="200mg"/>
    <s v="Headache"/>
    <s v="TR0168"/>
    <s v="200mg"/>
    <x v="2"/>
    <s v="Headache"/>
    <n v="138"/>
    <n v="0"/>
    <s v="BRCA1"/>
    <s v="Negative"/>
    <n v="3.82"/>
    <n v="2.69"/>
    <n v="4.0999999999999996"/>
    <n v="13.2"/>
    <n v="7.5"/>
    <n v="200"/>
    <n v="200"/>
  </r>
  <r>
    <s v="P511"/>
    <n v="72"/>
    <s v="Female"/>
    <s v="Caucasian"/>
    <s v="Heart Disease"/>
    <s v="Not Reported"/>
    <s v="T015"/>
    <x v="0"/>
    <x v="0"/>
    <s v="9/12/2021"/>
    <s v="4/12/2022"/>
    <s v="100mg"/>
    <s v="Dizziness, Headache"/>
    <s v="TR0173"/>
    <s v="100mg"/>
    <x v="0"/>
    <s v="Fatigue"/>
    <n v="31"/>
    <n v="1"/>
    <s v="TP53"/>
    <s v="Negative"/>
    <n v="1.82"/>
    <n v="2.93"/>
    <n v="3.4"/>
    <n v="11.2"/>
    <n v="14.2"/>
    <n v="100"/>
    <n v="100"/>
  </r>
  <r>
    <s v="P512"/>
    <n v="43"/>
    <s v="Other"/>
    <s v="Other"/>
    <s v="Asthma"/>
    <s v="HER2 Mutation"/>
    <s v="T010"/>
    <x v="1"/>
    <x v="1"/>
    <s v="8/12/2022"/>
    <s v="2/12/2023"/>
    <s v="150mg"/>
    <s v="Headache, Not Reported"/>
    <s v="TR0173"/>
    <s v="150mg"/>
    <x v="1"/>
    <s v="Nausea"/>
    <n v="168"/>
    <n v="0"/>
    <s v="TP53"/>
    <s v="Positive"/>
    <n v="4.87"/>
    <n v="3.41"/>
    <n v="1.7"/>
    <n v="7.4"/>
    <n v="19.2"/>
    <n v="150"/>
    <n v="150"/>
  </r>
  <r>
    <s v="P513"/>
    <n v="55"/>
    <s v="Female"/>
    <s v="Hispanic"/>
    <s v="Hypertension"/>
    <s v="TP53 Mutation"/>
    <s v="T002"/>
    <x v="1"/>
    <x v="3"/>
    <s v="9/24/2019"/>
    <s v="9/24/2020"/>
    <s v="100mg"/>
    <s v="Nausea"/>
    <s v="TR0137"/>
    <s v="100mg"/>
    <x v="0"/>
    <s v="Fatigue"/>
    <n v="67"/>
    <n v="1"/>
    <s v="HER2"/>
    <s v="Negative"/>
    <n v="2.19"/>
    <n v="1.37"/>
    <n v="6.4"/>
    <n v="17.2"/>
    <n v="14"/>
    <n v="100"/>
    <n v="100"/>
  </r>
  <r>
    <s v="P514"/>
    <n v="53"/>
    <s v="Female"/>
    <s v="Hispanic"/>
    <s v="Heart Disease"/>
    <s v="EGFR Mutation"/>
    <s v="T019"/>
    <x v="3"/>
    <x v="1"/>
    <s v="6/12/2019"/>
    <s v="12/12/2019"/>
    <s v="100mg"/>
    <s v="Nausea, Headache, Not Reported"/>
    <s v="TR0186"/>
    <s v="100mg"/>
    <x v="0"/>
    <s v="Not Reported"/>
    <n v="107"/>
    <n v="1"/>
    <s v="HER2"/>
    <s v="Negative"/>
    <n v="2.0699999999999998"/>
    <n v="1.06"/>
    <n v="9.6999999999999993"/>
    <n v="10.5"/>
    <n v="14.5"/>
    <n v="100"/>
    <n v="100"/>
  </r>
  <r>
    <s v="P515"/>
    <n v="20"/>
    <s v="Male"/>
    <s v="African American"/>
    <s v="Hypertension"/>
    <s v="Not Reported"/>
    <s v="T014"/>
    <x v="1"/>
    <x v="2"/>
    <s v="5/10/2023"/>
    <s v="8/10/2024"/>
    <s v="100mg"/>
    <s v="Nausea, Not Reported, Headache"/>
    <s v="TR0122"/>
    <s v="100mg"/>
    <x v="0"/>
    <s v="Headache"/>
    <n v="100"/>
    <n v="1"/>
    <s v="BRCA2"/>
    <s v="Negative"/>
    <n v="3.83"/>
    <n v="3.44"/>
    <n v="3.8"/>
    <n v="10.9"/>
    <n v="13.2"/>
    <n v="100"/>
    <n v="100"/>
  </r>
  <r>
    <s v="P516"/>
    <n v="82"/>
    <s v="Other"/>
    <s v="Caucasian"/>
    <s v="Heart Disease"/>
    <s v="BRCA2 Mutation"/>
    <s v="T010"/>
    <x v="0"/>
    <x v="1"/>
    <s v="4/1/2022"/>
    <s v="10/1/2023"/>
    <s v="200mg"/>
    <s v="Fatigue, Not Reported, Dizziness"/>
    <s v="TR0119"/>
    <s v="200mg"/>
    <x v="2"/>
    <s v="Not Reported"/>
    <n v="54"/>
    <n v="0"/>
    <s v="BRCA2"/>
    <s v="Positive"/>
    <n v="4.46"/>
    <n v="4.79"/>
    <n v="2"/>
    <n v="8.8000000000000007"/>
    <n v="19.100000000000001"/>
    <n v="200"/>
    <n v="200"/>
  </r>
  <r>
    <s v="P517"/>
    <n v="20"/>
    <s v="Other"/>
    <s v="African American"/>
    <s v="Diabetes"/>
    <s v="TP53 Mutation"/>
    <s v="T020"/>
    <x v="3"/>
    <x v="0"/>
    <s v="6/18/2023"/>
    <s v="6/18/2024"/>
    <s v="200mg"/>
    <s v="Nausea, Not Reported, Fatigue"/>
    <s v="TR0082"/>
    <s v="200mg"/>
    <x v="1"/>
    <s v="Headache"/>
    <n v="68"/>
    <n v="0"/>
    <s v="HER2"/>
    <s v="Negative"/>
    <n v="3.95"/>
    <n v="4.53"/>
    <n v="2.8"/>
    <n v="16.600000000000001"/>
    <n v="14.9"/>
    <n v="200"/>
    <n v="200"/>
  </r>
  <r>
    <s v="P518"/>
    <n v="44"/>
    <s v="Other"/>
    <s v="Asian"/>
    <s v="Asthma"/>
    <s v="BRCA1 Mutation"/>
    <s v="T019"/>
    <x v="1"/>
    <x v="0"/>
    <s v="6/3/2023"/>
    <s v="3/3/2024"/>
    <s v="150mg"/>
    <s v="Not Reported, Dizziness"/>
    <s v="TR0116"/>
    <s v="150mg"/>
    <x v="2"/>
    <s v="Headache"/>
    <n v="37"/>
    <n v="0"/>
    <s v="BRCA2"/>
    <s v="Positive"/>
    <n v="3.72"/>
    <n v="2.63"/>
    <n v="1.1000000000000001"/>
    <n v="16.5"/>
    <n v="7.3"/>
    <n v="150"/>
    <n v="150"/>
  </r>
  <r>
    <s v="P519"/>
    <n v="63"/>
    <s v="Other"/>
    <s v="Hispanic"/>
    <s v="Asthma"/>
    <s v="Not Reported"/>
    <s v="T001"/>
    <x v="0"/>
    <x v="0"/>
    <s v="7/18/2020"/>
    <s v="3/18/2021"/>
    <s v="200mg"/>
    <s v="Nausea, Dizziness, Fatigue"/>
    <s v="TR0056"/>
    <s v="200mg"/>
    <x v="0"/>
    <s v="Nausea"/>
    <n v="176"/>
    <n v="1"/>
    <s v="TP53"/>
    <s v="Positive"/>
    <n v="2.8"/>
    <n v="4.83"/>
    <n v="4.5999999999999996"/>
    <n v="21.1"/>
    <n v="6.2"/>
    <n v="200"/>
    <n v="200"/>
  </r>
  <r>
    <s v="P520"/>
    <n v="38"/>
    <s v="Other"/>
    <s v="Hispanic"/>
    <s v="Heart Disease"/>
    <s v="BRCA2 Mutation"/>
    <s v="T014"/>
    <x v="0"/>
    <x v="3"/>
    <s v="11/4/2021"/>
    <s v="3/4/2023"/>
    <s v="150mg"/>
    <s v="Dizziness, Headache, Nausea"/>
    <s v="TR0104"/>
    <s v="150mg"/>
    <x v="1"/>
    <s v="Headache"/>
    <n v="103"/>
    <n v="0"/>
    <s v="HER2"/>
    <s v="Positive"/>
    <n v="3.69"/>
    <n v="4.91"/>
    <n v="1.9"/>
    <n v="6.1"/>
    <n v="10.4"/>
    <n v="150"/>
    <n v="150"/>
  </r>
  <r>
    <s v="P521"/>
    <n v="40"/>
    <s v="Female"/>
    <s v="African American"/>
    <s v="Hypertension"/>
    <s v="Not Reported"/>
    <s v="T011"/>
    <x v="3"/>
    <x v="2"/>
    <s v="7/19/2019"/>
    <s v="11/19/2020"/>
    <s v="200mg"/>
    <s v="Headache, Fatigue"/>
    <s v="TR0163"/>
    <s v="200mg"/>
    <x v="0"/>
    <s v="Dizziness"/>
    <n v="87"/>
    <n v="1"/>
    <s v="BRCA2"/>
    <s v="Positive"/>
    <n v="1.37"/>
    <n v="3.99"/>
    <n v="9.1999999999999993"/>
    <n v="13.8"/>
    <n v="7.4"/>
    <n v="200"/>
    <n v="200"/>
  </r>
  <r>
    <s v="P522"/>
    <n v="70"/>
    <s v="Male"/>
    <s v="African American"/>
    <s v="Heart Disease"/>
    <s v="EGFR Mutation"/>
    <s v="T016"/>
    <x v="1"/>
    <x v="3"/>
    <s v="12/20/2019"/>
    <s v="6/20/2021"/>
    <s v="200mg"/>
    <s v="Dizziness, Fatigue, Nausea"/>
    <s v="TR0118"/>
    <s v="200mg"/>
    <x v="1"/>
    <s v="Fatigue"/>
    <n v="74"/>
    <n v="0"/>
    <s v="HER2"/>
    <s v="Positive"/>
    <n v="2.74"/>
    <n v="3.89"/>
    <n v="1.1000000000000001"/>
    <n v="16.600000000000001"/>
    <n v="13.4"/>
    <n v="200"/>
    <n v="200"/>
  </r>
  <r>
    <s v="P523"/>
    <n v="59"/>
    <s v="Male"/>
    <s v="African American"/>
    <s v="Hypertension"/>
    <s v="Not Reported"/>
    <s v="T007"/>
    <x v="3"/>
    <x v="0"/>
    <s v="11/20/2020"/>
    <s v="12/20/2021"/>
    <s v="100mg"/>
    <s v="Headache"/>
    <s v="TR0129"/>
    <s v="100mg"/>
    <x v="2"/>
    <s v="Nausea"/>
    <n v="114"/>
    <n v="0"/>
    <s v="BRCA2"/>
    <s v="Positive"/>
    <n v="3.55"/>
    <n v="1.97"/>
    <n v="7.4"/>
    <n v="7.6"/>
    <n v="6.4"/>
    <n v="100"/>
    <n v="100"/>
  </r>
  <r>
    <s v="P524"/>
    <n v="77"/>
    <s v="Other"/>
    <s v="Caucasian"/>
    <s v="Hypertension"/>
    <s v="Not Reported"/>
    <s v="T014"/>
    <x v="3"/>
    <x v="0"/>
    <s v="7/9/2019"/>
    <s v="12/9/2020"/>
    <s v="50mg"/>
    <s v="Dizziness, Nausea, Fatigue"/>
    <s v="TR0124"/>
    <s v="50mg"/>
    <x v="2"/>
    <s v="Nausea"/>
    <n v="104"/>
    <n v="0"/>
    <s v="HER2"/>
    <s v="Positive"/>
    <n v="4.51"/>
    <n v="3.95"/>
    <n v="1.1000000000000001"/>
    <n v="10.5"/>
    <n v="6.6"/>
    <n v="50"/>
    <n v="50"/>
  </r>
  <r>
    <s v="P525"/>
    <n v="64"/>
    <s v="Female"/>
    <s v="Other"/>
    <s v="Asthma"/>
    <s v="BRCA1 Mutation"/>
    <s v="T004"/>
    <x v="2"/>
    <x v="3"/>
    <s v="2/24/2023"/>
    <s v="10/24/2023"/>
    <s v="150mg"/>
    <s v="Not Reported, Fatigue"/>
    <s v="TR0063"/>
    <s v="150mg"/>
    <x v="1"/>
    <s v="Fatigue"/>
    <n v="97"/>
    <n v="0"/>
    <s v="BRCA1"/>
    <s v="Negative"/>
    <n v="2.08"/>
    <n v="1.99"/>
    <n v="1.6"/>
    <n v="14.3"/>
    <n v="15.5"/>
    <n v="150"/>
    <n v="150"/>
  </r>
  <r>
    <s v="P526"/>
    <n v="27"/>
    <s v="Female"/>
    <s v="Hispanic"/>
    <s v="Diabetes"/>
    <s v="Not Reported"/>
    <s v="T011"/>
    <x v="0"/>
    <x v="0"/>
    <s v="8/23/2021"/>
    <s v="6/23/2022"/>
    <s v="150mg"/>
    <s v="Nausea, Fatigue, Dizziness"/>
    <s v="TR0134"/>
    <s v="150mg"/>
    <x v="1"/>
    <s v="Nausea"/>
    <n v="86"/>
    <n v="0"/>
    <s v="TP53"/>
    <s v="Negative"/>
    <n v="3.43"/>
    <n v="3.69"/>
    <n v="1.7"/>
    <n v="23.1"/>
    <n v="17.3"/>
    <n v="150"/>
    <n v="150"/>
  </r>
  <r>
    <s v="P527"/>
    <n v="55"/>
    <s v="Female"/>
    <s v="Asian"/>
    <s v="Heart Disease"/>
    <s v="Not Reported"/>
    <s v="T016"/>
    <x v="3"/>
    <x v="3"/>
    <s v="12/26/2020"/>
    <s v="5/26/2022"/>
    <s v="100mg"/>
    <s v="Dizziness"/>
    <s v="TR0075"/>
    <s v="100mg"/>
    <x v="1"/>
    <s v="Not Reported"/>
    <n v="88"/>
    <n v="0"/>
    <s v="BRCA1"/>
    <s v="Positive"/>
    <n v="4.22"/>
    <n v="4.29"/>
    <n v="9.4"/>
    <n v="15.8"/>
    <n v="6.4"/>
    <n v="100"/>
    <n v="100"/>
  </r>
  <r>
    <s v="P528"/>
    <n v="56"/>
    <s v="Male"/>
    <s v="Other"/>
    <s v="Hypertension"/>
    <s v="EGFR Mutation"/>
    <s v="T017"/>
    <x v="3"/>
    <x v="0"/>
    <s v="3/12/2023"/>
    <s v="7/12/2024"/>
    <s v="100mg"/>
    <s v="Dizziness, Not Reported, Headache"/>
    <s v="TR0096"/>
    <s v="100mg"/>
    <x v="1"/>
    <s v="Headache"/>
    <n v="73"/>
    <n v="0"/>
    <s v="EGFR"/>
    <s v="Negative"/>
    <n v="3.47"/>
    <n v="3.97"/>
    <n v="7.6"/>
    <n v="15.4"/>
    <n v="4.2"/>
    <n v="100"/>
    <n v="100"/>
  </r>
  <r>
    <s v="P529"/>
    <n v="40"/>
    <s v="Female"/>
    <s v="Hispanic"/>
    <s v="Hypertension"/>
    <s v="Not Reported"/>
    <s v="T003"/>
    <x v="0"/>
    <x v="2"/>
    <s v="4/8/2021"/>
    <s v="12/8/2021"/>
    <s v="150mg"/>
    <s v="Nausea, Fatigue, Headache"/>
    <s v="TR0128"/>
    <s v="150mg"/>
    <x v="1"/>
    <s v="Dizziness"/>
    <n v="33"/>
    <n v="0"/>
    <s v="EGFR"/>
    <s v="Positive"/>
    <n v="2.48"/>
    <n v="4.68"/>
    <n v="6.3"/>
    <n v="15.7"/>
    <n v="7.6"/>
    <n v="150"/>
    <n v="150"/>
  </r>
  <r>
    <s v="P530"/>
    <n v="43"/>
    <s v="Female"/>
    <s v="Caucasian"/>
    <s v="Asthma"/>
    <s v="Not Reported"/>
    <s v="T011"/>
    <x v="1"/>
    <x v="3"/>
    <s v="9/28/2023"/>
    <s v="2/28/2025"/>
    <s v="50mg"/>
    <s v="Headache"/>
    <s v="TR0146"/>
    <s v="50mg"/>
    <x v="2"/>
    <s v="Fatigue"/>
    <n v="92"/>
    <n v="0"/>
    <s v="TP53"/>
    <s v="Positive"/>
    <n v="2.4700000000000002"/>
    <n v="4.58"/>
    <n v="7"/>
    <n v="20.2"/>
    <n v="10.7"/>
    <n v="50"/>
    <n v="50"/>
  </r>
  <r>
    <s v="P531"/>
    <n v="49"/>
    <s v="Male"/>
    <s v="Hispanic"/>
    <s v="Diabetes"/>
    <s v="EGFR Mutation"/>
    <s v="T009"/>
    <x v="0"/>
    <x v="1"/>
    <s v="12/27/2020"/>
    <s v="7/27/2021"/>
    <s v="100mg"/>
    <s v="Not Reported, Nausea, Headache"/>
    <s v="TR0059"/>
    <s v="100mg"/>
    <x v="0"/>
    <s v="Dizziness"/>
    <n v="178"/>
    <n v="1"/>
    <s v="HER2"/>
    <s v="Negative"/>
    <n v="3.52"/>
    <n v="1.99"/>
    <n v="7.3"/>
    <n v="13.7"/>
    <n v="10.5"/>
    <n v="100"/>
    <n v="100"/>
  </r>
  <r>
    <s v="P532"/>
    <n v="30"/>
    <s v="Other"/>
    <s v="Caucasian"/>
    <s v="Not Reported"/>
    <s v="Not Reported"/>
    <s v="T003"/>
    <x v="2"/>
    <x v="0"/>
    <s v="8/3/2019"/>
    <s v="9/3/2020"/>
    <s v="100mg"/>
    <s v="Dizziness"/>
    <s v="TR0151"/>
    <s v="100mg"/>
    <x v="0"/>
    <s v="Dizziness"/>
    <n v="154"/>
    <n v="1"/>
    <s v="TP53"/>
    <s v="Positive"/>
    <n v="3.6"/>
    <n v="4.75"/>
    <n v="1.6"/>
    <n v="20.8"/>
    <n v="8"/>
    <n v="100"/>
    <n v="100"/>
  </r>
  <r>
    <s v="P533"/>
    <n v="73"/>
    <s v="Male"/>
    <s v="Hispanic"/>
    <s v="Diabetes"/>
    <s v="Not Reported"/>
    <s v="T020"/>
    <x v="3"/>
    <x v="1"/>
    <s v="7/20/2021"/>
    <s v="5/20/2022"/>
    <s v="200mg"/>
    <s v="Fatigue, Not Reported, Headache"/>
    <s v="TR0124"/>
    <s v="200mg"/>
    <x v="2"/>
    <s v="Not Reported"/>
    <n v="106"/>
    <n v="0"/>
    <s v="TP53"/>
    <s v="Positive"/>
    <n v="2.78"/>
    <n v="1.0900000000000001"/>
    <n v="3.7"/>
    <n v="15"/>
    <n v="4"/>
    <n v="200"/>
    <n v="200"/>
  </r>
  <r>
    <s v="P534"/>
    <n v="61"/>
    <s v="Female"/>
    <s v="Other"/>
    <s v="Heart Disease"/>
    <s v="HER2 Mutation"/>
    <s v="T004"/>
    <x v="2"/>
    <x v="0"/>
    <s v="6/17/2019"/>
    <s v="7/17/2020"/>
    <s v="200mg"/>
    <s v="Fatigue"/>
    <s v="TR0017"/>
    <s v="200mg"/>
    <x v="1"/>
    <s v="Not Reported"/>
    <n v="54"/>
    <n v="0"/>
    <s v="HER2"/>
    <s v="Negative"/>
    <n v="2.96"/>
    <n v="4.71"/>
    <n v="1.9"/>
    <n v="19.8"/>
    <n v="10"/>
    <n v="200"/>
    <n v="200"/>
  </r>
  <r>
    <s v="P535"/>
    <n v="41"/>
    <s v="Male"/>
    <s v="Caucasian"/>
    <s v="Diabetes"/>
    <s v="EGFR Mutation"/>
    <s v="T010"/>
    <x v="0"/>
    <x v="0"/>
    <s v="11/10/2019"/>
    <s v="2/10/2021"/>
    <s v="100mg"/>
    <s v="Fatigue, Not Reported, Nausea"/>
    <s v="TR0050"/>
    <s v="100mg"/>
    <x v="1"/>
    <s v="Fatigue"/>
    <n v="70"/>
    <n v="0"/>
    <s v="EGFR"/>
    <s v="Positive"/>
    <n v="3.62"/>
    <n v="2.04"/>
    <n v="2.4"/>
    <n v="8.9"/>
    <n v="4.2"/>
    <n v="100"/>
    <n v="100"/>
  </r>
  <r>
    <s v="P536"/>
    <n v="59"/>
    <s v="Other"/>
    <s v="Hispanic"/>
    <s v="Heart Disease"/>
    <s v="Not Reported"/>
    <s v="T009"/>
    <x v="2"/>
    <x v="3"/>
    <s v="5/12/2022"/>
    <s v="1/12/2023"/>
    <s v="150mg"/>
    <s v="Not Reported, Dizziness"/>
    <s v="TR0116"/>
    <s v="150mg"/>
    <x v="1"/>
    <s v="Headache"/>
    <n v="174"/>
    <n v="0"/>
    <s v="HER2"/>
    <s v="Negative"/>
    <n v="1.74"/>
    <n v="3.66"/>
    <n v="8.9"/>
    <n v="20.7"/>
    <n v="14.6"/>
    <n v="150"/>
    <n v="150"/>
  </r>
  <r>
    <s v="P537"/>
    <n v="18"/>
    <s v="Female"/>
    <s v="Caucasian"/>
    <s v="Asthma"/>
    <s v="BRCA2 Mutation"/>
    <s v="T015"/>
    <x v="0"/>
    <x v="1"/>
    <s v="4/22/2020"/>
    <s v="9/22/2021"/>
    <s v="150mg"/>
    <s v="Not Reported, Nausea"/>
    <s v="TR0083"/>
    <s v="150mg"/>
    <x v="1"/>
    <s v="Headache"/>
    <n v="113"/>
    <n v="0"/>
    <s v="EGFR"/>
    <s v="Positive"/>
    <n v="1.44"/>
    <n v="2.16"/>
    <n v="3.8"/>
    <n v="10.5"/>
    <n v="11.8"/>
    <n v="150"/>
    <n v="150"/>
  </r>
  <r>
    <s v="P538"/>
    <n v="45"/>
    <s v="Other"/>
    <s v="Other"/>
    <s v="Asthma"/>
    <s v="Not Reported"/>
    <s v="T004"/>
    <x v="1"/>
    <x v="2"/>
    <s v="6/24/2020"/>
    <s v="7/24/2021"/>
    <s v="200mg"/>
    <s v="Headache"/>
    <s v="TR0177"/>
    <s v="200mg"/>
    <x v="2"/>
    <s v="Headache"/>
    <n v="93"/>
    <n v="0"/>
    <s v="TP53"/>
    <s v="Negative"/>
    <n v="3.14"/>
    <n v="2.4300000000000002"/>
    <n v="4.2"/>
    <n v="20.9"/>
    <n v="16.399999999999999"/>
    <n v="200"/>
    <n v="200"/>
  </r>
  <r>
    <s v="P539"/>
    <n v="25"/>
    <s v="Male"/>
    <s v="Caucasian"/>
    <s v="Not Reported"/>
    <s v="TP53 Mutation"/>
    <s v="T015"/>
    <x v="0"/>
    <x v="1"/>
    <s v="3/24/2022"/>
    <s v="10/24/2022"/>
    <s v="150mg"/>
    <s v="Headache, Fatigue, Nausea"/>
    <s v="TR0151"/>
    <s v="150mg"/>
    <x v="1"/>
    <s v="Dizziness"/>
    <n v="81"/>
    <n v="0"/>
    <s v="EGFR"/>
    <s v="Positive"/>
    <n v="2.23"/>
    <n v="4.66"/>
    <n v="9.6"/>
    <n v="11.9"/>
    <n v="9"/>
    <n v="150"/>
    <n v="150"/>
  </r>
  <r>
    <s v="P540"/>
    <n v="74"/>
    <s v="Male"/>
    <s v="African American"/>
    <s v="Heart Disease"/>
    <s v="Not Reported"/>
    <s v="T009"/>
    <x v="0"/>
    <x v="1"/>
    <s v="2/28/2020"/>
    <s v="8/28/2021"/>
    <s v="150mg"/>
    <s v="Headache, Fatigue"/>
    <s v="TR0048"/>
    <s v="150mg"/>
    <x v="1"/>
    <s v="Headache"/>
    <n v="88"/>
    <n v="0"/>
    <s v="HER2"/>
    <s v="Negative"/>
    <n v="3.02"/>
    <n v="4.76"/>
    <n v="8.9"/>
    <n v="7.8"/>
    <n v="9.6999999999999993"/>
    <n v="150"/>
    <n v="150"/>
  </r>
  <r>
    <s v="P541"/>
    <n v="60"/>
    <s v="Male"/>
    <s v="African American"/>
    <s v="Not Reported"/>
    <s v="Not Reported"/>
    <s v="T001"/>
    <x v="2"/>
    <x v="1"/>
    <s v="7/13/2022"/>
    <s v="1/13/2024"/>
    <s v="200mg"/>
    <s v="Dizziness"/>
    <s v="TR0016"/>
    <s v="200mg"/>
    <x v="2"/>
    <s v="Not Reported"/>
    <n v="34"/>
    <n v="0"/>
    <s v="EGFR"/>
    <s v="Negative"/>
    <n v="3.21"/>
    <n v="3.01"/>
    <n v="2.7"/>
    <n v="21.5"/>
    <n v="14.5"/>
    <n v="200"/>
    <n v="200"/>
  </r>
  <r>
    <s v="P542"/>
    <n v="22"/>
    <s v="Other"/>
    <s v="African American"/>
    <s v="Heart Disease"/>
    <s v="EGFR Mutation"/>
    <s v="T011"/>
    <x v="1"/>
    <x v="1"/>
    <s v="2/18/2023"/>
    <s v="8/18/2024"/>
    <s v="50mg"/>
    <s v="Fatigue, Nausea, Not Reported"/>
    <s v="TR0120"/>
    <s v="50mg"/>
    <x v="2"/>
    <s v="Fatigue"/>
    <n v="48"/>
    <n v="0"/>
    <s v="HER2"/>
    <s v="Negative"/>
    <n v="4.3499999999999996"/>
    <n v="4.4400000000000004"/>
    <n v="7.7"/>
    <n v="13.9"/>
    <n v="13.4"/>
    <n v="50"/>
    <n v="50"/>
  </r>
  <r>
    <s v="P543"/>
    <n v="77"/>
    <s v="Female"/>
    <s v="Asian"/>
    <s v="Not Reported"/>
    <s v="EGFR Mutation"/>
    <s v="T011"/>
    <x v="3"/>
    <x v="0"/>
    <s v="7/19/2019"/>
    <s v="5/19/2020"/>
    <s v="50mg"/>
    <s v="Headache, Nausea, Dizziness"/>
    <s v="TR0058"/>
    <s v="50mg"/>
    <x v="1"/>
    <s v="Headache"/>
    <n v="68"/>
    <n v="0"/>
    <s v="TP53"/>
    <s v="Positive"/>
    <n v="1.64"/>
    <n v="3.69"/>
    <n v="2.6"/>
    <n v="18.5"/>
    <n v="6.9"/>
    <n v="50"/>
    <n v="50"/>
  </r>
  <r>
    <s v="P544"/>
    <n v="59"/>
    <s v="Other"/>
    <s v="Hispanic"/>
    <s v="Diabetes"/>
    <s v="Not Reported"/>
    <s v="T019"/>
    <x v="0"/>
    <x v="2"/>
    <s v="3/7/2020"/>
    <s v="1/7/2021"/>
    <s v="100mg"/>
    <s v="Nausea"/>
    <s v="TR0137"/>
    <s v="100mg"/>
    <x v="2"/>
    <s v="Nausea"/>
    <n v="62"/>
    <n v="0"/>
    <s v="EGFR"/>
    <s v="Negative"/>
    <n v="1.47"/>
    <n v="1.66"/>
    <n v="1"/>
    <n v="18.899999999999999"/>
    <n v="15.5"/>
    <n v="100"/>
    <n v="100"/>
  </r>
  <r>
    <s v="P545"/>
    <n v="26"/>
    <s v="Female"/>
    <s v="African American"/>
    <s v="Diabetes"/>
    <s v="Not Reported"/>
    <s v="T007"/>
    <x v="0"/>
    <x v="2"/>
    <s v="5/8/2022"/>
    <s v="2/8/2023"/>
    <s v="150mg"/>
    <s v="Fatigue"/>
    <s v="TR0113"/>
    <s v="150mg"/>
    <x v="0"/>
    <s v="Headache"/>
    <n v="36"/>
    <n v="1"/>
    <s v="HER2"/>
    <s v="Positive"/>
    <n v="3.06"/>
    <n v="1.65"/>
    <n v="1.8"/>
    <n v="6.3"/>
    <n v="5.8"/>
    <n v="150"/>
    <n v="150"/>
  </r>
  <r>
    <s v="P546"/>
    <n v="66"/>
    <s v="Male"/>
    <s v="Hispanic"/>
    <s v="Asthma"/>
    <s v="BRCA2 Mutation"/>
    <s v="T013"/>
    <x v="1"/>
    <x v="1"/>
    <s v="9/19/2020"/>
    <s v="2/19/2022"/>
    <s v="50mg"/>
    <s v="Fatigue"/>
    <s v="TR0031"/>
    <s v="50mg"/>
    <x v="1"/>
    <s v="Dizziness"/>
    <n v="121"/>
    <n v="0"/>
    <s v="TP53"/>
    <s v="Negative"/>
    <n v="4.5599999999999996"/>
    <n v="1.97"/>
    <n v="4.2"/>
    <n v="7.9"/>
    <n v="6.8"/>
    <n v="50"/>
    <n v="50"/>
  </r>
  <r>
    <s v="P547"/>
    <n v="42"/>
    <s v="Male"/>
    <s v="Caucasian"/>
    <s v="Heart Disease"/>
    <s v="TP53 Mutation"/>
    <s v="T017"/>
    <x v="1"/>
    <x v="0"/>
    <s v="1/13/2019"/>
    <s v="7/13/2020"/>
    <s v="200mg"/>
    <s v="Nausea, Not Reported"/>
    <s v="TR0093"/>
    <s v="200mg"/>
    <x v="1"/>
    <s v="Nausea"/>
    <n v="141"/>
    <n v="0"/>
    <s v="TP53"/>
    <s v="Positive"/>
    <n v="3.08"/>
    <n v="3.43"/>
    <n v="3.2"/>
    <n v="7"/>
    <n v="9.6"/>
    <n v="200"/>
    <n v="200"/>
  </r>
  <r>
    <s v="P548"/>
    <n v="28"/>
    <s v="Other"/>
    <s v="Hispanic"/>
    <s v="Asthma"/>
    <s v="TP53 Mutation"/>
    <s v="T011"/>
    <x v="1"/>
    <x v="2"/>
    <s v="3/19/2020"/>
    <s v="9/19/2020"/>
    <s v="100mg"/>
    <s v="Fatigue, Dizziness, Not Reported"/>
    <s v="TR0121"/>
    <s v="100mg"/>
    <x v="0"/>
    <s v="Nausea"/>
    <n v="83"/>
    <n v="1"/>
    <s v="TP53"/>
    <s v="Negative"/>
    <n v="1.94"/>
    <n v="1.88"/>
    <n v="9.6"/>
    <n v="17.100000000000001"/>
    <n v="12.5"/>
    <n v="100"/>
    <n v="100"/>
  </r>
  <r>
    <s v="P549"/>
    <n v="71"/>
    <s v="Male"/>
    <s v="Hispanic"/>
    <s v="Diabetes"/>
    <s v="EGFR Mutation"/>
    <s v="T005"/>
    <x v="2"/>
    <x v="3"/>
    <s v="3/1/2019"/>
    <s v="4/1/2020"/>
    <s v="100mg"/>
    <s v="Headache, Not Reported"/>
    <s v="TR0068"/>
    <s v="100mg"/>
    <x v="2"/>
    <s v="Not Reported"/>
    <n v="37"/>
    <n v="0"/>
    <s v="BRCA1"/>
    <s v="Negative"/>
    <n v="2.66"/>
    <n v="2.72"/>
    <n v="5.9"/>
    <n v="18.5"/>
    <n v="14.9"/>
    <n v="100"/>
    <n v="100"/>
  </r>
  <r>
    <s v="P550"/>
    <n v="21"/>
    <s v="Female"/>
    <s v="Caucasian"/>
    <s v="Diabetes"/>
    <s v="Not Reported"/>
    <s v="T002"/>
    <x v="3"/>
    <x v="2"/>
    <s v="2/1/2020"/>
    <s v="1/1/2021"/>
    <s v="100mg"/>
    <s v="Headache"/>
    <s v="TR0017"/>
    <s v="100mg"/>
    <x v="0"/>
    <s v="Headache"/>
    <n v="148"/>
    <n v="1"/>
    <s v="HER2"/>
    <s v="Negative"/>
    <n v="1.69"/>
    <n v="3"/>
    <n v="4.7"/>
    <n v="21.7"/>
    <n v="13.7"/>
    <n v="100"/>
    <n v="100"/>
  </r>
  <r>
    <s v="P551"/>
    <n v="35"/>
    <s v="Other"/>
    <s v="Caucasian"/>
    <s v="Not Reported"/>
    <s v="TP53 Mutation"/>
    <s v="T005"/>
    <x v="0"/>
    <x v="3"/>
    <s v="11/23/2023"/>
    <s v="6/23/2024"/>
    <s v="200mg"/>
    <s v="Dizziness, Fatigue"/>
    <s v="TR0033"/>
    <s v="200mg"/>
    <x v="0"/>
    <s v="Dizziness"/>
    <n v="63"/>
    <n v="1"/>
    <s v="BRCA2"/>
    <s v="Positive"/>
    <n v="3.13"/>
    <n v="1.46"/>
    <n v="6.5"/>
    <n v="8.1"/>
    <n v="8.6999999999999993"/>
    <n v="200"/>
    <n v="200"/>
  </r>
  <r>
    <s v="P552"/>
    <n v="28"/>
    <s v="Other"/>
    <s v="Caucasian"/>
    <s v="Asthma"/>
    <s v="EGFR Mutation"/>
    <s v="T004"/>
    <x v="2"/>
    <x v="2"/>
    <s v="3/24/2021"/>
    <s v="7/24/2022"/>
    <s v="150mg"/>
    <s v="Headache, Not Reported"/>
    <s v="TR0195"/>
    <s v="150mg"/>
    <x v="0"/>
    <s v="Not Reported"/>
    <n v="138"/>
    <n v="1"/>
    <s v="TP53"/>
    <s v="Positive"/>
    <n v="1.57"/>
    <n v="3.77"/>
    <n v="2.9"/>
    <n v="13.1"/>
    <n v="18.2"/>
    <n v="150"/>
    <n v="150"/>
  </r>
  <r>
    <s v="P553"/>
    <n v="22"/>
    <s v="Other"/>
    <s v="Hispanic"/>
    <s v="Hypertension"/>
    <s v="Not Reported"/>
    <s v="T006"/>
    <x v="1"/>
    <x v="2"/>
    <s v="4/6/2019"/>
    <s v="4/6/2020"/>
    <s v="150mg"/>
    <s v="Dizziness"/>
    <s v="TR0124"/>
    <s v="150mg"/>
    <x v="1"/>
    <s v="Not Reported"/>
    <n v="78"/>
    <n v="0"/>
    <s v="EGFR"/>
    <s v="Negative"/>
    <n v="1.82"/>
    <n v="3.03"/>
    <n v="4.8"/>
    <n v="6.3"/>
    <n v="16.5"/>
    <n v="150"/>
    <n v="150"/>
  </r>
  <r>
    <s v="P554"/>
    <n v="75"/>
    <s v="Male"/>
    <s v="Hispanic"/>
    <s v="Heart Disease"/>
    <s v="HER2 Mutation"/>
    <s v="T004"/>
    <x v="0"/>
    <x v="3"/>
    <s v="3/9/2021"/>
    <s v="2/9/2022"/>
    <s v="200mg"/>
    <s v="Headache, Nausea, Not Reported"/>
    <s v="TR0088"/>
    <s v="200mg"/>
    <x v="2"/>
    <s v="Not Reported"/>
    <n v="46"/>
    <n v="0"/>
    <s v="TP53"/>
    <s v="Negative"/>
    <n v="1.28"/>
    <n v="2.9"/>
    <n v="6"/>
    <n v="17.3"/>
    <n v="14.7"/>
    <n v="200"/>
    <n v="200"/>
  </r>
  <r>
    <s v="P555"/>
    <n v="21"/>
    <s v="Other"/>
    <s v="Asian"/>
    <s v="Hypertension"/>
    <s v="HER2 Mutation"/>
    <s v="T004"/>
    <x v="1"/>
    <x v="3"/>
    <s v="6/10/2020"/>
    <s v="7/10/2021"/>
    <s v="200mg"/>
    <s v="Nausea, Fatigue, Headache"/>
    <s v="TR0131"/>
    <s v="200mg"/>
    <x v="0"/>
    <s v="Fatigue"/>
    <n v="86"/>
    <n v="1"/>
    <s v="BRCA1"/>
    <s v="Positive"/>
    <n v="2.0099999999999998"/>
    <n v="1.04"/>
    <n v="7.5"/>
    <n v="15.6"/>
    <n v="17.2"/>
    <n v="200"/>
    <n v="200"/>
  </r>
  <r>
    <s v="P556"/>
    <n v="63"/>
    <s v="Other"/>
    <s v="Other"/>
    <s v="Diabetes"/>
    <s v="Not Reported"/>
    <s v="T017"/>
    <x v="1"/>
    <x v="3"/>
    <s v="4/23/2023"/>
    <s v="6/23/2024"/>
    <s v="100mg"/>
    <s v="Fatigue, Nausea"/>
    <s v="TR0175"/>
    <s v="100mg"/>
    <x v="0"/>
    <s v="Dizziness"/>
    <n v="87"/>
    <n v="1"/>
    <s v="BRCA2"/>
    <s v="Negative"/>
    <n v="4.29"/>
    <n v="4.37"/>
    <n v="5.4"/>
    <n v="12"/>
    <n v="16.5"/>
    <n v="100"/>
    <n v="100"/>
  </r>
  <r>
    <s v="P557"/>
    <n v="43"/>
    <s v="Female"/>
    <s v="Caucasian"/>
    <s v="Asthma"/>
    <s v="EGFR Mutation"/>
    <s v="T014"/>
    <x v="3"/>
    <x v="0"/>
    <s v="3/24/2021"/>
    <s v="1/24/2022"/>
    <s v="50mg"/>
    <s v="Not Reported"/>
    <s v="TR0182"/>
    <s v="50mg"/>
    <x v="2"/>
    <s v="Not Reported"/>
    <n v="83"/>
    <n v="0"/>
    <s v="EGFR"/>
    <s v="Positive"/>
    <n v="2.81"/>
    <n v="1.73"/>
    <n v="8.6999999999999993"/>
    <n v="21.9"/>
    <n v="10.9"/>
    <n v="50"/>
    <n v="50"/>
  </r>
  <r>
    <s v="P558"/>
    <n v="25"/>
    <s v="Female"/>
    <s v="Asian"/>
    <s v="Diabetes"/>
    <s v="BRCA2 Mutation"/>
    <s v="T008"/>
    <x v="3"/>
    <x v="2"/>
    <s v="7/19/2022"/>
    <s v="4/19/2023"/>
    <s v="100mg"/>
    <s v="Nausea, Fatigue"/>
    <s v="TR0071"/>
    <s v="100mg"/>
    <x v="0"/>
    <s v="Headache"/>
    <n v="61"/>
    <n v="1"/>
    <s v="EGFR"/>
    <s v="Positive"/>
    <n v="1.3"/>
    <n v="2.5499999999999998"/>
    <n v="8.1999999999999993"/>
    <n v="22.2"/>
    <n v="6.5"/>
    <n v="100"/>
    <n v="100"/>
  </r>
  <r>
    <s v="P559"/>
    <n v="44"/>
    <s v="Female"/>
    <s v="Asian"/>
    <s v="Not Reported"/>
    <s v="Not Reported"/>
    <s v="T001"/>
    <x v="1"/>
    <x v="3"/>
    <s v="2/25/2023"/>
    <s v="6/25/2024"/>
    <s v="200mg"/>
    <s v="Headache"/>
    <s v="TR0077"/>
    <s v="200mg"/>
    <x v="0"/>
    <s v="Dizziness"/>
    <n v="146"/>
    <n v="1"/>
    <s v="BRCA2"/>
    <s v="Positive"/>
    <n v="1.27"/>
    <n v="4.51"/>
    <n v="4.5"/>
    <n v="15.8"/>
    <n v="19.5"/>
    <n v="200"/>
    <n v="200"/>
  </r>
  <r>
    <s v="P560"/>
    <n v="61"/>
    <s v="Female"/>
    <s v="Caucasian"/>
    <s v="Asthma"/>
    <s v="Not Reported"/>
    <s v="T009"/>
    <x v="1"/>
    <x v="0"/>
    <s v="10/6/2022"/>
    <s v="3/6/2024"/>
    <s v="200mg"/>
    <s v="Fatigue, Nausea"/>
    <s v="TR0023"/>
    <s v="200mg"/>
    <x v="2"/>
    <s v="Dizziness"/>
    <n v="122"/>
    <n v="0"/>
    <s v="BRCA2"/>
    <s v="Negative"/>
    <n v="1.27"/>
    <n v="3.59"/>
    <n v="1.7"/>
    <n v="12.8"/>
    <n v="16.7"/>
    <n v="200"/>
    <n v="200"/>
  </r>
  <r>
    <s v="P561"/>
    <n v="73"/>
    <s v="Female"/>
    <s v="Caucasian"/>
    <s v="Hypertension"/>
    <s v="Not Reported"/>
    <s v="T009"/>
    <x v="0"/>
    <x v="3"/>
    <s v="6/14/2023"/>
    <s v="10/14/2024"/>
    <s v="150mg"/>
    <s v="Nausea, Dizziness"/>
    <s v="TR0026"/>
    <s v="150mg"/>
    <x v="2"/>
    <s v="Headache"/>
    <n v="92"/>
    <n v="0"/>
    <s v="EGFR"/>
    <s v="Negative"/>
    <n v="2.73"/>
    <n v="4.99"/>
    <n v="6"/>
    <n v="11.8"/>
    <n v="6.7"/>
    <n v="150"/>
    <n v="150"/>
  </r>
  <r>
    <s v="P562"/>
    <n v="46"/>
    <s v="Other"/>
    <s v="Hispanic"/>
    <s v="Not Reported"/>
    <s v="HER2 Mutation"/>
    <s v="T018"/>
    <x v="3"/>
    <x v="0"/>
    <s v="10/4/2019"/>
    <s v="1/4/2021"/>
    <s v="50mg"/>
    <s v="Nausea, Dizziness, Headache"/>
    <s v="TR0093"/>
    <s v="50mg"/>
    <x v="2"/>
    <s v="Dizziness"/>
    <n v="137"/>
    <n v="0"/>
    <s v="HER2"/>
    <s v="Positive"/>
    <n v="2.4"/>
    <n v="2.4900000000000002"/>
    <n v="1.6"/>
    <n v="12.7"/>
    <n v="10.9"/>
    <n v="50"/>
    <n v="50"/>
  </r>
  <r>
    <s v="P563"/>
    <n v="62"/>
    <s v="Other"/>
    <s v="Hispanic"/>
    <s v="Asthma"/>
    <s v="Not Reported"/>
    <s v="T017"/>
    <x v="1"/>
    <x v="0"/>
    <s v="11/1/2022"/>
    <s v="8/1/2023"/>
    <s v="100mg"/>
    <s v="Not Reported"/>
    <s v="TR0026"/>
    <s v="100mg"/>
    <x v="1"/>
    <s v="Headache"/>
    <n v="37"/>
    <n v="0"/>
    <s v="HER2"/>
    <s v="Negative"/>
    <n v="3.89"/>
    <n v="3.63"/>
    <n v="7.4"/>
    <n v="6.2"/>
    <n v="6.7"/>
    <n v="100"/>
    <n v="100"/>
  </r>
  <r>
    <s v="P564"/>
    <n v="63"/>
    <s v="Other"/>
    <s v="African American"/>
    <s v="Not Reported"/>
    <s v="Not Reported"/>
    <s v="T008"/>
    <x v="0"/>
    <x v="0"/>
    <s v="6/15/2019"/>
    <s v="11/15/2020"/>
    <s v="150mg"/>
    <s v="Fatigue"/>
    <s v="TR0143"/>
    <s v="150mg"/>
    <x v="2"/>
    <s v="Not Reported"/>
    <n v="132"/>
    <n v="0"/>
    <s v="TP53"/>
    <s v="Positive"/>
    <n v="3.65"/>
    <n v="2.94"/>
    <n v="1"/>
    <n v="20.5"/>
    <n v="16.100000000000001"/>
    <n v="150"/>
    <n v="150"/>
  </r>
  <r>
    <s v="P565"/>
    <n v="81"/>
    <s v="Male"/>
    <s v="African American"/>
    <s v="Not Reported"/>
    <s v="Not Reported"/>
    <s v="T008"/>
    <x v="0"/>
    <x v="3"/>
    <s v="12/3/2019"/>
    <s v="4/3/2021"/>
    <s v="200mg"/>
    <s v="Dizziness, Headache"/>
    <s v="TR0164"/>
    <s v="200mg"/>
    <x v="0"/>
    <s v="Headache"/>
    <n v="81"/>
    <n v="1"/>
    <s v="TP53"/>
    <s v="Negative"/>
    <n v="3.19"/>
    <n v="1.27"/>
    <n v="7.9"/>
    <n v="16.5"/>
    <n v="16.3"/>
    <n v="200"/>
    <n v="200"/>
  </r>
  <r>
    <s v="P566"/>
    <n v="62"/>
    <s v="Female"/>
    <s v="Hispanic"/>
    <s v="Not Reported"/>
    <s v="Not Reported"/>
    <s v="T006"/>
    <x v="0"/>
    <x v="1"/>
    <s v="4/19/2019"/>
    <s v="2/19/2020"/>
    <s v="150mg"/>
    <s v="Dizziness, Fatigue, Headache"/>
    <s v="TR0159"/>
    <s v="150mg"/>
    <x v="2"/>
    <s v="Nausea"/>
    <n v="80"/>
    <n v="0"/>
    <s v="BRCA1"/>
    <s v="Positive"/>
    <n v="4.01"/>
    <n v="4.21"/>
    <n v="5.7"/>
    <n v="8.5"/>
    <n v="14.4"/>
    <n v="150"/>
    <n v="150"/>
  </r>
  <r>
    <s v="P567"/>
    <n v="69"/>
    <s v="Female"/>
    <s v="Asian"/>
    <s v="Not Reported"/>
    <s v="Not Reported"/>
    <s v="T013"/>
    <x v="2"/>
    <x v="0"/>
    <s v="12/27/2019"/>
    <s v="6/27/2021"/>
    <s v="150mg"/>
    <s v="Dizziness, Nausea, Fatigue"/>
    <s v="TR0058"/>
    <s v="150mg"/>
    <x v="1"/>
    <s v="Nausea"/>
    <n v="92"/>
    <n v="0"/>
    <s v="EGFR"/>
    <s v="Positive"/>
    <n v="3.48"/>
    <n v="3.97"/>
    <n v="2.5"/>
    <n v="9.5"/>
    <n v="18.100000000000001"/>
    <n v="150"/>
    <n v="150"/>
  </r>
  <r>
    <s v="P568"/>
    <n v="53"/>
    <s v="Male"/>
    <s v="Hispanic"/>
    <s v="Diabetes"/>
    <s v="Not Reported"/>
    <s v="T008"/>
    <x v="2"/>
    <x v="2"/>
    <s v="11/26/2022"/>
    <s v="8/26/2023"/>
    <s v="100mg"/>
    <s v="Not Reported"/>
    <s v="TR0063"/>
    <s v="100mg"/>
    <x v="0"/>
    <s v="Dizziness"/>
    <n v="153"/>
    <n v="1"/>
    <s v="HER2"/>
    <s v="Negative"/>
    <n v="4"/>
    <n v="4.63"/>
    <n v="7.8"/>
    <n v="16.7"/>
    <n v="14.1"/>
    <n v="100"/>
    <n v="100"/>
  </r>
  <r>
    <s v="P569"/>
    <n v="42"/>
    <s v="Female"/>
    <s v="Asian"/>
    <s v="Heart Disease"/>
    <s v="Not Reported"/>
    <s v="T019"/>
    <x v="3"/>
    <x v="3"/>
    <s v="5/14/2021"/>
    <s v="4/14/2022"/>
    <s v="150mg"/>
    <s v="Not Reported"/>
    <s v="TR0139"/>
    <s v="150mg"/>
    <x v="1"/>
    <s v="Nausea"/>
    <n v="64"/>
    <n v="0"/>
    <s v="TP53"/>
    <s v="Positive"/>
    <n v="4.5599999999999996"/>
    <n v="3.32"/>
    <n v="6.7"/>
    <n v="8.8000000000000007"/>
    <n v="11.1"/>
    <n v="150"/>
    <n v="150"/>
  </r>
  <r>
    <s v="P570"/>
    <n v="34"/>
    <s v="Male"/>
    <s v="Other"/>
    <s v="Asthma"/>
    <s v="Not Reported"/>
    <s v="T004"/>
    <x v="2"/>
    <x v="3"/>
    <s v="4/15/2023"/>
    <s v="2/15/2024"/>
    <s v="50mg"/>
    <s v="Dizziness, Headache"/>
    <s v="TR0128"/>
    <s v="50mg"/>
    <x v="2"/>
    <s v="Headache"/>
    <n v="46"/>
    <n v="0"/>
    <s v="BRCA2"/>
    <s v="Positive"/>
    <n v="3.87"/>
    <n v="2.08"/>
    <n v="2.8"/>
    <n v="11.6"/>
    <n v="7.1"/>
    <n v="50"/>
    <n v="50"/>
  </r>
  <r>
    <s v="P571"/>
    <n v="75"/>
    <s v="Other"/>
    <s v="Caucasian"/>
    <s v="Not Reported"/>
    <s v="BRCA2 Mutation"/>
    <s v="T003"/>
    <x v="0"/>
    <x v="1"/>
    <s v="10/9/2021"/>
    <s v="3/9/2023"/>
    <s v="50mg"/>
    <s v="Dizziness, Headache, Fatigue"/>
    <s v="TR0181"/>
    <s v="50mg"/>
    <x v="0"/>
    <s v="Headache"/>
    <n v="85"/>
    <n v="1"/>
    <s v="HER2"/>
    <s v="Negative"/>
    <n v="1.86"/>
    <n v="2.7"/>
    <n v="9.1999999999999993"/>
    <n v="15.1"/>
    <n v="6.2"/>
    <n v="50"/>
    <n v="50"/>
  </r>
  <r>
    <s v="P572"/>
    <n v="56"/>
    <s v="Female"/>
    <s v="Asian"/>
    <s v="Heart Disease"/>
    <s v="Not Reported"/>
    <s v="T017"/>
    <x v="3"/>
    <x v="2"/>
    <s v="11/19/2023"/>
    <s v="10/19/2024"/>
    <s v="50mg"/>
    <s v="Nausea, Not Reported, Headache"/>
    <s v="TR0031"/>
    <s v="50mg"/>
    <x v="0"/>
    <s v="Dizziness"/>
    <n v="46"/>
    <n v="1"/>
    <s v="EGFR"/>
    <s v="Negative"/>
    <n v="1.31"/>
    <n v="3.78"/>
    <n v="4.4000000000000004"/>
    <n v="20.8"/>
    <n v="14.2"/>
    <n v="50"/>
    <n v="50"/>
  </r>
  <r>
    <s v="P573"/>
    <n v="38"/>
    <s v="Other"/>
    <s v="Asian"/>
    <s v="Diabetes"/>
    <s v="Not Reported"/>
    <s v="T006"/>
    <x v="2"/>
    <x v="1"/>
    <s v="12/4/2022"/>
    <s v="11/4/2023"/>
    <s v="50mg"/>
    <s v="Headache"/>
    <s v="TR0147"/>
    <s v="50mg"/>
    <x v="2"/>
    <s v="Headache"/>
    <n v="134"/>
    <n v="0"/>
    <s v="HER2"/>
    <s v="Negative"/>
    <n v="4.18"/>
    <n v="2.09"/>
    <n v="7.2"/>
    <n v="10.8"/>
    <n v="19"/>
    <n v="50"/>
    <n v="50"/>
  </r>
  <r>
    <s v="P574"/>
    <n v="35"/>
    <s v="Female"/>
    <s v="Asian"/>
    <s v="Hypertension"/>
    <s v="BRCA2 Mutation"/>
    <s v="T014"/>
    <x v="0"/>
    <x v="0"/>
    <s v="3/9/2019"/>
    <s v="3/9/2020"/>
    <s v="100mg"/>
    <s v="Not Reported"/>
    <s v="TR0166"/>
    <s v="100mg"/>
    <x v="2"/>
    <s v="Nausea"/>
    <n v="116"/>
    <n v="0"/>
    <s v="HER2"/>
    <s v="Positive"/>
    <n v="3.55"/>
    <n v="2.2999999999999998"/>
    <n v="3.4"/>
    <n v="9.4"/>
    <n v="14.8"/>
    <n v="100"/>
    <n v="100"/>
  </r>
  <r>
    <s v="P575"/>
    <n v="85"/>
    <s v="Female"/>
    <s v="Caucasian"/>
    <s v="Heart Disease"/>
    <s v="EGFR Mutation"/>
    <s v="T002"/>
    <x v="0"/>
    <x v="1"/>
    <s v="1/17/2020"/>
    <s v="7/17/2020"/>
    <s v="50mg"/>
    <s v="Headache, Not Reported"/>
    <s v="TR0008"/>
    <s v="50mg"/>
    <x v="2"/>
    <s v="Dizziness"/>
    <n v="125"/>
    <n v="0"/>
    <s v="BRCA1"/>
    <s v="Positive"/>
    <n v="1.87"/>
    <n v="3.38"/>
    <n v="3.4"/>
    <n v="17.899999999999999"/>
    <n v="16.899999999999999"/>
    <n v="50"/>
    <n v="50"/>
  </r>
  <r>
    <s v="P576"/>
    <n v="42"/>
    <s v="Other"/>
    <s v="Other"/>
    <s v="Asthma"/>
    <s v="BRCA2 Mutation"/>
    <s v="T012"/>
    <x v="1"/>
    <x v="2"/>
    <s v="6/19/2023"/>
    <s v="2/19/2024"/>
    <s v="200mg"/>
    <s v="Fatigue, Dizziness, Headache"/>
    <s v="TR0008"/>
    <s v="200mg"/>
    <x v="2"/>
    <s v="Nausea"/>
    <n v="167"/>
    <n v="0"/>
    <s v="BRCA1"/>
    <s v="Negative"/>
    <n v="4.1100000000000003"/>
    <n v="4.04"/>
    <n v="2.7"/>
    <n v="7.6"/>
    <n v="14.9"/>
    <n v="200"/>
    <n v="200"/>
  </r>
  <r>
    <s v="P577"/>
    <n v="55"/>
    <s v="Male"/>
    <s v="African American"/>
    <s v="Diabetes"/>
    <s v="Not Reported"/>
    <s v="T006"/>
    <x v="1"/>
    <x v="0"/>
    <s v="10/5/2020"/>
    <s v="1/5/2022"/>
    <s v="150mg"/>
    <s v="Dizziness, Headache"/>
    <s v="TR0115"/>
    <s v="150mg"/>
    <x v="0"/>
    <s v="Dizziness"/>
    <n v="46"/>
    <n v="1"/>
    <s v="TP53"/>
    <s v="Positive"/>
    <n v="2.4700000000000002"/>
    <n v="2.73"/>
    <n v="1.3"/>
    <n v="10.7"/>
    <n v="3.6"/>
    <n v="150"/>
    <n v="150"/>
  </r>
  <r>
    <s v="P578"/>
    <n v="64"/>
    <s v="Male"/>
    <s v="Asian"/>
    <s v="Asthma"/>
    <s v="HER2 Mutation"/>
    <s v="T002"/>
    <x v="0"/>
    <x v="1"/>
    <s v="11/23/2022"/>
    <s v="5/23/2024"/>
    <s v="50mg"/>
    <s v="Nausea, Not Reported, Headache"/>
    <s v="TR0145"/>
    <s v="50mg"/>
    <x v="2"/>
    <s v="Dizziness"/>
    <n v="163"/>
    <n v="0"/>
    <s v="HER2"/>
    <s v="Positive"/>
    <n v="4.5199999999999996"/>
    <n v="1.97"/>
    <n v="6"/>
    <n v="6.7"/>
    <n v="14.3"/>
    <n v="50"/>
    <n v="50"/>
  </r>
  <r>
    <s v="P579"/>
    <n v="54"/>
    <s v="Female"/>
    <s v="Asian"/>
    <s v="Asthma"/>
    <s v="Not Reported"/>
    <s v="T010"/>
    <x v="3"/>
    <x v="0"/>
    <s v="7/3/2022"/>
    <s v="8/3/2023"/>
    <s v="50mg"/>
    <s v="Nausea, Not Reported"/>
    <s v="TR0144"/>
    <s v="50mg"/>
    <x v="1"/>
    <s v="Dizziness"/>
    <n v="129"/>
    <n v="0"/>
    <s v="TP53"/>
    <s v="Negative"/>
    <n v="2.29"/>
    <n v="4.59"/>
    <n v="9"/>
    <n v="11.9"/>
    <n v="18.3"/>
    <n v="50"/>
    <n v="50"/>
  </r>
  <r>
    <s v="P580"/>
    <n v="54"/>
    <s v="Other"/>
    <s v="Caucasian"/>
    <s v="Heart Disease"/>
    <s v="Not Reported"/>
    <s v="T007"/>
    <x v="1"/>
    <x v="3"/>
    <s v="12/19/2023"/>
    <s v="2/19/2025"/>
    <s v="100mg"/>
    <s v="Not Reported, Nausea, Dizziness"/>
    <s v="TR0008"/>
    <s v="100mg"/>
    <x v="0"/>
    <s v="Not Reported"/>
    <n v="128"/>
    <n v="1"/>
    <s v="BRCA2"/>
    <s v="Negative"/>
    <n v="4.9800000000000004"/>
    <n v="4.3"/>
    <n v="8.6"/>
    <n v="10.5"/>
    <n v="12.8"/>
    <n v="100"/>
    <n v="100"/>
  </r>
  <r>
    <s v="P581"/>
    <n v="24"/>
    <s v="Other"/>
    <s v="Hispanic"/>
    <s v="Heart Disease"/>
    <s v="Not Reported"/>
    <s v="T006"/>
    <x v="0"/>
    <x v="1"/>
    <s v="2/15/2020"/>
    <s v="10/15/2020"/>
    <s v="100mg"/>
    <s v="Not Reported, Nausea, Dizziness"/>
    <s v="TR0053"/>
    <s v="100mg"/>
    <x v="1"/>
    <s v="Fatigue"/>
    <n v="176"/>
    <n v="0"/>
    <s v="EGFR"/>
    <s v="Positive"/>
    <n v="1.27"/>
    <n v="1.38"/>
    <n v="10"/>
    <n v="11.9"/>
    <n v="15.7"/>
    <n v="100"/>
    <n v="100"/>
  </r>
  <r>
    <s v="P582"/>
    <n v="23"/>
    <s v="Female"/>
    <s v="Asian"/>
    <s v="Hypertension"/>
    <s v="Not Reported"/>
    <s v="T001"/>
    <x v="2"/>
    <x v="3"/>
    <s v="7/27/2020"/>
    <s v="4/27/2021"/>
    <s v="150mg"/>
    <s v="Nausea, Fatigue"/>
    <s v="TR0037"/>
    <s v="150mg"/>
    <x v="2"/>
    <s v="Fatigue"/>
    <n v="96"/>
    <n v="0"/>
    <s v="HER2"/>
    <s v="Negative"/>
    <n v="4.2300000000000004"/>
    <n v="4.43"/>
    <n v="10"/>
    <n v="10.3"/>
    <n v="3.7"/>
    <n v="150"/>
    <n v="150"/>
  </r>
  <r>
    <s v="P583"/>
    <n v="44"/>
    <s v="Other"/>
    <s v="African American"/>
    <s v="Asthma"/>
    <s v="Not Reported"/>
    <s v="T014"/>
    <x v="3"/>
    <x v="0"/>
    <s v="4/27/2021"/>
    <s v="10/27/2022"/>
    <s v="200mg"/>
    <s v="Dizziness, Nausea"/>
    <s v="TR0161"/>
    <s v="200mg"/>
    <x v="2"/>
    <s v="Headache"/>
    <n v="40"/>
    <n v="0"/>
    <s v="HER2"/>
    <s v="Positive"/>
    <n v="2.64"/>
    <n v="1.52"/>
    <n v="1.2"/>
    <n v="12.5"/>
    <n v="16.3"/>
    <n v="200"/>
    <n v="200"/>
  </r>
  <r>
    <s v="P584"/>
    <n v="46"/>
    <s v="Male"/>
    <s v="Caucasian"/>
    <s v="Hypertension"/>
    <s v="HER2 Mutation"/>
    <s v="T003"/>
    <x v="2"/>
    <x v="3"/>
    <s v="12/9/2020"/>
    <s v="4/9/2022"/>
    <s v="200mg"/>
    <s v="Dizziness, Not Reported"/>
    <s v="TR0073"/>
    <s v="200mg"/>
    <x v="2"/>
    <s v="Not Reported"/>
    <n v="57"/>
    <n v="0"/>
    <s v="BRCA1"/>
    <s v="Negative"/>
    <n v="3.26"/>
    <n v="2.25"/>
    <n v="6.9"/>
    <n v="10.199999999999999"/>
    <n v="3.2"/>
    <n v="200"/>
    <n v="200"/>
  </r>
  <r>
    <s v="P585"/>
    <n v="43"/>
    <s v="Male"/>
    <s v="Other"/>
    <s v="Asthma"/>
    <s v="EGFR Mutation"/>
    <s v="T002"/>
    <x v="3"/>
    <x v="0"/>
    <s v="2/8/2019"/>
    <s v="8/8/2019"/>
    <s v="200mg"/>
    <s v="Nausea"/>
    <s v="TR0196"/>
    <s v="200mg"/>
    <x v="2"/>
    <s v="Nausea"/>
    <n v="91"/>
    <n v="0"/>
    <s v="HER2"/>
    <s v="Negative"/>
    <n v="4.0599999999999996"/>
    <n v="3.49"/>
    <n v="7.9"/>
    <n v="6.7"/>
    <n v="17.2"/>
    <n v="200"/>
    <n v="200"/>
  </r>
  <r>
    <s v="P586"/>
    <n v="74"/>
    <s v="Other"/>
    <s v="Asian"/>
    <s v="Asthma"/>
    <s v="Not Reported"/>
    <s v="T002"/>
    <x v="2"/>
    <x v="2"/>
    <s v="1/19/2021"/>
    <s v="7/19/2021"/>
    <s v="100mg"/>
    <s v="Not Reported, Fatigue"/>
    <s v="TR0090"/>
    <s v="100mg"/>
    <x v="1"/>
    <s v="Fatigue"/>
    <n v="44"/>
    <n v="0"/>
    <s v="HER2"/>
    <s v="Negative"/>
    <n v="3.48"/>
    <n v="3.25"/>
    <n v="6.6"/>
    <n v="21.6"/>
    <n v="13"/>
    <n v="100"/>
    <n v="100"/>
  </r>
  <r>
    <s v="P587"/>
    <n v="37"/>
    <s v="Female"/>
    <s v="Other"/>
    <s v="Hypertension"/>
    <s v="BRCA2 Mutation"/>
    <s v="T011"/>
    <x v="3"/>
    <x v="1"/>
    <s v="2/27/2022"/>
    <s v="11/27/2022"/>
    <s v="150mg"/>
    <s v="Fatigue, Dizziness, Not Reported"/>
    <s v="TR0082"/>
    <s v="150mg"/>
    <x v="0"/>
    <s v="Nausea"/>
    <n v="46"/>
    <n v="1"/>
    <s v="HER2"/>
    <s v="Positive"/>
    <n v="3.32"/>
    <n v="4.96"/>
    <n v="7.8"/>
    <n v="14"/>
    <n v="15"/>
    <n v="150"/>
    <n v="150"/>
  </r>
  <r>
    <s v="P588"/>
    <n v="39"/>
    <s v="Other"/>
    <s v="African American"/>
    <s v="Not Reported"/>
    <s v="BRCA1 Mutation"/>
    <s v="T008"/>
    <x v="1"/>
    <x v="0"/>
    <s v="10/2/2019"/>
    <s v="10/2/2020"/>
    <s v="50mg"/>
    <s v="Nausea"/>
    <s v="TR0145"/>
    <s v="50mg"/>
    <x v="2"/>
    <s v="Nausea"/>
    <n v="35"/>
    <n v="0"/>
    <s v="HER2"/>
    <s v="Negative"/>
    <n v="2.56"/>
    <n v="1.92"/>
    <n v="6.4"/>
    <n v="22.7"/>
    <n v="18.8"/>
    <n v="50"/>
    <n v="50"/>
  </r>
  <r>
    <s v="P589"/>
    <n v="54"/>
    <s v="Other"/>
    <s v="Other"/>
    <s v="Asthma"/>
    <s v="BRCA2 Mutation"/>
    <s v="T016"/>
    <x v="0"/>
    <x v="3"/>
    <s v="8/5/2022"/>
    <s v="9/5/2023"/>
    <s v="150mg"/>
    <s v="Fatigue"/>
    <s v="TR0074"/>
    <s v="150mg"/>
    <x v="2"/>
    <s v="Fatigue"/>
    <n v="129"/>
    <n v="0"/>
    <s v="TP53"/>
    <s v="Positive"/>
    <n v="2.37"/>
    <n v="3.11"/>
    <n v="2.9"/>
    <n v="23.9"/>
    <n v="19.7"/>
    <n v="150"/>
    <n v="150"/>
  </r>
  <r>
    <s v="P590"/>
    <n v="65"/>
    <s v="Other"/>
    <s v="Caucasian"/>
    <s v="Asthma"/>
    <s v="Not Reported"/>
    <s v="T005"/>
    <x v="1"/>
    <x v="0"/>
    <s v="12/18/2022"/>
    <s v="9/18/2023"/>
    <s v="200mg"/>
    <s v="Not Reported"/>
    <s v="TR0054"/>
    <s v="200mg"/>
    <x v="1"/>
    <s v="Headache"/>
    <n v="136"/>
    <n v="0"/>
    <s v="HER2"/>
    <s v="Negative"/>
    <n v="3.6"/>
    <n v="4.22"/>
    <n v="7.4"/>
    <n v="16.7"/>
    <n v="3.9"/>
    <n v="200"/>
    <n v="200"/>
  </r>
  <r>
    <s v="P591"/>
    <n v="74"/>
    <s v="Female"/>
    <s v="Hispanic"/>
    <s v="Not Reported"/>
    <s v="HER2 Mutation"/>
    <s v="T005"/>
    <x v="2"/>
    <x v="2"/>
    <s v="12/7/2020"/>
    <s v="3/7/2022"/>
    <s v="100mg"/>
    <s v="Dizziness, Not Reported, Fatigue"/>
    <s v="TR0141"/>
    <s v="100mg"/>
    <x v="1"/>
    <s v="Not Reported"/>
    <n v="108"/>
    <n v="0"/>
    <s v="BRCA2"/>
    <s v="Negative"/>
    <n v="2.82"/>
    <n v="3.7"/>
    <n v="7.1"/>
    <n v="12.7"/>
    <n v="19"/>
    <n v="100"/>
    <n v="100"/>
  </r>
  <r>
    <s v="P592"/>
    <n v="36"/>
    <s v="Female"/>
    <s v="Caucasian"/>
    <s v="Heart Disease"/>
    <s v="Not Reported"/>
    <s v="T010"/>
    <x v="3"/>
    <x v="1"/>
    <s v="4/11/2020"/>
    <s v="6/11/2021"/>
    <s v="100mg"/>
    <s v="Headache, Dizziness, Nausea"/>
    <s v="TR0114"/>
    <s v="100mg"/>
    <x v="0"/>
    <s v="Fatigue"/>
    <n v="128"/>
    <n v="1"/>
    <s v="EGFR"/>
    <s v="Positive"/>
    <n v="1.67"/>
    <n v="3"/>
    <n v="7.2"/>
    <n v="18.5"/>
    <n v="14"/>
    <n v="100"/>
    <n v="100"/>
  </r>
  <r>
    <s v="P593"/>
    <n v="52"/>
    <s v="Other"/>
    <s v="Other"/>
    <s v="Diabetes"/>
    <s v="Not Reported"/>
    <s v="T019"/>
    <x v="2"/>
    <x v="2"/>
    <s v="6/15/2022"/>
    <s v="3/15/2023"/>
    <s v="100mg"/>
    <s v="Not Reported, Nausea"/>
    <s v="TR0174"/>
    <s v="100mg"/>
    <x v="0"/>
    <s v="Nausea"/>
    <n v="51"/>
    <n v="1"/>
    <s v="BRCA1"/>
    <s v="Positive"/>
    <n v="2.1"/>
    <n v="1.62"/>
    <n v="6.7"/>
    <n v="16.8"/>
    <n v="6"/>
    <n v="100"/>
    <n v="100"/>
  </r>
  <r>
    <s v="P594"/>
    <n v="24"/>
    <s v="Female"/>
    <s v="Caucasian"/>
    <s v="Not Reported"/>
    <s v="Not Reported"/>
    <s v="T012"/>
    <x v="2"/>
    <x v="2"/>
    <s v="5/27/2020"/>
    <s v="12/27/2020"/>
    <s v="150mg"/>
    <s v="Not Reported, Headache, Fatigue"/>
    <s v="TR0087"/>
    <s v="150mg"/>
    <x v="2"/>
    <s v="Fatigue"/>
    <n v="104"/>
    <n v="0"/>
    <s v="TP53"/>
    <s v="Positive"/>
    <n v="3.82"/>
    <n v="2.82"/>
    <n v="7"/>
    <n v="21.1"/>
    <n v="5.9"/>
    <n v="150"/>
    <n v="150"/>
  </r>
  <r>
    <s v="P595"/>
    <n v="38"/>
    <s v="Male"/>
    <s v="Asian"/>
    <s v="Asthma"/>
    <s v="EGFR Mutation"/>
    <s v="T014"/>
    <x v="2"/>
    <x v="0"/>
    <s v="12/28/2021"/>
    <s v="9/28/2022"/>
    <s v="50mg"/>
    <s v="Fatigue, Headache, Nausea"/>
    <s v="TR0194"/>
    <s v="50mg"/>
    <x v="0"/>
    <s v="Fatigue"/>
    <n v="127"/>
    <n v="1"/>
    <s v="HER2"/>
    <s v="Negative"/>
    <n v="1.08"/>
    <n v="4.12"/>
    <n v="6.5"/>
    <n v="18.600000000000001"/>
    <n v="17.2"/>
    <n v="50"/>
    <n v="50"/>
  </r>
  <r>
    <s v="P596"/>
    <n v="79"/>
    <s v="Male"/>
    <s v="Caucasian"/>
    <s v="Heart Disease"/>
    <s v="Not Reported"/>
    <s v="T012"/>
    <x v="3"/>
    <x v="2"/>
    <s v="1/16/2022"/>
    <s v="5/16/2023"/>
    <s v="150mg"/>
    <s v="Nausea, Not Reported"/>
    <s v="TR0018"/>
    <s v="150mg"/>
    <x v="0"/>
    <s v="Fatigue"/>
    <n v="106"/>
    <n v="1"/>
    <s v="HER2"/>
    <s v="Positive"/>
    <n v="4.21"/>
    <n v="4.84"/>
    <n v="5.8"/>
    <n v="14.8"/>
    <n v="9.8000000000000007"/>
    <n v="150"/>
    <n v="150"/>
  </r>
  <r>
    <s v="P597"/>
    <n v="32"/>
    <s v="Other"/>
    <s v="Asian"/>
    <s v="Not Reported"/>
    <s v="BRCA1 Mutation"/>
    <s v="T012"/>
    <x v="3"/>
    <x v="1"/>
    <s v="10/14/2023"/>
    <s v="6/14/2024"/>
    <s v="150mg"/>
    <s v="Fatigue, Not Reported"/>
    <s v="TR0134"/>
    <s v="150mg"/>
    <x v="0"/>
    <s v="Headache"/>
    <n v="111"/>
    <n v="1"/>
    <s v="BRCA2"/>
    <s v="Positive"/>
    <n v="1.61"/>
    <n v="3.29"/>
    <n v="3.5"/>
    <n v="22.6"/>
    <n v="12.9"/>
    <n v="150"/>
    <n v="150"/>
  </r>
  <r>
    <s v="P598"/>
    <n v="48"/>
    <s v="Other"/>
    <s v="African American"/>
    <s v="Not Reported"/>
    <s v="HER2 Mutation"/>
    <s v="T011"/>
    <x v="1"/>
    <x v="3"/>
    <s v="11/3/2022"/>
    <s v="10/3/2023"/>
    <s v="50mg"/>
    <s v="Dizziness"/>
    <s v="TR0003"/>
    <s v="50mg"/>
    <x v="2"/>
    <s v="Dizziness"/>
    <n v="34"/>
    <n v="0"/>
    <s v="TP53"/>
    <s v="Negative"/>
    <n v="3.37"/>
    <n v="2.42"/>
    <n v="1.5"/>
    <n v="6.6"/>
    <n v="10.199999999999999"/>
    <n v="50"/>
    <n v="50"/>
  </r>
  <r>
    <s v="P599"/>
    <n v="43"/>
    <s v="Female"/>
    <s v="Hispanic"/>
    <s v="Asthma"/>
    <s v="TP53 Mutation"/>
    <s v="T013"/>
    <x v="0"/>
    <x v="3"/>
    <s v="7/14/2023"/>
    <s v="12/14/2024"/>
    <s v="150mg"/>
    <s v="Not Reported"/>
    <s v="TR0185"/>
    <s v="150mg"/>
    <x v="1"/>
    <s v="Dizziness"/>
    <n v="79"/>
    <n v="0"/>
    <s v="HER2"/>
    <s v="Negative"/>
    <n v="1.34"/>
    <n v="3.43"/>
    <n v="8.9"/>
    <n v="21.9"/>
    <n v="14.2"/>
    <n v="150"/>
    <n v="150"/>
  </r>
  <r>
    <s v="P600"/>
    <n v="52"/>
    <s v="Male"/>
    <s v="Hispanic"/>
    <s v="Hypertension"/>
    <s v="Not Reported"/>
    <s v="T011"/>
    <x v="1"/>
    <x v="1"/>
    <s v="2/8/2020"/>
    <s v="9/8/2020"/>
    <s v="100mg"/>
    <s v="Nausea, Fatigue"/>
    <s v="TR0147"/>
    <s v="100mg"/>
    <x v="0"/>
    <s v="Nausea"/>
    <n v="49"/>
    <n v="1"/>
    <s v="BRCA1"/>
    <s v="Positive"/>
    <n v="1.84"/>
    <n v="4.45"/>
    <n v="9"/>
    <n v="9.5"/>
    <n v="15.5"/>
    <n v="100"/>
    <n v="100"/>
  </r>
  <r>
    <s v="P601"/>
    <n v="61"/>
    <s v="Other"/>
    <s v="Caucasian"/>
    <s v="Diabetes"/>
    <s v="Not Reported"/>
    <s v="T015"/>
    <x v="0"/>
    <x v="1"/>
    <s v="2/2/2023"/>
    <s v="7/2/2024"/>
    <s v="100mg"/>
    <s v="Nausea"/>
    <s v="TR0048"/>
    <s v="100mg"/>
    <x v="0"/>
    <s v="Nausea"/>
    <n v="30"/>
    <n v="1"/>
    <s v="HER2"/>
    <s v="Positive"/>
    <n v="2.15"/>
    <n v="4.21"/>
    <n v="10"/>
    <n v="6.5"/>
    <n v="18.3"/>
    <n v="100"/>
    <n v="100"/>
  </r>
  <r>
    <s v="P602"/>
    <n v="44"/>
    <s v="Male"/>
    <s v="Caucasian"/>
    <s v="Asthma"/>
    <s v="EGFR Mutation"/>
    <s v="T007"/>
    <x v="3"/>
    <x v="2"/>
    <s v="10/23/2022"/>
    <s v="6/23/2023"/>
    <s v="200mg"/>
    <s v="Dizziness, Nausea"/>
    <s v="TR0114"/>
    <s v="200mg"/>
    <x v="0"/>
    <s v="Dizziness"/>
    <n v="31"/>
    <n v="1"/>
    <s v="BRCA1"/>
    <s v="Positive"/>
    <n v="3.49"/>
    <n v="4.8899999999999997"/>
    <n v="5.2"/>
    <n v="21.3"/>
    <n v="4.0999999999999996"/>
    <n v="200"/>
    <n v="200"/>
  </r>
  <r>
    <s v="P603"/>
    <n v="43"/>
    <s v="Female"/>
    <s v="Asian"/>
    <s v="Heart Disease"/>
    <s v="Not Reported"/>
    <s v="T007"/>
    <x v="1"/>
    <x v="1"/>
    <s v="3/28/2020"/>
    <s v="2/28/2021"/>
    <s v="100mg"/>
    <s v="Headache"/>
    <s v="TR0163"/>
    <s v="100mg"/>
    <x v="2"/>
    <s v="Not Reported"/>
    <n v="135"/>
    <n v="0"/>
    <s v="EGFR"/>
    <s v="Negative"/>
    <n v="2.34"/>
    <n v="1.27"/>
    <n v="9.8000000000000007"/>
    <n v="20.7"/>
    <n v="17.5"/>
    <n v="100"/>
    <n v="100"/>
  </r>
  <r>
    <s v="P604"/>
    <n v="45"/>
    <s v="Female"/>
    <s v="African American"/>
    <s v="Not Reported"/>
    <s v="Not Reported"/>
    <s v="T017"/>
    <x v="1"/>
    <x v="3"/>
    <s v="3/3/2021"/>
    <s v="9/3/2021"/>
    <s v="50mg"/>
    <s v="Not Reported, Nausea"/>
    <s v="TR0159"/>
    <s v="50mg"/>
    <x v="1"/>
    <s v="Nausea"/>
    <n v="144"/>
    <n v="0"/>
    <s v="BRCA1"/>
    <s v="Positive"/>
    <n v="4.75"/>
    <n v="1.34"/>
    <n v="4.5"/>
    <n v="7.3"/>
    <n v="6.6"/>
    <n v="50"/>
    <n v="50"/>
  </r>
  <r>
    <s v="P605"/>
    <n v="58"/>
    <s v="Other"/>
    <s v="African American"/>
    <s v="Heart Disease"/>
    <s v="Not Reported"/>
    <s v="T003"/>
    <x v="0"/>
    <x v="3"/>
    <s v="6/24/2022"/>
    <s v="12/24/2023"/>
    <s v="200mg"/>
    <s v="Headache, Not Reported"/>
    <s v="TR0196"/>
    <s v="200mg"/>
    <x v="1"/>
    <s v="Not Reported"/>
    <n v="169"/>
    <n v="0"/>
    <s v="BRCA2"/>
    <s v="Positive"/>
    <n v="1.92"/>
    <n v="2.88"/>
    <n v="3.4"/>
    <n v="7.8"/>
    <n v="5.8"/>
    <n v="200"/>
    <n v="200"/>
  </r>
  <r>
    <s v="P606"/>
    <n v="39"/>
    <s v="Male"/>
    <s v="African American"/>
    <s v="Asthma"/>
    <s v="HER2 Mutation"/>
    <s v="T011"/>
    <x v="3"/>
    <x v="0"/>
    <s v="8/5/2022"/>
    <s v="4/5/2023"/>
    <s v="200mg"/>
    <s v="Nausea, Fatigue"/>
    <s v="TR0082"/>
    <s v="200mg"/>
    <x v="1"/>
    <s v="Fatigue"/>
    <n v="132"/>
    <n v="0"/>
    <s v="TP53"/>
    <s v="Positive"/>
    <n v="1.59"/>
    <n v="4.8899999999999997"/>
    <n v="7.8"/>
    <n v="23.4"/>
    <n v="10.5"/>
    <n v="200"/>
    <n v="200"/>
  </r>
  <r>
    <s v="P607"/>
    <n v="73"/>
    <s v="Other"/>
    <s v="Asian"/>
    <s v="Diabetes"/>
    <s v="Not Reported"/>
    <s v="T006"/>
    <x v="2"/>
    <x v="1"/>
    <s v="7/16/2019"/>
    <s v="3/16/2020"/>
    <s v="150mg"/>
    <s v="Fatigue, Nausea"/>
    <s v="TR0128"/>
    <s v="150mg"/>
    <x v="1"/>
    <s v="Fatigue"/>
    <n v="107"/>
    <n v="0"/>
    <s v="EGFR"/>
    <s v="Negative"/>
    <n v="2.11"/>
    <n v="4.1900000000000004"/>
    <n v="3.9"/>
    <n v="11.4"/>
    <n v="7"/>
    <n v="150"/>
    <n v="150"/>
  </r>
  <r>
    <s v="P608"/>
    <n v="47"/>
    <s v="Male"/>
    <s v="Hispanic"/>
    <s v="Heart Disease"/>
    <s v="Not Reported"/>
    <s v="T014"/>
    <x v="3"/>
    <x v="2"/>
    <s v="11/2/2022"/>
    <s v="10/2/2023"/>
    <s v="50mg"/>
    <s v="Not Reported"/>
    <s v="TR0181"/>
    <s v="50mg"/>
    <x v="1"/>
    <s v="Dizziness"/>
    <n v="104"/>
    <n v="0"/>
    <s v="BRCA2"/>
    <s v="Positive"/>
    <n v="1.52"/>
    <n v="2.0299999999999998"/>
    <n v="4.2"/>
    <n v="18.100000000000001"/>
    <n v="4.0999999999999996"/>
    <n v="50"/>
    <n v="50"/>
  </r>
  <r>
    <s v="P609"/>
    <n v="84"/>
    <s v="Female"/>
    <s v="Asian"/>
    <s v="Asthma"/>
    <s v="TP53 Mutation"/>
    <s v="T006"/>
    <x v="0"/>
    <x v="3"/>
    <s v="7/20/2023"/>
    <s v="2/20/2024"/>
    <s v="100mg"/>
    <s v="Not Reported, Dizziness, Headache"/>
    <s v="TR0096"/>
    <s v="100mg"/>
    <x v="2"/>
    <s v="Fatigue"/>
    <n v="124"/>
    <n v="0"/>
    <s v="EGFR"/>
    <s v="Negative"/>
    <n v="1.84"/>
    <n v="4.24"/>
    <n v="2.2999999999999998"/>
    <n v="12.2"/>
    <n v="17.7"/>
    <n v="100"/>
    <n v="100"/>
  </r>
  <r>
    <s v="P610"/>
    <n v="26"/>
    <s v="Male"/>
    <s v="Hispanic"/>
    <s v="Not Reported"/>
    <s v="BRCA2 Mutation"/>
    <s v="T011"/>
    <x v="2"/>
    <x v="3"/>
    <s v="5/18/2022"/>
    <s v="4/18/2023"/>
    <s v="150mg"/>
    <s v="Fatigue, Dizziness, Headache"/>
    <s v="TR0162"/>
    <s v="150mg"/>
    <x v="2"/>
    <s v="Fatigue"/>
    <n v="90"/>
    <n v="0"/>
    <s v="BRCA2"/>
    <s v="Negative"/>
    <n v="1.62"/>
    <n v="1.33"/>
    <n v="5.4"/>
    <n v="11.4"/>
    <n v="12.6"/>
    <n v="150"/>
    <n v="150"/>
  </r>
  <r>
    <s v="P611"/>
    <n v="78"/>
    <s v="Male"/>
    <s v="African American"/>
    <s v="Heart Disease"/>
    <s v="Not Reported"/>
    <s v="T013"/>
    <x v="2"/>
    <x v="3"/>
    <s v="9/16/2019"/>
    <s v="10/16/2020"/>
    <s v="150mg"/>
    <s v="Headache"/>
    <s v="TR0100"/>
    <s v="150mg"/>
    <x v="0"/>
    <s v="Not Reported"/>
    <n v="66"/>
    <n v="1"/>
    <s v="TP53"/>
    <s v="Positive"/>
    <n v="4.22"/>
    <n v="1.55"/>
    <n v="6.2"/>
    <n v="15.1"/>
    <n v="5.4"/>
    <n v="150"/>
    <n v="150"/>
  </r>
  <r>
    <s v="P612"/>
    <n v="78"/>
    <s v="Male"/>
    <s v="Asian"/>
    <s v="Hypertension"/>
    <s v="EGFR Mutation"/>
    <s v="T016"/>
    <x v="2"/>
    <x v="3"/>
    <s v="8/11/2021"/>
    <s v="11/11/2022"/>
    <s v="100mg"/>
    <s v="Fatigue, Nausea, Dizziness"/>
    <s v="TR0188"/>
    <s v="100mg"/>
    <x v="0"/>
    <s v="Fatigue"/>
    <n v="164"/>
    <n v="1"/>
    <s v="EGFR"/>
    <s v="Negative"/>
    <n v="3.5"/>
    <n v="2.09"/>
    <n v="5.4"/>
    <n v="7.5"/>
    <n v="10.8"/>
    <n v="100"/>
    <n v="100"/>
  </r>
  <r>
    <s v="P613"/>
    <n v="49"/>
    <s v="Female"/>
    <s v="Hispanic"/>
    <s v="Hypertension"/>
    <s v="BRCA2 Mutation"/>
    <s v="T005"/>
    <x v="0"/>
    <x v="1"/>
    <s v="11/21/2019"/>
    <s v="5/21/2021"/>
    <s v="200mg"/>
    <s v="Not Reported"/>
    <s v="TR0120"/>
    <s v="200mg"/>
    <x v="0"/>
    <s v="Headache"/>
    <n v="127"/>
    <n v="1"/>
    <s v="EGFR"/>
    <s v="Positive"/>
    <n v="2.23"/>
    <n v="4.29"/>
    <n v="1.5"/>
    <n v="13.5"/>
    <n v="10.8"/>
    <n v="200"/>
    <n v="200"/>
  </r>
  <r>
    <s v="P614"/>
    <n v="74"/>
    <s v="Female"/>
    <s v="Caucasian"/>
    <s v="Not Reported"/>
    <s v="BRCA2 Mutation"/>
    <s v="T020"/>
    <x v="3"/>
    <x v="3"/>
    <s v="10/5/2020"/>
    <s v="9/5/2021"/>
    <s v="50mg"/>
    <s v="Nausea"/>
    <s v="TR0084"/>
    <s v="50mg"/>
    <x v="2"/>
    <s v="Headache"/>
    <n v="124"/>
    <n v="0"/>
    <s v="BRCA2"/>
    <s v="Negative"/>
    <n v="3.9"/>
    <n v="3.3"/>
    <n v="7"/>
    <n v="20"/>
    <n v="17.7"/>
    <n v="50"/>
    <n v="50"/>
  </r>
  <r>
    <s v="P615"/>
    <n v="66"/>
    <s v="Other"/>
    <s v="Caucasian"/>
    <s v="Asthma"/>
    <s v="Not Reported"/>
    <s v="T013"/>
    <x v="2"/>
    <x v="3"/>
    <s v="1/21/2023"/>
    <s v="11/21/2023"/>
    <s v="150mg"/>
    <s v="Dizziness, Nausea, Not Reported"/>
    <s v="TR0015"/>
    <s v="150mg"/>
    <x v="2"/>
    <s v="Fatigue"/>
    <n v="157"/>
    <n v="0"/>
    <s v="BRCA1"/>
    <s v="Positive"/>
    <n v="2.2599999999999998"/>
    <n v="3.15"/>
    <n v="8.6"/>
    <n v="23.8"/>
    <n v="18.100000000000001"/>
    <n v="150"/>
    <n v="150"/>
  </r>
  <r>
    <s v="P616"/>
    <n v="35"/>
    <s v="Male"/>
    <s v="Caucasian"/>
    <s v="Heart Disease"/>
    <s v="BRCA2 Mutation"/>
    <s v="T003"/>
    <x v="0"/>
    <x v="3"/>
    <s v="2/14/2021"/>
    <s v="1/14/2022"/>
    <s v="50mg"/>
    <s v="Headache, Nausea"/>
    <s v="TR0135"/>
    <s v="50mg"/>
    <x v="1"/>
    <s v="Headache"/>
    <n v="69"/>
    <n v="0"/>
    <s v="EGFR"/>
    <s v="Positive"/>
    <n v="2.4900000000000002"/>
    <n v="1.78"/>
    <n v="5.4"/>
    <n v="19.3"/>
    <n v="11.4"/>
    <n v="50"/>
    <n v="50"/>
  </r>
  <r>
    <s v="P617"/>
    <n v="44"/>
    <s v="Female"/>
    <s v="Asian"/>
    <s v="Hypertension"/>
    <s v="Not Reported"/>
    <s v="T009"/>
    <x v="2"/>
    <x v="2"/>
    <s v="11/22/2019"/>
    <s v="1/22/2021"/>
    <s v="50mg"/>
    <s v="Fatigue"/>
    <s v="TR0123"/>
    <s v="50mg"/>
    <x v="0"/>
    <s v="Nausea"/>
    <n v="86"/>
    <n v="1"/>
    <s v="BRCA2"/>
    <s v="Positive"/>
    <n v="2.93"/>
    <n v="4.3499999999999996"/>
    <n v="4.3"/>
    <n v="21.5"/>
    <n v="9.9"/>
    <n v="50"/>
    <n v="50"/>
  </r>
  <r>
    <s v="P618"/>
    <n v="35"/>
    <s v="Other"/>
    <s v="African American"/>
    <s v="Not Reported"/>
    <s v="HER2 Mutation"/>
    <s v="T001"/>
    <x v="0"/>
    <x v="0"/>
    <s v="11/23/2019"/>
    <s v="4/23/2021"/>
    <s v="200mg"/>
    <s v="Nausea, Dizziness, Headache"/>
    <s v="TR0151"/>
    <s v="200mg"/>
    <x v="0"/>
    <s v="Fatigue"/>
    <n v="88"/>
    <n v="1"/>
    <s v="EGFR"/>
    <s v="Negative"/>
    <n v="2.31"/>
    <n v="2.82"/>
    <n v="7.9"/>
    <n v="8.3000000000000007"/>
    <n v="6.3"/>
    <n v="200"/>
    <n v="200"/>
  </r>
  <r>
    <s v="P619"/>
    <n v="18"/>
    <s v="Female"/>
    <s v="Caucasian"/>
    <s v="Heart Disease"/>
    <s v="Not Reported"/>
    <s v="T017"/>
    <x v="2"/>
    <x v="0"/>
    <s v="3/18/2020"/>
    <s v="9/18/2020"/>
    <s v="150mg"/>
    <s v="Dizziness, Not Reported"/>
    <s v="TR0131"/>
    <s v="150mg"/>
    <x v="1"/>
    <s v="Fatigue"/>
    <n v="81"/>
    <n v="0"/>
    <s v="EGFR"/>
    <s v="Negative"/>
    <n v="4.8099999999999996"/>
    <n v="1.7"/>
    <n v="6.1"/>
    <n v="16.399999999999999"/>
    <n v="11.3"/>
    <n v="150"/>
    <n v="150"/>
  </r>
  <r>
    <s v="P620"/>
    <n v="60"/>
    <s v="Male"/>
    <s v="African American"/>
    <s v="Not Reported"/>
    <s v="TP53 Mutation"/>
    <s v="T015"/>
    <x v="1"/>
    <x v="0"/>
    <s v="11/22/2023"/>
    <s v="1/22/2025"/>
    <s v="200mg"/>
    <s v="Fatigue"/>
    <s v="TR0029"/>
    <s v="200mg"/>
    <x v="0"/>
    <s v="Headache"/>
    <n v="57"/>
    <n v="1"/>
    <s v="BRCA2"/>
    <s v="Positive"/>
    <n v="3.58"/>
    <n v="1.92"/>
    <n v="6"/>
    <n v="12.7"/>
    <n v="14.2"/>
    <n v="200"/>
    <n v="200"/>
  </r>
  <r>
    <s v="P621"/>
    <n v="56"/>
    <s v="Other"/>
    <s v="Asian"/>
    <s v="Heart Disease"/>
    <s v="Not Reported"/>
    <s v="T012"/>
    <x v="3"/>
    <x v="1"/>
    <s v="10/27/2020"/>
    <s v="8/27/2021"/>
    <s v="100mg"/>
    <s v="Nausea, Not Reported, Dizziness"/>
    <s v="TR0056"/>
    <s v="100mg"/>
    <x v="0"/>
    <s v="Not Reported"/>
    <n v="82"/>
    <n v="1"/>
    <s v="HER2"/>
    <s v="Negative"/>
    <n v="1.56"/>
    <n v="3.28"/>
    <n v="2.7"/>
    <n v="11"/>
    <n v="6.7"/>
    <n v="100"/>
    <n v="100"/>
  </r>
  <r>
    <s v="P622"/>
    <n v="59"/>
    <s v="Female"/>
    <s v="Hispanic"/>
    <s v="Heart Disease"/>
    <s v="Not Reported"/>
    <s v="T016"/>
    <x v="3"/>
    <x v="3"/>
    <s v="2/20/2020"/>
    <s v="9/20/2020"/>
    <s v="50mg"/>
    <s v="Dizziness"/>
    <s v="TR0013"/>
    <s v="50mg"/>
    <x v="0"/>
    <s v="Not Reported"/>
    <n v="30"/>
    <n v="1"/>
    <s v="TP53"/>
    <s v="Negative"/>
    <n v="1.73"/>
    <n v="4.3"/>
    <n v="3.6"/>
    <n v="22.7"/>
    <n v="19.5"/>
    <n v="50"/>
    <n v="50"/>
  </r>
  <r>
    <s v="P623"/>
    <n v="66"/>
    <s v="Other"/>
    <s v="Other"/>
    <s v="Diabetes"/>
    <s v="TP53 Mutation"/>
    <s v="T007"/>
    <x v="2"/>
    <x v="0"/>
    <s v="2/9/2021"/>
    <s v="2/9/2022"/>
    <s v="50mg"/>
    <s v="Nausea, Dizziness"/>
    <s v="TR0078"/>
    <s v="50mg"/>
    <x v="0"/>
    <s v="Not Reported"/>
    <n v="146"/>
    <n v="1"/>
    <s v="BRCA2"/>
    <s v="Positive"/>
    <n v="3.29"/>
    <n v="1.57"/>
    <n v="4.4000000000000004"/>
    <n v="20.399999999999999"/>
    <n v="9.1999999999999993"/>
    <n v="50"/>
    <n v="50"/>
  </r>
  <r>
    <s v="P624"/>
    <n v="21"/>
    <s v="Female"/>
    <s v="Asian"/>
    <s v="Hypertension"/>
    <s v="BRCA2 Mutation"/>
    <s v="T015"/>
    <x v="0"/>
    <x v="3"/>
    <s v="12/19/2019"/>
    <s v="1/19/2021"/>
    <s v="50mg"/>
    <s v="Fatigue, Dizziness, Nausea"/>
    <s v="TR0102"/>
    <s v="50mg"/>
    <x v="2"/>
    <s v="Headache"/>
    <n v="37"/>
    <n v="0"/>
    <s v="BRCA1"/>
    <s v="Negative"/>
    <n v="1.35"/>
    <n v="3.23"/>
    <n v="8.6"/>
    <n v="20.3"/>
    <n v="6"/>
    <n v="50"/>
    <n v="50"/>
  </r>
  <r>
    <s v="P625"/>
    <n v="73"/>
    <s v="Female"/>
    <s v="Hispanic"/>
    <s v="Diabetes"/>
    <s v="Not Reported"/>
    <s v="T019"/>
    <x v="1"/>
    <x v="1"/>
    <s v="12/10/2021"/>
    <s v="5/10/2023"/>
    <s v="200mg"/>
    <s v="Not Reported"/>
    <s v="TR0007"/>
    <s v="200mg"/>
    <x v="2"/>
    <s v="Not Reported"/>
    <n v="78"/>
    <n v="0"/>
    <s v="BRCA2"/>
    <s v="Negative"/>
    <n v="3.69"/>
    <n v="1.88"/>
    <n v="3"/>
    <n v="21.7"/>
    <n v="7.2"/>
    <n v="200"/>
    <n v="200"/>
  </r>
  <r>
    <s v="P626"/>
    <n v="18"/>
    <s v="Other"/>
    <s v="Caucasian"/>
    <s v="Heart Disease"/>
    <s v="Not Reported"/>
    <s v="T014"/>
    <x v="3"/>
    <x v="2"/>
    <s v="5/12/2019"/>
    <s v="12/12/2019"/>
    <s v="150mg"/>
    <s v="Headache, Fatigue"/>
    <s v="TR0096"/>
    <s v="150mg"/>
    <x v="2"/>
    <s v="Not Reported"/>
    <n v="171"/>
    <n v="0"/>
    <s v="EGFR"/>
    <s v="Positive"/>
    <n v="2.0499999999999998"/>
    <n v="1"/>
    <n v="8.8000000000000007"/>
    <n v="20.3"/>
    <n v="13.7"/>
    <n v="150"/>
    <n v="150"/>
  </r>
  <r>
    <s v="P627"/>
    <n v="59"/>
    <s v="Other"/>
    <s v="African American"/>
    <s v="Asthma"/>
    <s v="HER2 Mutation"/>
    <s v="T012"/>
    <x v="3"/>
    <x v="3"/>
    <s v="3/27/2021"/>
    <s v="7/27/2022"/>
    <s v="200mg"/>
    <s v="Dizziness, Headache, Fatigue"/>
    <s v="TR0111"/>
    <s v="200mg"/>
    <x v="0"/>
    <s v="Dizziness"/>
    <n v="94"/>
    <n v="1"/>
    <s v="BRCA2"/>
    <s v="Negative"/>
    <n v="4"/>
    <n v="1.61"/>
    <n v="5.0999999999999996"/>
    <n v="12.3"/>
    <n v="4.5999999999999996"/>
    <n v="200"/>
    <n v="200"/>
  </r>
  <r>
    <s v="P628"/>
    <n v="63"/>
    <s v="Other"/>
    <s v="Hispanic"/>
    <s v="Asthma"/>
    <s v="Not Reported"/>
    <s v="T006"/>
    <x v="1"/>
    <x v="3"/>
    <s v="11/5/2023"/>
    <s v="2/5/2025"/>
    <s v="150mg"/>
    <s v="Fatigue, Dizziness, Nausea"/>
    <s v="TR0178"/>
    <s v="150mg"/>
    <x v="1"/>
    <s v="Nausea"/>
    <n v="137"/>
    <n v="0"/>
    <s v="BRCA1"/>
    <s v="Positive"/>
    <n v="2.94"/>
    <n v="4.68"/>
    <n v="1.4"/>
    <n v="11.2"/>
    <n v="6.5"/>
    <n v="150"/>
    <n v="150"/>
  </r>
  <r>
    <s v="P629"/>
    <n v="84"/>
    <s v="Male"/>
    <s v="Other"/>
    <s v="Hypertension"/>
    <s v="EGFR Mutation"/>
    <s v="T006"/>
    <x v="2"/>
    <x v="3"/>
    <s v="2/11/2022"/>
    <s v="7/11/2023"/>
    <s v="150mg"/>
    <s v="Headache, Dizziness, Nausea"/>
    <s v="TR0148"/>
    <s v="150mg"/>
    <x v="1"/>
    <s v="Headache"/>
    <n v="57"/>
    <n v="0"/>
    <s v="BRCA2"/>
    <s v="Negative"/>
    <n v="1.95"/>
    <n v="4.63"/>
    <n v="5.2"/>
    <n v="14.4"/>
    <n v="15.9"/>
    <n v="150"/>
    <n v="150"/>
  </r>
  <r>
    <s v="P630"/>
    <n v="37"/>
    <s v="Other"/>
    <s v="Asian"/>
    <s v="Hypertension"/>
    <s v="Not Reported"/>
    <s v="T017"/>
    <x v="1"/>
    <x v="0"/>
    <s v="2/23/2020"/>
    <s v="12/23/2020"/>
    <s v="100mg"/>
    <s v="Not Reported, Fatigue"/>
    <s v="TR0139"/>
    <s v="100mg"/>
    <x v="2"/>
    <s v="Nausea"/>
    <n v="78"/>
    <n v="0"/>
    <s v="BRCA1"/>
    <s v="Positive"/>
    <n v="1.62"/>
    <n v="2.95"/>
    <n v="4.9000000000000004"/>
    <n v="16.7"/>
    <n v="20"/>
    <n v="100"/>
    <n v="100"/>
  </r>
  <r>
    <s v="P631"/>
    <n v="21"/>
    <s v="Female"/>
    <s v="Caucasian"/>
    <s v="Diabetes"/>
    <s v="BRCA1 Mutation"/>
    <s v="T003"/>
    <x v="0"/>
    <x v="0"/>
    <s v="7/12/2019"/>
    <s v="11/12/2020"/>
    <s v="200mg"/>
    <s v="Dizziness"/>
    <s v="TR0077"/>
    <s v="200mg"/>
    <x v="1"/>
    <s v="Headache"/>
    <n v="125"/>
    <n v="0"/>
    <s v="BRCA2"/>
    <s v="Negative"/>
    <n v="4.08"/>
    <n v="2.59"/>
    <n v="8.4"/>
    <n v="9.1"/>
    <n v="3.5"/>
    <n v="200"/>
    <n v="200"/>
  </r>
  <r>
    <s v="P632"/>
    <n v="72"/>
    <s v="Other"/>
    <s v="Other"/>
    <s v="Asthma"/>
    <s v="Not Reported"/>
    <s v="T019"/>
    <x v="1"/>
    <x v="0"/>
    <s v="8/11/2019"/>
    <s v="7/11/2020"/>
    <s v="50mg"/>
    <s v="Headache, Dizziness"/>
    <s v="TR0193"/>
    <s v="50mg"/>
    <x v="2"/>
    <s v="Nausea"/>
    <n v="138"/>
    <n v="0"/>
    <s v="EGFR"/>
    <s v="Negative"/>
    <n v="1.82"/>
    <n v="2.36"/>
    <n v="5.6"/>
    <n v="17.100000000000001"/>
    <n v="18.5"/>
    <n v="50"/>
    <n v="50"/>
  </r>
  <r>
    <s v="P633"/>
    <n v="80"/>
    <s v="Male"/>
    <s v="Hispanic"/>
    <s v="Hypertension"/>
    <s v="Not Reported"/>
    <s v="T003"/>
    <x v="3"/>
    <x v="3"/>
    <s v="2/3/2023"/>
    <s v="11/3/2023"/>
    <s v="50mg"/>
    <s v="Headache, Not Reported"/>
    <s v="TR0062"/>
    <s v="50mg"/>
    <x v="2"/>
    <s v="Headache"/>
    <n v="38"/>
    <n v="0"/>
    <s v="TP53"/>
    <s v="Negative"/>
    <n v="3.04"/>
    <n v="3.01"/>
    <n v="1.5"/>
    <n v="6.6"/>
    <n v="12.4"/>
    <n v="50"/>
    <n v="50"/>
  </r>
  <r>
    <s v="P634"/>
    <n v="75"/>
    <s v="Male"/>
    <s v="Other"/>
    <s v="Asthma"/>
    <s v="BRCA2 Mutation"/>
    <s v="T019"/>
    <x v="1"/>
    <x v="0"/>
    <s v="9/6/2019"/>
    <s v="10/6/2020"/>
    <s v="150mg"/>
    <s v="Dizziness, Headache, Not Reported"/>
    <s v="TR0168"/>
    <s v="150mg"/>
    <x v="2"/>
    <s v="Nausea"/>
    <n v="94"/>
    <n v="0"/>
    <s v="EGFR"/>
    <s v="Positive"/>
    <n v="2.75"/>
    <n v="4.3600000000000003"/>
    <n v="2.4"/>
    <n v="6.4"/>
    <n v="10.6"/>
    <n v="150"/>
    <n v="150"/>
  </r>
  <r>
    <s v="P635"/>
    <n v="84"/>
    <s v="Female"/>
    <s v="Asian"/>
    <s v="Asthma"/>
    <s v="BRCA2 Mutation"/>
    <s v="T002"/>
    <x v="0"/>
    <x v="3"/>
    <s v="2/22/2022"/>
    <s v="10/22/2022"/>
    <s v="50mg"/>
    <s v="Headache"/>
    <s v="TR0125"/>
    <s v="50mg"/>
    <x v="0"/>
    <s v="Nausea"/>
    <n v="129"/>
    <n v="1"/>
    <s v="BRCA2"/>
    <s v="Negative"/>
    <n v="1.95"/>
    <n v="1.2"/>
    <n v="7.5"/>
    <n v="8"/>
    <n v="13.3"/>
    <n v="50"/>
    <n v="50"/>
  </r>
  <r>
    <s v="P636"/>
    <n v="23"/>
    <s v="Female"/>
    <s v="Asian"/>
    <s v="Diabetes"/>
    <s v="EGFR Mutation"/>
    <s v="T016"/>
    <x v="2"/>
    <x v="0"/>
    <s v="2/6/2019"/>
    <s v="10/6/2019"/>
    <s v="100mg"/>
    <s v="Dizziness, Nausea, Fatigue"/>
    <s v="TR0128"/>
    <s v="100mg"/>
    <x v="1"/>
    <s v="Headache"/>
    <n v="35"/>
    <n v="0"/>
    <s v="EGFR"/>
    <s v="Negative"/>
    <n v="2.12"/>
    <n v="1.69"/>
    <n v="4.4000000000000004"/>
    <n v="20.399999999999999"/>
    <n v="9.6999999999999993"/>
    <n v="100"/>
    <n v="100"/>
  </r>
  <r>
    <s v="P637"/>
    <n v="31"/>
    <s v="Female"/>
    <s v="Hispanic"/>
    <s v="Hypertension"/>
    <s v="EGFR Mutation"/>
    <s v="T014"/>
    <x v="1"/>
    <x v="1"/>
    <s v="5/22/2019"/>
    <s v="4/22/2020"/>
    <s v="200mg"/>
    <s v="Dizziness, Fatigue"/>
    <s v="TR0036"/>
    <s v="200mg"/>
    <x v="0"/>
    <s v="Nausea"/>
    <n v="71"/>
    <n v="1"/>
    <s v="BRCA1"/>
    <s v="Positive"/>
    <n v="4"/>
    <n v="1.5"/>
    <n v="8"/>
    <n v="10.3"/>
    <n v="14.5"/>
    <n v="200"/>
    <n v="200"/>
  </r>
  <r>
    <s v="P638"/>
    <n v="43"/>
    <s v="Female"/>
    <s v="Other"/>
    <s v="Not Reported"/>
    <s v="Not Reported"/>
    <s v="T016"/>
    <x v="1"/>
    <x v="2"/>
    <s v="7/4/2023"/>
    <s v="9/4/2024"/>
    <s v="50mg"/>
    <s v="Fatigue"/>
    <s v="TR0038"/>
    <s v="50mg"/>
    <x v="1"/>
    <s v="Fatigue"/>
    <n v="130"/>
    <n v="0"/>
    <s v="BRCA1"/>
    <s v="Negative"/>
    <n v="3.26"/>
    <n v="4.72"/>
    <n v="4.5"/>
    <n v="7.2"/>
    <n v="3.3"/>
    <n v="50"/>
    <n v="50"/>
  </r>
  <r>
    <s v="P639"/>
    <n v="25"/>
    <s v="Other"/>
    <s v="Caucasian"/>
    <s v="Hypertension"/>
    <s v="Not Reported"/>
    <s v="T009"/>
    <x v="1"/>
    <x v="3"/>
    <s v="6/8/2020"/>
    <s v="7/8/2021"/>
    <s v="100mg"/>
    <s v="Headache"/>
    <s v="TR0123"/>
    <s v="100mg"/>
    <x v="1"/>
    <s v="Fatigue"/>
    <n v="55"/>
    <n v="0"/>
    <s v="BRCA2"/>
    <s v="Negative"/>
    <n v="4.3099999999999996"/>
    <n v="3.1"/>
    <n v="8"/>
    <n v="10.199999999999999"/>
    <n v="8.9"/>
    <n v="100"/>
    <n v="100"/>
  </r>
  <r>
    <s v="P640"/>
    <n v="27"/>
    <s v="Male"/>
    <s v="Asian"/>
    <s v="Heart Disease"/>
    <s v="BRCA1 Mutation"/>
    <s v="T016"/>
    <x v="1"/>
    <x v="2"/>
    <s v="11/25/2020"/>
    <s v="11/25/2021"/>
    <s v="150mg"/>
    <s v="Not Reported"/>
    <s v="TR0105"/>
    <s v="150mg"/>
    <x v="0"/>
    <s v="Headache"/>
    <n v="40"/>
    <n v="1"/>
    <s v="TP53"/>
    <s v="Negative"/>
    <n v="1.1200000000000001"/>
    <n v="4.8499999999999996"/>
    <n v="7"/>
    <n v="22.8"/>
    <n v="7.5"/>
    <n v="150"/>
    <n v="150"/>
  </r>
  <r>
    <s v="P641"/>
    <n v="21"/>
    <s v="Male"/>
    <s v="African American"/>
    <s v="Asthma"/>
    <s v="BRCA2 Mutation"/>
    <s v="T005"/>
    <x v="3"/>
    <x v="0"/>
    <s v="4/20/2020"/>
    <s v="6/20/2021"/>
    <s v="150mg"/>
    <s v="Nausea, Headache"/>
    <s v="TR0154"/>
    <s v="150mg"/>
    <x v="0"/>
    <s v="Headache"/>
    <n v="46"/>
    <n v="1"/>
    <s v="EGFR"/>
    <s v="Positive"/>
    <n v="3.45"/>
    <n v="3.71"/>
    <n v="3.9"/>
    <n v="21.3"/>
    <n v="19.100000000000001"/>
    <n v="150"/>
    <n v="150"/>
  </r>
  <r>
    <s v="P642"/>
    <n v="36"/>
    <s v="Other"/>
    <s v="Caucasian"/>
    <s v="Not Reported"/>
    <s v="TP53 Mutation"/>
    <s v="T015"/>
    <x v="0"/>
    <x v="3"/>
    <s v="10/11/2023"/>
    <s v="8/11/2024"/>
    <s v="200mg"/>
    <s v="Headache, Dizziness, Not Reported"/>
    <s v="TR0151"/>
    <s v="200mg"/>
    <x v="2"/>
    <s v="Dizziness"/>
    <n v="176"/>
    <n v="0"/>
    <s v="BRCA2"/>
    <s v="Negative"/>
    <n v="4.54"/>
    <n v="3.96"/>
    <n v="3.5"/>
    <n v="11.1"/>
    <n v="19.399999999999999"/>
    <n v="200"/>
    <n v="200"/>
  </r>
  <r>
    <s v="P643"/>
    <n v="61"/>
    <s v="Male"/>
    <s v="Hispanic"/>
    <s v="Not Reported"/>
    <s v="Not Reported"/>
    <s v="T020"/>
    <x v="1"/>
    <x v="3"/>
    <s v="5/28/2021"/>
    <s v="3/28/2022"/>
    <s v="100mg"/>
    <s v="Not Reported, Fatigue"/>
    <s v="TR0145"/>
    <s v="100mg"/>
    <x v="0"/>
    <s v="Not Reported"/>
    <n v="108"/>
    <n v="1"/>
    <s v="BRCA2"/>
    <s v="Negative"/>
    <n v="1.04"/>
    <n v="3.86"/>
    <n v="7.4"/>
    <n v="17.2"/>
    <n v="19.8"/>
    <n v="100"/>
    <n v="100"/>
  </r>
  <r>
    <s v="P644"/>
    <n v="84"/>
    <s v="Other"/>
    <s v="Hispanic"/>
    <s v="Not Reported"/>
    <s v="HER2 Mutation"/>
    <s v="T007"/>
    <x v="2"/>
    <x v="3"/>
    <s v="11/22/2020"/>
    <s v="10/22/2021"/>
    <s v="150mg"/>
    <s v="Headache"/>
    <s v="TR0149"/>
    <s v="150mg"/>
    <x v="2"/>
    <s v="Fatigue"/>
    <n v="60"/>
    <n v="0"/>
    <s v="TP53"/>
    <s v="Positive"/>
    <n v="2.25"/>
    <n v="2.36"/>
    <n v="1.7"/>
    <n v="14"/>
    <n v="7.4"/>
    <n v="150"/>
    <n v="150"/>
  </r>
  <r>
    <s v="P645"/>
    <n v="44"/>
    <s v="Other"/>
    <s v="African American"/>
    <s v="Diabetes"/>
    <s v="Not Reported"/>
    <s v="T016"/>
    <x v="0"/>
    <x v="2"/>
    <s v="8/23/2022"/>
    <s v="6/23/2023"/>
    <s v="200mg"/>
    <s v="Not Reported, Fatigue, Headache"/>
    <s v="TR0156"/>
    <s v="200mg"/>
    <x v="0"/>
    <s v="Not Reported"/>
    <n v="61"/>
    <n v="1"/>
    <s v="HER2"/>
    <s v="Negative"/>
    <n v="2.37"/>
    <n v="4.34"/>
    <n v="9.4"/>
    <n v="9.3000000000000007"/>
    <n v="9.3000000000000007"/>
    <n v="200"/>
    <n v="200"/>
  </r>
  <r>
    <s v="P646"/>
    <n v="18"/>
    <s v="Male"/>
    <s v="Asian"/>
    <s v="Not Reported"/>
    <s v="Not Reported"/>
    <s v="T015"/>
    <x v="0"/>
    <x v="0"/>
    <s v="5/2/2020"/>
    <s v="5/2/2021"/>
    <s v="200mg"/>
    <s v="Nausea, Headache, Fatigue"/>
    <s v="TR0100"/>
    <s v="200mg"/>
    <x v="1"/>
    <s v="Nausea"/>
    <n v="65"/>
    <n v="0"/>
    <s v="BRCA2"/>
    <s v="Positive"/>
    <n v="4.71"/>
    <n v="1.25"/>
    <n v="1.8"/>
    <n v="8.9"/>
    <n v="13.1"/>
    <n v="200"/>
    <n v="200"/>
  </r>
  <r>
    <s v="P647"/>
    <n v="64"/>
    <s v="Male"/>
    <s v="Caucasian"/>
    <s v="Hypertension"/>
    <s v="EGFR Mutation"/>
    <s v="T018"/>
    <x v="0"/>
    <x v="2"/>
    <s v="12/22/2019"/>
    <s v="12/22/2020"/>
    <s v="100mg"/>
    <s v="Dizziness"/>
    <s v="TR0016"/>
    <s v="100mg"/>
    <x v="0"/>
    <s v="Nausea"/>
    <n v="116"/>
    <n v="1"/>
    <s v="EGFR"/>
    <s v="Negative"/>
    <n v="1.6"/>
    <n v="4.87"/>
    <n v="5"/>
    <n v="15"/>
    <n v="7.2"/>
    <n v="100"/>
    <n v="100"/>
  </r>
  <r>
    <s v="P648"/>
    <n v="54"/>
    <s v="Female"/>
    <s v="Asian"/>
    <s v="Diabetes"/>
    <s v="EGFR Mutation"/>
    <s v="T019"/>
    <x v="0"/>
    <x v="3"/>
    <s v="3/1/2020"/>
    <s v="5/1/2021"/>
    <s v="150mg"/>
    <s v="Fatigue"/>
    <s v="TR0099"/>
    <s v="150mg"/>
    <x v="0"/>
    <s v="Dizziness"/>
    <n v="34"/>
    <n v="1"/>
    <s v="BRCA2"/>
    <s v="Positive"/>
    <n v="2.88"/>
    <n v="3.65"/>
    <n v="7.8"/>
    <n v="19.600000000000001"/>
    <n v="12.8"/>
    <n v="150"/>
    <n v="150"/>
  </r>
  <r>
    <s v="P649"/>
    <n v="52"/>
    <s v="Female"/>
    <s v="Caucasian"/>
    <s v="Hypertension"/>
    <s v="HER2 Mutation"/>
    <s v="T008"/>
    <x v="2"/>
    <x v="0"/>
    <s v="3/6/2023"/>
    <s v="12/6/2023"/>
    <s v="150mg"/>
    <s v="Nausea"/>
    <s v="TR0062"/>
    <s v="150mg"/>
    <x v="2"/>
    <s v="Not Reported"/>
    <n v="141"/>
    <n v="0"/>
    <s v="EGFR"/>
    <s v="Negative"/>
    <n v="4.62"/>
    <n v="4.2699999999999996"/>
    <n v="7.8"/>
    <n v="7"/>
    <n v="3.1"/>
    <n v="150"/>
    <n v="150"/>
  </r>
  <r>
    <s v="P650"/>
    <n v="75"/>
    <s v="Male"/>
    <s v="Asian"/>
    <s v="Hypertension"/>
    <s v="Not Reported"/>
    <s v="T014"/>
    <x v="3"/>
    <x v="0"/>
    <s v="12/13/2020"/>
    <s v="3/13/2022"/>
    <s v="200mg"/>
    <s v="Dizziness"/>
    <s v="TR0196"/>
    <s v="200mg"/>
    <x v="1"/>
    <s v="Fatigue"/>
    <n v="155"/>
    <n v="0"/>
    <s v="HER2"/>
    <s v="Negative"/>
    <n v="1.85"/>
    <n v="3.65"/>
    <n v="4.7"/>
    <n v="13.2"/>
    <n v="18"/>
    <n v="200"/>
    <n v="200"/>
  </r>
  <r>
    <s v="P651"/>
    <n v="59"/>
    <s v="Male"/>
    <s v="Hispanic"/>
    <s v="Heart Disease"/>
    <s v="Not Reported"/>
    <s v="T015"/>
    <x v="2"/>
    <x v="3"/>
    <s v="12/3/2020"/>
    <s v="3/3/2022"/>
    <s v="200mg"/>
    <s v="Headache"/>
    <s v="TR0054"/>
    <s v="200mg"/>
    <x v="0"/>
    <s v="Not Reported"/>
    <n v="120"/>
    <n v="1"/>
    <s v="HER2"/>
    <s v="Negative"/>
    <n v="4.58"/>
    <n v="4.6399999999999997"/>
    <n v="3.8"/>
    <n v="18.399999999999999"/>
    <n v="7.6"/>
    <n v="200"/>
    <n v="200"/>
  </r>
  <r>
    <s v="P652"/>
    <n v="49"/>
    <s v="Other"/>
    <s v="African American"/>
    <s v="Diabetes"/>
    <s v="HER2 Mutation"/>
    <s v="T001"/>
    <x v="2"/>
    <x v="1"/>
    <s v="12/26/2022"/>
    <s v="6/26/2023"/>
    <s v="200mg"/>
    <s v="Not Reported, Dizziness, Fatigue"/>
    <s v="TR0006"/>
    <s v="200mg"/>
    <x v="1"/>
    <s v="Headache"/>
    <n v="144"/>
    <n v="0"/>
    <s v="HER2"/>
    <s v="Positive"/>
    <n v="1.76"/>
    <n v="1.74"/>
    <n v="4.0999999999999996"/>
    <n v="13.7"/>
    <n v="17.100000000000001"/>
    <n v="200"/>
    <n v="200"/>
  </r>
  <r>
    <s v="P653"/>
    <n v="73"/>
    <s v="Female"/>
    <s v="African American"/>
    <s v="Diabetes"/>
    <s v="TP53 Mutation"/>
    <s v="T016"/>
    <x v="2"/>
    <x v="2"/>
    <s v="10/21/2020"/>
    <s v="12/21/2021"/>
    <s v="100mg"/>
    <s v="Headache"/>
    <s v="TR0094"/>
    <s v="100mg"/>
    <x v="0"/>
    <s v="Fatigue"/>
    <n v="53"/>
    <n v="1"/>
    <s v="BRCA2"/>
    <s v="Positive"/>
    <n v="1.48"/>
    <n v="3.94"/>
    <n v="5.8"/>
    <n v="11.2"/>
    <n v="11.4"/>
    <n v="100"/>
    <n v="100"/>
  </r>
  <r>
    <s v="P654"/>
    <n v="24"/>
    <s v="Female"/>
    <s v="Caucasian"/>
    <s v="Heart Disease"/>
    <s v="Not Reported"/>
    <s v="T015"/>
    <x v="2"/>
    <x v="3"/>
    <s v="7/9/2020"/>
    <s v="3/9/2021"/>
    <s v="100mg"/>
    <s v="Not Reported, Fatigue"/>
    <s v="TR0134"/>
    <s v="100mg"/>
    <x v="0"/>
    <s v="Fatigue"/>
    <n v="53"/>
    <n v="1"/>
    <s v="EGFR"/>
    <s v="Positive"/>
    <n v="2.2000000000000002"/>
    <n v="3.38"/>
    <n v="4.9000000000000004"/>
    <n v="9"/>
    <n v="5"/>
    <n v="100"/>
    <n v="100"/>
  </r>
  <r>
    <s v="P655"/>
    <n v="40"/>
    <s v="Female"/>
    <s v="Other"/>
    <s v="Asthma"/>
    <s v="Not Reported"/>
    <s v="T006"/>
    <x v="2"/>
    <x v="1"/>
    <s v="10/23/2020"/>
    <s v="5/23/2021"/>
    <s v="50mg"/>
    <s v="Not Reported"/>
    <s v="TR0046"/>
    <s v="50mg"/>
    <x v="2"/>
    <s v="Nausea"/>
    <n v="148"/>
    <n v="0"/>
    <s v="EGFR"/>
    <s v="Negative"/>
    <n v="3.19"/>
    <n v="4.6100000000000003"/>
    <n v="4.0999999999999996"/>
    <n v="19.2"/>
    <n v="14.2"/>
    <n v="50"/>
    <n v="50"/>
  </r>
  <r>
    <s v="P656"/>
    <n v="40"/>
    <s v="Male"/>
    <s v="Other"/>
    <s v="Diabetes"/>
    <s v="BRCA1 Mutation"/>
    <s v="T011"/>
    <x v="2"/>
    <x v="3"/>
    <s v="1/17/2023"/>
    <s v="3/17/2024"/>
    <s v="50mg"/>
    <s v="Fatigue, Dizziness"/>
    <s v="TR0013"/>
    <s v="50mg"/>
    <x v="1"/>
    <s v="Fatigue"/>
    <n v="63"/>
    <n v="0"/>
    <s v="BRCA2"/>
    <s v="Negative"/>
    <n v="4.7300000000000004"/>
    <n v="4.28"/>
    <n v="6.1"/>
    <n v="17.8"/>
    <n v="18.3"/>
    <n v="50"/>
    <n v="50"/>
  </r>
  <r>
    <s v="P657"/>
    <n v="53"/>
    <s v="Female"/>
    <s v="Asian"/>
    <s v="Asthma"/>
    <s v="BRCA1 Mutation"/>
    <s v="T008"/>
    <x v="2"/>
    <x v="1"/>
    <s v="7/5/2019"/>
    <s v="1/5/2020"/>
    <s v="150mg"/>
    <s v="Dizziness, Headache"/>
    <s v="TR0174"/>
    <s v="150mg"/>
    <x v="1"/>
    <s v="Dizziness"/>
    <n v="168"/>
    <n v="0"/>
    <s v="HER2"/>
    <s v="Negative"/>
    <n v="2.6"/>
    <n v="2.31"/>
    <n v="1.1000000000000001"/>
    <n v="20.9"/>
    <n v="16.600000000000001"/>
    <n v="150"/>
    <n v="150"/>
  </r>
  <r>
    <s v="P658"/>
    <n v="84"/>
    <s v="Female"/>
    <s v="Other"/>
    <s v="Heart Disease"/>
    <s v="Not Reported"/>
    <s v="T013"/>
    <x v="0"/>
    <x v="0"/>
    <s v="9/28/2020"/>
    <s v="10/28/2021"/>
    <s v="100mg"/>
    <s v="Fatigue"/>
    <s v="TR0019"/>
    <s v="100mg"/>
    <x v="2"/>
    <s v="Not Reported"/>
    <n v="106"/>
    <n v="0"/>
    <s v="BRCA1"/>
    <s v="Negative"/>
    <n v="1.42"/>
    <n v="3.31"/>
    <n v="5.2"/>
    <n v="8.1"/>
    <n v="19.7"/>
    <n v="100"/>
    <n v="100"/>
  </r>
  <r>
    <s v="P659"/>
    <n v="66"/>
    <s v="Female"/>
    <s v="African American"/>
    <s v="Not Reported"/>
    <s v="HER2 Mutation"/>
    <s v="T007"/>
    <x v="1"/>
    <x v="2"/>
    <s v="11/25/2022"/>
    <s v="7/25/2023"/>
    <s v="200mg"/>
    <s v="Fatigue, Not Reported, Dizziness"/>
    <s v="TR0063"/>
    <s v="200mg"/>
    <x v="0"/>
    <s v="Nausea"/>
    <n v="88"/>
    <n v="1"/>
    <s v="HER2"/>
    <s v="Negative"/>
    <n v="1.86"/>
    <n v="1.27"/>
    <n v="6.4"/>
    <n v="19.3"/>
    <n v="3.6"/>
    <n v="200"/>
    <n v="200"/>
  </r>
  <r>
    <s v="P660"/>
    <n v="80"/>
    <s v="Female"/>
    <s v="Hispanic"/>
    <s v="Asthma"/>
    <s v="BRCA2 Mutation"/>
    <s v="T015"/>
    <x v="2"/>
    <x v="0"/>
    <s v="4/5/2019"/>
    <s v="8/5/2020"/>
    <s v="50mg"/>
    <s v="Not Reported, Nausea"/>
    <s v="TR0090"/>
    <s v="50mg"/>
    <x v="1"/>
    <s v="Headache"/>
    <n v="140"/>
    <n v="0"/>
    <s v="BRCA1"/>
    <s v="Negative"/>
    <n v="3.63"/>
    <n v="3.13"/>
    <n v="1.9"/>
    <n v="9.1"/>
    <n v="12.7"/>
    <n v="50"/>
    <n v="50"/>
  </r>
  <r>
    <s v="P661"/>
    <n v="63"/>
    <s v="Other"/>
    <s v="Other"/>
    <s v="Asthma"/>
    <s v="HER2 Mutation"/>
    <s v="T003"/>
    <x v="0"/>
    <x v="3"/>
    <s v="5/17/2020"/>
    <s v="1/17/2021"/>
    <s v="50mg"/>
    <s v="Fatigue"/>
    <s v="TR0191"/>
    <s v="50mg"/>
    <x v="2"/>
    <s v="Dizziness"/>
    <n v="99"/>
    <n v="0"/>
    <s v="BRCA1"/>
    <s v="Positive"/>
    <n v="2.19"/>
    <n v="4.75"/>
    <n v="8.4"/>
    <n v="23.7"/>
    <n v="7.4"/>
    <n v="50"/>
    <n v="50"/>
  </r>
  <r>
    <s v="P662"/>
    <n v="83"/>
    <s v="Male"/>
    <s v="Other"/>
    <s v="Not Reported"/>
    <s v="HER2 Mutation"/>
    <s v="T011"/>
    <x v="3"/>
    <x v="3"/>
    <s v="6/10/2023"/>
    <s v="5/10/2024"/>
    <s v="50mg"/>
    <s v="Dizziness, Nausea, Fatigue"/>
    <s v="TR0195"/>
    <s v="50mg"/>
    <x v="1"/>
    <s v="Headache"/>
    <n v="161"/>
    <n v="0"/>
    <s v="BRCA1"/>
    <s v="Positive"/>
    <n v="4.88"/>
    <n v="2.72"/>
    <n v="4.0999999999999996"/>
    <n v="6.9"/>
    <n v="3.9"/>
    <n v="50"/>
    <n v="50"/>
  </r>
  <r>
    <s v="P663"/>
    <n v="37"/>
    <s v="Female"/>
    <s v="African American"/>
    <s v="Asthma"/>
    <s v="Not Reported"/>
    <s v="T009"/>
    <x v="2"/>
    <x v="2"/>
    <s v="2/20/2020"/>
    <s v="2/20/2021"/>
    <s v="150mg"/>
    <s v="Fatigue, Nausea"/>
    <s v="TR0012"/>
    <s v="150mg"/>
    <x v="1"/>
    <s v="Nausea"/>
    <n v="64"/>
    <n v="0"/>
    <s v="BRCA2"/>
    <s v="Negative"/>
    <n v="3.77"/>
    <n v="2.83"/>
    <n v="3"/>
    <n v="17.100000000000001"/>
    <n v="7.3"/>
    <n v="150"/>
    <n v="150"/>
  </r>
  <r>
    <s v="P664"/>
    <n v="42"/>
    <s v="Female"/>
    <s v="Asian"/>
    <s v="Asthma"/>
    <s v="Not Reported"/>
    <s v="T009"/>
    <x v="2"/>
    <x v="1"/>
    <s v="3/28/2019"/>
    <s v="9/28/2019"/>
    <s v="150mg"/>
    <s v="Headache, Nausea, Dizziness"/>
    <s v="TR0120"/>
    <s v="150mg"/>
    <x v="0"/>
    <s v="Headache"/>
    <n v="59"/>
    <n v="1"/>
    <s v="BRCA1"/>
    <s v="Negative"/>
    <n v="3.31"/>
    <n v="2.44"/>
    <n v="8.4"/>
    <n v="20.8"/>
    <n v="11.1"/>
    <n v="150"/>
    <n v="150"/>
  </r>
  <r>
    <s v="P665"/>
    <n v="61"/>
    <s v="Other"/>
    <s v="African American"/>
    <s v="Asthma"/>
    <s v="Not Reported"/>
    <s v="T009"/>
    <x v="0"/>
    <x v="3"/>
    <s v="3/22/2023"/>
    <s v="7/22/2024"/>
    <s v="150mg"/>
    <s v="Fatigue, Dizziness, Nausea"/>
    <s v="TR0112"/>
    <s v="150mg"/>
    <x v="1"/>
    <s v="Not Reported"/>
    <n v="114"/>
    <n v="0"/>
    <s v="EGFR"/>
    <s v="Negative"/>
    <n v="2.4"/>
    <n v="2.4500000000000002"/>
    <n v="8.3000000000000007"/>
    <n v="11.9"/>
    <n v="6.6"/>
    <n v="150"/>
    <n v="150"/>
  </r>
  <r>
    <s v="P666"/>
    <n v="81"/>
    <s v="Other"/>
    <s v="Hispanic"/>
    <s v="Hypertension"/>
    <s v="Not Reported"/>
    <s v="T010"/>
    <x v="0"/>
    <x v="1"/>
    <s v="9/8/2020"/>
    <s v="3/8/2022"/>
    <s v="100mg"/>
    <s v="Headache"/>
    <s v="TR0040"/>
    <s v="100mg"/>
    <x v="0"/>
    <s v="Dizziness"/>
    <n v="159"/>
    <n v="1"/>
    <s v="TP53"/>
    <s v="Negative"/>
    <n v="1.34"/>
    <n v="2.87"/>
    <n v="5.3"/>
    <n v="21.1"/>
    <n v="6.8"/>
    <n v="100"/>
    <n v="100"/>
  </r>
  <r>
    <s v="P667"/>
    <n v="69"/>
    <s v="Female"/>
    <s v="Other"/>
    <s v="Not Reported"/>
    <s v="BRCA2 Mutation"/>
    <s v="T006"/>
    <x v="3"/>
    <x v="1"/>
    <s v="1/14/2021"/>
    <s v="1/14/2022"/>
    <s v="200mg"/>
    <s v="Headache"/>
    <s v="TR0122"/>
    <s v="200mg"/>
    <x v="0"/>
    <s v="Not Reported"/>
    <n v="124"/>
    <n v="1"/>
    <s v="BRCA1"/>
    <s v="Negative"/>
    <n v="2.52"/>
    <n v="4.2300000000000004"/>
    <n v="8.4"/>
    <n v="12.9"/>
    <n v="10.8"/>
    <n v="200"/>
    <n v="200"/>
  </r>
  <r>
    <s v="P668"/>
    <n v="48"/>
    <s v="Female"/>
    <s v="Hispanic"/>
    <s v="Asthma"/>
    <s v="Not Reported"/>
    <s v="T013"/>
    <x v="3"/>
    <x v="2"/>
    <s v="4/20/2021"/>
    <s v="10/20/2022"/>
    <s v="100mg"/>
    <s v="Fatigue, Not Reported"/>
    <s v="TR0152"/>
    <s v="100mg"/>
    <x v="1"/>
    <s v="Nausea"/>
    <n v="55"/>
    <n v="0"/>
    <s v="BRCA1"/>
    <s v="Positive"/>
    <n v="2.21"/>
    <n v="4.7300000000000004"/>
    <n v="2.1"/>
    <n v="22.8"/>
    <n v="14.6"/>
    <n v="100"/>
    <n v="100"/>
  </r>
  <r>
    <s v="P669"/>
    <n v="19"/>
    <s v="Male"/>
    <s v="Other"/>
    <s v="Asthma"/>
    <s v="BRCA1 Mutation"/>
    <s v="T005"/>
    <x v="1"/>
    <x v="1"/>
    <s v="3/2/2022"/>
    <s v="11/2/2022"/>
    <s v="150mg"/>
    <s v="Not Reported, Nausea"/>
    <s v="TR0011"/>
    <s v="150mg"/>
    <x v="0"/>
    <s v="Not Reported"/>
    <n v="114"/>
    <n v="1"/>
    <s v="BRCA1"/>
    <s v="Positive"/>
    <n v="3.13"/>
    <n v="1.1299999999999999"/>
    <n v="5.3"/>
    <n v="13.3"/>
    <n v="5.7"/>
    <n v="150"/>
    <n v="150"/>
  </r>
  <r>
    <s v="P670"/>
    <n v="28"/>
    <s v="Male"/>
    <s v="Other"/>
    <s v="Hypertension"/>
    <s v="Not Reported"/>
    <s v="T007"/>
    <x v="2"/>
    <x v="0"/>
    <s v="2/9/2022"/>
    <s v="5/9/2023"/>
    <s v="150mg"/>
    <s v="Dizziness, Nausea, Not Reported"/>
    <s v="TR0073"/>
    <s v="150mg"/>
    <x v="0"/>
    <s v="Nausea"/>
    <n v="148"/>
    <n v="1"/>
    <s v="EGFR"/>
    <s v="Negative"/>
    <n v="3.63"/>
    <n v="4.88"/>
    <n v="6.1"/>
    <n v="18.899999999999999"/>
    <n v="4.2"/>
    <n v="150"/>
    <n v="150"/>
  </r>
  <r>
    <s v="P671"/>
    <n v="38"/>
    <s v="Other"/>
    <s v="Other"/>
    <s v="Hypertension"/>
    <s v="BRCA2 Mutation"/>
    <s v="T010"/>
    <x v="1"/>
    <x v="0"/>
    <s v="11/6/2021"/>
    <s v="4/6/2023"/>
    <s v="200mg"/>
    <s v="Not Reported, Dizziness"/>
    <s v="TR0076"/>
    <s v="200mg"/>
    <x v="2"/>
    <s v="Headache"/>
    <n v="137"/>
    <n v="0"/>
    <s v="BRCA2"/>
    <s v="Negative"/>
    <n v="2.67"/>
    <n v="1.47"/>
    <n v="6.5"/>
    <n v="22.9"/>
    <n v="14.3"/>
    <n v="200"/>
    <n v="200"/>
  </r>
  <r>
    <s v="P672"/>
    <n v="59"/>
    <s v="Male"/>
    <s v="Asian"/>
    <s v="Asthma"/>
    <s v="BRCA2 Mutation"/>
    <s v="T002"/>
    <x v="1"/>
    <x v="1"/>
    <s v="2/5/2023"/>
    <s v="9/5/2023"/>
    <s v="200mg"/>
    <s v="Fatigue"/>
    <s v="TR0186"/>
    <s v="200mg"/>
    <x v="0"/>
    <s v="Not Reported"/>
    <n v="115"/>
    <n v="1"/>
    <s v="TP53"/>
    <s v="Positive"/>
    <n v="1.31"/>
    <n v="2.42"/>
    <n v="6"/>
    <n v="13.3"/>
    <n v="17.2"/>
    <n v="200"/>
    <n v="200"/>
  </r>
  <r>
    <s v="P673"/>
    <n v="79"/>
    <s v="Female"/>
    <s v="Hispanic"/>
    <s v="Hypertension"/>
    <s v="Not Reported"/>
    <s v="T018"/>
    <x v="0"/>
    <x v="2"/>
    <s v="11/2/2022"/>
    <s v="10/2/2023"/>
    <s v="100mg"/>
    <s v="Fatigue, Not Reported"/>
    <s v="TR0017"/>
    <s v="100mg"/>
    <x v="0"/>
    <s v="Nausea"/>
    <n v="94"/>
    <n v="1"/>
    <s v="HER2"/>
    <s v="Positive"/>
    <n v="4.26"/>
    <n v="3.45"/>
    <n v="4.4000000000000004"/>
    <n v="10.6"/>
    <n v="4.8"/>
    <n v="100"/>
    <n v="100"/>
  </r>
  <r>
    <s v="P674"/>
    <n v="81"/>
    <s v="Female"/>
    <s v="Hispanic"/>
    <s v="Not Reported"/>
    <s v="TP53 Mutation"/>
    <s v="T014"/>
    <x v="0"/>
    <x v="2"/>
    <s v="3/9/2019"/>
    <s v="3/9/2020"/>
    <s v="50mg"/>
    <s v="Not Reported, Fatigue"/>
    <s v="TR0011"/>
    <s v="50mg"/>
    <x v="0"/>
    <s v="Fatigue"/>
    <n v="161"/>
    <n v="1"/>
    <s v="EGFR"/>
    <s v="Negative"/>
    <n v="2.42"/>
    <n v="2.65"/>
    <n v="7.1"/>
    <n v="17.8"/>
    <n v="4.2"/>
    <n v="50"/>
    <n v="50"/>
  </r>
  <r>
    <s v="P675"/>
    <n v="53"/>
    <s v="Male"/>
    <s v="Asian"/>
    <s v="Asthma"/>
    <s v="BRCA1 Mutation"/>
    <s v="T012"/>
    <x v="0"/>
    <x v="3"/>
    <s v="1/4/2021"/>
    <s v="2/4/2022"/>
    <s v="100mg"/>
    <s v="Fatigue"/>
    <s v="TR0086"/>
    <s v="100mg"/>
    <x v="2"/>
    <s v="Dizziness"/>
    <n v="100"/>
    <n v="0"/>
    <s v="EGFR"/>
    <s v="Negative"/>
    <n v="2.58"/>
    <n v="1.73"/>
    <n v="2.4"/>
    <n v="20.9"/>
    <n v="3.7"/>
    <n v="100"/>
    <n v="100"/>
  </r>
  <r>
    <s v="P676"/>
    <n v="85"/>
    <s v="Other"/>
    <s v="Other"/>
    <s v="Heart Disease"/>
    <s v="BRCA1 Mutation"/>
    <s v="T015"/>
    <x v="0"/>
    <x v="0"/>
    <s v="5/11/2019"/>
    <s v="11/11/2019"/>
    <s v="200mg"/>
    <s v="Nausea, Headache, Fatigue"/>
    <s v="TR0119"/>
    <s v="200mg"/>
    <x v="2"/>
    <s v="Dizziness"/>
    <n v="89"/>
    <n v="0"/>
    <s v="TP53"/>
    <s v="Positive"/>
    <n v="2.68"/>
    <n v="1.67"/>
    <n v="8.9"/>
    <n v="16"/>
    <n v="6.9"/>
    <n v="200"/>
    <n v="200"/>
  </r>
  <r>
    <s v="P677"/>
    <n v="75"/>
    <s v="Female"/>
    <s v="African American"/>
    <s v="Hypertension"/>
    <s v="Not Reported"/>
    <s v="T019"/>
    <x v="0"/>
    <x v="0"/>
    <s v="1/17/2021"/>
    <s v="10/17/2021"/>
    <s v="50mg"/>
    <s v="Headache"/>
    <s v="TR0062"/>
    <s v="50mg"/>
    <x v="1"/>
    <s v="Nausea"/>
    <n v="140"/>
    <n v="0"/>
    <s v="BRCA1"/>
    <s v="Positive"/>
    <n v="3.01"/>
    <n v="3.93"/>
    <n v="9.6"/>
    <n v="10"/>
    <n v="18.100000000000001"/>
    <n v="50"/>
    <n v="50"/>
  </r>
  <r>
    <s v="P678"/>
    <n v="53"/>
    <s v="Other"/>
    <s v="Other"/>
    <s v="Asthma"/>
    <s v="TP53 Mutation"/>
    <s v="T020"/>
    <x v="1"/>
    <x v="0"/>
    <s v="4/18/2023"/>
    <s v="8/18/2024"/>
    <s v="150mg"/>
    <s v="Fatigue"/>
    <s v="TR0100"/>
    <s v="150mg"/>
    <x v="2"/>
    <s v="Not Reported"/>
    <n v="75"/>
    <n v="0"/>
    <s v="EGFR"/>
    <s v="Positive"/>
    <n v="4.74"/>
    <n v="4.67"/>
    <n v="6.7"/>
    <n v="17.3"/>
    <n v="9.9"/>
    <n v="150"/>
    <n v="150"/>
  </r>
  <r>
    <s v="P679"/>
    <n v="19"/>
    <s v="Other"/>
    <s v="Hispanic"/>
    <s v="Hypertension"/>
    <s v="BRCA2 Mutation"/>
    <s v="T016"/>
    <x v="1"/>
    <x v="1"/>
    <s v="12/24/2020"/>
    <s v="10/24/2021"/>
    <s v="100mg"/>
    <s v="Not Reported, Dizziness, Fatigue"/>
    <s v="TR0042"/>
    <s v="100mg"/>
    <x v="1"/>
    <s v="Fatigue"/>
    <n v="71"/>
    <n v="0"/>
    <s v="TP53"/>
    <s v="Positive"/>
    <n v="4.01"/>
    <n v="3.13"/>
    <n v="7.1"/>
    <n v="13.7"/>
    <n v="15.4"/>
    <n v="100"/>
    <n v="100"/>
  </r>
  <r>
    <s v="P680"/>
    <n v="54"/>
    <s v="Female"/>
    <s v="Other"/>
    <s v="Heart Disease"/>
    <s v="Not Reported"/>
    <s v="T003"/>
    <x v="2"/>
    <x v="1"/>
    <s v="4/3/2019"/>
    <s v="10/3/2020"/>
    <s v="150mg"/>
    <s v="Nausea"/>
    <s v="TR0196"/>
    <s v="150mg"/>
    <x v="1"/>
    <s v="Not Reported"/>
    <n v="61"/>
    <n v="0"/>
    <s v="EGFR"/>
    <s v="Negative"/>
    <n v="4.3"/>
    <n v="1.59"/>
    <n v="8.5"/>
    <n v="15.7"/>
    <n v="17.399999999999999"/>
    <n v="150"/>
    <n v="150"/>
  </r>
  <r>
    <s v="P681"/>
    <n v="83"/>
    <s v="Male"/>
    <s v="Hispanic"/>
    <s v="Heart Disease"/>
    <s v="BRCA1 Mutation"/>
    <s v="T012"/>
    <x v="1"/>
    <x v="3"/>
    <s v="7/26/2020"/>
    <s v="4/26/2021"/>
    <s v="150mg"/>
    <s v="Nausea, Dizziness, Headache"/>
    <s v="TR0042"/>
    <s v="150mg"/>
    <x v="0"/>
    <s v="Not Reported"/>
    <n v="71"/>
    <n v="1"/>
    <s v="EGFR"/>
    <s v="Positive"/>
    <n v="2.73"/>
    <n v="2.52"/>
    <n v="9.1999999999999993"/>
    <n v="10.5"/>
    <n v="17.399999999999999"/>
    <n v="150"/>
    <n v="150"/>
  </r>
  <r>
    <s v="P682"/>
    <n v="79"/>
    <s v="Other"/>
    <s v="African American"/>
    <s v="Hypertension"/>
    <s v="HER2 Mutation"/>
    <s v="T014"/>
    <x v="1"/>
    <x v="0"/>
    <s v="3/7/2020"/>
    <s v="6/7/2021"/>
    <s v="200mg"/>
    <s v="Nausea, Fatigue, Not Reported"/>
    <s v="TR0200"/>
    <s v="200mg"/>
    <x v="1"/>
    <s v="Dizziness"/>
    <n v="147"/>
    <n v="0"/>
    <s v="HER2"/>
    <s v="Negative"/>
    <n v="2.94"/>
    <n v="3.06"/>
    <n v="3.8"/>
    <n v="16.3"/>
    <n v="8.5"/>
    <n v="200"/>
    <n v="200"/>
  </r>
  <r>
    <s v="P683"/>
    <n v="65"/>
    <s v="Male"/>
    <s v="Caucasian"/>
    <s v="Hypertension"/>
    <s v="BRCA1 Mutation"/>
    <s v="T019"/>
    <x v="0"/>
    <x v="1"/>
    <s v="11/11/2021"/>
    <s v="11/11/2022"/>
    <s v="50mg"/>
    <s v="Headache, Nausea"/>
    <s v="TR0035"/>
    <s v="50mg"/>
    <x v="0"/>
    <s v="Dizziness"/>
    <n v="163"/>
    <n v="1"/>
    <s v="EGFR"/>
    <s v="Positive"/>
    <n v="1.1599999999999999"/>
    <n v="2.09"/>
    <n v="1.1000000000000001"/>
    <n v="23.6"/>
    <n v="19.399999999999999"/>
    <n v="50"/>
    <n v="50"/>
  </r>
  <r>
    <s v="P684"/>
    <n v="35"/>
    <s v="Female"/>
    <s v="Hispanic"/>
    <s v="Heart Disease"/>
    <s v="Not Reported"/>
    <s v="T011"/>
    <x v="1"/>
    <x v="1"/>
    <s v="4/10/2021"/>
    <s v="6/10/2022"/>
    <s v="200mg"/>
    <s v="Nausea, Dizziness"/>
    <s v="TR0015"/>
    <s v="200mg"/>
    <x v="1"/>
    <s v="Fatigue"/>
    <n v="96"/>
    <n v="0"/>
    <s v="HER2"/>
    <s v="Positive"/>
    <n v="2.58"/>
    <n v="3.91"/>
    <n v="4.0999999999999996"/>
    <n v="18.100000000000001"/>
    <n v="16.7"/>
    <n v="200"/>
    <n v="200"/>
  </r>
  <r>
    <s v="P685"/>
    <n v="53"/>
    <s v="Female"/>
    <s v="Hispanic"/>
    <s v="Hypertension"/>
    <s v="Not Reported"/>
    <s v="T012"/>
    <x v="1"/>
    <x v="0"/>
    <s v="12/10/2021"/>
    <s v="12/10/2022"/>
    <s v="50mg"/>
    <s v="Not Reported"/>
    <s v="TR0084"/>
    <s v="50mg"/>
    <x v="0"/>
    <s v="Nausea"/>
    <n v="65"/>
    <n v="1"/>
    <s v="EGFR"/>
    <s v="Positive"/>
    <n v="4.79"/>
    <n v="2.6"/>
    <n v="8"/>
    <n v="10.8"/>
    <n v="19.8"/>
    <n v="50"/>
    <n v="50"/>
  </r>
  <r>
    <s v="P686"/>
    <n v="64"/>
    <s v="Male"/>
    <s v="Caucasian"/>
    <s v="Not Reported"/>
    <s v="Not Reported"/>
    <s v="T011"/>
    <x v="1"/>
    <x v="2"/>
    <s v="4/19/2023"/>
    <s v="10/19/2024"/>
    <s v="50mg"/>
    <s v="Nausea"/>
    <s v="TR0071"/>
    <s v="50mg"/>
    <x v="1"/>
    <s v="Dizziness"/>
    <n v="168"/>
    <n v="0"/>
    <s v="BRCA1"/>
    <s v="Negative"/>
    <n v="1.1000000000000001"/>
    <n v="3.41"/>
    <n v="6.9"/>
    <n v="18.399999999999999"/>
    <n v="5"/>
    <n v="50"/>
    <n v="50"/>
  </r>
  <r>
    <s v="P687"/>
    <n v="56"/>
    <s v="Male"/>
    <s v="Hispanic"/>
    <s v="Hypertension"/>
    <s v="HER2 Mutation"/>
    <s v="T003"/>
    <x v="0"/>
    <x v="3"/>
    <s v="3/3/2019"/>
    <s v="10/3/2019"/>
    <s v="50mg"/>
    <s v="Headache"/>
    <s v="TR0011"/>
    <s v="50mg"/>
    <x v="1"/>
    <s v="Not Reported"/>
    <n v="133"/>
    <n v="0"/>
    <s v="EGFR"/>
    <s v="Positive"/>
    <n v="4.75"/>
    <n v="1.72"/>
    <n v="6.6"/>
    <n v="10"/>
    <n v="8.1999999999999993"/>
    <n v="50"/>
    <n v="50"/>
  </r>
  <r>
    <s v="P688"/>
    <n v="51"/>
    <s v="Male"/>
    <s v="Other"/>
    <s v="Heart Disease"/>
    <s v="Not Reported"/>
    <s v="T008"/>
    <x v="1"/>
    <x v="3"/>
    <s v="3/21/2020"/>
    <s v="6/21/2021"/>
    <s v="50mg"/>
    <s v="Nausea, Headache, Dizziness"/>
    <s v="TR0187"/>
    <s v="50mg"/>
    <x v="2"/>
    <s v="Fatigue"/>
    <n v="73"/>
    <n v="0"/>
    <s v="EGFR"/>
    <s v="Positive"/>
    <n v="3.19"/>
    <n v="2.67"/>
    <n v="2.4"/>
    <n v="9.1"/>
    <n v="10.1"/>
    <n v="50"/>
    <n v="50"/>
  </r>
  <r>
    <s v="P689"/>
    <n v="70"/>
    <s v="Male"/>
    <s v="Other"/>
    <s v="Not Reported"/>
    <s v="Not Reported"/>
    <s v="T007"/>
    <x v="3"/>
    <x v="2"/>
    <s v="7/7/2019"/>
    <s v="10/7/2020"/>
    <s v="200mg"/>
    <s v="Dizziness"/>
    <s v="TR0075"/>
    <s v="200mg"/>
    <x v="1"/>
    <s v="Fatigue"/>
    <n v="133"/>
    <n v="0"/>
    <s v="EGFR"/>
    <s v="Negative"/>
    <n v="4.03"/>
    <n v="4.59"/>
    <n v="1.8"/>
    <n v="13.1"/>
    <n v="4.7"/>
    <n v="200"/>
    <n v="200"/>
  </r>
  <r>
    <s v="P690"/>
    <n v="54"/>
    <s v="Female"/>
    <s v="Asian"/>
    <s v="Heart Disease"/>
    <s v="Not Reported"/>
    <s v="T004"/>
    <x v="3"/>
    <x v="3"/>
    <s v="8/1/2023"/>
    <s v="3/1/2024"/>
    <s v="200mg"/>
    <s v="Fatigue, Not Reported, Headache"/>
    <s v="TR0033"/>
    <s v="200mg"/>
    <x v="2"/>
    <s v="Fatigue"/>
    <n v="178"/>
    <n v="0"/>
    <s v="BRCA1"/>
    <s v="Positive"/>
    <n v="1.07"/>
    <n v="3.65"/>
    <n v="6.4"/>
    <n v="8.9"/>
    <n v="7"/>
    <n v="200"/>
    <n v="200"/>
  </r>
  <r>
    <s v="P691"/>
    <n v="34"/>
    <s v="Other"/>
    <s v="Caucasian"/>
    <s v="Diabetes"/>
    <s v="Not Reported"/>
    <s v="T002"/>
    <x v="1"/>
    <x v="0"/>
    <s v="4/9/2020"/>
    <s v="11/9/2020"/>
    <s v="50mg"/>
    <s v="Fatigue, Nausea, Not Reported"/>
    <s v="TR0004"/>
    <s v="50mg"/>
    <x v="1"/>
    <s v="Nausea"/>
    <n v="117"/>
    <n v="0"/>
    <s v="BRCA2"/>
    <s v="Negative"/>
    <n v="1.0900000000000001"/>
    <n v="4.34"/>
    <n v="9.8000000000000007"/>
    <n v="8.4"/>
    <n v="6.9"/>
    <n v="50"/>
    <n v="50"/>
  </r>
  <r>
    <s v="P692"/>
    <n v="36"/>
    <s v="Male"/>
    <s v="Caucasian"/>
    <s v="Not Reported"/>
    <s v="HER2 Mutation"/>
    <s v="T013"/>
    <x v="0"/>
    <x v="0"/>
    <s v="11/5/2020"/>
    <s v="8/5/2021"/>
    <s v="200mg"/>
    <s v="Fatigue, Dizziness"/>
    <s v="TR0126"/>
    <s v="200mg"/>
    <x v="1"/>
    <s v="Not Reported"/>
    <n v="141"/>
    <n v="0"/>
    <s v="BRCA1"/>
    <s v="Negative"/>
    <n v="4.47"/>
    <n v="4.71"/>
    <n v="4.8"/>
    <n v="6.9"/>
    <n v="3.7"/>
    <n v="200"/>
    <n v="200"/>
  </r>
  <r>
    <s v="P693"/>
    <n v="18"/>
    <s v="Female"/>
    <s v="Hispanic"/>
    <s v="Diabetes"/>
    <s v="BRCA1 Mutation"/>
    <s v="T015"/>
    <x v="0"/>
    <x v="2"/>
    <s v="2/10/2022"/>
    <s v="10/10/2022"/>
    <s v="150mg"/>
    <s v="Fatigue, Headache"/>
    <s v="TR0197"/>
    <s v="150mg"/>
    <x v="0"/>
    <s v="Headache"/>
    <n v="165"/>
    <n v="1"/>
    <s v="BRCA1"/>
    <s v="Negative"/>
    <n v="3.3"/>
    <n v="2.57"/>
    <n v="1.3"/>
    <n v="16.5"/>
    <n v="3.2"/>
    <n v="150"/>
    <n v="150"/>
  </r>
  <r>
    <s v="P694"/>
    <n v="62"/>
    <s v="Female"/>
    <s v="Asian"/>
    <s v="Asthma"/>
    <s v="TP53 Mutation"/>
    <s v="T016"/>
    <x v="3"/>
    <x v="3"/>
    <s v="8/8/2020"/>
    <s v="9/8/2021"/>
    <s v="100mg"/>
    <s v="Fatigue"/>
    <s v="TR0166"/>
    <s v="100mg"/>
    <x v="1"/>
    <s v="Headache"/>
    <n v="86"/>
    <n v="0"/>
    <s v="EGFR"/>
    <s v="Positive"/>
    <n v="4.1500000000000004"/>
    <n v="2.23"/>
    <n v="1.4"/>
    <n v="16.600000000000001"/>
    <n v="9.8000000000000007"/>
    <n v="100"/>
    <n v="100"/>
  </r>
  <r>
    <s v="P695"/>
    <n v="32"/>
    <s v="Female"/>
    <s v="African American"/>
    <s v="Heart Disease"/>
    <s v="BRCA1 Mutation"/>
    <s v="T009"/>
    <x v="0"/>
    <x v="0"/>
    <s v="2/19/2019"/>
    <s v="9/19/2019"/>
    <s v="100mg"/>
    <s v="Not Reported, Fatigue"/>
    <s v="TR0194"/>
    <s v="100mg"/>
    <x v="2"/>
    <s v="Dizziness"/>
    <n v="177"/>
    <n v="0"/>
    <s v="EGFR"/>
    <s v="Positive"/>
    <n v="4.9000000000000004"/>
    <n v="3.18"/>
    <n v="3.5"/>
    <n v="18.8"/>
    <n v="7.6"/>
    <n v="100"/>
    <n v="100"/>
  </r>
  <r>
    <s v="P696"/>
    <n v="81"/>
    <s v="Other"/>
    <s v="Caucasian"/>
    <s v="Diabetes"/>
    <s v="Not Reported"/>
    <s v="T011"/>
    <x v="3"/>
    <x v="3"/>
    <s v="8/7/2019"/>
    <s v="4/7/2020"/>
    <s v="50mg"/>
    <s v="Not Reported, Headache, Fatigue"/>
    <s v="TR0179"/>
    <s v="50mg"/>
    <x v="1"/>
    <s v="Dizziness"/>
    <n v="81"/>
    <n v="0"/>
    <s v="HER2"/>
    <s v="Negative"/>
    <n v="4.62"/>
    <n v="2.5"/>
    <n v="5.9"/>
    <n v="6.9"/>
    <n v="10.199999999999999"/>
    <n v="50"/>
    <n v="50"/>
  </r>
  <r>
    <s v="P697"/>
    <n v="30"/>
    <s v="Female"/>
    <s v="Hispanic"/>
    <s v="Heart Disease"/>
    <s v="BRCA2 Mutation"/>
    <s v="T011"/>
    <x v="1"/>
    <x v="3"/>
    <s v="8/25/2021"/>
    <s v="5/25/2022"/>
    <s v="150mg"/>
    <s v="Fatigue, Headache"/>
    <s v="TR0144"/>
    <s v="150mg"/>
    <x v="0"/>
    <s v="Nausea"/>
    <n v="56"/>
    <n v="1"/>
    <s v="EGFR"/>
    <s v="Positive"/>
    <n v="4.33"/>
    <n v="4.22"/>
    <n v="3"/>
    <n v="10.1"/>
    <n v="16.899999999999999"/>
    <n v="150"/>
    <n v="150"/>
  </r>
  <r>
    <s v="P698"/>
    <n v="47"/>
    <s v="Female"/>
    <s v="Caucasian"/>
    <s v="Diabetes"/>
    <s v="EGFR Mutation"/>
    <s v="T003"/>
    <x v="1"/>
    <x v="0"/>
    <s v="4/24/2020"/>
    <s v="1/24/2021"/>
    <s v="100mg"/>
    <s v="Nausea, Dizziness"/>
    <s v="TR0066"/>
    <s v="100mg"/>
    <x v="0"/>
    <s v="Dizziness"/>
    <n v="134"/>
    <n v="1"/>
    <s v="BRCA1"/>
    <s v="Negative"/>
    <n v="4.72"/>
    <n v="1.38"/>
    <n v="5.0999999999999996"/>
    <n v="12.1"/>
    <n v="17.8"/>
    <n v="100"/>
    <n v="100"/>
  </r>
  <r>
    <s v="P699"/>
    <n v="75"/>
    <s v="Male"/>
    <s v="Caucasian"/>
    <s v="Not Reported"/>
    <s v="Not Reported"/>
    <s v="T020"/>
    <x v="1"/>
    <x v="1"/>
    <s v="10/18/2021"/>
    <s v="3/18/2023"/>
    <s v="100mg"/>
    <s v="Headache"/>
    <s v="TR0177"/>
    <s v="100mg"/>
    <x v="1"/>
    <s v="Dizziness"/>
    <n v="72"/>
    <n v="0"/>
    <s v="BRCA1"/>
    <s v="Negative"/>
    <n v="1.33"/>
    <n v="1.84"/>
    <n v="7.8"/>
    <n v="6.9"/>
    <n v="11.4"/>
    <n v="100"/>
    <n v="100"/>
  </r>
  <r>
    <s v="P700"/>
    <n v="45"/>
    <s v="Female"/>
    <s v="African American"/>
    <s v="Hypertension"/>
    <s v="EGFR Mutation"/>
    <s v="T008"/>
    <x v="0"/>
    <x v="1"/>
    <s v="12/12/2022"/>
    <s v="11/12/2023"/>
    <s v="200mg"/>
    <s v="Fatigue, Nausea, Not Reported"/>
    <s v="TR0025"/>
    <s v="200mg"/>
    <x v="2"/>
    <s v="Dizziness"/>
    <n v="35"/>
    <n v="0"/>
    <s v="TP53"/>
    <s v="Positive"/>
    <n v="2.77"/>
    <n v="2.34"/>
    <n v="4.5999999999999996"/>
    <n v="15.5"/>
    <n v="5.7"/>
    <n v="200"/>
    <n v="200"/>
  </r>
  <r>
    <s v="P701"/>
    <n v="40"/>
    <s v="Male"/>
    <s v="Asian"/>
    <s v="Hypertension"/>
    <s v="Not Reported"/>
    <s v="T007"/>
    <x v="2"/>
    <x v="2"/>
    <s v="5/15/2020"/>
    <s v="11/15/2020"/>
    <s v="200mg"/>
    <s v="Dizziness"/>
    <s v="TR0035"/>
    <s v="200mg"/>
    <x v="0"/>
    <s v="Nausea"/>
    <n v="82"/>
    <n v="1"/>
    <s v="TP53"/>
    <s v="Negative"/>
    <n v="3.29"/>
    <n v="4.22"/>
    <n v="7.8"/>
    <n v="8.8000000000000007"/>
    <n v="5.5"/>
    <n v="200"/>
    <n v="200"/>
  </r>
  <r>
    <s v="P702"/>
    <n v="73"/>
    <s v="Male"/>
    <s v="Caucasian"/>
    <s v="Diabetes"/>
    <s v="BRCA1 Mutation"/>
    <s v="T006"/>
    <x v="0"/>
    <x v="1"/>
    <s v="3/22/2023"/>
    <s v="3/22/2024"/>
    <s v="50mg"/>
    <s v="Fatigue"/>
    <s v="TR0055"/>
    <s v="50mg"/>
    <x v="0"/>
    <s v="Fatigue"/>
    <n v="136"/>
    <n v="1"/>
    <s v="BRCA1"/>
    <s v="Negative"/>
    <n v="2.0699999999999998"/>
    <n v="2.44"/>
    <n v="4.7"/>
    <n v="18.2"/>
    <n v="4"/>
    <n v="50"/>
    <n v="50"/>
  </r>
  <r>
    <s v="P703"/>
    <n v="47"/>
    <s v="Other"/>
    <s v="Asian"/>
    <s v="Not Reported"/>
    <s v="Not Reported"/>
    <s v="T018"/>
    <x v="0"/>
    <x v="0"/>
    <s v="10/18/2020"/>
    <s v="2/18/2022"/>
    <s v="100mg"/>
    <s v="Headache, Fatigue"/>
    <s v="TR0157"/>
    <s v="100mg"/>
    <x v="1"/>
    <s v="Not Reported"/>
    <n v="110"/>
    <n v="0"/>
    <s v="TP53"/>
    <s v="Positive"/>
    <n v="1.1399999999999999"/>
    <n v="2.57"/>
    <n v="7.3"/>
    <n v="9.5"/>
    <n v="13.9"/>
    <n v="100"/>
    <n v="100"/>
  </r>
  <r>
    <s v="P704"/>
    <n v="20"/>
    <s v="Male"/>
    <s v="Hispanic"/>
    <s v="Not Reported"/>
    <s v="EGFR Mutation"/>
    <s v="T015"/>
    <x v="1"/>
    <x v="1"/>
    <s v="1/8/2020"/>
    <s v="6/8/2021"/>
    <s v="50mg"/>
    <s v="Headache, Dizziness, Not Reported"/>
    <s v="TR0149"/>
    <s v="50mg"/>
    <x v="2"/>
    <s v="Fatigue"/>
    <n v="43"/>
    <n v="0"/>
    <s v="EGFR"/>
    <s v="Positive"/>
    <n v="2.04"/>
    <n v="4.54"/>
    <n v="9.1"/>
    <n v="11.4"/>
    <n v="6.9"/>
    <n v="50"/>
    <n v="50"/>
  </r>
  <r>
    <s v="P705"/>
    <n v="47"/>
    <s v="Male"/>
    <s v="Asian"/>
    <s v="Hypertension"/>
    <s v="Not Reported"/>
    <s v="T020"/>
    <x v="1"/>
    <x v="2"/>
    <s v="9/3/2023"/>
    <s v="8/3/2024"/>
    <s v="50mg"/>
    <s v="Not Reported, Dizziness"/>
    <s v="TR0141"/>
    <s v="50mg"/>
    <x v="0"/>
    <s v="Fatigue"/>
    <n v="41"/>
    <n v="1"/>
    <s v="HER2"/>
    <s v="Negative"/>
    <n v="2.65"/>
    <n v="1.96"/>
    <n v="7.1"/>
    <n v="20.9"/>
    <n v="14.4"/>
    <n v="50"/>
    <n v="50"/>
  </r>
  <r>
    <s v="P706"/>
    <n v="44"/>
    <s v="Male"/>
    <s v="Asian"/>
    <s v="Hypertension"/>
    <s v="Not Reported"/>
    <s v="T020"/>
    <x v="3"/>
    <x v="1"/>
    <s v="12/21/2022"/>
    <s v="2/21/2024"/>
    <s v="50mg"/>
    <s v="Not Reported, Headache, Nausea"/>
    <s v="TR0175"/>
    <s v="50mg"/>
    <x v="1"/>
    <s v="Not Reported"/>
    <n v="37"/>
    <n v="0"/>
    <s v="BRCA1"/>
    <s v="Positive"/>
    <n v="4.3"/>
    <n v="2.59"/>
    <n v="2.4"/>
    <n v="19.3"/>
    <n v="9.1"/>
    <n v="50"/>
    <n v="50"/>
  </r>
  <r>
    <s v="P707"/>
    <n v="21"/>
    <s v="Other"/>
    <s v="Caucasian"/>
    <s v="Hypertension"/>
    <s v="BRCA2 Mutation"/>
    <s v="T019"/>
    <x v="1"/>
    <x v="1"/>
    <s v="8/26/2020"/>
    <s v="3/26/2021"/>
    <s v="200mg"/>
    <s v="Not Reported, Nausea, Dizziness"/>
    <s v="TR0192"/>
    <s v="200mg"/>
    <x v="2"/>
    <s v="Nausea"/>
    <n v="68"/>
    <n v="0"/>
    <s v="TP53"/>
    <s v="Negative"/>
    <n v="3.69"/>
    <n v="2.08"/>
    <n v="1.7"/>
    <n v="23.9"/>
    <n v="5.7"/>
    <n v="200"/>
    <n v="200"/>
  </r>
  <r>
    <s v="P708"/>
    <n v="66"/>
    <s v="Other"/>
    <s v="Caucasian"/>
    <s v="Heart Disease"/>
    <s v="Not Reported"/>
    <s v="T010"/>
    <x v="0"/>
    <x v="2"/>
    <s v="9/27/2019"/>
    <s v="5/27/2020"/>
    <s v="200mg"/>
    <s v="Headache, Nausea"/>
    <s v="TR0039"/>
    <s v="200mg"/>
    <x v="0"/>
    <s v="Not Reported"/>
    <n v="158"/>
    <n v="1"/>
    <s v="EGFR"/>
    <s v="Positive"/>
    <n v="4.95"/>
    <n v="4.91"/>
    <n v="8.1"/>
    <n v="17.899999999999999"/>
    <n v="12.8"/>
    <n v="200"/>
    <n v="200"/>
  </r>
  <r>
    <s v="P709"/>
    <n v="58"/>
    <s v="Female"/>
    <s v="Hispanic"/>
    <s v="Hypertension"/>
    <s v="Not Reported"/>
    <s v="T015"/>
    <x v="1"/>
    <x v="1"/>
    <s v="1/1/2023"/>
    <s v="5/1/2024"/>
    <s v="150mg"/>
    <s v="Headache"/>
    <s v="TR0089"/>
    <s v="150mg"/>
    <x v="2"/>
    <s v="Not Reported"/>
    <n v="52"/>
    <n v="0"/>
    <s v="TP53"/>
    <s v="Negative"/>
    <n v="4.46"/>
    <n v="2.16"/>
    <n v="5.2"/>
    <n v="17.100000000000001"/>
    <n v="10"/>
    <n v="150"/>
    <n v="150"/>
  </r>
  <r>
    <s v="P710"/>
    <n v="85"/>
    <s v="Male"/>
    <s v="Hispanic"/>
    <s v="Asthma"/>
    <s v="Not Reported"/>
    <s v="T008"/>
    <x v="3"/>
    <x v="2"/>
    <s v="9/8/2021"/>
    <s v="8/8/2022"/>
    <s v="150mg"/>
    <s v="Nausea, Not Reported, Fatigue"/>
    <s v="TR0044"/>
    <s v="150mg"/>
    <x v="2"/>
    <s v="Headache"/>
    <n v="40"/>
    <n v="0"/>
    <s v="EGFR"/>
    <s v="Positive"/>
    <n v="2.71"/>
    <n v="2.3199999999999998"/>
    <n v="6.1"/>
    <n v="21.3"/>
    <n v="6.4"/>
    <n v="150"/>
    <n v="150"/>
  </r>
  <r>
    <s v="P711"/>
    <n v="78"/>
    <s v="Male"/>
    <s v="Hispanic"/>
    <s v="Diabetes"/>
    <s v="EGFR Mutation"/>
    <s v="T020"/>
    <x v="3"/>
    <x v="3"/>
    <s v="10/25/2019"/>
    <s v="2/25/2021"/>
    <s v="100mg"/>
    <s v="Nausea"/>
    <s v="TR0016"/>
    <s v="100mg"/>
    <x v="1"/>
    <s v="Nausea"/>
    <n v="61"/>
    <n v="0"/>
    <s v="HER2"/>
    <s v="Negative"/>
    <n v="4.74"/>
    <n v="3.76"/>
    <n v="8.4"/>
    <n v="16"/>
    <n v="16.3"/>
    <n v="100"/>
    <n v="100"/>
  </r>
  <r>
    <s v="P712"/>
    <n v="85"/>
    <s v="Male"/>
    <s v="Other"/>
    <s v="Heart Disease"/>
    <s v="Not Reported"/>
    <s v="T009"/>
    <x v="0"/>
    <x v="2"/>
    <s v="8/16/2023"/>
    <s v="5/16/2024"/>
    <s v="100mg"/>
    <s v="Fatigue, Nausea"/>
    <s v="TR0103"/>
    <s v="100mg"/>
    <x v="1"/>
    <s v="Fatigue"/>
    <n v="69"/>
    <n v="0"/>
    <s v="BRCA1"/>
    <s v="Positive"/>
    <n v="1.06"/>
    <n v="4.2699999999999996"/>
    <n v="1.4"/>
    <n v="22"/>
    <n v="19.899999999999999"/>
    <n v="100"/>
    <n v="100"/>
  </r>
  <r>
    <s v="P713"/>
    <n v="69"/>
    <s v="Other"/>
    <s v="African American"/>
    <s v="Diabetes"/>
    <s v="Not Reported"/>
    <s v="T010"/>
    <x v="3"/>
    <x v="3"/>
    <s v="1/8/2020"/>
    <s v="1/8/2021"/>
    <s v="100mg"/>
    <s v="Dizziness, Headache"/>
    <s v="TR0055"/>
    <s v="100mg"/>
    <x v="0"/>
    <s v="Not Reported"/>
    <n v="94"/>
    <n v="1"/>
    <s v="BRCA1"/>
    <s v="Negative"/>
    <n v="2.1800000000000002"/>
    <n v="1.84"/>
    <n v="7.9"/>
    <n v="10.6"/>
    <n v="17.7"/>
    <n v="100"/>
    <n v="100"/>
  </r>
  <r>
    <s v="P714"/>
    <n v="23"/>
    <s v="Female"/>
    <s v="African American"/>
    <s v="Asthma"/>
    <s v="TP53 Mutation"/>
    <s v="T010"/>
    <x v="1"/>
    <x v="2"/>
    <s v="4/24/2022"/>
    <s v="8/24/2023"/>
    <s v="150mg"/>
    <s v="Dizziness, Fatigue"/>
    <s v="TR0076"/>
    <s v="150mg"/>
    <x v="0"/>
    <s v="Nausea"/>
    <n v="51"/>
    <n v="1"/>
    <s v="HER2"/>
    <s v="Negative"/>
    <n v="1.41"/>
    <n v="1.5"/>
    <n v="9.8000000000000007"/>
    <n v="18.100000000000001"/>
    <n v="17.399999999999999"/>
    <n v="150"/>
    <n v="150"/>
  </r>
  <r>
    <s v="P715"/>
    <n v="57"/>
    <s v="Female"/>
    <s v="African American"/>
    <s v="Not Reported"/>
    <s v="Not Reported"/>
    <s v="T017"/>
    <x v="1"/>
    <x v="2"/>
    <s v="6/8/2019"/>
    <s v="8/8/2020"/>
    <s v="100mg"/>
    <s v="Not Reported, Fatigue"/>
    <s v="TR0120"/>
    <s v="100mg"/>
    <x v="2"/>
    <s v="Nausea"/>
    <n v="117"/>
    <n v="0"/>
    <s v="BRCA1"/>
    <s v="Negative"/>
    <n v="2.2999999999999998"/>
    <n v="3.71"/>
    <n v="6.3"/>
    <n v="16.899999999999999"/>
    <n v="14.6"/>
    <n v="100"/>
    <n v="100"/>
  </r>
  <r>
    <s v="P716"/>
    <n v="25"/>
    <s v="Female"/>
    <s v="Asian"/>
    <s v="Diabetes"/>
    <s v="Not Reported"/>
    <s v="T007"/>
    <x v="0"/>
    <x v="2"/>
    <s v="5/19/2023"/>
    <s v="4/19/2024"/>
    <s v="50mg"/>
    <s v="Fatigue, Dizziness"/>
    <s v="TR0027"/>
    <s v="50mg"/>
    <x v="0"/>
    <s v="Nausea"/>
    <n v="146"/>
    <n v="1"/>
    <s v="EGFR"/>
    <s v="Negative"/>
    <n v="3.3"/>
    <n v="2.72"/>
    <n v="3.5"/>
    <n v="19.8"/>
    <n v="6.8"/>
    <n v="50"/>
    <n v="50"/>
  </r>
  <r>
    <s v="P717"/>
    <n v="33"/>
    <s v="Other"/>
    <s v="Caucasian"/>
    <s v="Heart Disease"/>
    <s v="Not Reported"/>
    <s v="T008"/>
    <x v="1"/>
    <x v="2"/>
    <s v="4/5/2022"/>
    <s v="4/5/2023"/>
    <s v="150mg"/>
    <s v="Nausea"/>
    <s v="TR0105"/>
    <s v="150mg"/>
    <x v="0"/>
    <s v="Nausea"/>
    <n v="51"/>
    <n v="1"/>
    <s v="EGFR"/>
    <s v="Negative"/>
    <n v="3.77"/>
    <n v="1.93"/>
    <n v="6.6"/>
    <n v="19.399999999999999"/>
    <n v="6.7"/>
    <n v="150"/>
    <n v="150"/>
  </r>
  <r>
    <s v="P718"/>
    <n v="59"/>
    <s v="Female"/>
    <s v="Caucasian"/>
    <s v="Asthma"/>
    <s v="Not Reported"/>
    <s v="T014"/>
    <x v="1"/>
    <x v="1"/>
    <s v="4/27/2020"/>
    <s v="10/27/2020"/>
    <s v="50mg"/>
    <s v="Nausea, Not Reported, Fatigue"/>
    <s v="TR0029"/>
    <s v="50mg"/>
    <x v="2"/>
    <s v="Fatigue"/>
    <n v="164"/>
    <n v="0"/>
    <s v="BRCA1"/>
    <s v="Positive"/>
    <n v="1.24"/>
    <n v="1.52"/>
    <n v="6.5"/>
    <n v="21.3"/>
    <n v="3.8"/>
    <n v="50"/>
    <n v="50"/>
  </r>
  <r>
    <s v="P719"/>
    <n v="66"/>
    <s v="Female"/>
    <s v="Hispanic"/>
    <s v="Asthma"/>
    <s v="TP53 Mutation"/>
    <s v="T020"/>
    <x v="1"/>
    <x v="0"/>
    <s v="10/22/2019"/>
    <s v="7/22/2020"/>
    <s v="200mg"/>
    <s v="Dizziness, Not Reported"/>
    <s v="TR0035"/>
    <s v="200mg"/>
    <x v="0"/>
    <s v="Nausea"/>
    <n v="109"/>
    <n v="1"/>
    <s v="EGFR"/>
    <s v="Positive"/>
    <n v="3.94"/>
    <n v="2.37"/>
    <n v="5.3"/>
    <n v="22.7"/>
    <n v="8.6"/>
    <n v="200"/>
    <n v="200"/>
  </r>
  <r>
    <s v="P720"/>
    <n v="33"/>
    <s v="Other"/>
    <s v="Other"/>
    <s v="Not Reported"/>
    <s v="TP53 Mutation"/>
    <s v="T008"/>
    <x v="2"/>
    <x v="0"/>
    <s v="8/11/2023"/>
    <s v="2/11/2024"/>
    <s v="100mg"/>
    <s v="Fatigue, Dizziness"/>
    <s v="TR0186"/>
    <s v="100mg"/>
    <x v="0"/>
    <s v="Fatigue"/>
    <n v="159"/>
    <n v="1"/>
    <s v="BRCA2"/>
    <s v="Positive"/>
    <n v="2.86"/>
    <n v="1.05"/>
    <n v="1.7"/>
    <n v="10.7"/>
    <n v="3.5"/>
    <n v="100"/>
    <n v="100"/>
  </r>
  <r>
    <s v="P721"/>
    <n v="48"/>
    <s v="Female"/>
    <s v="African American"/>
    <s v="Not Reported"/>
    <s v="BRCA1 Mutation"/>
    <s v="T003"/>
    <x v="0"/>
    <x v="1"/>
    <s v="3/17/2021"/>
    <s v="5/17/2022"/>
    <s v="200mg"/>
    <s v="Nausea, Not Reported, Headache"/>
    <s v="TR0006"/>
    <s v="200mg"/>
    <x v="1"/>
    <s v="Fatigue"/>
    <n v="156"/>
    <n v="0"/>
    <s v="HER2"/>
    <s v="Negative"/>
    <n v="3.53"/>
    <n v="2.71"/>
    <n v="5.9"/>
    <n v="9.1"/>
    <n v="8"/>
    <n v="200"/>
    <n v="200"/>
  </r>
  <r>
    <s v="P722"/>
    <n v="73"/>
    <s v="Other"/>
    <s v="Caucasian"/>
    <s v="Heart Disease"/>
    <s v="Not Reported"/>
    <s v="T004"/>
    <x v="2"/>
    <x v="0"/>
    <s v="1/7/2019"/>
    <s v="7/7/2019"/>
    <s v="100mg"/>
    <s v="Headache, Dizziness"/>
    <s v="TR0156"/>
    <s v="100mg"/>
    <x v="0"/>
    <s v="Nausea"/>
    <n v="128"/>
    <n v="1"/>
    <s v="BRCA2"/>
    <s v="Negative"/>
    <n v="3.66"/>
    <n v="4.8600000000000003"/>
    <n v="1.5"/>
    <n v="22"/>
    <n v="12.8"/>
    <n v="100"/>
    <n v="100"/>
  </r>
  <r>
    <s v="P723"/>
    <n v="27"/>
    <s v="Female"/>
    <s v="Asian"/>
    <s v="Hypertension"/>
    <s v="Not Reported"/>
    <s v="T007"/>
    <x v="0"/>
    <x v="3"/>
    <s v="1/27/2021"/>
    <s v="1/27/2022"/>
    <s v="100mg"/>
    <s v="Dizziness, Nausea"/>
    <s v="TR0125"/>
    <s v="100mg"/>
    <x v="2"/>
    <s v="Headache"/>
    <n v="138"/>
    <n v="0"/>
    <s v="EGFR"/>
    <s v="Positive"/>
    <n v="3.26"/>
    <n v="3"/>
    <n v="1.6"/>
    <n v="7.6"/>
    <n v="13.2"/>
    <n v="100"/>
    <n v="100"/>
  </r>
  <r>
    <s v="P724"/>
    <n v="44"/>
    <s v="Other"/>
    <s v="African American"/>
    <s v="Not Reported"/>
    <s v="Not Reported"/>
    <s v="T002"/>
    <x v="1"/>
    <x v="2"/>
    <s v="9/1/2021"/>
    <s v="3/1/2023"/>
    <s v="200mg"/>
    <s v="Not Reported"/>
    <s v="TR0077"/>
    <s v="200mg"/>
    <x v="0"/>
    <s v="Headache"/>
    <n v="170"/>
    <n v="1"/>
    <s v="EGFR"/>
    <s v="Positive"/>
    <n v="2.36"/>
    <n v="4.67"/>
    <n v="4.7"/>
    <n v="8.6"/>
    <n v="15.2"/>
    <n v="200"/>
    <n v="200"/>
  </r>
  <r>
    <s v="P725"/>
    <n v="70"/>
    <s v="Male"/>
    <s v="Asian"/>
    <s v="Diabetes"/>
    <s v="Not Reported"/>
    <s v="T020"/>
    <x v="1"/>
    <x v="1"/>
    <s v="11/12/2019"/>
    <s v="12/12/2020"/>
    <s v="50mg"/>
    <s v="Nausea, Not Reported, Headache"/>
    <s v="TR0149"/>
    <s v="50mg"/>
    <x v="2"/>
    <s v="Nausea"/>
    <n v="104"/>
    <n v="0"/>
    <s v="TP53"/>
    <s v="Positive"/>
    <n v="2.17"/>
    <n v="3.1"/>
    <n v="7.3"/>
    <n v="22.2"/>
    <n v="16.5"/>
    <n v="50"/>
    <n v="50"/>
  </r>
  <r>
    <s v="P726"/>
    <n v="20"/>
    <s v="Other"/>
    <s v="Hispanic"/>
    <s v="Not Reported"/>
    <s v="Not Reported"/>
    <s v="T006"/>
    <x v="3"/>
    <x v="0"/>
    <s v="10/26/2023"/>
    <s v="10/26/2024"/>
    <s v="150mg"/>
    <s v="Dizziness, Headache, Nausea"/>
    <s v="TR0134"/>
    <s v="150mg"/>
    <x v="1"/>
    <s v="Fatigue"/>
    <n v="167"/>
    <n v="0"/>
    <s v="TP53"/>
    <s v="Negative"/>
    <n v="3.71"/>
    <n v="3.72"/>
    <n v="9.5"/>
    <n v="11.3"/>
    <n v="3"/>
    <n v="150"/>
    <n v="150"/>
  </r>
  <r>
    <s v="P727"/>
    <n v="49"/>
    <s v="Male"/>
    <s v="African American"/>
    <s v="Heart Disease"/>
    <s v="BRCA1 Mutation"/>
    <s v="T017"/>
    <x v="0"/>
    <x v="2"/>
    <s v="4/4/2020"/>
    <s v="12/4/2020"/>
    <s v="100mg"/>
    <s v="Fatigue, Headache"/>
    <s v="TR0104"/>
    <s v="100mg"/>
    <x v="2"/>
    <s v="Dizziness"/>
    <n v="44"/>
    <n v="0"/>
    <s v="HER2"/>
    <s v="Positive"/>
    <n v="2.09"/>
    <n v="1.87"/>
    <n v="7"/>
    <n v="17.399999999999999"/>
    <n v="13.1"/>
    <n v="100"/>
    <n v="100"/>
  </r>
  <r>
    <s v="P728"/>
    <n v="78"/>
    <s v="Male"/>
    <s v="Hispanic"/>
    <s v="Hypertension"/>
    <s v="HER2 Mutation"/>
    <s v="T001"/>
    <x v="3"/>
    <x v="2"/>
    <s v="5/18/2020"/>
    <s v="10/18/2021"/>
    <s v="100mg"/>
    <s v="Dizziness, Fatigue, Headache"/>
    <s v="TR0172"/>
    <s v="100mg"/>
    <x v="2"/>
    <s v="Dizziness"/>
    <n v="122"/>
    <n v="0"/>
    <s v="BRCA2"/>
    <s v="Positive"/>
    <n v="1.06"/>
    <n v="3.92"/>
    <n v="3.9"/>
    <n v="18"/>
    <n v="12.5"/>
    <n v="100"/>
    <n v="100"/>
  </r>
  <r>
    <s v="P729"/>
    <n v="20"/>
    <s v="Female"/>
    <s v="Caucasian"/>
    <s v="Not Reported"/>
    <s v="Not Reported"/>
    <s v="T004"/>
    <x v="2"/>
    <x v="0"/>
    <s v="1/18/2021"/>
    <s v="7/18/2022"/>
    <s v="100mg"/>
    <s v="Dizziness, Not Reported"/>
    <s v="TR0140"/>
    <s v="100mg"/>
    <x v="2"/>
    <s v="Fatigue"/>
    <n v="141"/>
    <n v="0"/>
    <s v="TP53"/>
    <s v="Positive"/>
    <n v="2.37"/>
    <n v="1.54"/>
    <n v="1.8"/>
    <n v="21"/>
    <n v="18.600000000000001"/>
    <n v="100"/>
    <n v="100"/>
  </r>
  <r>
    <s v="P730"/>
    <n v="66"/>
    <s v="Other"/>
    <s v="Hispanic"/>
    <s v="Not Reported"/>
    <s v="BRCA1 Mutation"/>
    <s v="T007"/>
    <x v="1"/>
    <x v="0"/>
    <s v="2/22/2022"/>
    <s v="6/22/2023"/>
    <s v="100mg"/>
    <s v="Dizziness"/>
    <s v="TR0081"/>
    <s v="100mg"/>
    <x v="2"/>
    <s v="Not Reported"/>
    <n v="60"/>
    <n v="0"/>
    <s v="TP53"/>
    <s v="Positive"/>
    <n v="3.6"/>
    <n v="1.41"/>
    <n v="4.5999999999999996"/>
    <n v="19.100000000000001"/>
    <n v="16.3"/>
    <n v="100"/>
    <n v="100"/>
  </r>
  <r>
    <s v="P731"/>
    <n v="52"/>
    <s v="Female"/>
    <s v="Other"/>
    <s v="Diabetes"/>
    <s v="TP53 Mutation"/>
    <s v="T017"/>
    <x v="0"/>
    <x v="1"/>
    <s v="3/16/2019"/>
    <s v="9/16/2020"/>
    <s v="100mg"/>
    <s v="Nausea"/>
    <s v="TR0171"/>
    <s v="100mg"/>
    <x v="2"/>
    <s v="Headache"/>
    <n v="130"/>
    <n v="0"/>
    <s v="HER2"/>
    <s v="Positive"/>
    <n v="1.47"/>
    <n v="1"/>
    <n v="7.4"/>
    <n v="12.4"/>
    <n v="7.3"/>
    <n v="100"/>
    <n v="100"/>
  </r>
  <r>
    <s v="P732"/>
    <n v="25"/>
    <s v="Male"/>
    <s v="Hispanic"/>
    <s v="Heart Disease"/>
    <s v="BRCA1 Mutation"/>
    <s v="T007"/>
    <x v="0"/>
    <x v="1"/>
    <s v="2/13/2019"/>
    <s v="4/13/2020"/>
    <s v="50mg"/>
    <s v="Not Reported, Nausea, Fatigue"/>
    <s v="TR0162"/>
    <s v="50mg"/>
    <x v="2"/>
    <s v="Nausea"/>
    <n v="112"/>
    <n v="0"/>
    <s v="BRCA1"/>
    <s v="Negative"/>
    <n v="1.05"/>
    <n v="3.16"/>
    <n v="8.6999999999999993"/>
    <n v="23.2"/>
    <n v="12.6"/>
    <n v="50"/>
    <n v="50"/>
  </r>
  <r>
    <s v="P733"/>
    <n v="70"/>
    <s v="Male"/>
    <s v="Other"/>
    <s v="Diabetes"/>
    <s v="Not Reported"/>
    <s v="T015"/>
    <x v="3"/>
    <x v="2"/>
    <s v="12/12/2019"/>
    <s v="9/12/2020"/>
    <s v="150mg"/>
    <s v="Nausea, Headache"/>
    <s v="TR0113"/>
    <s v="150mg"/>
    <x v="1"/>
    <s v="Dizziness"/>
    <n v="102"/>
    <n v="0"/>
    <s v="HER2"/>
    <s v="Positive"/>
    <n v="3.06"/>
    <n v="1.34"/>
    <n v="5.9"/>
    <n v="12.8"/>
    <n v="13.3"/>
    <n v="150"/>
    <n v="150"/>
  </r>
  <r>
    <s v="P734"/>
    <n v="25"/>
    <s v="Other"/>
    <s v="Hispanic"/>
    <s v="Diabetes"/>
    <s v="Not Reported"/>
    <s v="T014"/>
    <x v="2"/>
    <x v="2"/>
    <s v="1/18/2021"/>
    <s v="7/18/2022"/>
    <s v="50mg"/>
    <s v="Headache, Dizziness, Fatigue"/>
    <s v="TR0013"/>
    <s v="50mg"/>
    <x v="0"/>
    <s v="Dizziness"/>
    <n v="47"/>
    <n v="1"/>
    <s v="TP53"/>
    <s v="Positive"/>
    <n v="2.5499999999999998"/>
    <n v="1.96"/>
    <n v="1.9"/>
    <n v="11.7"/>
    <n v="4.5999999999999996"/>
    <n v="50"/>
    <n v="50"/>
  </r>
  <r>
    <s v="P735"/>
    <n v="68"/>
    <s v="Other"/>
    <s v="Other"/>
    <s v="Not Reported"/>
    <s v="BRCA2 Mutation"/>
    <s v="T007"/>
    <x v="2"/>
    <x v="0"/>
    <s v="2/5/2020"/>
    <s v="1/5/2021"/>
    <s v="150mg"/>
    <s v="Fatigue, Dizziness, Headache"/>
    <s v="TR0103"/>
    <s v="150mg"/>
    <x v="0"/>
    <s v="Headache"/>
    <n v="169"/>
    <n v="1"/>
    <s v="BRCA1"/>
    <s v="Negative"/>
    <n v="1.71"/>
    <n v="4.95"/>
    <n v="5"/>
    <n v="15.6"/>
    <n v="17.899999999999999"/>
    <n v="150"/>
    <n v="150"/>
  </r>
  <r>
    <s v="P736"/>
    <n v="19"/>
    <s v="Male"/>
    <s v="Asian"/>
    <s v="Hypertension"/>
    <s v="BRCA2 Mutation"/>
    <s v="T001"/>
    <x v="3"/>
    <x v="1"/>
    <s v="7/8/2020"/>
    <s v="9/8/2021"/>
    <s v="150mg"/>
    <s v="Headache"/>
    <s v="TR0127"/>
    <s v="150mg"/>
    <x v="2"/>
    <s v="Dizziness"/>
    <n v="118"/>
    <n v="0"/>
    <s v="HER2"/>
    <s v="Positive"/>
    <n v="4.9800000000000004"/>
    <n v="3.33"/>
    <n v="8.3000000000000007"/>
    <n v="11.9"/>
    <n v="8.1999999999999993"/>
    <n v="150"/>
    <n v="150"/>
  </r>
  <r>
    <s v="P737"/>
    <n v="42"/>
    <s v="Male"/>
    <s v="Hispanic"/>
    <s v="Hypertension"/>
    <s v="Not Reported"/>
    <s v="T018"/>
    <x v="0"/>
    <x v="3"/>
    <s v="10/2/2021"/>
    <s v="3/2/2023"/>
    <s v="100mg"/>
    <s v="Not Reported, Nausea, Headache"/>
    <s v="TR0102"/>
    <s v="100mg"/>
    <x v="1"/>
    <s v="Dizziness"/>
    <n v="41"/>
    <n v="0"/>
    <s v="BRCA1"/>
    <s v="Negative"/>
    <n v="2.61"/>
    <n v="3.69"/>
    <n v="7.1"/>
    <n v="11.7"/>
    <n v="5.3"/>
    <n v="100"/>
    <n v="100"/>
  </r>
  <r>
    <s v="P738"/>
    <n v="53"/>
    <s v="Female"/>
    <s v="Caucasian"/>
    <s v="Diabetes"/>
    <s v="TP53 Mutation"/>
    <s v="T004"/>
    <x v="3"/>
    <x v="0"/>
    <s v="2/5/2023"/>
    <s v="3/5/2024"/>
    <s v="200mg"/>
    <s v="Dizziness, Fatigue, Nausea"/>
    <s v="TR0020"/>
    <s v="200mg"/>
    <x v="0"/>
    <s v="Fatigue"/>
    <n v="53"/>
    <n v="1"/>
    <s v="HER2"/>
    <s v="Positive"/>
    <n v="3.53"/>
    <n v="1.51"/>
    <n v="6.2"/>
    <n v="18.5"/>
    <n v="14.9"/>
    <n v="200"/>
    <n v="200"/>
  </r>
  <r>
    <s v="P739"/>
    <n v="31"/>
    <s v="Other"/>
    <s v="Asian"/>
    <s v="Not Reported"/>
    <s v="Not Reported"/>
    <s v="T014"/>
    <x v="2"/>
    <x v="3"/>
    <s v="12/22/2022"/>
    <s v="3/22/2024"/>
    <s v="200mg"/>
    <s v="Headache"/>
    <s v="TR0060"/>
    <s v="200mg"/>
    <x v="2"/>
    <s v="Fatigue"/>
    <n v="59"/>
    <n v="0"/>
    <s v="EGFR"/>
    <s v="Positive"/>
    <n v="4.01"/>
    <n v="4.49"/>
    <n v="5.5"/>
    <n v="19.100000000000001"/>
    <n v="13.5"/>
    <n v="200"/>
    <n v="200"/>
  </r>
  <r>
    <s v="P740"/>
    <n v="58"/>
    <s v="Female"/>
    <s v="Caucasian"/>
    <s v="Not Reported"/>
    <s v="HER2 Mutation"/>
    <s v="T001"/>
    <x v="3"/>
    <x v="0"/>
    <s v="11/4/2022"/>
    <s v="12/4/2023"/>
    <s v="200mg"/>
    <s v="Nausea, Headache, Fatigue"/>
    <s v="TR0061"/>
    <s v="200mg"/>
    <x v="1"/>
    <s v="Dizziness"/>
    <n v="67"/>
    <n v="0"/>
    <s v="BRCA1"/>
    <s v="Negative"/>
    <n v="1.75"/>
    <n v="1.1000000000000001"/>
    <n v="3.6"/>
    <n v="14"/>
    <n v="13.5"/>
    <n v="200"/>
    <n v="200"/>
  </r>
  <r>
    <s v="P741"/>
    <n v="18"/>
    <s v="Female"/>
    <s v="Other"/>
    <s v="Diabetes"/>
    <s v="BRCA2 Mutation"/>
    <s v="T006"/>
    <x v="2"/>
    <x v="3"/>
    <s v="11/6/2021"/>
    <s v="6/6/2022"/>
    <s v="200mg"/>
    <s v="Not Reported, Nausea, Fatigue"/>
    <s v="TR0139"/>
    <s v="200mg"/>
    <x v="1"/>
    <s v="Nausea"/>
    <n v="97"/>
    <n v="0"/>
    <s v="HER2"/>
    <s v="Positive"/>
    <n v="4.4000000000000004"/>
    <n v="1.78"/>
    <n v="2.1"/>
    <n v="23.3"/>
    <n v="4.8"/>
    <n v="200"/>
    <n v="200"/>
  </r>
  <r>
    <s v="P742"/>
    <n v="27"/>
    <s v="Other"/>
    <s v="Asian"/>
    <s v="Hypertension"/>
    <s v="Not Reported"/>
    <s v="T005"/>
    <x v="0"/>
    <x v="0"/>
    <s v="10/2/2022"/>
    <s v="12/2/2023"/>
    <s v="150mg"/>
    <s v="Headache"/>
    <s v="TR0160"/>
    <s v="150mg"/>
    <x v="2"/>
    <s v="Dizziness"/>
    <n v="103"/>
    <n v="0"/>
    <s v="EGFR"/>
    <s v="Positive"/>
    <n v="2.91"/>
    <n v="3.34"/>
    <n v="5.9"/>
    <n v="7.5"/>
    <n v="4"/>
    <n v="150"/>
    <n v="150"/>
  </r>
  <r>
    <s v="P743"/>
    <n v="38"/>
    <s v="Male"/>
    <s v="Caucasian"/>
    <s v="Not Reported"/>
    <s v="Not Reported"/>
    <s v="T020"/>
    <x v="2"/>
    <x v="0"/>
    <s v="12/23/2023"/>
    <s v="10/23/2024"/>
    <s v="150mg"/>
    <s v="Fatigue, Not Reported, Headache"/>
    <s v="TR0087"/>
    <s v="150mg"/>
    <x v="2"/>
    <s v="Dizziness"/>
    <n v="161"/>
    <n v="0"/>
    <s v="EGFR"/>
    <s v="Positive"/>
    <n v="1.42"/>
    <n v="3.34"/>
    <n v="5.9"/>
    <n v="10.199999999999999"/>
    <n v="13.8"/>
    <n v="150"/>
    <n v="150"/>
  </r>
  <r>
    <s v="P744"/>
    <n v="28"/>
    <s v="Female"/>
    <s v="African American"/>
    <s v="Asthma"/>
    <s v="Not Reported"/>
    <s v="T017"/>
    <x v="3"/>
    <x v="1"/>
    <s v="2/12/2022"/>
    <s v="10/12/2022"/>
    <s v="100mg"/>
    <s v="Headache, Dizziness, Fatigue"/>
    <s v="TR0123"/>
    <s v="100mg"/>
    <x v="0"/>
    <s v="Dizziness"/>
    <n v="77"/>
    <n v="1"/>
    <s v="BRCA1"/>
    <s v="Negative"/>
    <n v="4.28"/>
    <n v="1.17"/>
    <n v="5.5"/>
    <n v="18.399999999999999"/>
    <n v="7.3"/>
    <n v="100"/>
    <n v="100"/>
  </r>
  <r>
    <s v="P745"/>
    <n v="53"/>
    <s v="Female"/>
    <s v="Caucasian"/>
    <s v="Heart Disease"/>
    <s v="HER2 Mutation"/>
    <s v="T016"/>
    <x v="3"/>
    <x v="0"/>
    <s v="3/28/2023"/>
    <s v="6/28/2024"/>
    <s v="200mg"/>
    <s v="Headache, Fatigue, Nausea"/>
    <s v="TR0082"/>
    <s v="200mg"/>
    <x v="2"/>
    <s v="Dizziness"/>
    <n v="80"/>
    <n v="0"/>
    <s v="HER2"/>
    <s v="Positive"/>
    <n v="2.23"/>
    <n v="3.45"/>
    <n v="9.1"/>
    <n v="20.6"/>
    <n v="12.9"/>
    <n v="200"/>
    <n v="200"/>
  </r>
  <r>
    <s v="P746"/>
    <n v="58"/>
    <s v="Other"/>
    <s v="Other"/>
    <s v="Hypertension"/>
    <s v="BRCA2 Mutation"/>
    <s v="T008"/>
    <x v="0"/>
    <x v="1"/>
    <s v="1/22/2021"/>
    <s v="12/22/2021"/>
    <s v="200mg"/>
    <s v="Dizziness, Not Reported"/>
    <s v="TR0176"/>
    <s v="200mg"/>
    <x v="1"/>
    <s v="Dizziness"/>
    <n v="39"/>
    <n v="0"/>
    <s v="BRCA1"/>
    <s v="Positive"/>
    <n v="3.92"/>
    <n v="2.46"/>
    <n v="6.8"/>
    <n v="14.4"/>
    <n v="6.2"/>
    <n v="200"/>
    <n v="200"/>
  </r>
  <r>
    <s v="P747"/>
    <n v="39"/>
    <s v="Female"/>
    <s v="Other"/>
    <s v="Diabetes"/>
    <s v="Not Reported"/>
    <s v="T011"/>
    <x v="0"/>
    <x v="3"/>
    <s v="3/17/2021"/>
    <s v="3/17/2022"/>
    <s v="200mg"/>
    <s v="Headache, Fatigue, Nausea"/>
    <s v="TR0091"/>
    <s v="200mg"/>
    <x v="2"/>
    <s v="Not Reported"/>
    <n v="77"/>
    <n v="0"/>
    <s v="BRCA2"/>
    <s v="Positive"/>
    <n v="3.81"/>
    <n v="3.23"/>
    <n v="4.2"/>
    <n v="22.4"/>
    <n v="3.4"/>
    <n v="200"/>
    <n v="200"/>
  </r>
  <r>
    <s v="P748"/>
    <n v="52"/>
    <s v="Female"/>
    <s v="Asian"/>
    <s v="Diabetes"/>
    <s v="Not Reported"/>
    <s v="T019"/>
    <x v="1"/>
    <x v="3"/>
    <s v="3/9/2022"/>
    <s v="10/9/2022"/>
    <s v="150mg"/>
    <s v="Dizziness"/>
    <s v="TR0195"/>
    <s v="150mg"/>
    <x v="1"/>
    <s v="Headache"/>
    <n v="75"/>
    <n v="0"/>
    <s v="TP53"/>
    <s v="Negative"/>
    <n v="2.2599999999999998"/>
    <n v="1.23"/>
    <n v="7.9"/>
    <n v="18.600000000000001"/>
    <n v="8.6"/>
    <n v="150"/>
    <n v="150"/>
  </r>
  <r>
    <s v="P749"/>
    <n v="39"/>
    <s v="Other"/>
    <s v="Asian"/>
    <s v="Asthma"/>
    <s v="Not Reported"/>
    <s v="T008"/>
    <x v="2"/>
    <x v="3"/>
    <s v="10/26/2023"/>
    <s v="2/26/2025"/>
    <s v="150mg"/>
    <s v="Fatigue"/>
    <s v="TR0130"/>
    <s v="150mg"/>
    <x v="0"/>
    <s v="Dizziness"/>
    <n v="130"/>
    <n v="1"/>
    <s v="TP53"/>
    <s v="Negative"/>
    <n v="3.7"/>
    <n v="2.58"/>
    <n v="7.8"/>
    <n v="14.2"/>
    <n v="10"/>
    <n v="150"/>
    <n v="150"/>
  </r>
  <r>
    <s v="P750"/>
    <n v="21"/>
    <s v="Other"/>
    <s v="Hispanic"/>
    <s v="Heart Disease"/>
    <s v="HER2 Mutation"/>
    <s v="T018"/>
    <x v="0"/>
    <x v="1"/>
    <s v="6/25/2023"/>
    <s v="7/25/2024"/>
    <s v="150mg"/>
    <s v="Fatigue, Nausea"/>
    <s v="TR0050"/>
    <s v="150mg"/>
    <x v="1"/>
    <s v="Dizziness"/>
    <n v="60"/>
    <n v="0"/>
    <s v="EGFR"/>
    <s v="Positive"/>
    <n v="4.74"/>
    <n v="2"/>
    <n v="2.1"/>
    <n v="16.5"/>
    <n v="19.5"/>
    <n v="150"/>
    <n v="150"/>
  </r>
  <r>
    <s v="P751"/>
    <n v="32"/>
    <s v="Female"/>
    <s v="Other"/>
    <s v="Asthma"/>
    <s v="BRCA2 Mutation"/>
    <s v="T017"/>
    <x v="0"/>
    <x v="2"/>
    <s v="1/3/2021"/>
    <s v="12/3/2021"/>
    <s v="100mg"/>
    <s v="Not Reported, Nausea"/>
    <s v="TR0084"/>
    <s v="100mg"/>
    <x v="1"/>
    <s v="Headache"/>
    <n v="57"/>
    <n v="0"/>
    <s v="TP53"/>
    <s v="Negative"/>
    <n v="2.5099999999999998"/>
    <n v="1.25"/>
    <n v="4.0999999999999996"/>
    <n v="15.1"/>
    <n v="5.8"/>
    <n v="100"/>
    <n v="100"/>
  </r>
  <r>
    <s v="P752"/>
    <n v="43"/>
    <s v="Male"/>
    <s v="Asian"/>
    <s v="Diabetes"/>
    <s v="BRCA2 Mutation"/>
    <s v="T014"/>
    <x v="3"/>
    <x v="1"/>
    <s v="7/15/2020"/>
    <s v="6/15/2021"/>
    <s v="50mg"/>
    <s v="Dizziness"/>
    <s v="TR0069"/>
    <s v="50mg"/>
    <x v="0"/>
    <s v="Nausea"/>
    <n v="102"/>
    <n v="1"/>
    <s v="BRCA1"/>
    <s v="Positive"/>
    <n v="3.63"/>
    <n v="4.99"/>
    <n v="5.0999999999999996"/>
    <n v="12.4"/>
    <n v="9.8000000000000007"/>
    <n v="50"/>
    <n v="50"/>
  </r>
  <r>
    <s v="P753"/>
    <n v="63"/>
    <s v="Male"/>
    <s v="Hispanic"/>
    <s v="Asthma"/>
    <s v="Not Reported"/>
    <s v="T004"/>
    <x v="3"/>
    <x v="1"/>
    <s v="12/27/2023"/>
    <s v="8/27/2024"/>
    <s v="200mg"/>
    <s v="Not Reported"/>
    <s v="TR0093"/>
    <s v="200mg"/>
    <x v="0"/>
    <s v="Fatigue"/>
    <n v="161"/>
    <n v="1"/>
    <s v="EGFR"/>
    <s v="Negative"/>
    <n v="1.46"/>
    <n v="4.53"/>
    <n v="4.7"/>
    <n v="13"/>
    <n v="14.2"/>
    <n v="200"/>
    <n v="200"/>
  </r>
  <r>
    <s v="P754"/>
    <n v="69"/>
    <s v="Male"/>
    <s v="Asian"/>
    <s v="Not Reported"/>
    <s v="Not Reported"/>
    <s v="T014"/>
    <x v="3"/>
    <x v="1"/>
    <s v="10/17/2021"/>
    <s v="10/17/2022"/>
    <s v="200mg"/>
    <s v="Headache, Not Reported, Fatigue"/>
    <s v="TR0043"/>
    <s v="200mg"/>
    <x v="0"/>
    <s v="Headache"/>
    <n v="116"/>
    <n v="1"/>
    <s v="EGFR"/>
    <s v="Negative"/>
    <n v="2.77"/>
    <n v="3.59"/>
    <n v="1.6"/>
    <n v="20.6"/>
    <n v="19"/>
    <n v="200"/>
    <n v="200"/>
  </r>
  <r>
    <s v="P755"/>
    <n v="53"/>
    <s v="Other"/>
    <s v="African American"/>
    <s v="Heart Disease"/>
    <s v="TP53 Mutation"/>
    <s v="T011"/>
    <x v="0"/>
    <x v="2"/>
    <s v="3/10/2023"/>
    <s v="6/10/2024"/>
    <s v="50mg"/>
    <s v="Headache"/>
    <s v="TR0086"/>
    <s v="50mg"/>
    <x v="0"/>
    <s v="Fatigue"/>
    <n v="31"/>
    <n v="1"/>
    <s v="BRCA1"/>
    <s v="Positive"/>
    <n v="3.6"/>
    <n v="4.82"/>
    <n v="2.4"/>
    <n v="14.6"/>
    <n v="13.2"/>
    <n v="50"/>
    <n v="50"/>
  </r>
  <r>
    <s v="P756"/>
    <n v="37"/>
    <s v="Female"/>
    <s v="African American"/>
    <s v="Diabetes"/>
    <s v="Not Reported"/>
    <s v="T008"/>
    <x v="1"/>
    <x v="2"/>
    <s v="11/27/2020"/>
    <s v="6/27/2021"/>
    <s v="150mg"/>
    <s v="Nausea, Fatigue"/>
    <s v="TR0002"/>
    <s v="150mg"/>
    <x v="1"/>
    <s v="Not Reported"/>
    <n v="153"/>
    <n v="0"/>
    <s v="BRCA1"/>
    <s v="Positive"/>
    <n v="3.33"/>
    <n v="2.61"/>
    <n v="4"/>
    <n v="8.3000000000000007"/>
    <n v="9.6999999999999993"/>
    <n v="150"/>
    <n v="150"/>
  </r>
  <r>
    <s v="P757"/>
    <n v="72"/>
    <s v="Other"/>
    <s v="Asian"/>
    <s v="Hypertension"/>
    <s v="TP53 Mutation"/>
    <s v="T017"/>
    <x v="3"/>
    <x v="0"/>
    <s v="10/23/2023"/>
    <s v="11/23/2024"/>
    <s v="100mg"/>
    <s v="Fatigue, Headache"/>
    <s v="TR0115"/>
    <s v="100mg"/>
    <x v="2"/>
    <s v="Headache"/>
    <n v="104"/>
    <n v="0"/>
    <s v="HER2"/>
    <s v="Positive"/>
    <n v="1.65"/>
    <n v="3.94"/>
    <n v="2.9"/>
    <n v="7.1"/>
    <n v="12.4"/>
    <n v="100"/>
    <n v="100"/>
  </r>
  <r>
    <s v="P758"/>
    <n v="18"/>
    <s v="Male"/>
    <s v="African American"/>
    <s v="Heart Disease"/>
    <s v="Not Reported"/>
    <s v="T006"/>
    <x v="0"/>
    <x v="3"/>
    <s v="2/17/2020"/>
    <s v="11/17/2020"/>
    <s v="100mg"/>
    <s v="Dizziness, Nausea, Not Reported"/>
    <s v="TR0035"/>
    <s v="100mg"/>
    <x v="0"/>
    <s v="Nausea"/>
    <n v="62"/>
    <n v="1"/>
    <s v="BRCA2"/>
    <s v="Positive"/>
    <n v="3.38"/>
    <n v="4.49"/>
    <n v="6.2"/>
    <n v="12.2"/>
    <n v="16.7"/>
    <n v="100"/>
    <n v="100"/>
  </r>
  <r>
    <s v="P759"/>
    <n v="18"/>
    <s v="Other"/>
    <s v="African American"/>
    <s v="Heart Disease"/>
    <s v="HER2 Mutation"/>
    <s v="T001"/>
    <x v="1"/>
    <x v="2"/>
    <s v="5/16/2022"/>
    <s v="1/16/2023"/>
    <s v="100mg"/>
    <s v="Dizziness, Headache, Fatigue"/>
    <s v="TR0007"/>
    <s v="100mg"/>
    <x v="2"/>
    <s v="Fatigue"/>
    <n v="150"/>
    <n v="0"/>
    <s v="HER2"/>
    <s v="Positive"/>
    <n v="3.16"/>
    <n v="1.32"/>
    <n v="6.1"/>
    <n v="22.3"/>
    <n v="9.6999999999999993"/>
    <n v="100"/>
    <n v="100"/>
  </r>
  <r>
    <s v="P760"/>
    <n v="76"/>
    <s v="Male"/>
    <s v="Asian"/>
    <s v="Not Reported"/>
    <s v="TP53 Mutation"/>
    <s v="T009"/>
    <x v="0"/>
    <x v="3"/>
    <s v="3/13/2022"/>
    <s v="11/13/2022"/>
    <s v="50mg"/>
    <s v="Fatigue, Nausea"/>
    <s v="TR0131"/>
    <s v="50mg"/>
    <x v="2"/>
    <s v="Headache"/>
    <n v="127"/>
    <n v="0"/>
    <s v="EGFR"/>
    <s v="Positive"/>
    <n v="2.19"/>
    <n v="1.57"/>
    <n v="2.4"/>
    <n v="13.8"/>
    <n v="13.1"/>
    <n v="50"/>
    <n v="50"/>
  </r>
  <r>
    <s v="P761"/>
    <n v="31"/>
    <s v="Female"/>
    <s v="Caucasian"/>
    <s v="Heart Disease"/>
    <s v="Not Reported"/>
    <s v="T015"/>
    <x v="1"/>
    <x v="0"/>
    <s v="2/15/2020"/>
    <s v="6/15/2021"/>
    <s v="100mg"/>
    <s v="Headache"/>
    <s v="TR0184"/>
    <s v="100mg"/>
    <x v="2"/>
    <s v="Fatigue"/>
    <n v="174"/>
    <n v="0"/>
    <s v="EGFR"/>
    <s v="Positive"/>
    <n v="1.32"/>
    <n v="4.76"/>
    <n v="7.8"/>
    <n v="16.600000000000001"/>
    <n v="17.100000000000001"/>
    <n v="100"/>
    <n v="100"/>
  </r>
  <r>
    <s v="P762"/>
    <n v="21"/>
    <s v="Female"/>
    <s v="Asian"/>
    <s v="Diabetes"/>
    <s v="EGFR Mutation"/>
    <s v="T020"/>
    <x v="2"/>
    <x v="0"/>
    <s v="2/24/2020"/>
    <s v="2/24/2021"/>
    <s v="150mg"/>
    <s v="Dizziness, Nausea, Not Reported"/>
    <s v="TR0078"/>
    <s v="150mg"/>
    <x v="0"/>
    <s v="Dizziness"/>
    <n v="170"/>
    <n v="1"/>
    <s v="BRCA2"/>
    <s v="Positive"/>
    <n v="1.32"/>
    <n v="2.91"/>
    <n v="6.7"/>
    <n v="20.9"/>
    <n v="16.3"/>
    <n v="150"/>
    <n v="150"/>
  </r>
  <r>
    <s v="P763"/>
    <n v="39"/>
    <s v="Female"/>
    <s v="African American"/>
    <s v="Diabetes"/>
    <s v="Not Reported"/>
    <s v="T018"/>
    <x v="2"/>
    <x v="3"/>
    <s v="5/9/2023"/>
    <s v="5/9/2024"/>
    <s v="50mg"/>
    <s v="Headache, Dizziness"/>
    <s v="TR0057"/>
    <s v="50mg"/>
    <x v="0"/>
    <s v="Headache"/>
    <n v="104"/>
    <n v="1"/>
    <s v="BRCA2"/>
    <s v="Positive"/>
    <n v="2.11"/>
    <n v="4.76"/>
    <n v="2.1"/>
    <n v="21.8"/>
    <n v="19.5"/>
    <n v="50"/>
    <n v="50"/>
  </r>
  <r>
    <s v="P764"/>
    <n v="60"/>
    <s v="Female"/>
    <s v="African American"/>
    <s v="Heart Disease"/>
    <s v="Not Reported"/>
    <s v="T016"/>
    <x v="1"/>
    <x v="2"/>
    <s v="10/27/2022"/>
    <s v="1/27/2024"/>
    <s v="200mg"/>
    <s v="Fatigue"/>
    <s v="TR0147"/>
    <s v="200mg"/>
    <x v="0"/>
    <s v="Headache"/>
    <n v="47"/>
    <n v="1"/>
    <s v="BRCA2"/>
    <s v="Positive"/>
    <n v="1.71"/>
    <n v="3.89"/>
    <n v="1.4"/>
    <n v="13.3"/>
    <n v="11.8"/>
    <n v="200"/>
    <n v="200"/>
  </r>
  <r>
    <s v="P765"/>
    <n v="60"/>
    <s v="Male"/>
    <s v="Other"/>
    <s v="Asthma"/>
    <s v="Not Reported"/>
    <s v="T016"/>
    <x v="1"/>
    <x v="2"/>
    <s v="12/27/2022"/>
    <s v="11/27/2023"/>
    <s v="100mg"/>
    <s v="Dizziness, Fatigue, Nausea"/>
    <s v="TR0039"/>
    <s v="100mg"/>
    <x v="0"/>
    <s v="Nausea"/>
    <n v="64"/>
    <n v="1"/>
    <s v="TP53"/>
    <s v="Negative"/>
    <n v="3.32"/>
    <n v="4.74"/>
    <n v="7.1"/>
    <n v="14.7"/>
    <n v="16.8"/>
    <n v="100"/>
    <n v="100"/>
  </r>
  <r>
    <s v="P766"/>
    <n v="24"/>
    <s v="Other"/>
    <s v="Asian"/>
    <s v="Diabetes"/>
    <s v="BRCA1 Mutation"/>
    <s v="T009"/>
    <x v="3"/>
    <x v="0"/>
    <s v="9/17/2023"/>
    <s v="12/17/2024"/>
    <s v="200mg"/>
    <s v="Fatigue, Not Reported"/>
    <s v="TR0171"/>
    <s v="200mg"/>
    <x v="2"/>
    <s v="Not Reported"/>
    <n v="77"/>
    <n v="0"/>
    <s v="BRCA2"/>
    <s v="Negative"/>
    <n v="4.8"/>
    <n v="1.0900000000000001"/>
    <n v="9.8000000000000007"/>
    <n v="7.6"/>
    <n v="16.8"/>
    <n v="200"/>
    <n v="200"/>
  </r>
  <r>
    <s v="P767"/>
    <n v="25"/>
    <s v="Male"/>
    <s v="Asian"/>
    <s v="Hypertension"/>
    <s v="TP53 Mutation"/>
    <s v="T008"/>
    <x v="3"/>
    <x v="1"/>
    <s v="10/11/2023"/>
    <s v="5/11/2024"/>
    <s v="200mg"/>
    <s v="Not Reported"/>
    <s v="TR0042"/>
    <s v="200mg"/>
    <x v="0"/>
    <s v="Dizziness"/>
    <n v="53"/>
    <n v="1"/>
    <s v="BRCA1"/>
    <s v="Positive"/>
    <n v="2.12"/>
    <n v="1.53"/>
    <n v="5"/>
    <n v="17.600000000000001"/>
    <n v="9.5"/>
    <n v="200"/>
    <n v="200"/>
  </r>
  <r>
    <s v="P768"/>
    <n v="39"/>
    <s v="Other"/>
    <s v="Other"/>
    <s v="Not Reported"/>
    <s v="Not Reported"/>
    <s v="T003"/>
    <x v="0"/>
    <x v="2"/>
    <s v="5/21/2022"/>
    <s v="10/21/2023"/>
    <s v="100mg"/>
    <s v="Dizziness"/>
    <s v="TR0051"/>
    <s v="100mg"/>
    <x v="0"/>
    <s v="Dizziness"/>
    <n v="136"/>
    <n v="1"/>
    <s v="HER2"/>
    <s v="Positive"/>
    <n v="1.22"/>
    <n v="3.4"/>
    <n v="9.1"/>
    <n v="12.9"/>
    <n v="6.7"/>
    <n v="100"/>
    <n v="100"/>
  </r>
  <r>
    <s v="P769"/>
    <n v="44"/>
    <s v="Other"/>
    <s v="Other"/>
    <s v="Asthma"/>
    <s v="BRCA1 Mutation"/>
    <s v="T005"/>
    <x v="3"/>
    <x v="1"/>
    <s v="12/5/2020"/>
    <s v="7/5/2021"/>
    <s v="100mg"/>
    <s v="Nausea"/>
    <s v="TR0176"/>
    <s v="100mg"/>
    <x v="2"/>
    <s v="Headache"/>
    <n v="134"/>
    <n v="0"/>
    <s v="HER2"/>
    <s v="Positive"/>
    <n v="2.77"/>
    <n v="1.19"/>
    <n v="8.4"/>
    <n v="20.9"/>
    <n v="13"/>
    <n v="100"/>
    <n v="100"/>
  </r>
  <r>
    <s v="P770"/>
    <n v="24"/>
    <s v="Male"/>
    <s v="Other"/>
    <s v="Hypertension"/>
    <s v="HER2 Mutation"/>
    <s v="T013"/>
    <x v="1"/>
    <x v="2"/>
    <s v="1/4/2020"/>
    <s v="4/4/2021"/>
    <s v="50mg"/>
    <s v="Fatigue, Not Reported"/>
    <s v="TR0170"/>
    <s v="50mg"/>
    <x v="2"/>
    <s v="Dizziness"/>
    <n v="142"/>
    <n v="0"/>
    <s v="BRCA2"/>
    <s v="Positive"/>
    <n v="2.41"/>
    <n v="4.2"/>
    <n v="6"/>
    <n v="20.9"/>
    <n v="13.7"/>
    <n v="50"/>
    <n v="50"/>
  </r>
  <r>
    <s v="P771"/>
    <n v="45"/>
    <s v="Male"/>
    <s v="African American"/>
    <s v="Heart Disease"/>
    <s v="HER2 Mutation"/>
    <s v="T011"/>
    <x v="2"/>
    <x v="1"/>
    <s v="8/21/2020"/>
    <s v="12/21/2021"/>
    <s v="150mg"/>
    <s v="Nausea, Fatigue, Headache"/>
    <s v="TR0046"/>
    <s v="150mg"/>
    <x v="0"/>
    <s v="Nausea"/>
    <n v="102"/>
    <n v="1"/>
    <s v="BRCA1"/>
    <s v="Negative"/>
    <n v="4.1399999999999997"/>
    <n v="3.39"/>
    <n v="4.7"/>
    <n v="23.2"/>
    <n v="12.2"/>
    <n v="150"/>
    <n v="150"/>
  </r>
  <r>
    <s v="P772"/>
    <n v="85"/>
    <s v="Male"/>
    <s v="African American"/>
    <s v="Hypertension"/>
    <s v="Not Reported"/>
    <s v="T011"/>
    <x v="2"/>
    <x v="2"/>
    <s v="5/13/2023"/>
    <s v="1/13/2024"/>
    <s v="50mg"/>
    <s v="Fatigue, Not Reported, Dizziness"/>
    <s v="TR0185"/>
    <s v="50mg"/>
    <x v="1"/>
    <s v="Nausea"/>
    <n v="30"/>
    <n v="0"/>
    <s v="BRCA2"/>
    <s v="Negative"/>
    <n v="3.42"/>
    <n v="1.88"/>
    <n v="6.6"/>
    <n v="16.3"/>
    <n v="6.1"/>
    <n v="50"/>
    <n v="50"/>
  </r>
  <r>
    <s v="P773"/>
    <n v="34"/>
    <s v="Other"/>
    <s v="Other"/>
    <s v="Asthma"/>
    <s v="Not Reported"/>
    <s v="T004"/>
    <x v="2"/>
    <x v="0"/>
    <s v="3/9/2019"/>
    <s v="12/9/2019"/>
    <s v="200mg"/>
    <s v="Dizziness, Not Reported"/>
    <s v="TR0139"/>
    <s v="200mg"/>
    <x v="1"/>
    <s v="Headache"/>
    <n v="108"/>
    <n v="0"/>
    <s v="BRCA2"/>
    <s v="Positive"/>
    <n v="1.24"/>
    <n v="3.42"/>
    <n v="7.9"/>
    <n v="15.4"/>
    <n v="6.9"/>
    <n v="200"/>
    <n v="200"/>
  </r>
  <r>
    <s v="P774"/>
    <n v="21"/>
    <s v="Female"/>
    <s v="Caucasian"/>
    <s v="Diabetes"/>
    <s v="HER2 Mutation"/>
    <s v="T002"/>
    <x v="3"/>
    <x v="1"/>
    <s v="10/6/2021"/>
    <s v="11/6/2022"/>
    <s v="100mg"/>
    <s v="Headache, Not Reported, Nausea"/>
    <s v="TR0043"/>
    <s v="100mg"/>
    <x v="2"/>
    <s v="Dizziness"/>
    <n v="45"/>
    <n v="0"/>
    <s v="HER2"/>
    <s v="Positive"/>
    <n v="3.67"/>
    <n v="1.32"/>
    <n v="5"/>
    <n v="8.9"/>
    <n v="6.1"/>
    <n v="100"/>
    <n v="100"/>
  </r>
  <r>
    <s v="P775"/>
    <n v="73"/>
    <s v="Female"/>
    <s v="Other"/>
    <s v="Hypertension"/>
    <s v="BRCA2 Mutation"/>
    <s v="T005"/>
    <x v="0"/>
    <x v="1"/>
    <s v="6/9/2021"/>
    <s v="2/9/2022"/>
    <s v="50mg"/>
    <s v="Not Reported"/>
    <s v="TR0009"/>
    <s v="50mg"/>
    <x v="0"/>
    <s v="Nausea"/>
    <n v="61"/>
    <n v="1"/>
    <s v="BRCA1"/>
    <s v="Negative"/>
    <n v="1.81"/>
    <n v="2.5499999999999998"/>
    <n v="1.5"/>
    <n v="13.2"/>
    <n v="11.7"/>
    <n v="50"/>
    <n v="50"/>
  </r>
  <r>
    <s v="P776"/>
    <n v="69"/>
    <s v="Female"/>
    <s v="Other"/>
    <s v="Asthma"/>
    <s v="TP53 Mutation"/>
    <s v="T020"/>
    <x v="1"/>
    <x v="3"/>
    <s v="10/22/2022"/>
    <s v="4/22/2024"/>
    <s v="150mg"/>
    <s v="Not Reported, Headache"/>
    <s v="TR0045"/>
    <s v="150mg"/>
    <x v="0"/>
    <s v="Not Reported"/>
    <n v="152"/>
    <n v="1"/>
    <s v="BRCA1"/>
    <s v="Positive"/>
    <n v="2.93"/>
    <n v="2.5299999999999998"/>
    <n v="8.6"/>
    <n v="8.6"/>
    <n v="11.6"/>
    <n v="150"/>
    <n v="150"/>
  </r>
  <r>
    <s v="P777"/>
    <n v="50"/>
    <s v="Female"/>
    <s v="Hispanic"/>
    <s v="Hypertension"/>
    <s v="EGFR Mutation"/>
    <s v="T002"/>
    <x v="1"/>
    <x v="1"/>
    <s v="4/1/2019"/>
    <s v="10/1/2020"/>
    <s v="200mg"/>
    <s v="Fatigue, Nausea, Dizziness"/>
    <s v="TR0103"/>
    <s v="200mg"/>
    <x v="1"/>
    <s v="Nausea"/>
    <n v="155"/>
    <n v="0"/>
    <s v="BRCA2"/>
    <s v="Negative"/>
    <n v="1.25"/>
    <n v="1.28"/>
    <n v="6.2"/>
    <n v="16.2"/>
    <n v="17.899999999999999"/>
    <n v="200"/>
    <n v="200"/>
  </r>
  <r>
    <s v="P778"/>
    <n v="84"/>
    <s v="Male"/>
    <s v="Other"/>
    <s v="Hypertension"/>
    <s v="Not Reported"/>
    <s v="T012"/>
    <x v="3"/>
    <x v="1"/>
    <s v="10/1/2020"/>
    <s v="3/1/2022"/>
    <s v="50mg"/>
    <s v="Nausea, Headache"/>
    <s v="TR0022"/>
    <s v="50mg"/>
    <x v="0"/>
    <s v="Dizziness"/>
    <n v="40"/>
    <n v="1"/>
    <s v="HER2"/>
    <s v="Negative"/>
    <n v="3.23"/>
    <n v="4.84"/>
    <n v="1.4"/>
    <n v="7.8"/>
    <n v="3.7"/>
    <n v="50"/>
    <n v="50"/>
  </r>
  <r>
    <s v="P779"/>
    <n v="31"/>
    <s v="Male"/>
    <s v="Caucasian"/>
    <s v="Asthma"/>
    <s v="Not Reported"/>
    <s v="T011"/>
    <x v="1"/>
    <x v="1"/>
    <s v="6/17/2021"/>
    <s v="4/17/2022"/>
    <s v="200mg"/>
    <s v="Fatigue, Headache"/>
    <s v="TR0045"/>
    <s v="200mg"/>
    <x v="0"/>
    <s v="Fatigue"/>
    <n v="36"/>
    <n v="1"/>
    <s v="BRCA1"/>
    <s v="Negative"/>
    <n v="1.74"/>
    <n v="3.17"/>
    <n v="6.8"/>
    <n v="6.8"/>
    <n v="19.100000000000001"/>
    <n v="200"/>
    <n v="200"/>
  </r>
  <r>
    <s v="P780"/>
    <n v="41"/>
    <s v="Female"/>
    <s v="Other"/>
    <s v="Heart Disease"/>
    <s v="Not Reported"/>
    <s v="T015"/>
    <x v="3"/>
    <x v="0"/>
    <s v="5/16/2023"/>
    <s v="11/16/2023"/>
    <s v="100mg"/>
    <s v="Dizziness"/>
    <s v="TR0002"/>
    <s v="100mg"/>
    <x v="1"/>
    <s v="Fatigue"/>
    <n v="81"/>
    <n v="0"/>
    <s v="EGFR"/>
    <s v="Negative"/>
    <n v="4.37"/>
    <n v="2.19"/>
    <n v="1.7"/>
    <n v="9.1"/>
    <n v="5.2"/>
    <n v="100"/>
    <n v="100"/>
  </r>
  <r>
    <s v="P781"/>
    <n v="38"/>
    <s v="Female"/>
    <s v="African American"/>
    <s v="Asthma"/>
    <s v="Not Reported"/>
    <s v="T014"/>
    <x v="2"/>
    <x v="1"/>
    <s v="10/3/2021"/>
    <s v="12/3/2022"/>
    <s v="100mg"/>
    <s v="Headache"/>
    <s v="TR0005"/>
    <s v="100mg"/>
    <x v="0"/>
    <s v="Nausea"/>
    <n v="98"/>
    <n v="1"/>
    <s v="HER2"/>
    <s v="Negative"/>
    <n v="1.49"/>
    <n v="3.07"/>
    <n v="3.2"/>
    <n v="12.4"/>
    <n v="19.8"/>
    <n v="100"/>
    <n v="100"/>
  </r>
  <r>
    <s v="P782"/>
    <n v="72"/>
    <s v="Male"/>
    <s v="African American"/>
    <s v="Not Reported"/>
    <s v="Not Reported"/>
    <s v="T001"/>
    <x v="1"/>
    <x v="1"/>
    <s v="8/19/2019"/>
    <s v="9/19/2020"/>
    <s v="200mg"/>
    <s v="Not Reported"/>
    <s v="TR0010"/>
    <s v="200mg"/>
    <x v="0"/>
    <s v="Not Reported"/>
    <n v="179"/>
    <n v="1"/>
    <s v="BRCA2"/>
    <s v="Positive"/>
    <n v="3.74"/>
    <n v="4.8"/>
    <n v="2.2999999999999998"/>
    <n v="12.9"/>
    <n v="12.4"/>
    <n v="200"/>
    <n v="200"/>
  </r>
  <r>
    <s v="P783"/>
    <n v="52"/>
    <s v="Other"/>
    <s v="Caucasian"/>
    <s v="Not Reported"/>
    <s v="BRCA1 Mutation"/>
    <s v="T011"/>
    <x v="2"/>
    <x v="1"/>
    <s v="10/20/2021"/>
    <s v="12/20/2022"/>
    <s v="50mg"/>
    <s v="Not Reported, Headache, Fatigue"/>
    <s v="TR0156"/>
    <s v="50mg"/>
    <x v="2"/>
    <s v="Headache"/>
    <n v="87"/>
    <n v="0"/>
    <s v="BRCA1"/>
    <s v="Positive"/>
    <n v="1.31"/>
    <n v="1.02"/>
    <n v="7"/>
    <n v="17.600000000000001"/>
    <n v="10"/>
    <n v="50"/>
    <n v="50"/>
  </r>
  <r>
    <s v="P784"/>
    <n v="77"/>
    <s v="Other"/>
    <s v="Hispanic"/>
    <s v="Hypertension"/>
    <s v="Not Reported"/>
    <s v="T013"/>
    <x v="0"/>
    <x v="1"/>
    <s v="7/4/2022"/>
    <s v="3/4/2023"/>
    <s v="100mg"/>
    <s v="Not Reported, Nausea"/>
    <s v="TR0125"/>
    <s v="100mg"/>
    <x v="1"/>
    <s v="Dizziness"/>
    <n v="98"/>
    <n v="0"/>
    <s v="BRCA2"/>
    <s v="Positive"/>
    <n v="2.96"/>
    <n v="2.66"/>
    <n v="1.2"/>
    <n v="12"/>
    <n v="6"/>
    <n v="100"/>
    <n v="100"/>
  </r>
  <r>
    <s v="P785"/>
    <n v="40"/>
    <s v="Female"/>
    <s v="Hispanic"/>
    <s v="Diabetes"/>
    <s v="EGFR Mutation"/>
    <s v="T019"/>
    <x v="0"/>
    <x v="1"/>
    <s v="8/26/2023"/>
    <s v="2/26/2024"/>
    <s v="50mg"/>
    <s v="Not Reported, Fatigue, Headache"/>
    <s v="TR0170"/>
    <s v="50mg"/>
    <x v="0"/>
    <s v="Nausea"/>
    <n v="84"/>
    <n v="1"/>
    <s v="HER2"/>
    <s v="Positive"/>
    <n v="1.39"/>
    <n v="4.83"/>
    <n v="6.4"/>
    <n v="19.100000000000001"/>
    <n v="8.4"/>
    <n v="50"/>
    <n v="50"/>
  </r>
  <r>
    <s v="P786"/>
    <n v="83"/>
    <s v="Female"/>
    <s v="Other"/>
    <s v="Diabetes"/>
    <s v="HER2 Mutation"/>
    <s v="T002"/>
    <x v="2"/>
    <x v="1"/>
    <s v="2/28/2021"/>
    <s v="4/28/2022"/>
    <s v="50mg"/>
    <s v="Not Reported"/>
    <s v="TR0176"/>
    <s v="50mg"/>
    <x v="2"/>
    <s v="Dizziness"/>
    <n v="176"/>
    <n v="0"/>
    <s v="EGFR"/>
    <s v="Negative"/>
    <n v="2.57"/>
    <n v="1.95"/>
    <n v="1.9"/>
    <n v="9.1999999999999993"/>
    <n v="16.600000000000001"/>
    <n v="50"/>
    <n v="50"/>
  </r>
  <r>
    <s v="P787"/>
    <n v="36"/>
    <s v="Male"/>
    <s v="Caucasian"/>
    <s v="Asthma"/>
    <s v="Not Reported"/>
    <s v="T018"/>
    <x v="0"/>
    <x v="1"/>
    <s v="9/13/2019"/>
    <s v="7/13/2020"/>
    <s v="150mg"/>
    <s v="Fatigue, Dizziness, Nausea"/>
    <s v="TR0116"/>
    <s v="150mg"/>
    <x v="1"/>
    <s v="Dizziness"/>
    <n v="161"/>
    <n v="0"/>
    <s v="BRCA2"/>
    <s v="Negative"/>
    <n v="3.71"/>
    <n v="3.19"/>
    <n v="5.3"/>
    <n v="22.6"/>
    <n v="4.2"/>
    <n v="150"/>
    <n v="150"/>
  </r>
  <r>
    <s v="P788"/>
    <n v="82"/>
    <s v="Female"/>
    <s v="Hispanic"/>
    <s v="Hypertension"/>
    <s v="Not Reported"/>
    <s v="T002"/>
    <x v="1"/>
    <x v="3"/>
    <s v="1/14/2023"/>
    <s v="2/14/2024"/>
    <s v="150mg"/>
    <s v="Nausea, Fatigue"/>
    <s v="TR0049"/>
    <s v="150mg"/>
    <x v="1"/>
    <s v="Dizziness"/>
    <n v="51"/>
    <n v="0"/>
    <s v="TP53"/>
    <s v="Negative"/>
    <n v="2.12"/>
    <n v="2.4"/>
    <n v="8"/>
    <n v="23.9"/>
    <n v="7.1"/>
    <n v="150"/>
    <n v="150"/>
  </r>
  <r>
    <s v="P789"/>
    <n v="29"/>
    <s v="Other"/>
    <s v="Caucasian"/>
    <s v="Diabetes"/>
    <s v="Not Reported"/>
    <s v="T016"/>
    <x v="0"/>
    <x v="2"/>
    <s v="11/14/2023"/>
    <s v="1/14/2025"/>
    <s v="100mg"/>
    <s v="Headache, Dizziness"/>
    <s v="TR0171"/>
    <s v="100mg"/>
    <x v="2"/>
    <s v="Nausea"/>
    <n v="98"/>
    <n v="0"/>
    <s v="BRCA1"/>
    <s v="Negative"/>
    <n v="4.5"/>
    <n v="4.32"/>
    <n v="3"/>
    <n v="13.2"/>
    <n v="10"/>
    <n v="100"/>
    <n v="100"/>
  </r>
  <r>
    <s v="P790"/>
    <n v="47"/>
    <s v="Other"/>
    <s v="Caucasian"/>
    <s v="Not Reported"/>
    <s v="Not Reported"/>
    <s v="T003"/>
    <x v="3"/>
    <x v="1"/>
    <s v="7/2/2021"/>
    <s v="8/2/2022"/>
    <s v="100mg"/>
    <s v="Headache"/>
    <s v="TR0073"/>
    <s v="100mg"/>
    <x v="2"/>
    <s v="Dizziness"/>
    <n v="172"/>
    <n v="0"/>
    <s v="BRCA2"/>
    <s v="Negative"/>
    <n v="4.91"/>
    <n v="1.72"/>
    <n v="8.1999999999999993"/>
    <n v="12"/>
    <n v="15.4"/>
    <n v="100"/>
    <n v="100"/>
  </r>
  <r>
    <s v="P791"/>
    <n v="66"/>
    <s v="Female"/>
    <s v="Caucasian"/>
    <s v="Asthma"/>
    <s v="Not Reported"/>
    <s v="T013"/>
    <x v="2"/>
    <x v="3"/>
    <s v="10/14/2019"/>
    <s v="3/14/2021"/>
    <s v="150mg"/>
    <s v="Headache, Dizziness, Not Reported"/>
    <s v="TR0064"/>
    <s v="150mg"/>
    <x v="2"/>
    <s v="Not Reported"/>
    <n v="139"/>
    <n v="0"/>
    <s v="BRCA1"/>
    <s v="Negative"/>
    <n v="2.68"/>
    <n v="3.31"/>
    <n v="8.5"/>
    <n v="20.5"/>
    <n v="17.7"/>
    <n v="150"/>
    <n v="150"/>
  </r>
  <r>
    <s v="P792"/>
    <n v="75"/>
    <s v="Other"/>
    <s v="African American"/>
    <s v="Diabetes"/>
    <s v="BRCA1 Mutation"/>
    <s v="T005"/>
    <x v="0"/>
    <x v="1"/>
    <s v="3/6/2022"/>
    <s v="2/6/2023"/>
    <s v="100mg"/>
    <s v="Headache, Not Reported, Dizziness"/>
    <s v="TR0140"/>
    <s v="100mg"/>
    <x v="0"/>
    <s v="Nausea"/>
    <n v="158"/>
    <n v="1"/>
    <s v="EGFR"/>
    <s v="Positive"/>
    <n v="1.24"/>
    <n v="3.77"/>
    <n v="2.2999999999999998"/>
    <n v="13.5"/>
    <n v="12.3"/>
    <n v="100"/>
    <n v="100"/>
  </r>
  <r>
    <s v="P793"/>
    <n v="52"/>
    <s v="Other"/>
    <s v="Hispanic"/>
    <s v="Heart Disease"/>
    <s v="Not Reported"/>
    <s v="T008"/>
    <x v="1"/>
    <x v="0"/>
    <s v="5/13/2020"/>
    <s v="6/13/2021"/>
    <s v="100mg"/>
    <s v="Headache, Nausea, Fatigue"/>
    <s v="TR0006"/>
    <s v="100mg"/>
    <x v="2"/>
    <s v="Nausea"/>
    <n v="52"/>
    <n v="0"/>
    <s v="TP53"/>
    <s v="Positive"/>
    <n v="2.61"/>
    <n v="3.08"/>
    <n v="10"/>
    <n v="8.4"/>
    <n v="14.5"/>
    <n v="100"/>
    <n v="100"/>
  </r>
  <r>
    <s v="P794"/>
    <n v="45"/>
    <s v="Male"/>
    <s v="Other"/>
    <s v="Diabetes"/>
    <s v="EGFR Mutation"/>
    <s v="T006"/>
    <x v="2"/>
    <x v="0"/>
    <s v="4/7/2019"/>
    <s v="5/7/2020"/>
    <s v="200mg"/>
    <s v="Not Reported"/>
    <s v="TR0048"/>
    <s v="200mg"/>
    <x v="0"/>
    <s v="Nausea"/>
    <n v="95"/>
    <n v="1"/>
    <s v="TP53"/>
    <s v="Positive"/>
    <n v="2.58"/>
    <n v="1.53"/>
    <n v="2.4"/>
    <n v="23.1"/>
    <n v="18"/>
    <n v="200"/>
    <n v="200"/>
  </r>
  <r>
    <s v="P795"/>
    <n v="69"/>
    <s v="Female"/>
    <s v="Caucasian"/>
    <s v="Diabetes"/>
    <s v="TP53 Mutation"/>
    <s v="T010"/>
    <x v="3"/>
    <x v="2"/>
    <s v="2/20/2021"/>
    <s v="9/20/2021"/>
    <s v="200mg"/>
    <s v="Nausea, Fatigue"/>
    <s v="TR0179"/>
    <s v="200mg"/>
    <x v="1"/>
    <s v="Not Reported"/>
    <n v="37"/>
    <n v="0"/>
    <s v="EGFR"/>
    <s v="Negative"/>
    <n v="4.63"/>
    <n v="4.97"/>
    <n v="2.9"/>
    <n v="12.4"/>
    <n v="14.4"/>
    <n v="200"/>
    <n v="200"/>
  </r>
  <r>
    <s v="P796"/>
    <n v="69"/>
    <s v="Male"/>
    <s v="Hispanic"/>
    <s v="Asthma"/>
    <s v="Not Reported"/>
    <s v="T003"/>
    <x v="2"/>
    <x v="3"/>
    <s v="9/19/2023"/>
    <s v="3/19/2025"/>
    <s v="50mg"/>
    <s v="Dizziness, Nausea, Fatigue"/>
    <s v="TR0119"/>
    <s v="50mg"/>
    <x v="2"/>
    <s v="Fatigue"/>
    <n v="54"/>
    <n v="0"/>
    <s v="TP53"/>
    <s v="Positive"/>
    <n v="2.94"/>
    <n v="2.67"/>
    <n v="4.2"/>
    <n v="16.7"/>
    <n v="12.8"/>
    <n v="50"/>
    <n v="50"/>
  </r>
  <r>
    <s v="P797"/>
    <n v="74"/>
    <s v="Female"/>
    <s v="Hispanic"/>
    <s v="Heart Disease"/>
    <s v="Not Reported"/>
    <s v="T004"/>
    <x v="2"/>
    <x v="3"/>
    <s v="3/13/2023"/>
    <s v="7/13/2024"/>
    <s v="200mg"/>
    <s v="Dizziness, Headache"/>
    <s v="TR0158"/>
    <s v="200mg"/>
    <x v="2"/>
    <s v="Dizziness"/>
    <n v="93"/>
    <n v="0"/>
    <s v="EGFR"/>
    <s v="Negative"/>
    <n v="1.65"/>
    <n v="2.89"/>
    <n v="6"/>
    <n v="16.3"/>
    <n v="6.6"/>
    <n v="200"/>
    <n v="200"/>
  </r>
  <r>
    <s v="P798"/>
    <n v="74"/>
    <s v="Female"/>
    <s v="Other"/>
    <s v="Asthma"/>
    <s v="Not Reported"/>
    <s v="T003"/>
    <x v="0"/>
    <x v="3"/>
    <s v="5/11/2023"/>
    <s v="11/11/2024"/>
    <s v="50mg"/>
    <s v="Nausea"/>
    <s v="TR0158"/>
    <s v="50mg"/>
    <x v="0"/>
    <s v="Dizziness"/>
    <n v="76"/>
    <n v="1"/>
    <s v="BRCA1"/>
    <s v="Negative"/>
    <n v="3.97"/>
    <n v="1.1000000000000001"/>
    <n v="4.2"/>
    <n v="20"/>
    <n v="12.6"/>
    <n v="50"/>
    <n v="50"/>
  </r>
  <r>
    <s v="P799"/>
    <n v="64"/>
    <s v="Male"/>
    <s v="Hispanic"/>
    <s v="Hypertension"/>
    <s v="BRCA1 Mutation"/>
    <s v="T016"/>
    <x v="1"/>
    <x v="0"/>
    <s v="4/27/2019"/>
    <s v="7/27/2020"/>
    <s v="200mg"/>
    <s v="Headache"/>
    <s v="TR0081"/>
    <s v="200mg"/>
    <x v="0"/>
    <s v="Headache"/>
    <n v="62"/>
    <n v="1"/>
    <s v="BRCA1"/>
    <s v="Negative"/>
    <n v="2.04"/>
    <n v="3.78"/>
    <n v="6.1"/>
    <n v="20.3"/>
    <n v="15.5"/>
    <n v="200"/>
    <n v="200"/>
  </r>
  <r>
    <s v="P800"/>
    <n v="59"/>
    <s v="Female"/>
    <s v="Other"/>
    <s v="Hypertension"/>
    <s v="BRCA1 Mutation"/>
    <s v="T002"/>
    <x v="1"/>
    <x v="3"/>
    <s v="5/17/2020"/>
    <s v="8/17/2021"/>
    <s v="150mg"/>
    <s v="Nausea"/>
    <s v="TR0076"/>
    <s v="150mg"/>
    <x v="1"/>
    <s v="Headache"/>
    <n v="100"/>
    <n v="0"/>
    <s v="EGFR"/>
    <s v="Negative"/>
    <n v="3.44"/>
    <n v="2.95"/>
    <n v="2.2000000000000002"/>
    <n v="10.7"/>
    <n v="10.1"/>
    <n v="150"/>
    <n v="150"/>
  </r>
  <r>
    <s v="P801"/>
    <n v="73"/>
    <s v="Female"/>
    <s v="Hispanic"/>
    <s v="Hypertension"/>
    <s v="HER2 Mutation"/>
    <s v="T009"/>
    <x v="2"/>
    <x v="1"/>
    <s v="6/14/2021"/>
    <s v="5/14/2022"/>
    <s v="200mg"/>
    <s v="Not Reported, Nausea"/>
    <s v="TR0147"/>
    <s v="200mg"/>
    <x v="1"/>
    <s v="Not Reported"/>
    <n v="111"/>
    <n v="0"/>
    <s v="BRCA2"/>
    <s v="Positive"/>
    <n v="3.4"/>
    <n v="3.05"/>
    <n v="3.6"/>
    <n v="6.1"/>
    <n v="11.4"/>
    <n v="200"/>
    <n v="200"/>
  </r>
  <r>
    <s v="P802"/>
    <n v="82"/>
    <s v="Other"/>
    <s v="Caucasian"/>
    <s v="Asthma"/>
    <s v="TP53 Mutation"/>
    <s v="T009"/>
    <x v="3"/>
    <x v="0"/>
    <s v="11/6/2020"/>
    <s v="5/6/2022"/>
    <s v="200mg"/>
    <s v="Not Reported, Nausea"/>
    <s v="TR0028"/>
    <s v="200mg"/>
    <x v="1"/>
    <s v="Not Reported"/>
    <n v="118"/>
    <n v="0"/>
    <s v="BRCA2"/>
    <s v="Positive"/>
    <n v="2.14"/>
    <n v="3.94"/>
    <n v="1.2"/>
    <n v="16.5"/>
    <n v="19"/>
    <n v="200"/>
    <n v="200"/>
  </r>
  <r>
    <s v="P803"/>
    <n v="19"/>
    <s v="Other"/>
    <s v="Hispanic"/>
    <s v="Diabetes"/>
    <s v="Not Reported"/>
    <s v="T004"/>
    <x v="2"/>
    <x v="2"/>
    <s v="3/25/2021"/>
    <s v="9/25/2022"/>
    <s v="200mg"/>
    <s v="Headache, Dizziness"/>
    <s v="TR0080"/>
    <s v="200mg"/>
    <x v="1"/>
    <s v="Fatigue"/>
    <n v="110"/>
    <n v="0"/>
    <s v="EGFR"/>
    <s v="Positive"/>
    <n v="1.7"/>
    <n v="2.89"/>
    <n v="1.8"/>
    <n v="17.3"/>
    <n v="12.4"/>
    <n v="200"/>
    <n v="200"/>
  </r>
  <r>
    <s v="P804"/>
    <n v="67"/>
    <s v="Male"/>
    <s v="Caucasian"/>
    <s v="Hypertension"/>
    <s v="BRCA1 Mutation"/>
    <s v="T003"/>
    <x v="0"/>
    <x v="3"/>
    <s v="9/21/2023"/>
    <s v="9/21/2024"/>
    <s v="50mg"/>
    <s v="Dizziness"/>
    <s v="TR0004"/>
    <s v="50mg"/>
    <x v="0"/>
    <s v="Headache"/>
    <n v="180"/>
    <n v="1"/>
    <s v="EGFR"/>
    <s v="Negative"/>
    <n v="2.63"/>
    <n v="3.09"/>
    <n v="9.1"/>
    <n v="9.5"/>
    <n v="3.4"/>
    <n v="50"/>
    <n v="50"/>
  </r>
  <r>
    <s v="P805"/>
    <n v="79"/>
    <s v="Other"/>
    <s v="Hispanic"/>
    <s v="Heart Disease"/>
    <s v="BRCA1 Mutation"/>
    <s v="T006"/>
    <x v="0"/>
    <x v="0"/>
    <s v="5/15/2019"/>
    <s v="1/15/2020"/>
    <s v="200mg"/>
    <s v="Fatigue, Headache"/>
    <s v="TR0020"/>
    <s v="200mg"/>
    <x v="0"/>
    <s v="Nausea"/>
    <n v="72"/>
    <n v="1"/>
    <s v="BRCA1"/>
    <s v="Positive"/>
    <n v="4.45"/>
    <n v="3.31"/>
    <n v="9"/>
    <n v="16.7"/>
    <n v="16.8"/>
    <n v="200"/>
    <n v="200"/>
  </r>
  <r>
    <s v="P806"/>
    <n v="85"/>
    <s v="Female"/>
    <s v="Asian"/>
    <s v="Asthma"/>
    <s v="HER2 Mutation"/>
    <s v="T012"/>
    <x v="3"/>
    <x v="1"/>
    <s v="9/12/2022"/>
    <s v="1/12/2024"/>
    <s v="100mg"/>
    <s v="Not Reported, Fatigue"/>
    <s v="TR0080"/>
    <s v="100mg"/>
    <x v="0"/>
    <s v="Nausea"/>
    <n v="172"/>
    <n v="1"/>
    <s v="BRCA2"/>
    <s v="Negative"/>
    <n v="2.72"/>
    <n v="4"/>
    <n v="9.1999999999999993"/>
    <n v="16.3"/>
    <n v="6.1"/>
    <n v="100"/>
    <n v="100"/>
  </r>
  <r>
    <s v="P807"/>
    <n v="50"/>
    <s v="Female"/>
    <s v="African American"/>
    <s v="Hypertension"/>
    <s v="HER2 Mutation"/>
    <s v="T009"/>
    <x v="0"/>
    <x v="3"/>
    <s v="11/15/2021"/>
    <s v="10/15/2022"/>
    <s v="100mg"/>
    <s v="Nausea"/>
    <s v="TR0029"/>
    <s v="100mg"/>
    <x v="0"/>
    <s v="Fatigue"/>
    <n v="69"/>
    <n v="1"/>
    <s v="HER2"/>
    <s v="Negative"/>
    <n v="2.08"/>
    <n v="1.79"/>
    <n v="3.2"/>
    <n v="11.5"/>
    <n v="12.4"/>
    <n v="100"/>
    <n v="100"/>
  </r>
  <r>
    <s v="P808"/>
    <n v="80"/>
    <s v="Other"/>
    <s v="Other"/>
    <s v="Hypertension"/>
    <s v="HER2 Mutation"/>
    <s v="T007"/>
    <x v="2"/>
    <x v="3"/>
    <s v="8/6/2020"/>
    <s v="2/6/2021"/>
    <s v="100mg"/>
    <s v="Dizziness, Headache, Not Reported"/>
    <s v="TR0044"/>
    <s v="100mg"/>
    <x v="0"/>
    <s v="Headache"/>
    <n v="120"/>
    <n v="1"/>
    <s v="BRCA1"/>
    <s v="Positive"/>
    <n v="3.35"/>
    <n v="2.71"/>
    <n v="6.5"/>
    <n v="7.5"/>
    <n v="4.5"/>
    <n v="100"/>
    <n v="100"/>
  </r>
  <r>
    <s v="P809"/>
    <n v="26"/>
    <s v="Other"/>
    <s v="Hispanic"/>
    <s v="Diabetes"/>
    <s v="Not Reported"/>
    <s v="T009"/>
    <x v="0"/>
    <x v="2"/>
    <s v="7/20/2019"/>
    <s v="1/20/2021"/>
    <s v="100mg"/>
    <s v="Dizziness, Fatigue"/>
    <s v="TR0069"/>
    <s v="100mg"/>
    <x v="2"/>
    <s v="Fatigue"/>
    <n v="114"/>
    <n v="0"/>
    <s v="BRCA2"/>
    <s v="Negative"/>
    <n v="1.69"/>
    <n v="3.07"/>
    <n v="2.9"/>
    <n v="11.1"/>
    <n v="9.8000000000000007"/>
    <n v="100"/>
    <n v="100"/>
  </r>
  <r>
    <s v="P810"/>
    <n v="19"/>
    <s v="Male"/>
    <s v="Caucasian"/>
    <s v="Heart Disease"/>
    <s v="HER2 Mutation"/>
    <s v="T015"/>
    <x v="3"/>
    <x v="3"/>
    <s v="2/27/2023"/>
    <s v="2/27/2024"/>
    <s v="150mg"/>
    <s v="Not Reported"/>
    <s v="TR0066"/>
    <s v="150mg"/>
    <x v="1"/>
    <s v="Not Reported"/>
    <n v="96"/>
    <n v="0"/>
    <s v="TP53"/>
    <s v="Negative"/>
    <n v="4.25"/>
    <n v="1.06"/>
    <n v="6.8"/>
    <n v="18"/>
    <n v="16.600000000000001"/>
    <n v="150"/>
    <n v="150"/>
  </r>
  <r>
    <s v="P811"/>
    <n v="24"/>
    <s v="Other"/>
    <s v="Asian"/>
    <s v="Heart Disease"/>
    <s v="Not Reported"/>
    <s v="T003"/>
    <x v="3"/>
    <x v="2"/>
    <s v="12/26/2022"/>
    <s v="2/26/2024"/>
    <s v="50mg"/>
    <s v="Not Reported"/>
    <s v="TR0062"/>
    <s v="50mg"/>
    <x v="2"/>
    <s v="Dizziness"/>
    <n v="61"/>
    <n v="0"/>
    <s v="BRCA2"/>
    <s v="Negative"/>
    <n v="4.7300000000000004"/>
    <n v="1.08"/>
    <n v="2.4"/>
    <n v="22"/>
    <n v="10.8"/>
    <n v="50"/>
    <n v="50"/>
  </r>
  <r>
    <s v="P812"/>
    <n v="82"/>
    <s v="Other"/>
    <s v="African American"/>
    <s v="Heart Disease"/>
    <s v="Not Reported"/>
    <s v="T020"/>
    <x v="3"/>
    <x v="2"/>
    <s v="1/10/2023"/>
    <s v="12/10/2023"/>
    <s v="200mg"/>
    <s v="Fatigue, Headache, Nausea"/>
    <s v="TR0071"/>
    <s v="200mg"/>
    <x v="1"/>
    <s v="Fatigue"/>
    <n v="94"/>
    <n v="0"/>
    <s v="HER2"/>
    <s v="Positive"/>
    <n v="3.26"/>
    <n v="3.65"/>
    <n v="7.1"/>
    <n v="22.8"/>
    <n v="19.899999999999999"/>
    <n v="200"/>
    <n v="200"/>
  </r>
  <r>
    <s v="P813"/>
    <n v="22"/>
    <s v="Male"/>
    <s v="Other"/>
    <s v="Heart Disease"/>
    <s v="Not Reported"/>
    <s v="T013"/>
    <x v="0"/>
    <x v="2"/>
    <s v="3/7/2021"/>
    <s v="5/7/2022"/>
    <s v="100mg"/>
    <s v="Headache, Fatigue, Not Reported"/>
    <s v="TR0061"/>
    <s v="100mg"/>
    <x v="0"/>
    <s v="Dizziness"/>
    <n v="56"/>
    <n v="1"/>
    <s v="BRCA2"/>
    <s v="Positive"/>
    <n v="3.88"/>
    <n v="2.15"/>
    <n v="8.9"/>
    <n v="6.9"/>
    <n v="6.9"/>
    <n v="100"/>
    <n v="100"/>
  </r>
  <r>
    <s v="P814"/>
    <n v="81"/>
    <s v="Male"/>
    <s v="Hispanic"/>
    <s v="Diabetes"/>
    <s v="Not Reported"/>
    <s v="T019"/>
    <x v="2"/>
    <x v="2"/>
    <s v="9/2/2023"/>
    <s v="2/2/2025"/>
    <s v="100mg"/>
    <s v="Fatigue"/>
    <s v="TR0032"/>
    <s v="100mg"/>
    <x v="0"/>
    <s v="Nausea"/>
    <n v="33"/>
    <n v="1"/>
    <s v="BRCA2"/>
    <s v="Positive"/>
    <n v="4.59"/>
    <n v="2.02"/>
    <n v="3"/>
    <n v="8.5"/>
    <n v="17.600000000000001"/>
    <n v="100"/>
    <n v="100"/>
  </r>
  <r>
    <s v="P815"/>
    <n v="40"/>
    <s v="Male"/>
    <s v="Caucasian"/>
    <s v="Hypertension"/>
    <s v="Not Reported"/>
    <s v="T013"/>
    <x v="3"/>
    <x v="0"/>
    <s v="2/2/2022"/>
    <s v="8/2/2022"/>
    <s v="200mg"/>
    <s v="Headache, Nausea, Dizziness"/>
    <s v="TR0141"/>
    <s v="200mg"/>
    <x v="0"/>
    <s v="Not Reported"/>
    <n v="78"/>
    <n v="1"/>
    <s v="TP53"/>
    <s v="Negative"/>
    <n v="3"/>
    <n v="3.7"/>
    <n v="3.2"/>
    <n v="19.600000000000001"/>
    <n v="15.9"/>
    <n v="200"/>
    <n v="200"/>
  </r>
  <r>
    <s v="P816"/>
    <n v="29"/>
    <s v="Female"/>
    <s v="Caucasian"/>
    <s v="Diabetes"/>
    <s v="Not Reported"/>
    <s v="T010"/>
    <x v="0"/>
    <x v="2"/>
    <s v="10/17/2019"/>
    <s v="4/17/2021"/>
    <s v="50mg"/>
    <s v="Not Reported, Headache"/>
    <s v="TR0193"/>
    <s v="50mg"/>
    <x v="2"/>
    <s v="Fatigue"/>
    <n v="79"/>
    <n v="0"/>
    <s v="TP53"/>
    <s v="Negative"/>
    <n v="2.25"/>
    <n v="2.64"/>
    <n v="2.9"/>
    <n v="23.6"/>
    <n v="14"/>
    <n v="50"/>
    <n v="50"/>
  </r>
  <r>
    <s v="P817"/>
    <n v="70"/>
    <s v="Other"/>
    <s v="African American"/>
    <s v="Hypertension"/>
    <s v="BRCA2 Mutation"/>
    <s v="T001"/>
    <x v="3"/>
    <x v="0"/>
    <s v="1/12/2020"/>
    <s v="11/12/2020"/>
    <s v="150mg"/>
    <s v="Dizziness, Headache, Fatigue"/>
    <s v="TR0020"/>
    <s v="150mg"/>
    <x v="1"/>
    <s v="Nausea"/>
    <n v="41"/>
    <n v="0"/>
    <s v="HER2"/>
    <s v="Negative"/>
    <n v="4.74"/>
    <n v="2.21"/>
    <n v="8"/>
    <n v="19.8"/>
    <n v="14.8"/>
    <n v="150"/>
    <n v="150"/>
  </r>
  <r>
    <s v="P818"/>
    <n v="67"/>
    <s v="Female"/>
    <s v="African American"/>
    <s v="Hypertension"/>
    <s v="HER2 Mutation"/>
    <s v="T012"/>
    <x v="0"/>
    <x v="1"/>
    <s v="12/27/2019"/>
    <s v="9/27/2020"/>
    <s v="150mg"/>
    <s v="Headache"/>
    <s v="TR0139"/>
    <s v="150mg"/>
    <x v="1"/>
    <s v="Nausea"/>
    <n v="132"/>
    <n v="0"/>
    <s v="EGFR"/>
    <s v="Negative"/>
    <n v="4.8600000000000003"/>
    <n v="2.57"/>
    <n v="2.2000000000000002"/>
    <n v="18.100000000000001"/>
    <n v="15.4"/>
    <n v="150"/>
    <n v="150"/>
  </r>
  <r>
    <s v="P819"/>
    <n v="78"/>
    <s v="Male"/>
    <s v="Other"/>
    <s v="Heart Disease"/>
    <s v="EGFR Mutation"/>
    <s v="T007"/>
    <x v="3"/>
    <x v="0"/>
    <s v="4/10/2023"/>
    <s v="6/10/2024"/>
    <s v="100mg"/>
    <s v="Dizziness, Headache"/>
    <s v="TR0041"/>
    <s v="100mg"/>
    <x v="1"/>
    <s v="Dizziness"/>
    <n v="147"/>
    <n v="0"/>
    <s v="BRCA1"/>
    <s v="Positive"/>
    <n v="3.3"/>
    <n v="1.83"/>
    <n v="5.5"/>
    <n v="11.6"/>
    <n v="10.3"/>
    <n v="100"/>
    <n v="100"/>
  </r>
  <r>
    <s v="P820"/>
    <n v="73"/>
    <s v="Other"/>
    <s v="Other"/>
    <s v="Heart Disease"/>
    <s v="Not Reported"/>
    <s v="T019"/>
    <x v="1"/>
    <x v="0"/>
    <s v="11/22/2023"/>
    <s v="3/22/2025"/>
    <s v="200mg"/>
    <s v="Nausea, Not Reported, Dizziness"/>
    <s v="TR0095"/>
    <s v="200mg"/>
    <x v="2"/>
    <s v="Headache"/>
    <n v="76"/>
    <n v="0"/>
    <s v="TP53"/>
    <s v="Negative"/>
    <n v="3.58"/>
    <n v="3.98"/>
    <n v="3.1"/>
    <n v="13.3"/>
    <n v="7.6"/>
    <n v="200"/>
    <n v="200"/>
  </r>
  <r>
    <s v="P821"/>
    <n v="27"/>
    <s v="Other"/>
    <s v="Hispanic"/>
    <s v="Asthma"/>
    <s v="EGFR Mutation"/>
    <s v="T008"/>
    <x v="2"/>
    <x v="1"/>
    <s v="3/14/2019"/>
    <s v="8/14/2020"/>
    <s v="150mg"/>
    <s v="Dizziness, Fatigue"/>
    <s v="TR0098"/>
    <s v="150mg"/>
    <x v="0"/>
    <s v="Not Reported"/>
    <n v="50"/>
    <n v="1"/>
    <s v="EGFR"/>
    <s v="Positive"/>
    <n v="1.79"/>
    <n v="4.13"/>
    <n v="9.1999999999999993"/>
    <n v="12.7"/>
    <n v="15.8"/>
    <n v="150"/>
    <n v="150"/>
  </r>
  <r>
    <s v="P822"/>
    <n v="65"/>
    <s v="Male"/>
    <s v="Caucasian"/>
    <s v="Asthma"/>
    <s v="EGFR Mutation"/>
    <s v="T011"/>
    <x v="1"/>
    <x v="0"/>
    <s v="8/10/2022"/>
    <s v="1/10/2024"/>
    <s v="50mg"/>
    <s v="Fatigue, Headache, Dizziness"/>
    <s v="TR0099"/>
    <s v="50mg"/>
    <x v="2"/>
    <s v="Fatigue"/>
    <n v="49"/>
    <n v="0"/>
    <s v="BRCA1"/>
    <s v="Positive"/>
    <n v="4.59"/>
    <n v="4.38"/>
    <n v="2.6"/>
    <n v="23.2"/>
    <n v="9.4"/>
    <n v="50"/>
    <n v="50"/>
  </r>
  <r>
    <s v="P823"/>
    <n v="53"/>
    <s v="Male"/>
    <s v="Other"/>
    <s v="Heart Disease"/>
    <s v="BRCA2 Mutation"/>
    <s v="T014"/>
    <x v="0"/>
    <x v="2"/>
    <s v="3/20/2020"/>
    <s v="4/20/2021"/>
    <s v="150mg"/>
    <s v="Dizziness, Nausea, Fatigue"/>
    <s v="TR0014"/>
    <s v="150mg"/>
    <x v="2"/>
    <s v="Not Reported"/>
    <n v="123"/>
    <n v="0"/>
    <s v="TP53"/>
    <s v="Positive"/>
    <n v="2.36"/>
    <n v="1.25"/>
    <n v="5.4"/>
    <n v="8"/>
    <n v="7.2"/>
    <n v="150"/>
    <n v="150"/>
  </r>
  <r>
    <s v="P824"/>
    <n v="31"/>
    <s v="Other"/>
    <s v="African American"/>
    <s v="Not Reported"/>
    <s v="BRCA1 Mutation"/>
    <s v="T011"/>
    <x v="3"/>
    <x v="2"/>
    <s v="10/5/2019"/>
    <s v="6/5/2020"/>
    <s v="150mg"/>
    <s v="Nausea, Dizziness"/>
    <s v="TR0188"/>
    <s v="150mg"/>
    <x v="0"/>
    <s v="Nausea"/>
    <n v="132"/>
    <n v="1"/>
    <s v="BRCA2"/>
    <s v="Negative"/>
    <n v="2.27"/>
    <n v="4.24"/>
    <n v="8.9"/>
    <n v="11.4"/>
    <n v="17.600000000000001"/>
    <n v="150"/>
    <n v="150"/>
  </r>
  <r>
    <s v="P825"/>
    <n v="70"/>
    <s v="Female"/>
    <s v="Caucasian"/>
    <s v="Asthma"/>
    <s v="BRCA2 Mutation"/>
    <s v="T009"/>
    <x v="3"/>
    <x v="2"/>
    <s v="3/18/2023"/>
    <s v="6/18/2024"/>
    <s v="150mg"/>
    <s v="Not Reported, Nausea, Headache"/>
    <s v="TR0023"/>
    <s v="150mg"/>
    <x v="1"/>
    <s v="Dizziness"/>
    <n v="162"/>
    <n v="0"/>
    <s v="BRCA2"/>
    <s v="Positive"/>
    <n v="4.43"/>
    <n v="4.0599999999999996"/>
    <n v="2.2999999999999998"/>
    <n v="18.399999999999999"/>
    <n v="19.100000000000001"/>
    <n v="150"/>
    <n v="150"/>
  </r>
  <r>
    <s v="P826"/>
    <n v="51"/>
    <s v="Other"/>
    <s v="Hispanic"/>
    <s v="Diabetes"/>
    <s v="HER2 Mutation"/>
    <s v="T003"/>
    <x v="3"/>
    <x v="3"/>
    <s v="8/3/2019"/>
    <s v="2/3/2020"/>
    <s v="150mg"/>
    <s v="Nausea, Dizziness, Headache"/>
    <s v="TR0148"/>
    <s v="150mg"/>
    <x v="1"/>
    <s v="Nausea"/>
    <n v="75"/>
    <n v="0"/>
    <s v="HER2"/>
    <s v="Positive"/>
    <n v="3.73"/>
    <n v="2.33"/>
    <n v="5.5"/>
    <n v="17.600000000000001"/>
    <n v="11.7"/>
    <n v="150"/>
    <n v="150"/>
  </r>
  <r>
    <s v="P827"/>
    <n v="29"/>
    <s v="Female"/>
    <s v="Asian"/>
    <s v="Asthma"/>
    <s v="BRCA1 Mutation"/>
    <s v="T012"/>
    <x v="2"/>
    <x v="0"/>
    <s v="10/5/2019"/>
    <s v="7/5/2020"/>
    <s v="50mg"/>
    <s v="Headache"/>
    <s v="TR0019"/>
    <s v="50mg"/>
    <x v="1"/>
    <s v="Dizziness"/>
    <n v="110"/>
    <n v="0"/>
    <s v="BRCA1"/>
    <s v="Positive"/>
    <n v="1.48"/>
    <n v="2.25"/>
    <n v="8.1999999999999993"/>
    <n v="21.5"/>
    <n v="5.3"/>
    <n v="50"/>
    <n v="50"/>
  </r>
  <r>
    <s v="P828"/>
    <n v="79"/>
    <s v="Female"/>
    <s v="Caucasian"/>
    <s v="Heart Disease"/>
    <s v="Not Reported"/>
    <s v="T010"/>
    <x v="0"/>
    <x v="3"/>
    <s v="11/5/2020"/>
    <s v="5/5/2022"/>
    <s v="200mg"/>
    <s v="Dizziness, Fatigue"/>
    <s v="TR0106"/>
    <s v="200mg"/>
    <x v="1"/>
    <s v="Fatigue"/>
    <n v="95"/>
    <n v="0"/>
    <s v="TP53"/>
    <s v="Negative"/>
    <n v="4.8099999999999996"/>
    <n v="2.3199999999999998"/>
    <n v="7"/>
    <n v="19.5"/>
    <n v="16.8"/>
    <n v="200"/>
    <n v="200"/>
  </r>
  <r>
    <s v="P829"/>
    <n v="32"/>
    <s v="Female"/>
    <s v="Caucasian"/>
    <s v="Heart Disease"/>
    <s v="Not Reported"/>
    <s v="T017"/>
    <x v="2"/>
    <x v="0"/>
    <s v="5/26/2020"/>
    <s v="7/26/2021"/>
    <s v="50mg"/>
    <s v="Nausea"/>
    <s v="TR0010"/>
    <s v="50mg"/>
    <x v="1"/>
    <s v="Not Reported"/>
    <n v="41"/>
    <n v="0"/>
    <s v="BRCA2"/>
    <s v="Negative"/>
    <n v="4.78"/>
    <n v="2.25"/>
    <n v="8.6999999999999993"/>
    <n v="8.4"/>
    <n v="15"/>
    <n v="50"/>
    <n v="50"/>
  </r>
  <r>
    <s v="P830"/>
    <n v="69"/>
    <s v="Male"/>
    <s v="Asian"/>
    <s v="Hypertension"/>
    <s v="TP53 Mutation"/>
    <s v="T007"/>
    <x v="0"/>
    <x v="0"/>
    <s v="9/25/2021"/>
    <s v="6/25/2022"/>
    <s v="150mg"/>
    <s v="Headache"/>
    <s v="TR0136"/>
    <s v="150mg"/>
    <x v="0"/>
    <s v="Headache"/>
    <n v="99"/>
    <n v="1"/>
    <s v="EGFR"/>
    <s v="Negative"/>
    <n v="3.97"/>
    <n v="3.71"/>
    <n v="3.3"/>
    <n v="21.7"/>
    <n v="5.9"/>
    <n v="150"/>
    <n v="150"/>
  </r>
  <r>
    <s v="P831"/>
    <n v="22"/>
    <s v="Other"/>
    <s v="Hispanic"/>
    <s v="Asthma"/>
    <s v="EGFR Mutation"/>
    <s v="T008"/>
    <x v="0"/>
    <x v="3"/>
    <s v="9/7/2023"/>
    <s v="11/7/2024"/>
    <s v="150mg"/>
    <s v="Not Reported"/>
    <s v="TR0059"/>
    <s v="150mg"/>
    <x v="1"/>
    <s v="Not Reported"/>
    <n v="133"/>
    <n v="0"/>
    <s v="BRCA2"/>
    <s v="Positive"/>
    <n v="1.21"/>
    <n v="3.87"/>
    <n v="5.3"/>
    <n v="21.3"/>
    <n v="9.5"/>
    <n v="150"/>
    <n v="150"/>
  </r>
  <r>
    <s v="P832"/>
    <n v="60"/>
    <s v="Female"/>
    <s v="Caucasian"/>
    <s v="Asthma"/>
    <s v="Not Reported"/>
    <s v="T009"/>
    <x v="1"/>
    <x v="0"/>
    <s v="8/20/2021"/>
    <s v="7/20/2022"/>
    <s v="150mg"/>
    <s v="Not Reported"/>
    <s v="TR0102"/>
    <s v="150mg"/>
    <x v="0"/>
    <s v="Fatigue"/>
    <n v="174"/>
    <n v="1"/>
    <s v="BRCA2"/>
    <s v="Positive"/>
    <n v="1.67"/>
    <n v="4.3499999999999996"/>
    <n v="5.9"/>
    <n v="9.4"/>
    <n v="15.2"/>
    <n v="150"/>
    <n v="150"/>
  </r>
  <r>
    <s v="P833"/>
    <n v="22"/>
    <s v="Other"/>
    <s v="African American"/>
    <s v="Not Reported"/>
    <s v="HER2 Mutation"/>
    <s v="T010"/>
    <x v="1"/>
    <x v="1"/>
    <s v="2/3/2020"/>
    <s v="9/3/2020"/>
    <s v="200mg"/>
    <s v="Headache, Nausea, Not Reported"/>
    <s v="TR0176"/>
    <s v="200mg"/>
    <x v="0"/>
    <s v="Fatigue"/>
    <n v="114"/>
    <n v="1"/>
    <s v="TP53"/>
    <s v="Negative"/>
    <n v="3.04"/>
    <n v="3.42"/>
    <n v="5.0999999999999996"/>
    <n v="20.9"/>
    <n v="17.100000000000001"/>
    <n v="200"/>
    <n v="200"/>
  </r>
  <r>
    <s v="P834"/>
    <n v="67"/>
    <s v="Male"/>
    <s v="Asian"/>
    <s v="Diabetes"/>
    <s v="Not Reported"/>
    <s v="T013"/>
    <x v="0"/>
    <x v="2"/>
    <s v="5/23/2021"/>
    <s v="12/23/2021"/>
    <s v="100mg"/>
    <s v="Nausea"/>
    <s v="TR0171"/>
    <s v="100mg"/>
    <x v="0"/>
    <s v="Fatigue"/>
    <n v="142"/>
    <n v="1"/>
    <s v="TP53"/>
    <s v="Negative"/>
    <n v="3.84"/>
    <n v="1.42"/>
    <n v="8.5"/>
    <n v="18.100000000000001"/>
    <n v="14.8"/>
    <n v="100"/>
    <n v="100"/>
  </r>
  <r>
    <s v="P835"/>
    <n v="25"/>
    <s v="Male"/>
    <s v="Asian"/>
    <s v="Asthma"/>
    <s v="Not Reported"/>
    <s v="T002"/>
    <x v="1"/>
    <x v="3"/>
    <s v="6/7/2019"/>
    <s v="11/7/2020"/>
    <s v="100mg"/>
    <s v="Dizziness, Not Reported"/>
    <s v="TR0113"/>
    <s v="100mg"/>
    <x v="2"/>
    <s v="Dizziness"/>
    <n v="116"/>
    <n v="0"/>
    <s v="BRCA1"/>
    <s v="Negative"/>
    <n v="2.4500000000000002"/>
    <n v="4.5199999999999996"/>
    <n v="7.5"/>
    <n v="8"/>
    <n v="9.9"/>
    <n v="100"/>
    <n v="100"/>
  </r>
  <r>
    <s v="P836"/>
    <n v="54"/>
    <s v="Male"/>
    <s v="Hispanic"/>
    <s v="Hypertension"/>
    <s v="Not Reported"/>
    <s v="T007"/>
    <x v="2"/>
    <x v="0"/>
    <s v="9/2/2023"/>
    <s v="8/2/2024"/>
    <s v="150mg"/>
    <s v="Nausea, Fatigue, Not Reported"/>
    <s v="TR0193"/>
    <s v="150mg"/>
    <x v="0"/>
    <s v="Nausea"/>
    <n v="32"/>
    <n v="1"/>
    <s v="HER2"/>
    <s v="Negative"/>
    <n v="4.55"/>
    <n v="1.19"/>
    <n v="9.6999999999999993"/>
    <n v="18.2"/>
    <n v="13.7"/>
    <n v="150"/>
    <n v="150"/>
  </r>
  <r>
    <s v="P837"/>
    <n v="45"/>
    <s v="Female"/>
    <s v="Caucasian"/>
    <s v="Diabetes"/>
    <s v="Not Reported"/>
    <s v="T019"/>
    <x v="1"/>
    <x v="1"/>
    <s v="6/5/2021"/>
    <s v="12/5/2021"/>
    <s v="100mg"/>
    <s v="Nausea, Not Reported"/>
    <s v="TR0017"/>
    <s v="100mg"/>
    <x v="0"/>
    <s v="Dizziness"/>
    <n v="106"/>
    <n v="1"/>
    <s v="EGFR"/>
    <s v="Positive"/>
    <n v="2.08"/>
    <n v="2"/>
    <n v="9.5"/>
    <n v="11.4"/>
    <n v="16.2"/>
    <n v="100"/>
    <n v="100"/>
  </r>
  <r>
    <s v="P838"/>
    <n v="46"/>
    <s v="Other"/>
    <s v="African American"/>
    <s v="Heart Disease"/>
    <s v="Not Reported"/>
    <s v="T006"/>
    <x v="0"/>
    <x v="3"/>
    <s v="6/22/2020"/>
    <s v="9/22/2021"/>
    <s v="150mg"/>
    <s v="Nausea"/>
    <s v="TR0093"/>
    <s v="150mg"/>
    <x v="1"/>
    <s v="Nausea"/>
    <n v="38"/>
    <n v="0"/>
    <s v="BRCA1"/>
    <s v="Negative"/>
    <n v="2.57"/>
    <n v="1.56"/>
    <n v="1.1000000000000001"/>
    <n v="15.8"/>
    <n v="19.600000000000001"/>
    <n v="150"/>
    <n v="150"/>
  </r>
  <r>
    <s v="P839"/>
    <n v="80"/>
    <s v="Other"/>
    <s v="Other"/>
    <s v="Hypertension"/>
    <s v="Not Reported"/>
    <s v="T013"/>
    <x v="3"/>
    <x v="1"/>
    <s v="9/13/2019"/>
    <s v="2/13/2021"/>
    <s v="200mg"/>
    <s v="Not Reported, Nausea"/>
    <s v="TR0200"/>
    <s v="200mg"/>
    <x v="2"/>
    <s v="Fatigue"/>
    <n v="152"/>
    <n v="0"/>
    <s v="EGFR"/>
    <s v="Negative"/>
    <n v="2.48"/>
    <n v="2.4300000000000002"/>
    <n v="4.0999999999999996"/>
    <n v="15.4"/>
    <n v="10.5"/>
    <n v="200"/>
    <n v="200"/>
  </r>
  <r>
    <s v="P840"/>
    <n v="34"/>
    <s v="Other"/>
    <s v="Asian"/>
    <s v="Diabetes"/>
    <s v="Not Reported"/>
    <s v="T010"/>
    <x v="0"/>
    <x v="3"/>
    <s v="1/1/2020"/>
    <s v="1/1/2021"/>
    <s v="200mg"/>
    <s v="Headache, Fatigue"/>
    <s v="TR0086"/>
    <s v="200mg"/>
    <x v="1"/>
    <s v="Nausea"/>
    <n v="85"/>
    <n v="0"/>
    <s v="BRCA2"/>
    <s v="Negative"/>
    <n v="4.5199999999999996"/>
    <n v="3.02"/>
    <n v="5.6"/>
    <n v="8.5"/>
    <n v="19.7"/>
    <n v="200"/>
    <n v="200"/>
  </r>
  <r>
    <s v="P841"/>
    <n v="19"/>
    <s v="Male"/>
    <s v="Hispanic"/>
    <s v="Diabetes"/>
    <s v="Not Reported"/>
    <s v="T011"/>
    <x v="0"/>
    <x v="2"/>
    <s v="3/10/2022"/>
    <s v="10/10/2022"/>
    <s v="200mg"/>
    <s v="Not Reported, Fatigue, Dizziness"/>
    <s v="TR0016"/>
    <s v="200mg"/>
    <x v="2"/>
    <s v="Fatigue"/>
    <n v="176"/>
    <n v="0"/>
    <s v="BRCA2"/>
    <s v="Positive"/>
    <n v="2"/>
    <n v="1.29"/>
    <n v="7"/>
    <n v="16.7"/>
    <n v="10.1"/>
    <n v="200"/>
    <n v="200"/>
  </r>
  <r>
    <s v="P842"/>
    <n v="46"/>
    <s v="Female"/>
    <s v="African American"/>
    <s v="Hypertension"/>
    <s v="BRCA1 Mutation"/>
    <s v="T019"/>
    <x v="1"/>
    <x v="0"/>
    <s v="6/8/2019"/>
    <s v="12/8/2019"/>
    <s v="200mg"/>
    <s v="Not Reported, Fatigue, Nausea"/>
    <s v="TR0039"/>
    <s v="200mg"/>
    <x v="0"/>
    <s v="Nausea"/>
    <n v="128"/>
    <n v="1"/>
    <s v="HER2"/>
    <s v="Negative"/>
    <n v="2.69"/>
    <n v="4.1399999999999997"/>
    <n v="2.8"/>
    <n v="20.8"/>
    <n v="14"/>
    <n v="200"/>
    <n v="200"/>
  </r>
  <r>
    <s v="P843"/>
    <n v="46"/>
    <s v="Male"/>
    <s v="Other"/>
    <s v="Hypertension"/>
    <s v="TP53 Mutation"/>
    <s v="T015"/>
    <x v="0"/>
    <x v="0"/>
    <s v="10/28/2021"/>
    <s v="6/28/2022"/>
    <s v="50mg"/>
    <s v="Dizziness"/>
    <s v="TR0189"/>
    <s v="50mg"/>
    <x v="2"/>
    <s v="Headache"/>
    <n v="109"/>
    <n v="0"/>
    <s v="BRCA2"/>
    <s v="Negative"/>
    <n v="2.68"/>
    <n v="2.83"/>
    <n v="3.3"/>
    <n v="19.5"/>
    <n v="11.7"/>
    <n v="50"/>
    <n v="50"/>
  </r>
  <r>
    <s v="P844"/>
    <n v="23"/>
    <s v="Male"/>
    <s v="Asian"/>
    <s v="Asthma"/>
    <s v="Not Reported"/>
    <s v="T006"/>
    <x v="1"/>
    <x v="2"/>
    <s v="6/12/2022"/>
    <s v="8/12/2023"/>
    <s v="100mg"/>
    <s v="Not Reported"/>
    <s v="TR0119"/>
    <s v="100mg"/>
    <x v="1"/>
    <s v="Nausea"/>
    <n v="62"/>
    <n v="0"/>
    <s v="BRCA1"/>
    <s v="Negative"/>
    <n v="2.2799999999999998"/>
    <n v="3.38"/>
    <n v="10"/>
    <n v="13.8"/>
    <n v="18.7"/>
    <n v="100"/>
    <n v="100"/>
  </r>
  <r>
    <s v="P845"/>
    <n v="32"/>
    <s v="Male"/>
    <s v="African American"/>
    <s v="Diabetes"/>
    <s v="EGFR Mutation"/>
    <s v="T001"/>
    <x v="2"/>
    <x v="2"/>
    <s v="12/6/2022"/>
    <s v="7/6/2023"/>
    <s v="100mg"/>
    <s v="Not Reported"/>
    <s v="TR0135"/>
    <s v="100mg"/>
    <x v="0"/>
    <s v="Dizziness"/>
    <n v="176"/>
    <n v="1"/>
    <s v="HER2"/>
    <s v="Positive"/>
    <n v="2.38"/>
    <n v="1.22"/>
    <n v="2.8"/>
    <n v="13.5"/>
    <n v="6.7"/>
    <n v="100"/>
    <n v="100"/>
  </r>
  <r>
    <s v="P846"/>
    <n v="64"/>
    <s v="Other"/>
    <s v="Caucasian"/>
    <s v="Asthma"/>
    <s v="BRCA1 Mutation"/>
    <s v="T017"/>
    <x v="3"/>
    <x v="2"/>
    <s v="6/11/2023"/>
    <s v="8/11/2024"/>
    <s v="50mg"/>
    <s v="Dizziness, Not Reported, Headache"/>
    <s v="TR0192"/>
    <s v="50mg"/>
    <x v="1"/>
    <s v="Headache"/>
    <n v="72"/>
    <n v="0"/>
    <s v="BRCA1"/>
    <s v="Negative"/>
    <n v="1"/>
    <n v="4.66"/>
    <n v="8.6"/>
    <n v="19.399999999999999"/>
    <n v="5.9"/>
    <n v="50"/>
    <n v="50"/>
  </r>
  <r>
    <s v="P847"/>
    <n v="84"/>
    <s v="Male"/>
    <s v="Caucasian"/>
    <s v="Not Reported"/>
    <s v="Not Reported"/>
    <s v="T016"/>
    <x v="2"/>
    <x v="1"/>
    <s v="7/20/2023"/>
    <s v="3/20/2024"/>
    <s v="200mg"/>
    <s v="Dizziness"/>
    <s v="TR0071"/>
    <s v="200mg"/>
    <x v="1"/>
    <s v="Not Reported"/>
    <n v="43"/>
    <n v="0"/>
    <s v="BRCA1"/>
    <s v="Positive"/>
    <n v="1.48"/>
    <n v="1.27"/>
    <n v="7.5"/>
    <n v="22.7"/>
    <n v="10.3"/>
    <n v="200"/>
    <n v="200"/>
  </r>
  <r>
    <s v="P848"/>
    <n v="39"/>
    <s v="Other"/>
    <s v="Hispanic"/>
    <s v="Diabetes"/>
    <s v="BRCA2 Mutation"/>
    <s v="T018"/>
    <x v="2"/>
    <x v="3"/>
    <s v="3/21/2023"/>
    <s v="12/21/2023"/>
    <s v="100mg"/>
    <s v="Fatigue, Nausea, Dizziness"/>
    <s v="TR0023"/>
    <s v="100mg"/>
    <x v="1"/>
    <s v="Not Reported"/>
    <n v="154"/>
    <n v="0"/>
    <s v="TP53"/>
    <s v="Positive"/>
    <n v="1.48"/>
    <n v="3.05"/>
    <n v="4.0999999999999996"/>
    <n v="12.7"/>
    <n v="13.6"/>
    <n v="100"/>
    <n v="100"/>
  </r>
  <r>
    <s v="P849"/>
    <n v="34"/>
    <s v="Other"/>
    <s v="Other"/>
    <s v="Hypertension"/>
    <s v="TP53 Mutation"/>
    <s v="T019"/>
    <x v="2"/>
    <x v="1"/>
    <s v="12/21/2020"/>
    <s v="5/21/2022"/>
    <s v="50mg"/>
    <s v="Nausea"/>
    <s v="TR0163"/>
    <s v="50mg"/>
    <x v="0"/>
    <s v="Nausea"/>
    <n v="100"/>
    <n v="1"/>
    <s v="BRCA2"/>
    <s v="Positive"/>
    <n v="3.87"/>
    <n v="1.44"/>
    <n v="1.3"/>
    <n v="23.9"/>
    <n v="7"/>
    <n v="50"/>
    <n v="50"/>
  </r>
  <r>
    <s v="P850"/>
    <n v="34"/>
    <s v="Male"/>
    <s v="Hispanic"/>
    <s v="Asthma"/>
    <s v="BRCA2 Mutation"/>
    <s v="T004"/>
    <x v="2"/>
    <x v="3"/>
    <s v="1/25/2020"/>
    <s v="7/25/2021"/>
    <s v="100mg"/>
    <s v="Nausea, Headache, Fatigue"/>
    <s v="TR0013"/>
    <s v="100mg"/>
    <x v="1"/>
    <s v="Not Reported"/>
    <n v="131"/>
    <n v="0"/>
    <s v="BRCA2"/>
    <s v="Positive"/>
    <n v="1.22"/>
    <n v="1.76"/>
    <n v="1.4"/>
    <n v="13.1"/>
    <n v="16.600000000000001"/>
    <n v="100"/>
    <n v="100"/>
  </r>
  <r>
    <s v="P851"/>
    <n v="25"/>
    <s v="Female"/>
    <s v="Other"/>
    <s v="Diabetes"/>
    <s v="Not Reported"/>
    <s v="T015"/>
    <x v="3"/>
    <x v="0"/>
    <s v="7/19/2021"/>
    <s v="2/19/2022"/>
    <s v="100mg"/>
    <s v="Nausea"/>
    <s v="TR0176"/>
    <s v="100mg"/>
    <x v="0"/>
    <s v="Fatigue"/>
    <n v="52"/>
    <n v="1"/>
    <s v="HER2"/>
    <s v="Positive"/>
    <n v="2.36"/>
    <n v="2.78"/>
    <n v="7.1"/>
    <n v="15.2"/>
    <n v="17.600000000000001"/>
    <n v="100"/>
    <n v="100"/>
  </r>
  <r>
    <s v="P852"/>
    <n v="78"/>
    <s v="Female"/>
    <s v="Hispanic"/>
    <s v="Heart Disease"/>
    <s v="BRCA2 Mutation"/>
    <s v="T019"/>
    <x v="2"/>
    <x v="1"/>
    <s v="5/8/2019"/>
    <s v="10/8/2020"/>
    <s v="150mg"/>
    <s v="Dizziness"/>
    <s v="TR0100"/>
    <s v="150mg"/>
    <x v="1"/>
    <s v="Fatigue"/>
    <n v="68"/>
    <n v="0"/>
    <s v="EGFR"/>
    <s v="Positive"/>
    <n v="4.46"/>
    <n v="1.04"/>
    <n v="8"/>
    <n v="14.3"/>
    <n v="19.8"/>
    <n v="150"/>
    <n v="150"/>
  </r>
  <r>
    <s v="P853"/>
    <n v="43"/>
    <s v="Male"/>
    <s v="Hispanic"/>
    <s v="Asthma"/>
    <s v="BRCA1 Mutation"/>
    <s v="T012"/>
    <x v="3"/>
    <x v="3"/>
    <s v="7/15/2022"/>
    <s v="1/15/2024"/>
    <s v="50mg"/>
    <s v="Fatigue, Headache"/>
    <s v="TR0040"/>
    <s v="50mg"/>
    <x v="0"/>
    <s v="Dizziness"/>
    <n v="161"/>
    <n v="1"/>
    <s v="HER2"/>
    <s v="Negative"/>
    <n v="2.93"/>
    <n v="4.95"/>
    <n v="7.8"/>
    <n v="10.5"/>
    <n v="12.2"/>
    <n v="50"/>
    <n v="50"/>
  </r>
  <r>
    <s v="P854"/>
    <n v="64"/>
    <s v="Male"/>
    <s v="African American"/>
    <s v="Heart Disease"/>
    <s v="TP53 Mutation"/>
    <s v="T010"/>
    <x v="1"/>
    <x v="0"/>
    <s v="7/7/2022"/>
    <s v="11/7/2023"/>
    <s v="150mg"/>
    <s v="Fatigue, Dizziness, Not Reported"/>
    <s v="TR0107"/>
    <s v="150mg"/>
    <x v="1"/>
    <s v="Nausea"/>
    <n v="107"/>
    <n v="0"/>
    <s v="EGFR"/>
    <s v="Negative"/>
    <n v="4.97"/>
    <n v="4.43"/>
    <n v="1.9"/>
    <n v="18.7"/>
    <n v="8.9"/>
    <n v="150"/>
    <n v="150"/>
  </r>
  <r>
    <s v="P855"/>
    <n v="39"/>
    <s v="Female"/>
    <s v="Asian"/>
    <s v="Diabetes"/>
    <s v="Not Reported"/>
    <s v="T013"/>
    <x v="2"/>
    <x v="0"/>
    <s v="2/10/2019"/>
    <s v="10/10/2019"/>
    <s v="150mg"/>
    <s v="Headache"/>
    <s v="TR0171"/>
    <s v="150mg"/>
    <x v="0"/>
    <s v="Not Reported"/>
    <n v="172"/>
    <n v="1"/>
    <s v="TP53"/>
    <s v="Negative"/>
    <n v="1.03"/>
    <n v="2.61"/>
    <n v="3.1"/>
    <n v="20.7"/>
    <n v="8.6999999999999993"/>
    <n v="150"/>
    <n v="150"/>
  </r>
  <r>
    <s v="P856"/>
    <n v="37"/>
    <s v="Male"/>
    <s v="Other"/>
    <s v="Heart Disease"/>
    <s v="Not Reported"/>
    <s v="T002"/>
    <x v="3"/>
    <x v="1"/>
    <s v="7/5/2023"/>
    <s v="11/5/2024"/>
    <s v="100mg"/>
    <s v="Not Reported, Nausea, Dizziness"/>
    <s v="TR0154"/>
    <s v="100mg"/>
    <x v="2"/>
    <s v="Headache"/>
    <n v="97"/>
    <n v="0"/>
    <s v="BRCA2"/>
    <s v="Positive"/>
    <n v="4.3099999999999996"/>
    <n v="1"/>
    <n v="3.8"/>
    <n v="10.3"/>
    <n v="7"/>
    <n v="100"/>
    <n v="100"/>
  </r>
  <r>
    <s v="P857"/>
    <n v="61"/>
    <s v="Male"/>
    <s v="Asian"/>
    <s v="Not Reported"/>
    <s v="Not Reported"/>
    <s v="T006"/>
    <x v="0"/>
    <x v="1"/>
    <s v="9/8/2021"/>
    <s v="6/8/2022"/>
    <s v="100mg"/>
    <s v="Fatigue, Nausea"/>
    <s v="TR0177"/>
    <s v="100mg"/>
    <x v="0"/>
    <s v="Nausea"/>
    <n v="50"/>
    <n v="1"/>
    <s v="TP53"/>
    <s v="Negative"/>
    <n v="1.27"/>
    <n v="1.75"/>
    <n v="6"/>
    <n v="11.2"/>
    <n v="10.1"/>
    <n v="100"/>
    <n v="100"/>
  </r>
  <r>
    <s v="P858"/>
    <n v="69"/>
    <s v="Male"/>
    <s v="African American"/>
    <s v="Not Reported"/>
    <s v="HER2 Mutation"/>
    <s v="T013"/>
    <x v="0"/>
    <x v="0"/>
    <s v="8/13/2021"/>
    <s v="11/13/2022"/>
    <s v="150mg"/>
    <s v="Not Reported, Fatigue, Headache"/>
    <s v="TR0062"/>
    <s v="150mg"/>
    <x v="1"/>
    <s v="Not Reported"/>
    <n v="174"/>
    <n v="0"/>
    <s v="HER2"/>
    <s v="Negative"/>
    <n v="2.5099999999999998"/>
    <n v="4.5"/>
    <n v="9.1"/>
    <n v="14.9"/>
    <n v="8.6"/>
    <n v="150"/>
    <n v="150"/>
  </r>
  <r>
    <s v="P859"/>
    <n v="68"/>
    <s v="Female"/>
    <s v="Other"/>
    <s v="Heart Disease"/>
    <s v="BRCA1 Mutation"/>
    <s v="T014"/>
    <x v="2"/>
    <x v="3"/>
    <s v="2/6/2020"/>
    <s v="1/6/2021"/>
    <s v="150mg"/>
    <s v="Nausea, Dizziness"/>
    <s v="TR0147"/>
    <s v="150mg"/>
    <x v="1"/>
    <s v="Dizziness"/>
    <n v="108"/>
    <n v="0"/>
    <s v="EGFR"/>
    <s v="Positive"/>
    <n v="1.43"/>
    <n v="4.8099999999999996"/>
    <n v="1.5"/>
    <n v="11.4"/>
    <n v="8.1"/>
    <n v="150"/>
    <n v="150"/>
  </r>
  <r>
    <s v="P860"/>
    <n v="61"/>
    <s v="Male"/>
    <s v="Hispanic"/>
    <s v="Heart Disease"/>
    <s v="TP53 Mutation"/>
    <s v="T019"/>
    <x v="3"/>
    <x v="0"/>
    <s v="8/6/2021"/>
    <s v="3/6/2022"/>
    <s v="100mg"/>
    <s v="Headache"/>
    <s v="TR0071"/>
    <s v="100mg"/>
    <x v="0"/>
    <s v="Fatigue"/>
    <n v="124"/>
    <n v="1"/>
    <s v="EGFR"/>
    <s v="Positive"/>
    <n v="2.2799999999999998"/>
    <n v="1.66"/>
    <n v="8"/>
    <n v="8.1999999999999993"/>
    <n v="13.8"/>
    <n v="100"/>
    <n v="100"/>
  </r>
  <r>
    <s v="P861"/>
    <n v="52"/>
    <s v="Male"/>
    <s v="Hispanic"/>
    <s v="Hypertension"/>
    <s v="Not Reported"/>
    <s v="T010"/>
    <x v="1"/>
    <x v="3"/>
    <s v="10/7/2023"/>
    <s v="7/7/2024"/>
    <s v="100mg"/>
    <s v="Nausea, Not Reported"/>
    <s v="TR0199"/>
    <s v="100mg"/>
    <x v="1"/>
    <s v="Not Reported"/>
    <n v="84"/>
    <n v="0"/>
    <s v="BRCA1"/>
    <s v="Negative"/>
    <n v="1.5"/>
    <n v="1.28"/>
    <n v="9.1999999999999993"/>
    <n v="9.4"/>
    <n v="17"/>
    <n v="100"/>
    <n v="100"/>
  </r>
  <r>
    <s v="P862"/>
    <n v="70"/>
    <s v="Male"/>
    <s v="Hispanic"/>
    <s v="Diabetes"/>
    <s v="BRCA1 Mutation"/>
    <s v="T001"/>
    <x v="1"/>
    <x v="0"/>
    <s v="6/6/2023"/>
    <s v="2/6/2024"/>
    <s v="50mg"/>
    <s v="Not Reported"/>
    <s v="TR0187"/>
    <s v="50mg"/>
    <x v="2"/>
    <s v="Headache"/>
    <n v="53"/>
    <n v="0"/>
    <s v="EGFR"/>
    <s v="Negative"/>
    <n v="3.18"/>
    <n v="1.31"/>
    <n v="9.6"/>
    <n v="10.4"/>
    <n v="17.600000000000001"/>
    <n v="50"/>
    <n v="50"/>
  </r>
  <r>
    <s v="P863"/>
    <n v="58"/>
    <s v="Male"/>
    <s v="Asian"/>
    <s v="Not Reported"/>
    <s v="Not Reported"/>
    <s v="T009"/>
    <x v="2"/>
    <x v="0"/>
    <s v="8/9/2023"/>
    <s v="6/9/2024"/>
    <s v="200mg"/>
    <s v="Nausea"/>
    <s v="TR0128"/>
    <s v="200mg"/>
    <x v="0"/>
    <s v="Fatigue"/>
    <n v="36"/>
    <n v="1"/>
    <s v="EGFR"/>
    <s v="Negative"/>
    <n v="1.68"/>
    <n v="4.42"/>
    <n v="1.1000000000000001"/>
    <n v="15.2"/>
    <n v="16.100000000000001"/>
    <n v="200"/>
    <n v="200"/>
  </r>
  <r>
    <s v="P864"/>
    <n v="61"/>
    <s v="Other"/>
    <s v="Asian"/>
    <s v="Diabetes"/>
    <s v="Not Reported"/>
    <s v="T015"/>
    <x v="3"/>
    <x v="2"/>
    <s v="7/13/2023"/>
    <s v="11/13/2024"/>
    <s v="150mg"/>
    <s v="Fatigue, Dizziness"/>
    <s v="TR0120"/>
    <s v="150mg"/>
    <x v="0"/>
    <s v="Nausea"/>
    <n v="101"/>
    <n v="1"/>
    <s v="BRCA1"/>
    <s v="Positive"/>
    <n v="4.74"/>
    <n v="4.6399999999999997"/>
    <n v="8.4"/>
    <n v="22"/>
    <n v="6.4"/>
    <n v="150"/>
    <n v="150"/>
  </r>
  <r>
    <s v="P865"/>
    <n v="63"/>
    <s v="Male"/>
    <s v="Hispanic"/>
    <s v="Heart Disease"/>
    <s v="TP53 Mutation"/>
    <s v="T011"/>
    <x v="1"/>
    <x v="1"/>
    <s v="3/16/2019"/>
    <s v="7/16/2020"/>
    <s v="100mg"/>
    <s v="Fatigue, Nausea, Dizziness"/>
    <s v="TR0048"/>
    <s v="100mg"/>
    <x v="1"/>
    <s v="Headache"/>
    <n v="79"/>
    <n v="0"/>
    <s v="BRCA1"/>
    <s v="Negative"/>
    <n v="2.14"/>
    <n v="2.16"/>
    <n v="4.4000000000000004"/>
    <n v="13.1"/>
    <n v="12.3"/>
    <n v="100"/>
    <n v="100"/>
  </r>
  <r>
    <s v="P866"/>
    <n v="21"/>
    <s v="Other"/>
    <s v="African American"/>
    <s v="Diabetes"/>
    <s v="Not Reported"/>
    <s v="T004"/>
    <x v="2"/>
    <x v="0"/>
    <s v="11/23/2023"/>
    <s v="6/23/2024"/>
    <s v="200mg"/>
    <s v="Nausea"/>
    <s v="TR0051"/>
    <s v="200mg"/>
    <x v="0"/>
    <s v="Fatigue"/>
    <n v="126"/>
    <n v="1"/>
    <s v="EGFR"/>
    <s v="Negative"/>
    <n v="1.64"/>
    <n v="3.76"/>
    <n v="2.5"/>
    <n v="11.6"/>
    <n v="11.6"/>
    <n v="200"/>
    <n v="200"/>
  </r>
  <r>
    <s v="P867"/>
    <n v="62"/>
    <s v="Other"/>
    <s v="Asian"/>
    <s v="Heart Disease"/>
    <s v="Not Reported"/>
    <s v="T006"/>
    <x v="1"/>
    <x v="2"/>
    <s v="12/21/2023"/>
    <s v="1/21/2025"/>
    <s v="100mg"/>
    <s v="Fatigue, Not Reported"/>
    <s v="TR0158"/>
    <s v="100mg"/>
    <x v="1"/>
    <s v="Fatigue"/>
    <n v="90"/>
    <n v="0"/>
    <s v="BRCA2"/>
    <s v="Positive"/>
    <n v="4.1900000000000004"/>
    <n v="3.96"/>
    <n v="6.8"/>
    <n v="8.8000000000000007"/>
    <n v="12.3"/>
    <n v="100"/>
    <n v="100"/>
  </r>
  <r>
    <s v="P868"/>
    <n v="37"/>
    <s v="Other"/>
    <s v="Hispanic"/>
    <s v="Diabetes"/>
    <s v="Not Reported"/>
    <s v="T007"/>
    <x v="2"/>
    <x v="1"/>
    <s v="6/28/2021"/>
    <s v="7/28/2022"/>
    <s v="100mg"/>
    <s v="Fatigue, Dizziness"/>
    <s v="TR0059"/>
    <s v="100mg"/>
    <x v="1"/>
    <s v="Headache"/>
    <n v="52"/>
    <n v="0"/>
    <s v="EGFR"/>
    <s v="Negative"/>
    <n v="1.35"/>
    <n v="2.5099999999999998"/>
    <n v="4.7"/>
    <n v="6.7"/>
    <n v="7.7"/>
    <n v="100"/>
    <n v="100"/>
  </r>
  <r>
    <s v="P869"/>
    <n v="22"/>
    <s v="Female"/>
    <s v="Hispanic"/>
    <s v="Hypertension"/>
    <s v="Not Reported"/>
    <s v="T018"/>
    <x v="3"/>
    <x v="1"/>
    <s v="3/13/2023"/>
    <s v="6/13/2024"/>
    <s v="200mg"/>
    <s v="Dizziness"/>
    <s v="TR0041"/>
    <s v="200mg"/>
    <x v="0"/>
    <s v="Headache"/>
    <n v="39"/>
    <n v="1"/>
    <s v="BRCA1"/>
    <s v="Positive"/>
    <n v="4.82"/>
    <n v="4.8099999999999996"/>
    <n v="4.2"/>
    <n v="6.8"/>
    <n v="6"/>
    <n v="200"/>
    <n v="200"/>
  </r>
  <r>
    <s v="P870"/>
    <n v="80"/>
    <s v="Male"/>
    <s v="Asian"/>
    <s v="Asthma"/>
    <s v="EGFR Mutation"/>
    <s v="T008"/>
    <x v="2"/>
    <x v="1"/>
    <s v="11/26/2022"/>
    <s v="3/26/2024"/>
    <s v="200mg"/>
    <s v="Not Reported, Dizziness, Fatigue"/>
    <s v="TR0123"/>
    <s v="200mg"/>
    <x v="0"/>
    <s v="Not Reported"/>
    <n v="143"/>
    <n v="1"/>
    <s v="TP53"/>
    <s v="Positive"/>
    <n v="2.57"/>
    <n v="4.79"/>
    <n v="2.2999999999999998"/>
    <n v="19.7"/>
    <n v="4.8"/>
    <n v="200"/>
    <n v="200"/>
  </r>
  <r>
    <s v="P871"/>
    <n v="36"/>
    <s v="Male"/>
    <s v="Asian"/>
    <s v="Diabetes"/>
    <s v="BRCA2 Mutation"/>
    <s v="T017"/>
    <x v="1"/>
    <x v="1"/>
    <s v="5/9/2023"/>
    <s v="1/9/2024"/>
    <s v="150mg"/>
    <s v="Dizziness, Fatigue, Not Reported"/>
    <s v="TR0171"/>
    <s v="150mg"/>
    <x v="2"/>
    <s v="Fatigue"/>
    <n v="75"/>
    <n v="0"/>
    <s v="TP53"/>
    <s v="Negative"/>
    <n v="4.93"/>
    <n v="2.5299999999999998"/>
    <n v="8"/>
    <n v="12.2"/>
    <n v="13.7"/>
    <n v="150"/>
    <n v="150"/>
  </r>
  <r>
    <s v="P872"/>
    <n v="25"/>
    <s v="Female"/>
    <s v="Asian"/>
    <s v="Heart Disease"/>
    <s v="Not Reported"/>
    <s v="T011"/>
    <x v="2"/>
    <x v="3"/>
    <s v="7/8/2019"/>
    <s v="11/8/2020"/>
    <s v="200mg"/>
    <s v="Nausea"/>
    <s v="TR0166"/>
    <s v="200mg"/>
    <x v="0"/>
    <s v="Dizziness"/>
    <n v="44"/>
    <n v="1"/>
    <s v="TP53"/>
    <s v="Negative"/>
    <n v="1.77"/>
    <n v="1.58"/>
    <n v="9.4"/>
    <n v="22.5"/>
    <n v="18.100000000000001"/>
    <n v="200"/>
    <n v="200"/>
  </r>
  <r>
    <s v="P873"/>
    <n v="80"/>
    <s v="Female"/>
    <s v="Caucasian"/>
    <s v="Diabetes"/>
    <s v="TP53 Mutation"/>
    <s v="T008"/>
    <x v="0"/>
    <x v="1"/>
    <s v="6/5/2023"/>
    <s v="12/5/2023"/>
    <s v="50mg"/>
    <s v="Headache"/>
    <s v="TR0045"/>
    <s v="50mg"/>
    <x v="1"/>
    <s v="Nausea"/>
    <n v="160"/>
    <n v="0"/>
    <s v="TP53"/>
    <s v="Negative"/>
    <n v="3.5"/>
    <n v="4.2300000000000004"/>
    <n v="1.6"/>
    <n v="12"/>
    <n v="8.3000000000000007"/>
    <n v="50"/>
    <n v="50"/>
  </r>
  <r>
    <s v="P874"/>
    <n v="47"/>
    <s v="Other"/>
    <s v="Hispanic"/>
    <s v="Not Reported"/>
    <s v="TP53 Mutation"/>
    <s v="T009"/>
    <x v="3"/>
    <x v="1"/>
    <s v="6/9/2021"/>
    <s v="9/9/2022"/>
    <s v="50mg"/>
    <s v="Nausea"/>
    <s v="TR0095"/>
    <s v="50mg"/>
    <x v="0"/>
    <s v="Headache"/>
    <n v="98"/>
    <n v="1"/>
    <s v="BRCA1"/>
    <s v="Positive"/>
    <n v="3.54"/>
    <n v="2.42"/>
    <n v="2.2999999999999998"/>
    <n v="16.7"/>
    <n v="16.8"/>
    <n v="50"/>
    <n v="50"/>
  </r>
  <r>
    <s v="P875"/>
    <n v="61"/>
    <s v="Female"/>
    <s v="Hispanic"/>
    <s v="Not Reported"/>
    <s v="BRCA1 Mutation"/>
    <s v="T019"/>
    <x v="3"/>
    <x v="2"/>
    <s v="6/15/2023"/>
    <s v="8/15/2024"/>
    <s v="200mg"/>
    <s v="Fatigue, Nausea"/>
    <s v="TR0123"/>
    <s v="200mg"/>
    <x v="0"/>
    <s v="Fatigue"/>
    <n v="34"/>
    <n v="1"/>
    <s v="TP53"/>
    <s v="Positive"/>
    <n v="2.5299999999999998"/>
    <n v="1.53"/>
    <n v="2.8"/>
    <n v="10.3"/>
    <n v="8.1"/>
    <n v="200"/>
    <n v="200"/>
  </r>
  <r>
    <s v="P876"/>
    <n v="73"/>
    <s v="Male"/>
    <s v="Caucasian"/>
    <s v="Hypertension"/>
    <s v="Not Reported"/>
    <s v="T016"/>
    <x v="1"/>
    <x v="2"/>
    <s v="3/10/2019"/>
    <s v="10/10/2019"/>
    <s v="100mg"/>
    <s v="Fatigue, Headache, Not Reported"/>
    <s v="TR0104"/>
    <s v="100mg"/>
    <x v="1"/>
    <s v="Dizziness"/>
    <n v="175"/>
    <n v="0"/>
    <s v="HER2"/>
    <s v="Negative"/>
    <n v="3.57"/>
    <n v="3.4"/>
    <n v="7.3"/>
    <n v="12.5"/>
    <n v="17"/>
    <n v="100"/>
    <n v="100"/>
  </r>
  <r>
    <s v="P877"/>
    <n v="22"/>
    <s v="Other"/>
    <s v="Other"/>
    <s v="Asthma"/>
    <s v="BRCA2 Mutation"/>
    <s v="T014"/>
    <x v="3"/>
    <x v="0"/>
    <s v="2/26/2020"/>
    <s v="5/26/2021"/>
    <s v="100mg"/>
    <s v="Headache"/>
    <s v="TR0167"/>
    <s v="100mg"/>
    <x v="1"/>
    <s v="Nausea"/>
    <n v="147"/>
    <n v="0"/>
    <s v="TP53"/>
    <s v="Negative"/>
    <n v="1.82"/>
    <n v="2.88"/>
    <n v="8.1999999999999993"/>
    <n v="9.1999999999999993"/>
    <n v="4.9000000000000004"/>
    <n v="100"/>
    <n v="100"/>
  </r>
  <r>
    <s v="P878"/>
    <n v="71"/>
    <s v="Female"/>
    <s v="Asian"/>
    <s v="Diabetes"/>
    <s v="Not Reported"/>
    <s v="T019"/>
    <x v="0"/>
    <x v="2"/>
    <s v="10/3/2019"/>
    <s v="2/3/2021"/>
    <s v="200mg"/>
    <s v="Not Reported, Fatigue"/>
    <s v="TR0008"/>
    <s v="200mg"/>
    <x v="2"/>
    <s v="Dizziness"/>
    <n v="115"/>
    <n v="0"/>
    <s v="BRCA2"/>
    <s v="Positive"/>
    <n v="4.53"/>
    <n v="2.37"/>
    <n v="7.2"/>
    <n v="6.5"/>
    <n v="14.7"/>
    <n v="200"/>
    <n v="200"/>
  </r>
  <r>
    <s v="P879"/>
    <n v="33"/>
    <s v="Male"/>
    <s v="Caucasian"/>
    <s v="Diabetes"/>
    <s v="BRCA1 Mutation"/>
    <s v="T012"/>
    <x v="1"/>
    <x v="3"/>
    <s v="7/9/2022"/>
    <s v="5/9/2023"/>
    <s v="200mg"/>
    <s v="Headache, Nausea"/>
    <s v="TR0183"/>
    <s v="200mg"/>
    <x v="0"/>
    <s v="Nausea"/>
    <n v="65"/>
    <n v="1"/>
    <s v="HER2"/>
    <s v="Negative"/>
    <n v="2.2599999999999998"/>
    <n v="1.22"/>
    <n v="6.5"/>
    <n v="10.3"/>
    <n v="9.6"/>
    <n v="200"/>
    <n v="200"/>
  </r>
  <r>
    <s v="P880"/>
    <n v="68"/>
    <s v="Female"/>
    <s v="African American"/>
    <s v="Heart Disease"/>
    <s v="Not Reported"/>
    <s v="T014"/>
    <x v="3"/>
    <x v="0"/>
    <s v="10/15/2021"/>
    <s v="1/15/2023"/>
    <s v="200mg"/>
    <s v="Nausea, Headache"/>
    <s v="TR0052"/>
    <s v="200mg"/>
    <x v="1"/>
    <s v="Not Reported"/>
    <n v="139"/>
    <n v="0"/>
    <s v="BRCA1"/>
    <s v="Negative"/>
    <n v="1.32"/>
    <n v="1.59"/>
    <n v="3.7"/>
    <n v="7.6"/>
    <n v="18.5"/>
    <n v="200"/>
    <n v="200"/>
  </r>
  <r>
    <s v="P881"/>
    <n v="60"/>
    <s v="Male"/>
    <s v="Caucasian"/>
    <s v="Asthma"/>
    <s v="TP53 Mutation"/>
    <s v="T008"/>
    <x v="3"/>
    <x v="2"/>
    <s v="10/24/2019"/>
    <s v="10/24/2020"/>
    <s v="150mg"/>
    <s v="Headache, Fatigue, Dizziness"/>
    <s v="TR0113"/>
    <s v="150mg"/>
    <x v="0"/>
    <s v="Nausea"/>
    <n v="174"/>
    <n v="1"/>
    <s v="TP53"/>
    <s v="Positive"/>
    <n v="1.02"/>
    <n v="2.94"/>
    <n v="2.1"/>
    <n v="11.5"/>
    <n v="18.7"/>
    <n v="150"/>
    <n v="150"/>
  </r>
  <r>
    <s v="P882"/>
    <n v="66"/>
    <s v="Male"/>
    <s v="African American"/>
    <s v="Diabetes"/>
    <s v="TP53 Mutation"/>
    <s v="T019"/>
    <x v="3"/>
    <x v="1"/>
    <s v="6/12/2020"/>
    <s v="1/12/2021"/>
    <s v="100mg"/>
    <s v="Fatigue, Headache, Dizziness"/>
    <s v="TR0173"/>
    <s v="100mg"/>
    <x v="0"/>
    <s v="Headache"/>
    <n v="106"/>
    <n v="1"/>
    <s v="BRCA2"/>
    <s v="Positive"/>
    <n v="1.65"/>
    <n v="4.8600000000000003"/>
    <n v="2.9"/>
    <n v="19.3"/>
    <n v="12.3"/>
    <n v="100"/>
    <n v="100"/>
  </r>
  <r>
    <s v="P883"/>
    <n v="58"/>
    <s v="Other"/>
    <s v="African American"/>
    <s v="Heart Disease"/>
    <s v="Not Reported"/>
    <s v="T018"/>
    <x v="0"/>
    <x v="0"/>
    <s v="5/14/2021"/>
    <s v="9/14/2022"/>
    <s v="200mg"/>
    <s v="Not Reported"/>
    <s v="TR0085"/>
    <s v="200mg"/>
    <x v="1"/>
    <s v="Not Reported"/>
    <n v="86"/>
    <n v="0"/>
    <s v="TP53"/>
    <s v="Negative"/>
    <n v="4.54"/>
    <n v="3.22"/>
    <n v="5.8"/>
    <n v="9.5"/>
    <n v="5.8"/>
    <n v="200"/>
    <n v="200"/>
  </r>
  <r>
    <s v="P884"/>
    <n v="27"/>
    <s v="Female"/>
    <s v="Other"/>
    <s v="Hypertension"/>
    <s v="EGFR Mutation"/>
    <s v="T019"/>
    <x v="2"/>
    <x v="2"/>
    <s v="5/19/2021"/>
    <s v="6/19/2022"/>
    <s v="150mg"/>
    <s v="Dizziness"/>
    <s v="TR0070"/>
    <s v="150mg"/>
    <x v="1"/>
    <s v="Not Reported"/>
    <n v="34"/>
    <n v="0"/>
    <s v="EGFR"/>
    <s v="Positive"/>
    <n v="4.67"/>
    <n v="2.31"/>
    <n v="4.3"/>
    <n v="19.7"/>
    <n v="8.8000000000000007"/>
    <n v="150"/>
    <n v="150"/>
  </r>
  <r>
    <s v="P885"/>
    <n v="36"/>
    <s v="Male"/>
    <s v="Caucasian"/>
    <s v="Heart Disease"/>
    <s v="HER2 Mutation"/>
    <s v="T005"/>
    <x v="3"/>
    <x v="2"/>
    <s v="11/27/2023"/>
    <s v="1/27/2025"/>
    <s v="150mg"/>
    <s v="Fatigue"/>
    <s v="TR0041"/>
    <s v="150mg"/>
    <x v="0"/>
    <s v="Nausea"/>
    <n v="176"/>
    <n v="1"/>
    <s v="HER2"/>
    <s v="Positive"/>
    <n v="4.8099999999999996"/>
    <n v="3.95"/>
    <n v="6.4"/>
    <n v="21.9"/>
    <n v="3.8"/>
    <n v="150"/>
    <n v="150"/>
  </r>
  <r>
    <s v="P886"/>
    <n v="25"/>
    <s v="Other"/>
    <s v="Asian"/>
    <s v="Hypertension"/>
    <s v="Not Reported"/>
    <s v="T002"/>
    <x v="3"/>
    <x v="3"/>
    <s v="9/12/2021"/>
    <s v="6/12/2022"/>
    <s v="150mg"/>
    <s v="Headache, Not Reported, Fatigue"/>
    <s v="TR0121"/>
    <s v="150mg"/>
    <x v="2"/>
    <s v="Fatigue"/>
    <n v="62"/>
    <n v="0"/>
    <s v="BRCA1"/>
    <s v="Positive"/>
    <n v="2.0299999999999998"/>
    <n v="2.86"/>
    <n v="3"/>
    <n v="19.399999999999999"/>
    <n v="18.600000000000001"/>
    <n v="150"/>
    <n v="150"/>
  </r>
  <r>
    <s v="P887"/>
    <n v="19"/>
    <s v="Male"/>
    <s v="African American"/>
    <s v="Not Reported"/>
    <s v="Not Reported"/>
    <s v="T010"/>
    <x v="3"/>
    <x v="1"/>
    <s v="12/20/2020"/>
    <s v="9/20/2021"/>
    <s v="50mg"/>
    <s v="Fatigue"/>
    <s v="TR0189"/>
    <s v="50mg"/>
    <x v="1"/>
    <s v="Nausea"/>
    <n v="64"/>
    <n v="0"/>
    <s v="BRCA1"/>
    <s v="Positive"/>
    <n v="2.7"/>
    <n v="2.37"/>
    <n v="9.6999999999999993"/>
    <n v="14"/>
    <n v="11.3"/>
    <n v="50"/>
    <n v="50"/>
  </r>
  <r>
    <s v="P888"/>
    <n v="77"/>
    <s v="Female"/>
    <s v="Hispanic"/>
    <s v="Not Reported"/>
    <s v="Not Reported"/>
    <s v="T020"/>
    <x v="3"/>
    <x v="2"/>
    <s v="10/11/2021"/>
    <s v="2/11/2023"/>
    <s v="200mg"/>
    <s v="Dizziness"/>
    <s v="TR0111"/>
    <s v="200mg"/>
    <x v="0"/>
    <s v="Dizziness"/>
    <n v="85"/>
    <n v="1"/>
    <s v="BRCA1"/>
    <s v="Negative"/>
    <n v="2.41"/>
    <n v="4.6399999999999997"/>
    <n v="6.1"/>
    <n v="19.7"/>
    <n v="16.8"/>
    <n v="200"/>
    <n v="200"/>
  </r>
  <r>
    <s v="P889"/>
    <n v="64"/>
    <s v="Other"/>
    <s v="African American"/>
    <s v="Diabetes"/>
    <s v="TP53 Mutation"/>
    <s v="T013"/>
    <x v="3"/>
    <x v="2"/>
    <s v="2/8/2019"/>
    <s v="4/8/2020"/>
    <s v="150mg"/>
    <s v="Fatigue"/>
    <s v="TR0076"/>
    <s v="150mg"/>
    <x v="0"/>
    <s v="Fatigue"/>
    <n v="134"/>
    <n v="1"/>
    <s v="BRCA2"/>
    <s v="Positive"/>
    <n v="2.37"/>
    <n v="2.73"/>
    <n v="8.6"/>
    <n v="12.5"/>
    <n v="16.5"/>
    <n v="150"/>
    <n v="150"/>
  </r>
  <r>
    <s v="P890"/>
    <n v="22"/>
    <s v="Male"/>
    <s v="Asian"/>
    <s v="Not Reported"/>
    <s v="BRCA2 Mutation"/>
    <s v="T009"/>
    <x v="3"/>
    <x v="2"/>
    <s v="1/10/2019"/>
    <s v="10/10/2019"/>
    <s v="200mg"/>
    <s v="Dizziness, Headache, Not Reported"/>
    <s v="TR0190"/>
    <s v="200mg"/>
    <x v="2"/>
    <s v="Headache"/>
    <n v="168"/>
    <n v="0"/>
    <s v="BRCA1"/>
    <s v="Positive"/>
    <n v="4.76"/>
    <n v="3.49"/>
    <n v="7.7"/>
    <n v="20.5"/>
    <n v="17.399999999999999"/>
    <n v="200"/>
    <n v="200"/>
  </r>
  <r>
    <s v="P891"/>
    <n v="58"/>
    <s v="Other"/>
    <s v="Asian"/>
    <s v="Heart Disease"/>
    <s v="Not Reported"/>
    <s v="T013"/>
    <x v="1"/>
    <x v="2"/>
    <s v="11/22/2019"/>
    <s v="12/22/2020"/>
    <s v="200mg"/>
    <s v="Nausea, Headache"/>
    <s v="TR0068"/>
    <s v="200mg"/>
    <x v="0"/>
    <s v="Nausea"/>
    <n v="107"/>
    <n v="1"/>
    <s v="BRCA2"/>
    <s v="Negative"/>
    <n v="2.58"/>
    <n v="1.21"/>
    <n v="4.5999999999999996"/>
    <n v="18.100000000000001"/>
    <n v="10.7"/>
    <n v="200"/>
    <n v="200"/>
  </r>
  <r>
    <s v="P892"/>
    <n v="25"/>
    <s v="Male"/>
    <s v="Asian"/>
    <s v="Heart Disease"/>
    <s v="Not Reported"/>
    <s v="T012"/>
    <x v="1"/>
    <x v="2"/>
    <s v="9/20/2020"/>
    <s v="7/20/2021"/>
    <s v="200mg"/>
    <s v="Not Reported, Fatigue"/>
    <s v="TR0115"/>
    <s v="200mg"/>
    <x v="1"/>
    <s v="Fatigue"/>
    <n v="80"/>
    <n v="0"/>
    <s v="BRCA2"/>
    <s v="Positive"/>
    <n v="4"/>
    <n v="2.4300000000000002"/>
    <n v="6.7"/>
    <n v="9.4"/>
    <n v="15.7"/>
    <n v="200"/>
    <n v="200"/>
  </r>
  <r>
    <s v="P893"/>
    <n v="84"/>
    <s v="Male"/>
    <s v="Other"/>
    <s v="Diabetes"/>
    <s v="BRCA1 Mutation"/>
    <s v="T005"/>
    <x v="0"/>
    <x v="0"/>
    <s v="2/7/2023"/>
    <s v="11/7/2023"/>
    <s v="50mg"/>
    <s v="Nausea"/>
    <s v="TR0057"/>
    <s v="50mg"/>
    <x v="0"/>
    <s v="Not Reported"/>
    <n v="134"/>
    <n v="1"/>
    <s v="HER2"/>
    <s v="Negative"/>
    <n v="3.18"/>
    <n v="1.82"/>
    <n v="3.6"/>
    <n v="19.5"/>
    <n v="11.2"/>
    <n v="50"/>
    <n v="50"/>
  </r>
  <r>
    <s v="P894"/>
    <n v="26"/>
    <s v="Other"/>
    <s v="Caucasian"/>
    <s v="Asthma"/>
    <s v="Not Reported"/>
    <s v="T012"/>
    <x v="1"/>
    <x v="0"/>
    <s v="3/25/2022"/>
    <s v="4/25/2023"/>
    <s v="150mg"/>
    <s v="Fatigue, Nausea"/>
    <s v="TR0045"/>
    <s v="150mg"/>
    <x v="1"/>
    <s v="Not Reported"/>
    <n v="83"/>
    <n v="0"/>
    <s v="BRCA1"/>
    <s v="Positive"/>
    <n v="1.86"/>
    <n v="4.87"/>
    <n v="7.4"/>
    <n v="23.2"/>
    <n v="10.3"/>
    <n v="150"/>
    <n v="150"/>
  </r>
  <r>
    <s v="P895"/>
    <n v="40"/>
    <s v="Male"/>
    <s v="Other"/>
    <s v="Heart Disease"/>
    <s v="Not Reported"/>
    <s v="T016"/>
    <x v="2"/>
    <x v="2"/>
    <s v="4/9/2019"/>
    <s v="9/9/2020"/>
    <s v="100mg"/>
    <s v="Fatigue"/>
    <s v="TR0139"/>
    <s v="100mg"/>
    <x v="1"/>
    <s v="Headache"/>
    <n v="47"/>
    <n v="0"/>
    <s v="EGFR"/>
    <s v="Positive"/>
    <n v="2.9"/>
    <n v="4.59"/>
    <n v="5.7"/>
    <n v="18.7"/>
    <n v="7.3"/>
    <n v="100"/>
    <n v="100"/>
  </r>
  <r>
    <s v="P896"/>
    <n v="29"/>
    <s v="Female"/>
    <s v="Asian"/>
    <s v="Diabetes"/>
    <s v="Not Reported"/>
    <s v="T005"/>
    <x v="0"/>
    <x v="1"/>
    <s v="1/15/2021"/>
    <s v="6/15/2022"/>
    <s v="200mg"/>
    <s v="Dizziness, Headache"/>
    <s v="TR0187"/>
    <s v="200mg"/>
    <x v="0"/>
    <s v="Headache"/>
    <n v="156"/>
    <n v="1"/>
    <s v="TP53"/>
    <s v="Negative"/>
    <n v="2.79"/>
    <n v="1.49"/>
    <n v="2.9"/>
    <n v="6"/>
    <n v="3.7"/>
    <n v="200"/>
    <n v="200"/>
  </r>
  <r>
    <s v="P897"/>
    <n v="70"/>
    <s v="Male"/>
    <s v="Other"/>
    <s v="Heart Disease"/>
    <s v="Not Reported"/>
    <s v="T006"/>
    <x v="0"/>
    <x v="1"/>
    <s v="6/21/2022"/>
    <s v="8/21/2023"/>
    <s v="100mg"/>
    <s v="Headache, Fatigue, Not Reported"/>
    <s v="TR0121"/>
    <s v="100mg"/>
    <x v="2"/>
    <s v="Fatigue"/>
    <n v="116"/>
    <n v="0"/>
    <s v="EGFR"/>
    <s v="Positive"/>
    <n v="4.91"/>
    <n v="1.97"/>
    <n v="7"/>
    <n v="21.1"/>
    <n v="12.4"/>
    <n v="100"/>
    <n v="100"/>
  </r>
  <r>
    <s v="P898"/>
    <n v="41"/>
    <s v="Male"/>
    <s v="African American"/>
    <s v="Heart Disease"/>
    <s v="EGFR Mutation"/>
    <s v="T011"/>
    <x v="3"/>
    <x v="0"/>
    <s v="5/23/2023"/>
    <s v="3/23/2024"/>
    <s v="100mg"/>
    <s v="Headache"/>
    <s v="TR0064"/>
    <s v="100mg"/>
    <x v="2"/>
    <s v="Fatigue"/>
    <n v="145"/>
    <n v="0"/>
    <s v="EGFR"/>
    <s v="Positive"/>
    <n v="1.61"/>
    <n v="3.91"/>
    <n v="6.4"/>
    <n v="19.2"/>
    <n v="16.100000000000001"/>
    <n v="100"/>
    <n v="100"/>
  </r>
  <r>
    <s v="P899"/>
    <n v="41"/>
    <s v="Male"/>
    <s v="Asian"/>
    <s v="Hypertension"/>
    <s v="BRCA1 Mutation"/>
    <s v="T004"/>
    <x v="3"/>
    <x v="1"/>
    <s v="12/12/2020"/>
    <s v="5/12/2022"/>
    <s v="200mg"/>
    <s v="Dizziness, Nausea, Not Reported"/>
    <s v="TR0019"/>
    <s v="200mg"/>
    <x v="1"/>
    <s v="Nausea"/>
    <n v="154"/>
    <n v="0"/>
    <s v="TP53"/>
    <s v="Positive"/>
    <n v="4.9000000000000004"/>
    <n v="3.29"/>
    <n v="4.0999999999999996"/>
    <n v="17.7"/>
    <n v="4.2"/>
    <n v="200"/>
    <n v="200"/>
  </r>
  <r>
    <s v="P900"/>
    <n v="46"/>
    <s v="Other"/>
    <s v="Asian"/>
    <s v="Not Reported"/>
    <s v="EGFR Mutation"/>
    <s v="T020"/>
    <x v="0"/>
    <x v="3"/>
    <s v="10/11/2020"/>
    <s v="3/11/2022"/>
    <s v="50mg"/>
    <s v="Nausea, Fatigue"/>
    <s v="TR0045"/>
    <s v="50mg"/>
    <x v="0"/>
    <s v="Headache"/>
    <n v="129"/>
    <n v="1"/>
    <s v="TP53"/>
    <s v="Positive"/>
    <n v="4.59"/>
    <n v="1.48"/>
    <n v="4"/>
    <n v="20.7"/>
    <n v="13.2"/>
    <n v="50"/>
    <n v="50"/>
  </r>
  <r>
    <s v="P901"/>
    <n v="46"/>
    <s v="Other"/>
    <s v="Hispanic"/>
    <s v="Diabetes"/>
    <s v="TP53 Mutation"/>
    <s v="T010"/>
    <x v="2"/>
    <x v="2"/>
    <s v="7/6/2019"/>
    <s v="7/6/2020"/>
    <s v="150mg"/>
    <s v="Not Reported, Headache, Nausea"/>
    <s v="TR0050"/>
    <s v="150mg"/>
    <x v="2"/>
    <s v="Nausea"/>
    <n v="168"/>
    <n v="0"/>
    <s v="BRCA2"/>
    <s v="Positive"/>
    <n v="2.57"/>
    <n v="2.89"/>
    <n v="8.6999999999999993"/>
    <n v="12.1"/>
    <n v="17.8"/>
    <n v="150"/>
    <n v="150"/>
  </r>
  <r>
    <s v="P902"/>
    <n v="55"/>
    <s v="Female"/>
    <s v="African American"/>
    <s v="Asthma"/>
    <s v="Not Reported"/>
    <s v="T001"/>
    <x v="0"/>
    <x v="0"/>
    <s v="10/19/2023"/>
    <s v="9/19/2024"/>
    <s v="50mg"/>
    <s v="Headache, Nausea"/>
    <s v="TR0043"/>
    <s v="50mg"/>
    <x v="0"/>
    <s v="Not Reported"/>
    <n v="126"/>
    <n v="1"/>
    <s v="EGFR"/>
    <s v="Negative"/>
    <n v="1.35"/>
    <n v="4.1100000000000003"/>
    <n v="8.6"/>
    <n v="9.3000000000000007"/>
    <n v="10.3"/>
    <n v="50"/>
    <n v="50"/>
  </r>
  <r>
    <s v="P903"/>
    <n v="27"/>
    <s v="Other"/>
    <s v="African American"/>
    <s v="Diabetes"/>
    <s v="Not Reported"/>
    <s v="T015"/>
    <x v="3"/>
    <x v="3"/>
    <s v="12/6/2023"/>
    <s v="12/6/2024"/>
    <s v="200mg"/>
    <s v="Fatigue, Dizziness, Not Reported"/>
    <s v="TR0190"/>
    <s v="200mg"/>
    <x v="1"/>
    <s v="Headache"/>
    <n v="89"/>
    <n v="0"/>
    <s v="TP53"/>
    <s v="Positive"/>
    <n v="1.66"/>
    <n v="3.83"/>
    <n v="5.8"/>
    <n v="17.399999999999999"/>
    <n v="6.3"/>
    <n v="200"/>
    <n v="200"/>
  </r>
  <r>
    <s v="P904"/>
    <n v="75"/>
    <s v="Female"/>
    <s v="Hispanic"/>
    <s v="Not Reported"/>
    <s v="Not Reported"/>
    <s v="T006"/>
    <x v="0"/>
    <x v="2"/>
    <s v="7/3/2019"/>
    <s v="7/3/2020"/>
    <s v="150mg"/>
    <s v="Nausea, Fatigue, Not Reported"/>
    <s v="TR0035"/>
    <s v="150mg"/>
    <x v="0"/>
    <s v="Not Reported"/>
    <n v="176"/>
    <n v="1"/>
    <s v="BRCA2"/>
    <s v="Positive"/>
    <n v="1.85"/>
    <n v="1.17"/>
    <n v="3.9"/>
    <n v="16.100000000000001"/>
    <n v="17.600000000000001"/>
    <n v="150"/>
    <n v="150"/>
  </r>
  <r>
    <s v="P905"/>
    <n v="54"/>
    <s v="Male"/>
    <s v="Caucasian"/>
    <s v="Not Reported"/>
    <s v="Not Reported"/>
    <s v="T014"/>
    <x v="2"/>
    <x v="1"/>
    <s v="10/11/2020"/>
    <s v="9/11/2021"/>
    <s v="200mg"/>
    <s v="Headache"/>
    <s v="TR0063"/>
    <s v="200mg"/>
    <x v="1"/>
    <s v="Fatigue"/>
    <n v="134"/>
    <n v="0"/>
    <s v="BRCA2"/>
    <s v="Negative"/>
    <n v="3.67"/>
    <n v="2.74"/>
    <n v="9.6"/>
    <n v="18.899999999999999"/>
    <n v="18.8"/>
    <n v="200"/>
    <n v="200"/>
  </r>
  <r>
    <s v="P906"/>
    <n v="41"/>
    <s v="Male"/>
    <s v="Hispanic"/>
    <s v="Asthma"/>
    <s v="TP53 Mutation"/>
    <s v="T020"/>
    <x v="1"/>
    <x v="3"/>
    <s v="4/7/2019"/>
    <s v="9/7/2020"/>
    <s v="50mg"/>
    <s v="Dizziness"/>
    <s v="TR0195"/>
    <s v="50mg"/>
    <x v="0"/>
    <s v="Nausea"/>
    <n v="99"/>
    <n v="1"/>
    <s v="EGFR"/>
    <s v="Positive"/>
    <n v="3.11"/>
    <n v="2.04"/>
    <n v="1.5"/>
    <n v="19.100000000000001"/>
    <n v="5.0999999999999996"/>
    <n v="50"/>
    <n v="50"/>
  </r>
  <r>
    <s v="P907"/>
    <n v="38"/>
    <s v="Male"/>
    <s v="Caucasian"/>
    <s v="Diabetes"/>
    <s v="Not Reported"/>
    <s v="T004"/>
    <x v="2"/>
    <x v="1"/>
    <s v="12/10/2021"/>
    <s v="2/10/2023"/>
    <s v="50mg"/>
    <s v="Not Reported, Fatigue, Headache"/>
    <s v="TR0140"/>
    <s v="50mg"/>
    <x v="1"/>
    <s v="Dizziness"/>
    <n v="157"/>
    <n v="0"/>
    <s v="HER2"/>
    <s v="Negative"/>
    <n v="2.21"/>
    <n v="3.13"/>
    <n v="6.1"/>
    <n v="16.8"/>
    <n v="5.8"/>
    <n v="50"/>
    <n v="50"/>
  </r>
  <r>
    <s v="P908"/>
    <n v="19"/>
    <s v="Male"/>
    <s v="Other"/>
    <s v="Hypertension"/>
    <s v="Not Reported"/>
    <s v="T009"/>
    <x v="1"/>
    <x v="0"/>
    <s v="5/25/2021"/>
    <s v="1/25/2022"/>
    <s v="50mg"/>
    <s v="Headache"/>
    <s v="TR0046"/>
    <s v="50mg"/>
    <x v="2"/>
    <s v="Dizziness"/>
    <n v="157"/>
    <n v="0"/>
    <s v="HER2"/>
    <s v="Negative"/>
    <n v="2.52"/>
    <n v="3.47"/>
    <n v="9.6999999999999993"/>
    <n v="19.100000000000001"/>
    <n v="18.7"/>
    <n v="50"/>
    <n v="50"/>
  </r>
  <r>
    <s v="P909"/>
    <n v="49"/>
    <s v="Female"/>
    <s v="Other"/>
    <s v="Not Reported"/>
    <s v="Not Reported"/>
    <s v="T013"/>
    <x v="3"/>
    <x v="3"/>
    <s v="12/10/2022"/>
    <s v="6/10/2024"/>
    <s v="50mg"/>
    <s v="Headache, Fatigue, Nausea"/>
    <s v="TR0076"/>
    <s v="50mg"/>
    <x v="2"/>
    <s v="Fatigue"/>
    <n v="58"/>
    <n v="0"/>
    <s v="EGFR"/>
    <s v="Positive"/>
    <n v="4.05"/>
    <n v="3.37"/>
    <n v="2.7"/>
    <n v="18"/>
    <n v="13.6"/>
    <n v="50"/>
    <n v="50"/>
  </r>
  <r>
    <s v="P910"/>
    <n v="73"/>
    <s v="Male"/>
    <s v="Asian"/>
    <s v="Hypertension"/>
    <s v="BRCA1 Mutation"/>
    <s v="T010"/>
    <x v="1"/>
    <x v="1"/>
    <s v="3/20/2021"/>
    <s v="1/20/2022"/>
    <s v="100mg"/>
    <s v="Not Reported"/>
    <s v="TR0188"/>
    <s v="100mg"/>
    <x v="1"/>
    <s v="Dizziness"/>
    <n v="175"/>
    <n v="0"/>
    <s v="BRCA1"/>
    <s v="Positive"/>
    <n v="3.41"/>
    <n v="2.96"/>
    <n v="5.8"/>
    <n v="12"/>
    <n v="11.8"/>
    <n v="100"/>
    <n v="100"/>
  </r>
  <r>
    <s v="P911"/>
    <n v="78"/>
    <s v="Other"/>
    <s v="Hispanic"/>
    <s v="Diabetes"/>
    <s v="Not Reported"/>
    <s v="T014"/>
    <x v="0"/>
    <x v="1"/>
    <s v="9/23/2020"/>
    <s v="6/23/2021"/>
    <s v="50mg"/>
    <s v="Dizziness, Nausea, Headache"/>
    <s v="TR0057"/>
    <s v="50mg"/>
    <x v="1"/>
    <s v="Headache"/>
    <n v="134"/>
    <n v="0"/>
    <s v="BRCA1"/>
    <s v="Positive"/>
    <n v="1.79"/>
    <n v="4.22"/>
    <n v="2.7"/>
    <n v="7.5"/>
    <n v="10.4"/>
    <n v="50"/>
    <n v="50"/>
  </r>
  <r>
    <s v="P912"/>
    <n v="18"/>
    <s v="Male"/>
    <s v="Caucasian"/>
    <s v="Not Reported"/>
    <s v="Not Reported"/>
    <s v="T006"/>
    <x v="0"/>
    <x v="2"/>
    <s v="7/7/2023"/>
    <s v="2/7/2024"/>
    <s v="50mg"/>
    <s v="Nausea, Not Reported"/>
    <s v="TR0046"/>
    <s v="50mg"/>
    <x v="1"/>
    <s v="Fatigue"/>
    <n v="165"/>
    <n v="0"/>
    <s v="BRCA2"/>
    <s v="Positive"/>
    <n v="3.63"/>
    <n v="2.75"/>
    <n v="3.5"/>
    <n v="16"/>
    <n v="8.9"/>
    <n v="50"/>
    <n v="50"/>
  </r>
  <r>
    <s v="P913"/>
    <n v="63"/>
    <s v="Other"/>
    <s v="Asian"/>
    <s v="Asthma"/>
    <s v="Not Reported"/>
    <s v="T020"/>
    <x v="2"/>
    <x v="1"/>
    <s v="8/13/2019"/>
    <s v="10/13/2020"/>
    <s v="200mg"/>
    <s v="Headache"/>
    <s v="TR0194"/>
    <s v="200mg"/>
    <x v="1"/>
    <s v="Fatigue"/>
    <n v="88"/>
    <n v="0"/>
    <s v="BRCA2"/>
    <s v="Positive"/>
    <n v="4.7300000000000004"/>
    <n v="4.6900000000000004"/>
    <n v="5.5"/>
    <n v="11.9"/>
    <n v="15.5"/>
    <n v="200"/>
    <n v="200"/>
  </r>
  <r>
    <s v="P914"/>
    <n v="82"/>
    <s v="Other"/>
    <s v="Hispanic"/>
    <s v="Diabetes"/>
    <s v="HER2 Mutation"/>
    <s v="T014"/>
    <x v="1"/>
    <x v="3"/>
    <s v="11/18/2019"/>
    <s v="5/18/2021"/>
    <s v="200mg"/>
    <s v="Headache"/>
    <s v="TR0117"/>
    <s v="200mg"/>
    <x v="0"/>
    <s v="Fatigue"/>
    <n v="141"/>
    <n v="1"/>
    <s v="EGFR"/>
    <s v="Negative"/>
    <n v="1.1499999999999999"/>
    <n v="2.9"/>
    <n v="4"/>
    <n v="22.6"/>
    <n v="3.2"/>
    <n v="200"/>
    <n v="200"/>
  </r>
  <r>
    <s v="P915"/>
    <n v="31"/>
    <s v="Male"/>
    <s v="Caucasian"/>
    <s v="Diabetes"/>
    <s v="EGFR Mutation"/>
    <s v="T006"/>
    <x v="2"/>
    <x v="2"/>
    <s v="3/4/2023"/>
    <s v="7/4/2024"/>
    <s v="100mg"/>
    <s v="Fatigue, Headache"/>
    <s v="TR0189"/>
    <s v="100mg"/>
    <x v="2"/>
    <s v="Nausea"/>
    <n v="165"/>
    <n v="0"/>
    <s v="HER2"/>
    <s v="Negative"/>
    <n v="3.21"/>
    <n v="3.96"/>
    <n v="5.4"/>
    <n v="7.5"/>
    <n v="19.5"/>
    <n v="100"/>
    <n v="100"/>
  </r>
  <r>
    <s v="P916"/>
    <n v="20"/>
    <s v="Female"/>
    <s v="Hispanic"/>
    <s v="Asthma"/>
    <s v="BRCA1 Mutation"/>
    <s v="T014"/>
    <x v="0"/>
    <x v="2"/>
    <s v="11/18/2019"/>
    <s v="1/18/2021"/>
    <s v="50mg"/>
    <s v="Not Reported, Fatigue, Nausea"/>
    <s v="TR0160"/>
    <s v="50mg"/>
    <x v="0"/>
    <s v="Headache"/>
    <n v="143"/>
    <n v="1"/>
    <s v="HER2"/>
    <s v="Positive"/>
    <n v="3.07"/>
    <n v="3.46"/>
    <n v="3.1"/>
    <n v="14.7"/>
    <n v="10.3"/>
    <n v="50"/>
    <n v="50"/>
  </r>
  <r>
    <s v="P917"/>
    <n v="76"/>
    <s v="Other"/>
    <s v="Caucasian"/>
    <s v="Not Reported"/>
    <s v="Not Reported"/>
    <s v="T014"/>
    <x v="2"/>
    <x v="3"/>
    <s v="11/16/2021"/>
    <s v="7/16/2022"/>
    <s v="50mg"/>
    <s v="Fatigue, Headache, Dizziness"/>
    <s v="TR0095"/>
    <s v="50mg"/>
    <x v="2"/>
    <s v="Headache"/>
    <n v="166"/>
    <n v="0"/>
    <s v="HER2"/>
    <s v="Positive"/>
    <n v="1.3"/>
    <n v="1.42"/>
    <n v="8.5"/>
    <n v="10.3"/>
    <n v="6.3"/>
    <n v="50"/>
    <n v="50"/>
  </r>
  <r>
    <s v="P918"/>
    <n v="63"/>
    <s v="Other"/>
    <s v="Caucasian"/>
    <s v="Diabetes"/>
    <s v="BRCA2 Mutation"/>
    <s v="T010"/>
    <x v="2"/>
    <x v="3"/>
    <s v="4/20/2021"/>
    <s v="2/20/2022"/>
    <s v="200mg"/>
    <s v="Nausea, Headache, Not Reported"/>
    <s v="TR0077"/>
    <s v="200mg"/>
    <x v="0"/>
    <s v="Dizziness"/>
    <n v="35"/>
    <n v="1"/>
    <s v="HER2"/>
    <s v="Negative"/>
    <n v="3.02"/>
    <n v="4.07"/>
    <n v="1.6"/>
    <n v="16.399999999999999"/>
    <n v="5"/>
    <n v="200"/>
    <n v="200"/>
  </r>
  <r>
    <s v="P919"/>
    <n v="78"/>
    <s v="Male"/>
    <s v="Other"/>
    <s v="Asthma"/>
    <s v="TP53 Mutation"/>
    <s v="T003"/>
    <x v="3"/>
    <x v="0"/>
    <s v="1/18/2022"/>
    <s v="7/18/2022"/>
    <s v="200mg"/>
    <s v="Headache, Not Reported"/>
    <s v="TR0144"/>
    <s v="200mg"/>
    <x v="1"/>
    <s v="Dizziness"/>
    <n v="176"/>
    <n v="0"/>
    <s v="TP53"/>
    <s v="Negative"/>
    <n v="1.1499999999999999"/>
    <n v="1.21"/>
    <n v="8.5"/>
    <n v="8.1"/>
    <n v="3.8"/>
    <n v="200"/>
    <n v="200"/>
  </r>
  <r>
    <s v="P920"/>
    <n v="53"/>
    <s v="Male"/>
    <s v="Other"/>
    <s v="Diabetes"/>
    <s v="Not Reported"/>
    <s v="T017"/>
    <x v="0"/>
    <x v="1"/>
    <s v="8/8/2022"/>
    <s v="6/8/2023"/>
    <s v="200mg"/>
    <s v="Not Reported, Fatigue, Headache"/>
    <s v="TR0188"/>
    <s v="200mg"/>
    <x v="2"/>
    <s v="Dizziness"/>
    <n v="166"/>
    <n v="0"/>
    <s v="BRCA1"/>
    <s v="Negative"/>
    <n v="2.75"/>
    <n v="4.38"/>
    <n v="3.4"/>
    <n v="13.6"/>
    <n v="3.7"/>
    <n v="200"/>
    <n v="200"/>
  </r>
  <r>
    <s v="P921"/>
    <n v="55"/>
    <s v="Other"/>
    <s v="Other"/>
    <s v="Hypertension"/>
    <s v="TP53 Mutation"/>
    <s v="T001"/>
    <x v="2"/>
    <x v="0"/>
    <s v="6/6/2019"/>
    <s v="1/6/2020"/>
    <s v="50mg"/>
    <s v="Headache"/>
    <s v="TR0036"/>
    <s v="50mg"/>
    <x v="1"/>
    <s v="Nausea"/>
    <n v="131"/>
    <n v="0"/>
    <s v="HER2"/>
    <s v="Negative"/>
    <n v="2.8"/>
    <n v="3.31"/>
    <n v="6.1"/>
    <n v="12"/>
    <n v="8.4"/>
    <n v="50"/>
    <n v="50"/>
  </r>
  <r>
    <s v="P922"/>
    <n v="25"/>
    <s v="Male"/>
    <s v="Other"/>
    <s v="Diabetes"/>
    <s v="TP53 Mutation"/>
    <s v="T012"/>
    <x v="1"/>
    <x v="2"/>
    <s v="9/18/2019"/>
    <s v="12/18/2020"/>
    <s v="100mg"/>
    <s v="Nausea, Not Reported, Fatigue"/>
    <s v="TR0079"/>
    <s v="100mg"/>
    <x v="2"/>
    <s v="Dizziness"/>
    <n v="171"/>
    <n v="0"/>
    <s v="BRCA2"/>
    <s v="Negative"/>
    <n v="1.43"/>
    <n v="2.4700000000000002"/>
    <n v="1.9"/>
    <n v="19.8"/>
    <n v="19.399999999999999"/>
    <n v="100"/>
    <n v="100"/>
  </r>
  <r>
    <s v="P923"/>
    <n v="51"/>
    <s v="Other"/>
    <s v="Caucasian"/>
    <s v="Heart Disease"/>
    <s v="BRCA2 Mutation"/>
    <s v="T001"/>
    <x v="2"/>
    <x v="0"/>
    <s v="1/2/2021"/>
    <s v="7/2/2021"/>
    <s v="100mg"/>
    <s v="Not Reported"/>
    <s v="TR0185"/>
    <s v="100mg"/>
    <x v="1"/>
    <s v="Headache"/>
    <n v="56"/>
    <n v="0"/>
    <s v="EGFR"/>
    <s v="Negative"/>
    <n v="4.88"/>
    <n v="4.46"/>
    <n v="6.4"/>
    <n v="18.600000000000001"/>
    <n v="7.8"/>
    <n v="100"/>
    <n v="100"/>
  </r>
  <r>
    <s v="P924"/>
    <n v="44"/>
    <s v="Male"/>
    <s v="African American"/>
    <s v="Asthma"/>
    <s v="EGFR Mutation"/>
    <s v="T009"/>
    <x v="2"/>
    <x v="0"/>
    <s v="11/28/2023"/>
    <s v="9/28/2024"/>
    <s v="200mg"/>
    <s v="Dizziness, Nausea"/>
    <s v="TR0129"/>
    <s v="200mg"/>
    <x v="1"/>
    <s v="Nausea"/>
    <n v="60"/>
    <n v="0"/>
    <s v="EGFR"/>
    <s v="Negative"/>
    <n v="3.52"/>
    <n v="2.82"/>
    <n v="5.3"/>
    <n v="19.600000000000001"/>
    <n v="7.8"/>
    <n v="200"/>
    <n v="200"/>
  </r>
  <r>
    <s v="P925"/>
    <n v="38"/>
    <s v="Female"/>
    <s v="Caucasian"/>
    <s v="Hypertension"/>
    <s v="BRCA2 Mutation"/>
    <s v="T014"/>
    <x v="0"/>
    <x v="1"/>
    <s v="4/9/2019"/>
    <s v="2/9/2020"/>
    <s v="150mg"/>
    <s v="Fatigue, Nausea"/>
    <s v="TR0101"/>
    <s v="150mg"/>
    <x v="1"/>
    <s v="Not Reported"/>
    <n v="117"/>
    <n v="0"/>
    <s v="HER2"/>
    <s v="Negative"/>
    <n v="2.27"/>
    <n v="4.7"/>
    <n v="1.5"/>
    <n v="14.7"/>
    <n v="18.5"/>
    <n v="150"/>
    <n v="150"/>
  </r>
  <r>
    <s v="P926"/>
    <n v="65"/>
    <s v="Male"/>
    <s v="African American"/>
    <s v="Hypertension"/>
    <s v="BRCA2 Mutation"/>
    <s v="T004"/>
    <x v="0"/>
    <x v="3"/>
    <s v="10/14/2023"/>
    <s v="11/14/2024"/>
    <s v="100mg"/>
    <s v="Headache, Fatigue"/>
    <s v="TR0048"/>
    <s v="100mg"/>
    <x v="0"/>
    <s v="Nausea"/>
    <n v="32"/>
    <n v="1"/>
    <s v="TP53"/>
    <s v="Positive"/>
    <n v="3.44"/>
    <n v="3.19"/>
    <n v="3.2"/>
    <n v="12.2"/>
    <n v="17.5"/>
    <n v="100"/>
    <n v="100"/>
  </r>
  <r>
    <s v="P927"/>
    <n v="45"/>
    <s v="Other"/>
    <s v="African American"/>
    <s v="Asthma"/>
    <s v="Not Reported"/>
    <s v="T009"/>
    <x v="3"/>
    <x v="3"/>
    <s v="7/10/2022"/>
    <s v="9/10/2023"/>
    <s v="150mg"/>
    <s v="Not Reported, Dizziness, Headache"/>
    <s v="TR0058"/>
    <s v="150mg"/>
    <x v="2"/>
    <s v="Headache"/>
    <n v="113"/>
    <n v="0"/>
    <s v="BRCA2"/>
    <s v="Positive"/>
    <n v="3.24"/>
    <n v="3.06"/>
    <n v="1.9"/>
    <n v="6.3"/>
    <n v="19.399999999999999"/>
    <n v="150"/>
    <n v="150"/>
  </r>
  <r>
    <s v="P928"/>
    <n v="47"/>
    <s v="Other"/>
    <s v="Asian"/>
    <s v="Not Reported"/>
    <s v="BRCA1 Mutation"/>
    <s v="T005"/>
    <x v="0"/>
    <x v="3"/>
    <s v="4/4/2021"/>
    <s v="12/4/2021"/>
    <s v="50mg"/>
    <s v="Fatigue"/>
    <s v="TR0101"/>
    <s v="50mg"/>
    <x v="0"/>
    <s v="Fatigue"/>
    <n v="53"/>
    <n v="1"/>
    <s v="BRCA1"/>
    <s v="Negative"/>
    <n v="2.5099999999999998"/>
    <n v="3.41"/>
    <n v="1.7"/>
    <n v="18.3"/>
    <n v="18.899999999999999"/>
    <n v="50"/>
    <n v="50"/>
  </r>
  <r>
    <s v="P929"/>
    <n v="48"/>
    <s v="Other"/>
    <s v="Asian"/>
    <s v="Asthma"/>
    <s v="HER2 Mutation"/>
    <s v="T009"/>
    <x v="2"/>
    <x v="3"/>
    <s v="6/23/2023"/>
    <s v="10/23/2024"/>
    <s v="150mg"/>
    <s v="Not Reported, Fatigue, Nausea"/>
    <s v="TR0150"/>
    <s v="150mg"/>
    <x v="2"/>
    <s v="Not Reported"/>
    <n v="73"/>
    <n v="0"/>
    <s v="TP53"/>
    <s v="Positive"/>
    <n v="3.3"/>
    <n v="1.5"/>
    <n v="6.2"/>
    <n v="19.8"/>
    <n v="9.9"/>
    <n v="150"/>
    <n v="150"/>
  </r>
  <r>
    <s v="P930"/>
    <n v="58"/>
    <s v="Male"/>
    <s v="Hispanic"/>
    <s v="Hypertension"/>
    <s v="Not Reported"/>
    <s v="T011"/>
    <x v="3"/>
    <x v="3"/>
    <s v="2/15/2023"/>
    <s v="9/15/2023"/>
    <s v="50mg"/>
    <s v="Nausea, Dizziness"/>
    <s v="TR0093"/>
    <s v="50mg"/>
    <x v="1"/>
    <s v="Dizziness"/>
    <n v="53"/>
    <n v="0"/>
    <s v="TP53"/>
    <s v="Negative"/>
    <n v="4.5199999999999996"/>
    <n v="3.59"/>
    <n v="9.1"/>
    <n v="17.2"/>
    <n v="5.2"/>
    <n v="50"/>
    <n v="50"/>
  </r>
  <r>
    <s v="P931"/>
    <n v="76"/>
    <s v="Female"/>
    <s v="African American"/>
    <s v="Asthma"/>
    <s v="TP53 Mutation"/>
    <s v="T007"/>
    <x v="0"/>
    <x v="2"/>
    <s v="8/28/2021"/>
    <s v="10/28/2022"/>
    <s v="150mg"/>
    <s v="Headache"/>
    <s v="TR0031"/>
    <s v="150mg"/>
    <x v="1"/>
    <s v="Dizziness"/>
    <n v="106"/>
    <n v="0"/>
    <s v="EGFR"/>
    <s v="Negative"/>
    <n v="2.2400000000000002"/>
    <n v="1.81"/>
    <n v="9.1999999999999993"/>
    <n v="19.7"/>
    <n v="14.5"/>
    <n v="150"/>
    <n v="150"/>
  </r>
  <r>
    <s v="P932"/>
    <n v="43"/>
    <s v="Female"/>
    <s v="African American"/>
    <s v="Heart Disease"/>
    <s v="TP53 Mutation"/>
    <s v="T008"/>
    <x v="3"/>
    <x v="1"/>
    <s v="4/4/2020"/>
    <s v="6/4/2021"/>
    <s v="100mg"/>
    <s v="Nausea, Dizziness"/>
    <s v="TR0177"/>
    <s v="100mg"/>
    <x v="0"/>
    <s v="Fatigue"/>
    <n v="163"/>
    <n v="1"/>
    <s v="EGFR"/>
    <s v="Positive"/>
    <n v="2.2000000000000002"/>
    <n v="1.74"/>
    <n v="7.8"/>
    <n v="14.5"/>
    <n v="6.8"/>
    <n v="100"/>
    <n v="100"/>
  </r>
  <r>
    <s v="P933"/>
    <n v="72"/>
    <s v="Male"/>
    <s v="Other"/>
    <s v="Asthma"/>
    <s v="Not Reported"/>
    <s v="T006"/>
    <x v="1"/>
    <x v="3"/>
    <s v="8/18/2020"/>
    <s v="9/18/2021"/>
    <s v="100mg"/>
    <s v="Not Reported"/>
    <s v="TR0143"/>
    <s v="100mg"/>
    <x v="1"/>
    <s v="Fatigue"/>
    <n v="110"/>
    <n v="0"/>
    <s v="BRCA1"/>
    <s v="Negative"/>
    <n v="3.47"/>
    <n v="1.1599999999999999"/>
    <n v="3.9"/>
    <n v="14.4"/>
    <n v="5.5"/>
    <n v="100"/>
    <n v="100"/>
  </r>
  <r>
    <s v="P934"/>
    <n v="41"/>
    <s v="Male"/>
    <s v="Hispanic"/>
    <s v="Not Reported"/>
    <s v="BRCA2 Mutation"/>
    <s v="T011"/>
    <x v="2"/>
    <x v="0"/>
    <s v="1/4/2023"/>
    <s v="3/4/2024"/>
    <s v="50mg"/>
    <s v="Headache, Dizziness"/>
    <s v="TR0049"/>
    <s v="50mg"/>
    <x v="1"/>
    <s v="Not Reported"/>
    <n v="127"/>
    <n v="0"/>
    <s v="HER2"/>
    <s v="Positive"/>
    <n v="4.9400000000000004"/>
    <n v="1.84"/>
    <n v="2.2000000000000002"/>
    <n v="9.6999999999999993"/>
    <n v="16.100000000000001"/>
    <n v="50"/>
    <n v="50"/>
  </r>
  <r>
    <s v="P935"/>
    <n v="79"/>
    <s v="Female"/>
    <s v="Hispanic"/>
    <s v="Diabetes"/>
    <s v="Not Reported"/>
    <s v="T013"/>
    <x v="1"/>
    <x v="3"/>
    <s v="4/27/2020"/>
    <s v="4/27/2021"/>
    <s v="100mg"/>
    <s v="Dizziness, Not Reported, Fatigue"/>
    <s v="TR0162"/>
    <s v="100mg"/>
    <x v="1"/>
    <s v="Not Reported"/>
    <n v="117"/>
    <n v="0"/>
    <s v="BRCA1"/>
    <s v="Positive"/>
    <n v="2.7"/>
    <n v="3.26"/>
    <n v="1.2"/>
    <n v="6.6"/>
    <n v="10.6"/>
    <n v="100"/>
    <n v="100"/>
  </r>
  <r>
    <s v="P936"/>
    <n v="22"/>
    <s v="Male"/>
    <s v="Caucasian"/>
    <s v="Heart Disease"/>
    <s v="Not Reported"/>
    <s v="T011"/>
    <x v="3"/>
    <x v="2"/>
    <s v="1/18/2023"/>
    <s v="10/18/2023"/>
    <s v="150mg"/>
    <s v="Nausea"/>
    <s v="TR0181"/>
    <s v="150mg"/>
    <x v="0"/>
    <s v="Dizziness"/>
    <n v="134"/>
    <n v="1"/>
    <s v="EGFR"/>
    <s v="Negative"/>
    <n v="4.2699999999999996"/>
    <n v="4.54"/>
    <n v="1.8"/>
    <n v="15.7"/>
    <n v="18.5"/>
    <n v="150"/>
    <n v="150"/>
  </r>
  <r>
    <s v="P937"/>
    <n v="54"/>
    <s v="Male"/>
    <s v="African American"/>
    <s v="Asthma"/>
    <s v="EGFR Mutation"/>
    <s v="T017"/>
    <x v="0"/>
    <x v="0"/>
    <s v="6/15/2023"/>
    <s v="2/15/2024"/>
    <s v="150mg"/>
    <s v="Not Reported, Dizziness"/>
    <s v="TR0194"/>
    <s v="150mg"/>
    <x v="2"/>
    <s v="Fatigue"/>
    <n v="162"/>
    <n v="0"/>
    <s v="BRCA1"/>
    <s v="Positive"/>
    <n v="2.5499999999999998"/>
    <n v="4.32"/>
    <n v="2.2000000000000002"/>
    <n v="22.8"/>
    <n v="15.8"/>
    <n v="150"/>
    <n v="150"/>
  </r>
  <r>
    <s v="P938"/>
    <n v="40"/>
    <s v="Male"/>
    <s v="Caucasian"/>
    <s v="Asthma"/>
    <s v="Not Reported"/>
    <s v="T015"/>
    <x v="1"/>
    <x v="2"/>
    <s v="9/18/2021"/>
    <s v="6/18/2022"/>
    <s v="200mg"/>
    <s v="Headache"/>
    <s v="TR0004"/>
    <s v="200mg"/>
    <x v="1"/>
    <s v="Dizziness"/>
    <n v="165"/>
    <n v="0"/>
    <s v="TP53"/>
    <s v="Negative"/>
    <n v="4.7699999999999996"/>
    <n v="3.71"/>
    <n v="4.3"/>
    <n v="22.9"/>
    <n v="7.7"/>
    <n v="200"/>
    <n v="200"/>
  </r>
  <r>
    <s v="P939"/>
    <n v="60"/>
    <s v="Male"/>
    <s v="African American"/>
    <s v="Diabetes"/>
    <s v="BRCA2 Mutation"/>
    <s v="T017"/>
    <x v="3"/>
    <x v="1"/>
    <s v="3/24/2019"/>
    <s v="12/24/2019"/>
    <s v="50mg"/>
    <s v="Dizziness"/>
    <s v="TR0129"/>
    <s v="50mg"/>
    <x v="1"/>
    <s v="Headache"/>
    <n v="167"/>
    <n v="0"/>
    <s v="BRCA1"/>
    <s v="Positive"/>
    <n v="2.33"/>
    <n v="3.8"/>
    <n v="7.9"/>
    <n v="22.7"/>
    <n v="6.5"/>
    <n v="50"/>
    <n v="50"/>
  </r>
  <r>
    <s v="P940"/>
    <n v="49"/>
    <s v="Other"/>
    <s v="Hispanic"/>
    <s v="Heart Disease"/>
    <s v="TP53 Mutation"/>
    <s v="T019"/>
    <x v="1"/>
    <x v="1"/>
    <s v="11/28/2023"/>
    <s v="4/28/2025"/>
    <s v="100mg"/>
    <s v="Headache"/>
    <s v="TR0120"/>
    <s v="100mg"/>
    <x v="2"/>
    <s v="Nausea"/>
    <n v="124"/>
    <n v="0"/>
    <s v="TP53"/>
    <s v="Positive"/>
    <n v="4.1900000000000004"/>
    <n v="3.95"/>
    <n v="1.6"/>
    <n v="13"/>
    <n v="7.8"/>
    <n v="100"/>
    <n v="100"/>
  </r>
  <r>
    <s v="P941"/>
    <n v="72"/>
    <s v="Female"/>
    <s v="Other"/>
    <s v="Diabetes"/>
    <s v="TP53 Mutation"/>
    <s v="T003"/>
    <x v="0"/>
    <x v="1"/>
    <s v="12/1/2022"/>
    <s v="6/1/2024"/>
    <s v="150mg"/>
    <s v="Fatigue"/>
    <s v="TR0173"/>
    <s v="150mg"/>
    <x v="1"/>
    <s v="Nausea"/>
    <n v="61"/>
    <n v="0"/>
    <s v="BRCA1"/>
    <s v="Positive"/>
    <n v="2.2200000000000002"/>
    <n v="4.93"/>
    <n v="6.8"/>
    <n v="18.899999999999999"/>
    <n v="19.600000000000001"/>
    <n v="150"/>
    <n v="150"/>
  </r>
  <r>
    <s v="P942"/>
    <n v="28"/>
    <s v="Male"/>
    <s v="Asian"/>
    <s v="Heart Disease"/>
    <s v="EGFR Mutation"/>
    <s v="T016"/>
    <x v="0"/>
    <x v="2"/>
    <s v="6/4/2021"/>
    <s v="3/4/2022"/>
    <s v="200mg"/>
    <s v="Dizziness"/>
    <s v="TR0016"/>
    <s v="200mg"/>
    <x v="2"/>
    <s v="Dizziness"/>
    <n v="113"/>
    <n v="0"/>
    <s v="EGFR"/>
    <s v="Positive"/>
    <n v="2.5099999999999998"/>
    <n v="4.21"/>
    <n v="4.9000000000000004"/>
    <n v="21.7"/>
    <n v="6.1"/>
    <n v="200"/>
    <n v="200"/>
  </r>
  <r>
    <s v="P943"/>
    <n v="82"/>
    <s v="Other"/>
    <s v="Caucasian"/>
    <s v="Hypertension"/>
    <s v="BRCA1 Mutation"/>
    <s v="T005"/>
    <x v="0"/>
    <x v="2"/>
    <s v="4/13/2022"/>
    <s v="11/13/2022"/>
    <s v="150mg"/>
    <s v="Dizziness, Headache, Nausea"/>
    <s v="TR0098"/>
    <s v="150mg"/>
    <x v="1"/>
    <s v="Fatigue"/>
    <n v="142"/>
    <n v="0"/>
    <s v="BRCA1"/>
    <s v="Positive"/>
    <n v="4.79"/>
    <n v="1.88"/>
    <n v="3.9"/>
    <n v="19.600000000000001"/>
    <n v="9.6999999999999993"/>
    <n v="150"/>
    <n v="150"/>
  </r>
  <r>
    <s v="P944"/>
    <n v="62"/>
    <s v="Other"/>
    <s v="Other"/>
    <s v="Asthma"/>
    <s v="Not Reported"/>
    <s v="T007"/>
    <x v="0"/>
    <x v="2"/>
    <s v="1/23/2023"/>
    <s v="7/23/2023"/>
    <s v="150mg"/>
    <s v="Not Reported, Headache, Nausea"/>
    <s v="TR0094"/>
    <s v="150mg"/>
    <x v="2"/>
    <s v="Not Reported"/>
    <n v="145"/>
    <n v="0"/>
    <s v="BRCA2"/>
    <s v="Positive"/>
    <n v="3.43"/>
    <n v="2.78"/>
    <n v="7.7"/>
    <n v="10.1"/>
    <n v="4"/>
    <n v="150"/>
    <n v="150"/>
  </r>
  <r>
    <s v="P945"/>
    <n v="60"/>
    <s v="Female"/>
    <s v="Hispanic"/>
    <s v="Diabetes"/>
    <s v="Not Reported"/>
    <s v="T019"/>
    <x v="2"/>
    <x v="3"/>
    <s v="2/4/2021"/>
    <s v="2/4/2022"/>
    <s v="150mg"/>
    <s v="Headache"/>
    <s v="TR0174"/>
    <s v="150mg"/>
    <x v="2"/>
    <s v="Nausea"/>
    <n v="64"/>
    <n v="0"/>
    <s v="EGFR"/>
    <s v="Positive"/>
    <n v="2.2000000000000002"/>
    <n v="2.9"/>
    <n v="2.5"/>
    <n v="12.4"/>
    <n v="9.8000000000000007"/>
    <n v="150"/>
    <n v="150"/>
  </r>
  <r>
    <s v="P946"/>
    <n v="78"/>
    <s v="Female"/>
    <s v="Asian"/>
    <s v="Asthma"/>
    <s v="BRCA2 Mutation"/>
    <s v="T018"/>
    <x v="3"/>
    <x v="0"/>
    <s v="1/11/2022"/>
    <s v="10/11/2022"/>
    <s v="150mg"/>
    <s v="Dizziness"/>
    <s v="TR0022"/>
    <s v="150mg"/>
    <x v="1"/>
    <s v="Not Reported"/>
    <n v="95"/>
    <n v="0"/>
    <s v="BRCA1"/>
    <s v="Negative"/>
    <n v="1.23"/>
    <n v="3.33"/>
    <n v="9"/>
    <n v="8.6999999999999993"/>
    <n v="13.2"/>
    <n v="150"/>
    <n v="150"/>
  </r>
  <r>
    <s v="P947"/>
    <n v="27"/>
    <s v="Male"/>
    <s v="Caucasian"/>
    <s v="Heart Disease"/>
    <s v="Not Reported"/>
    <s v="T015"/>
    <x v="0"/>
    <x v="2"/>
    <s v="9/28/2021"/>
    <s v="1/28/2023"/>
    <s v="150mg"/>
    <s v="Not Reported, Nausea"/>
    <s v="TR0096"/>
    <s v="150mg"/>
    <x v="0"/>
    <s v="Nausea"/>
    <n v="78"/>
    <n v="1"/>
    <s v="EGFR"/>
    <s v="Positive"/>
    <n v="3.66"/>
    <n v="2.68"/>
    <n v="7.3"/>
    <n v="13.4"/>
    <n v="11.6"/>
    <n v="150"/>
    <n v="150"/>
  </r>
  <r>
    <s v="P948"/>
    <n v="35"/>
    <s v="Female"/>
    <s v="Asian"/>
    <s v="Hypertension"/>
    <s v="HER2 Mutation"/>
    <s v="T014"/>
    <x v="2"/>
    <x v="0"/>
    <s v="9/28/2020"/>
    <s v="4/28/2021"/>
    <s v="150mg"/>
    <s v="Not Reported, Dizziness, Fatigue"/>
    <s v="TR0030"/>
    <s v="150mg"/>
    <x v="2"/>
    <s v="Dizziness"/>
    <n v="88"/>
    <n v="0"/>
    <s v="EGFR"/>
    <s v="Negative"/>
    <n v="1.03"/>
    <n v="3.77"/>
    <n v="7"/>
    <n v="6.7"/>
    <n v="9.3000000000000007"/>
    <n v="150"/>
    <n v="150"/>
  </r>
  <r>
    <s v="P949"/>
    <n v="45"/>
    <s v="Male"/>
    <s v="Other"/>
    <s v="Asthma"/>
    <s v="Not Reported"/>
    <s v="T002"/>
    <x v="3"/>
    <x v="0"/>
    <s v="5/23/2022"/>
    <s v="11/23/2023"/>
    <s v="50mg"/>
    <s v="Fatigue, Dizziness, Not Reported"/>
    <s v="TR0138"/>
    <s v="50mg"/>
    <x v="1"/>
    <s v="Dizziness"/>
    <n v="160"/>
    <n v="0"/>
    <s v="HER2"/>
    <s v="Negative"/>
    <n v="4.92"/>
    <n v="2.68"/>
    <n v="5.5"/>
    <n v="22.4"/>
    <n v="15.2"/>
    <n v="50"/>
    <n v="50"/>
  </r>
  <r>
    <s v="P950"/>
    <n v="58"/>
    <s v="Female"/>
    <s v="Caucasian"/>
    <s v="Diabetes"/>
    <s v="Not Reported"/>
    <s v="T011"/>
    <x v="3"/>
    <x v="2"/>
    <s v="2/15/2022"/>
    <s v="12/15/2022"/>
    <s v="100mg"/>
    <s v="Headache"/>
    <s v="TR0142"/>
    <s v="100mg"/>
    <x v="2"/>
    <s v="Nausea"/>
    <n v="57"/>
    <n v="0"/>
    <s v="HER2"/>
    <s v="Negative"/>
    <n v="3.33"/>
    <n v="4.1900000000000004"/>
    <n v="8.8000000000000007"/>
    <n v="14.2"/>
    <n v="11.1"/>
    <n v="100"/>
    <n v="100"/>
  </r>
  <r>
    <s v="P951"/>
    <n v="22"/>
    <s v="Male"/>
    <s v="African American"/>
    <s v="Diabetes"/>
    <s v="Not Reported"/>
    <s v="T017"/>
    <x v="1"/>
    <x v="0"/>
    <s v="9/16/2020"/>
    <s v="10/16/2021"/>
    <s v="150mg"/>
    <s v="Fatigue, Dizziness, Nausea"/>
    <s v="TR0104"/>
    <s v="150mg"/>
    <x v="1"/>
    <s v="Headache"/>
    <n v="145"/>
    <n v="0"/>
    <s v="BRCA1"/>
    <s v="Negative"/>
    <n v="2.54"/>
    <n v="4.87"/>
    <n v="7.3"/>
    <n v="7.5"/>
    <n v="17.7"/>
    <n v="150"/>
    <n v="150"/>
  </r>
  <r>
    <s v="P952"/>
    <n v="30"/>
    <s v="Male"/>
    <s v="Caucasian"/>
    <s v="Heart Disease"/>
    <s v="BRCA1 Mutation"/>
    <s v="T012"/>
    <x v="2"/>
    <x v="0"/>
    <s v="3/18/2019"/>
    <s v="11/18/2019"/>
    <s v="200mg"/>
    <s v="Not Reported"/>
    <s v="TR0068"/>
    <s v="200mg"/>
    <x v="0"/>
    <s v="Nausea"/>
    <n v="97"/>
    <n v="1"/>
    <s v="BRCA1"/>
    <s v="Positive"/>
    <n v="2.92"/>
    <n v="1.28"/>
    <n v="5.9"/>
    <n v="13.5"/>
    <n v="17.899999999999999"/>
    <n v="200"/>
    <n v="200"/>
  </r>
  <r>
    <s v="P953"/>
    <n v="47"/>
    <s v="Male"/>
    <s v="Other"/>
    <s v="Hypertension"/>
    <s v="Not Reported"/>
    <s v="T012"/>
    <x v="3"/>
    <x v="0"/>
    <s v="1/9/2020"/>
    <s v="7/9/2021"/>
    <s v="150mg"/>
    <s v="Nausea"/>
    <s v="TR0015"/>
    <s v="150mg"/>
    <x v="2"/>
    <s v="Headache"/>
    <n v="99"/>
    <n v="0"/>
    <s v="BRCA1"/>
    <s v="Positive"/>
    <n v="1.82"/>
    <n v="4.3099999999999996"/>
    <n v="6"/>
    <n v="7"/>
    <n v="19.5"/>
    <n v="150"/>
    <n v="150"/>
  </r>
  <r>
    <s v="P954"/>
    <n v="38"/>
    <s v="Female"/>
    <s v="African American"/>
    <s v="Diabetes"/>
    <s v="Not Reported"/>
    <s v="T003"/>
    <x v="1"/>
    <x v="0"/>
    <s v="5/4/2023"/>
    <s v="9/4/2024"/>
    <s v="100mg"/>
    <s v="Not Reported"/>
    <s v="TR0140"/>
    <s v="100mg"/>
    <x v="1"/>
    <s v="Nausea"/>
    <n v="180"/>
    <n v="0"/>
    <s v="EGFR"/>
    <s v="Negative"/>
    <n v="3.05"/>
    <n v="2.16"/>
    <n v="5.2"/>
    <n v="21.4"/>
    <n v="8.1999999999999993"/>
    <n v="100"/>
    <n v="100"/>
  </r>
  <r>
    <s v="P955"/>
    <n v="37"/>
    <s v="Other"/>
    <s v="Hispanic"/>
    <s v="Not Reported"/>
    <s v="Not Reported"/>
    <s v="T019"/>
    <x v="3"/>
    <x v="2"/>
    <s v="3/12/2020"/>
    <s v="10/12/2020"/>
    <s v="200mg"/>
    <s v="Fatigue, Dizziness"/>
    <s v="TR0075"/>
    <s v="200mg"/>
    <x v="0"/>
    <s v="Not Reported"/>
    <n v="84"/>
    <n v="1"/>
    <s v="BRCA2"/>
    <s v="Negative"/>
    <n v="1.77"/>
    <n v="1.52"/>
    <n v="3.7"/>
    <n v="20"/>
    <n v="11"/>
    <n v="200"/>
    <n v="200"/>
  </r>
  <r>
    <s v="P956"/>
    <n v="30"/>
    <s v="Male"/>
    <s v="Other"/>
    <s v="Heart Disease"/>
    <s v="BRCA2 Mutation"/>
    <s v="T010"/>
    <x v="3"/>
    <x v="0"/>
    <s v="12/13/2019"/>
    <s v="9/13/2020"/>
    <s v="50mg"/>
    <s v="Nausea, Fatigue"/>
    <s v="TR0140"/>
    <s v="50mg"/>
    <x v="1"/>
    <s v="Headache"/>
    <n v="73"/>
    <n v="0"/>
    <s v="BRCA1"/>
    <s v="Positive"/>
    <n v="1.91"/>
    <n v="1.66"/>
    <n v="4"/>
    <n v="22.9"/>
    <n v="8.8000000000000007"/>
    <n v="50"/>
    <n v="50"/>
  </r>
  <r>
    <s v="P957"/>
    <n v="22"/>
    <s v="Male"/>
    <s v="Other"/>
    <s v="Not Reported"/>
    <s v="Not Reported"/>
    <s v="T008"/>
    <x v="3"/>
    <x v="0"/>
    <s v="2/19/2020"/>
    <s v="1/19/2021"/>
    <s v="100mg"/>
    <s v="Dizziness, Nausea"/>
    <s v="TR0003"/>
    <s v="100mg"/>
    <x v="1"/>
    <s v="Headache"/>
    <n v="151"/>
    <n v="0"/>
    <s v="EGFR"/>
    <s v="Negative"/>
    <n v="4.95"/>
    <n v="2.94"/>
    <n v="2.6"/>
    <n v="22"/>
    <n v="10.8"/>
    <n v="100"/>
    <n v="100"/>
  </r>
  <r>
    <s v="P958"/>
    <n v="21"/>
    <s v="Male"/>
    <s v="Caucasian"/>
    <s v="Asthma"/>
    <s v="TP53 Mutation"/>
    <s v="T019"/>
    <x v="1"/>
    <x v="1"/>
    <s v="4/20/2022"/>
    <s v="5/20/2023"/>
    <s v="50mg"/>
    <s v="Nausea"/>
    <s v="TR0168"/>
    <s v="50mg"/>
    <x v="1"/>
    <s v="Fatigue"/>
    <n v="71"/>
    <n v="0"/>
    <s v="BRCA1"/>
    <s v="Positive"/>
    <n v="3.84"/>
    <n v="4.93"/>
    <n v="1.5"/>
    <n v="7.7"/>
    <n v="15.2"/>
    <n v="50"/>
    <n v="50"/>
  </r>
  <r>
    <s v="P959"/>
    <n v="44"/>
    <s v="Other"/>
    <s v="Hispanic"/>
    <s v="Heart Disease"/>
    <s v="EGFR Mutation"/>
    <s v="T016"/>
    <x v="1"/>
    <x v="0"/>
    <s v="3/6/2022"/>
    <s v="10/6/2022"/>
    <s v="50mg"/>
    <s v="Not Reported, Dizziness"/>
    <s v="TR0191"/>
    <s v="50mg"/>
    <x v="1"/>
    <s v="Nausea"/>
    <n v="156"/>
    <n v="0"/>
    <s v="BRCA1"/>
    <s v="Positive"/>
    <n v="2.13"/>
    <n v="1.74"/>
    <n v="1.4"/>
    <n v="6.4"/>
    <n v="16.2"/>
    <n v="50"/>
    <n v="50"/>
  </r>
  <r>
    <s v="P960"/>
    <n v="26"/>
    <s v="Female"/>
    <s v="Caucasian"/>
    <s v="Asthma"/>
    <s v="BRCA2 Mutation"/>
    <s v="T014"/>
    <x v="1"/>
    <x v="2"/>
    <s v="5/10/2020"/>
    <s v="11/10/2021"/>
    <s v="100mg"/>
    <s v="Not Reported"/>
    <s v="TR0037"/>
    <s v="100mg"/>
    <x v="0"/>
    <s v="Headache"/>
    <n v="33"/>
    <n v="1"/>
    <s v="BRCA2"/>
    <s v="Negative"/>
    <n v="1.54"/>
    <n v="2.87"/>
    <n v="6.5"/>
    <n v="13.7"/>
    <n v="3.5"/>
    <n v="100"/>
    <n v="100"/>
  </r>
  <r>
    <s v="P961"/>
    <n v="41"/>
    <s v="Male"/>
    <s v="Other"/>
    <s v="Not Reported"/>
    <s v="Not Reported"/>
    <s v="T005"/>
    <x v="1"/>
    <x v="3"/>
    <s v="12/27/2021"/>
    <s v="1/27/2023"/>
    <s v="200mg"/>
    <s v="Headache"/>
    <s v="TR0158"/>
    <s v="200mg"/>
    <x v="0"/>
    <s v="Fatigue"/>
    <n v="76"/>
    <n v="1"/>
    <s v="HER2"/>
    <s v="Negative"/>
    <n v="4.13"/>
    <n v="1.04"/>
    <n v="7.9"/>
    <n v="22.1"/>
    <n v="10.4"/>
    <n v="200"/>
    <n v="200"/>
  </r>
  <r>
    <s v="P962"/>
    <n v="58"/>
    <s v="Male"/>
    <s v="Asian"/>
    <s v="Diabetes"/>
    <s v="BRCA1 Mutation"/>
    <s v="T015"/>
    <x v="0"/>
    <x v="1"/>
    <s v="5/12/2020"/>
    <s v="10/12/2021"/>
    <s v="150mg"/>
    <s v="Dizziness, Not Reported, Nausea"/>
    <s v="TR0098"/>
    <s v="150mg"/>
    <x v="0"/>
    <s v="Fatigue"/>
    <n v="57"/>
    <n v="1"/>
    <s v="BRCA1"/>
    <s v="Positive"/>
    <n v="3.14"/>
    <n v="2.91"/>
    <n v="4.5"/>
    <n v="22"/>
    <n v="18.2"/>
    <n v="150"/>
    <n v="150"/>
  </r>
  <r>
    <s v="P963"/>
    <n v="58"/>
    <s v="Other"/>
    <s v="Other"/>
    <s v="Hypertension"/>
    <s v="HER2 Mutation"/>
    <s v="T018"/>
    <x v="3"/>
    <x v="3"/>
    <s v="9/14/2023"/>
    <s v="7/14/2024"/>
    <s v="200mg"/>
    <s v="Headache, Dizziness, Nausea"/>
    <s v="TR0055"/>
    <s v="200mg"/>
    <x v="1"/>
    <s v="Headache"/>
    <n v="45"/>
    <n v="0"/>
    <s v="BRCA1"/>
    <s v="Negative"/>
    <n v="2.34"/>
    <n v="3.46"/>
    <n v="9.3000000000000007"/>
    <n v="23.3"/>
    <n v="11.7"/>
    <n v="200"/>
    <n v="200"/>
  </r>
  <r>
    <s v="P964"/>
    <n v="57"/>
    <s v="Female"/>
    <s v="African American"/>
    <s v="Hypertension"/>
    <s v="Not Reported"/>
    <s v="T008"/>
    <x v="3"/>
    <x v="1"/>
    <s v="2/19/2023"/>
    <s v="8/19/2023"/>
    <s v="200mg"/>
    <s v="Dizziness, Fatigue"/>
    <s v="TR0022"/>
    <s v="200mg"/>
    <x v="1"/>
    <s v="Not Reported"/>
    <n v="41"/>
    <n v="0"/>
    <s v="BRCA1"/>
    <s v="Negative"/>
    <n v="2.81"/>
    <n v="2.11"/>
    <n v="9.6"/>
    <n v="8.6"/>
    <n v="12.9"/>
    <n v="200"/>
    <n v="200"/>
  </r>
  <r>
    <s v="P965"/>
    <n v="85"/>
    <s v="Male"/>
    <s v="Hispanic"/>
    <s v="Heart Disease"/>
    <s v="Not Reported"/>
    <s v="T005"/>
    <x v="2"/>
    <x v="3"/>
    <s v="5/18/2020"/>
    <s v="3/18/2021"/>
    <s v="200mg"/>
    <s v="Headache, Nausea"/>
    <s v="TR0130"/>
    <s v="200mg"/>
    <x v="0"/>
    <s v="Nausea"/>
    <n v="87"/>
    <n v="1"/>
    <s v="EGFR"/>
    <s v="Negative"/>
    <n v="2.13"/>
    <n v="2.12"/>
    <n v="4.5999999999999996"/>
    <n v="24"/>
    <n v="3.9"/>
    <n v="200"/>
    <n v="200"/>
  </r>
  <r>
    <s v="P966"/>
    <n v="58"/>
    <s v="Female"/>
    <s v="Hispanic"/>
    <s v="Diabetes"/>
    <s v="BRCA1 Mutation"/>
    <s v="T006"/>
    <x v="1"/>
    <x v="2"/>
    <s v="12/24/2020"/>
    <s v="1/24/2022"/>
    <s v="100mg"/>
    <s v="Not Reported"/>
    <s v="TR0085"/>
    <s v="100mg"/>
    <x v="0"/>
    <s v="Fatigue"/>
    <n v="85"/>
    <n v="1"/>
    <s v="BRCA1"/>
    <s v="Positive"/>
    <n v="3.31"/>
    <n v="1.33"/>
    <n v="2.4"/>
    <n v="13.9"/>
    <n v="11.7"/>
    <n v="100"/>
    <n v="100"/>
  </r>
  <r>
    <s v="P967"/>
    <n v="20"/>
    <s v="Male"/>
    <s v="Other"/>
    <s v="Heart Disease"/>
    <s v="TP53 Mutation"/>
    <s v="T013"/>
    <x v="3"/>
    <x v="2"/>
    <s v="2/20/2023"/>
    <s v="8/20/2023"/>
    <s v="50mg"/>
    <s v="Dizziness, Nausea, Headache"/>
    <s v="TR0065"/>
    <s v="50mg"/>
    <x v="0"/>
    <s v="Headache"/>
    <n v="30"/>
    <n v="1"/>
    <s v="BRCA1"/>
    <s v="Positive"/>
    <n v="2.04"/>
    <n v="2.27"/>
    <n v="1.8"/>
    <n v="11.5"/>
    <n v="19.399999999999999"/>
    <n v="50"/>
    <n v="50"/>
  </r>
  <r>
    <s v="P968"/>
    <n v="67"/>
    <s v="Other"/>
    <s v="Asian"/>
    <s v="Diabetes"/>
    <s v="HER2 Mutation"/>
    <s v="T007"/>
    <x v="3"/>
    <x v="0"/>
    <s v="1/13/2023"/>
    <s v="7/13/2023"/>
    <s v="150mg"/>
    <s v="Dizziness, Nausea"/>
    <s v="TR0141"/>
    <s v="150mg"/>
    <x v="1"/>
    <s v="Headache"/>
    <n v="96"/>
    <n v="0"/>
    <s v="HER2"/>
    <s v="Positive"/>
    <n v="4.78"/>
    <n v="2.34"/>
    <n v="6.1"/>
    <n v="22.4"/>
    <n v="3.1"/>
    <n v="150"/>
    <n v="150"/>
  </r>
  <r>
    <s v="P969"/>
    <n v="23"/>
    <s v="Male"/>
    <s v="Caucasian"/>
    <s v="Heart Disease"/>
    <s v="Not Reported"/>
    <s v="T019"/>
    <x v="0"/>
    <x v="2"/>
    <s v="7/4/2020"/>
    <s v="2/4/2021"/>
    <s v="100mg"/>
    <s v="Nausea, Dizziness"/>
    <s v="TR0134"/>
    <s v="100mg"/>
    <x v="0"/>
    <s v="Not Reported"/>
    <n v="53"/>
    <n v="1"/>
    <s v="EGFR"/>
    <s v="Negative"/>
    <n v="4.24"/>
    <n v="4.79"/>
    <n v="1.8"/>
    <n v="8.9"/>
    <n v="19.3"/>
    <n v="100"/>
    <n v="100"/>
  </r>
  <r>
    <s v="P970"/>
    <n v="51"/>
    <s v="Female"/>
    <s v="Other"/>
    <s v="Diabetes"/>
    <s v="Not Reported"/>
    <s v="T010"/>
    <x v="2"/>
    <x v="1"/>
    <s v="11/9/2020"/>
    <s v="5/9/2022"/>
    <s v="50mg"/>
    <s v="Not Reported"/>
    <s v="TR0053"/>
    <s v="50mg"/>
    <x v="1"/>
    <s v="Fatigue"/>
    <n v="101"/>
    <n v="0"/>
    <s v="HER2"/>
    <s v="Negative"/>
    <n v="3.15"/>
    <n v="1.06"/>
    <n v="3.3"/>
    <n v="14.1"/>
    <n v="14.8"/>
    <n v="50"/>
    <n v="50"/>
  </r>
  <r>
    <s v="P971"/>
    <n v="21"/>
    <s v="Female"/>
    <s v="African American"/>
    <s v="Asthma"/>
    <s v="Not Reported"/>
    <s v="T020"/>
    <x v="0"/>
    <x v="3"/>
    <s v="12/9/2023"/>
    <s v="12/9/2024"/>
    <s v="200mg"/>
    <s v="Fatigue, Nausea"/>
    <s v="TR0025"/>
    <s v="200mg"/>
    <x v="0"/>
    <s v="Dizziness"/>
    <n v="65"/>
    <n v="1"/>
    <s v="TP53"/>
    <s v="Positive"/>
    <n v="3.93"/>
    <n v="4.9800000000000004"/>
    <n v="3.6"/>
    <n v="15.7"/>
    <n v="12.1"/>
    <n v="200"/>
    <n v="200"/>
  </r>
  <r>
    <s v="P972"/>
    <n v="35"/>
    <s v="Other"/>
    <s v="Other"/>
    <s v="Hypertension"/>
    <s v="Not Reported"/>
    <s v="T005"/>
    <x v="2"/>
    <x v="2"/>
    <s v="8/20/2023"/>
    <s v="2/20/2025"/>
    <s v="150mg"/>
    <s v="Fatigue"/>
    <s v="TR0101"/>
    <s v="150mg"/>
    <x v="0"/>
    <s v="Nausea"/>
    <n v="165"/>
    <n v="1"/>
    <s v="TP53"/>
    <s v="Positive"/>
    <n v="2.62"/>
    <n v="1.68"/>
    <n v="9.8000000000000007"/>
    <n v="21.4"/>
    <n v="11.5"/>
    <n v="150"/>
    <n v="150"/>
  </r>
  <r>
    <s v="P973"/>
    <n v="81"/>
    <s v="Female"/>
    <s v="African American"/>
    <s v="Diabetes"/>
    <s v="TP53 Mutation"/>
    <s v="T007"/>
    <x v="3"/>
    <x v="3"/>
    <s v="4/12/2020"/>
    <s v="5/12/2021"/>
    <s v="50mg"/>
    <s v="Not Reported"/>
    <s v="TR0023"/>
    <s v="50mg"/>
    <x v="0"/>
    <s v="Dizziness"/>
    <n v="54"/>
    <n v="1"/>
    <s v="EGFR"/>
    <s v="Positive"/>
    <n v="3.41"/>
    <n v="1.91"/>
    <n v="5.9"/>
    <n v="18.5"/>
    <n v="11.8"/>
    <n v="50"/>
    <n v="50"/>
  </r>
  <r>
    <s v="P974"/>
    <n v="60"/>
    <s v="Male"/>
    <s v="Other"/>
    <s v="Hypertension"/>
    <s v="Not Reported"/>
    <s v="T003"/>
    <x v="2"/>
    <x v="3"/>
    <s v="10/1/2021"/>
    <s v="8/1/2022"/>
    <s v="200mg"/>
    <s v="Nausea"/>
    <s v="TR0016"/>
    <s v="200mg"/>
    <x v="1"/>
    <s v="Dizziness"/>
    <n v="74"/>
    <n v="0"/>
    <s v="BRCA2"/>
    <s v="Positive"/>
    <n v="4.96"/>
    <n v="3.45"/>
    <n v="4.3"/>
    <n v="19.899999999999999"/>
    <n v="5.9"/>
    <n v="200"/>
    <n v="200"/>
  </r>
  <r>
    <s v="P975"/>
    <n v="51"/>
    <s v="Female"/>
    <s v="Hispanic"/>
    <s v="Hypertension"/>
    <s v="BRCA2 Mutation"/>
    <s v="T018"/>
    <x v="2"/>
    <x v="2"/>
    <s v="2/1/2022"/>
    <s v="9/1/2022"/>
    <s v="100mg"/>
    <s v="Fatigue"/>
    <s v="TR0146"/>
    <s v="100mg"/>
    <x v="2"/>
    <s v="Headache"/>
    <n v="47"/>
    <n v="0"/>
    <s v="TP53"/>
    <s v="Positive"/>
    <n v="2.54"/>
    <n v="2.39"/>
    <n v="4.9000000000000004"/>
    <n v="20.100000000000001"/>
    <n v="11.2"/>
    <n v="100"/>
    <n v="100"/>
  </r>
  <r>
    <s v="P976"/>
    <n v="34"/>
    <s v="Male"/>
    <s v="African American"/>
    <s v="Heart Disease"/>
    <s v="Not Reported"/>
    <s v="T001"/>
    <x v="3"/>
    <x v="0"/>
    <s v="6/8/2022"/>
    <s v="12/8/2023"/>
    <s v="150mg"/>
    <s v="Headache, Nausea"/>
    <s v="TR0079"/>
    <s v="150mg"/>
    <x v="2"/>
    <s v="Fatigue"/>
    <n v="66"/>
    <n v="0"/>
    <s v="HER2"/>
    <s v="Negative"/>
    <n v="4.18"/>
    <n v="3.31"/>
    <n v="4.0999999999999996"/>
    <n v="20.6"/>
    <n v="7.1"/>
    <n v="150"/>
    <n v="150"/>
  </r>
  <r>
    <s v="P977"/>
    <n v="46"/>
    <s v="Other"/>
    <s v="African American"/>
    <s v="Asthma"/>
    <s v="Not Reported"/>
    <s v="T001"/>
    <x v="1"/>
    <x v="1"/>
    <s v="4/1/2021"/>
    <s v="3/1/2022"/>
    <s v="200mg"/>
    <s v="Fatigue, Not Reported, Dizziness"/>
    <s v="TR0039"/>
    <s v="200mg"/>
    <x v="1"/>
    <s v="Fatigue"/>
    <n v="119"/>
    <n v="0"/>
    <s v="EGFR"/>
    <s v="Negative"/>
    <n v="1.9"/>
    <n v="3.02"/>
    <n v="3.3"/>
    <n v="6.2"/>
    <n v="14"/>
    <n v="200"/>
    <n v="200"/>
  </r>
  <r>
    <s v="P978"/>
    <n v="28"/>
    <s v="Female"/>
    <s v="Hispanic"/>
    <s v="Heart Disease"/>
    <s v="TP53 Mutation"/>
    <s v="T004"/>
    <x v="2"/>
    <x v="0"/>
    <s v="7/15/2020"/>
    <s v="1/15/2021"/>
    <s v="200mg"/>
    <s v="Headache, Not Reported"/>
    <s v="TR0179"/>
    <s v="200mg"/>
    <x v="1"/>
    <s v="Fatigue"/>
    <n v="63"/>
    <n v="0"/>
    <s v="TP53"/>
    <s v="Positive"/>
    <n v="3.04"/>
    <n v="2.78"/>
    <n v="9.6999999999999993"/>
    <n v="16.3"/>
    <n v="17.7"/>
    <n v="200"/>
    <n v="200"/>
  </r>
  <r>
    <s v="P979"/>
    <n v="74"/>
    <s v="Female"/>
    <s v="Other"/>
    <s v="Asthma"/>
    <s v="Not Reported"/>
    <s v="T009"/>
    <x v="0"/>
    <x v="0"/>
    <s v="2/22/2022"/>
    <s v="10/22/2022"/>
    <s v="50mg"/>
    <s v="Fatigue, Not Reported, Nausea"/>
    <s v="TR0010"/>
    <s v="50mg"/>
    <x v="1"/>
    <s v="Nausea"/>
    <n v="160"/>
    <n v="0"/>
    <s v="TP53"/>
    <s v="Negative"/>
    <n v="1.56"/>
    <n v="3.28"/>
    <n v="8.8000000000000007"/>
    <n v="16.5"/>
    <n v="15.2"/>
    <n v="50"/>
    <n v="50"/>
  </r>
  <r>
    <s v="P980"/>
    <n v="56"/>
    <s v="Male"/>
    <s v="Asian"/>
    <s v="Diabetes"/>
    <s v="TP53 Mutation"/>
    <s v="T007"/>
    <x v="0"/>
    <x v="1"/>
    <s v="12/14/2021"/>
    <s v="5/14/2023"/>
    <s v="200mg"/>
    <s v="Fatigue, Nausea, Headache"/>
    <s v="TR0023"/>
    <s v="200mg"/>
    <x v="1"/>
    <s v="Headache"/>
    <n v="94"/>
    <n v="0"/>
    <s v="EGFR"/>
    <s v="Negative"/>
    <n v="2.4900000000000002"/>
    <n v="1.37"/>
    <n v="5.0999999999999996"/>
    <n v="13.1"/>
    <n v="17.7"/>
    <n v="200"/>
    <n v="200"/>
  </r>
  <r>
    <s v="P981"/>
    <n v="38"/>
    <s v="Female"/>
    <s v="African American"/>
    <s v="Heart Disease"/>
    <s v="Not Reported"/>
    <s v="T001"/>
    <x v="3"/>
    <x v="3"/>
    <s v="11/27/2021"/>
    <s v="6/27/2022"/>
    <s v="50mg"/>
    <s v="Dizziness"/>
    <s v="TR0127"/>
    <s v="50mg"/>
    <x v="0"/>
    <s v="Dizziness"/>
    <n v="170"/>
    <n v="1"/>
    <s v="BRCA1"/>
    <s v="Positive"/>
    <n v="1.98"/>
    <n v="4.87"/>
    <n v="9.6"/>
    <n v="10.5"/>
    <n v="8.9"/>
    <n v="50"/>
    <n v="50"/>
  </r>
  <r>
    <s v="P982"/>
    <n v="77"/>
    <s v="Male"/>
    <s v="Caucasian"/>
    <s v="Asthma"/>
    <s v="BRCA2 Mutation"/>
    <s v="T011"/>
    <x v="0"/>
    <x v="2"/>
    <s v="9/17/2019"/>
    <s v="7/17/2020"/>
    <s v="200mg"/>
    <s v="Nausea, Headache, Fatigue"/>
    <s v="TR0067"/>
    <s v="200mg"/>
    <x v="0"/>
    <s v="Not Reported"/>
    <n v="55"/>
    <n v="1"/>
    <s v="BRCA1"/>
    <s v="Positive"/>
    <n v="4.58"/>
    <n v="4.87"/>
    <n v="5"/>
    <n v="11.8"/>
    <n v="11.9"/>
    <n v="200"/>
    <n v="200"/>
  </r>
  <r>
    <s v="P983"/>
    <n v="41"/>
    <s v="Male"/>
    <s v="Asian"/>
    <s v="Not Reported"/>
    <s v="TP53 Mutation"/>
    <s v="T003"/>
    <x v="2"/>
    <x v="2"/>
    <s v="2/23/2019"/>
    <s v="2/23/2020"/>
    <s v="50mg"/>
    <s v="Dizziness, Headache"/>
    <s v="TR0002"/>
    <s v="50mg"/>
    <x v="0"/>
    <s v="Headache"/>
    <n v="66"/>
    <n v="1"/>
    <s v="BRCA1"/>
    <s v="Negative"/>
    <n v="3.75"/>
    <n v="2.09"/>
    <n v="7.6"/>
    <n v="6.9"/>
    <n v="3.8"/>
    <n v="50"/>
    <n v="50"/>
  </r>
  <r>
    <s v="P984"/>
    <n v="24"/>
    <s v="Male"/>
    <s v="Asian"/>
    <s v="Diabetes"/>
    <s v="BRCA2 Mutation"/>
    <s v="T004"/>
    <x v="3"/>
    <x v="1"/>
    <s v="2/26/2019"/>
    <s v="12/26/2019"/>
    <s v="50mg"/>
    <s v="Fatigue"/>
    <s v="TR0077"/>
    <s v="50mg"/>
    <x v="1"/>
    <s v="Nausea"/>
    <n v="91"/>
    <n v="0"/>
    <s v="BRCA1"/>
    <s v="Negative"/>
    <n v="2.5499999999999998"/>
    <n v="2.41"/>
    <n v="3.8"/>
    <n v="14.8"/>
    <n v="8.5"/>
    <n v="50"/>
    <n v="50"/>
  </r>
  <r>
    <s v="P985"/>
    <n v="30"/>
    <s v="Other"/>
    <s v="Hispanic"/>
    <s v="Heart Disease"/>
    <s v="BRCA1 Mutation"/>
    <s v="T013"/>
    <x v="2"/>
    <x v="3"/>
    <s v="1/24/2023"/>
    <s v="3/24/2024"/>
    <s v="150mg"/>
    <s v="Dizziness"/>
    <s v="TR0166"/>
    <s v="150mg"/>
    <x v="1"/>
    <s v="Headache"/>
    <n v="164"/>
    <n v="0"/>
    <s v="TP53"/>
    <s v="Negative"/>
    <n v="1.77"/>
    <n v="2.2400000000000002"/>
    <n v="9.8000000000000007"/>
    <n v="13.4"/>
    <n v="10.6"/>
    <n v="150"/>
    <n v="150"/>
  </r>
  <r>
    <s v="P986"/>
    <n v="19"/>
    <s v="Other"/>
    <s v="Caucasian"/>
    <s v="Hypertension"/>
    <s v="HER2 Mutation"/>
    <s v="T011"/>
    <x v="2"/>
    <x v="3"/>
    <s v="3/23/2023"/>
    <s v="10/23/2023"/>
    <s v="50mg"/>
    <s v="Fatigue, Headache"/>
    <s v="TR0134"/>
    <s v="50mg"/>
    <x v="2"/>
    <s v="Nausea"/>
    <n v="150"/>
    <n v="0"/>
    <s v="BRCA2"/>
    <s v="Negative"/>
    <n v="3.31"/>
    <n v="4.93"/>
    <n v="3.2"/>
    <n v="18.3"/>
    <n v="15.2"/>
    <n v="50"/>
    <n v="50"/>
  </r>
  <r>
    <s v="P987"/>
    <n v="25"/>
    <s v="Other"/>
    <s v="Asian"/>
    <s v="Asthma"/>
    <s v="HER2 Mutation"/>
    <s v="T004"/>
    <x v="3"/>
    <x v="1"/>
    <s v="12/17/2023"/>
    <s v="7/17/2024"/>
    <s v="200mg"/>
    <s v="Fatigue"/>
    <s v="TR0052"/>
    <s v="200mg"/>
    <x v="2"/>
    <s v="Dizziness"/>
    <n v="180"/>
    <n v="0"/>
    <s v="HER2"/>
    <s v="Negative"/>
    <n v="3.43"/>
    <n v="1.35"/>
    <n v="7.1"/>
    <n v="7.2"/>
    <n v="13.1"/>
    <n v="200"/>
    <n v="200"/>
  </r>
  <r>
    <s v="P988"/>
    <n v="79"/>
    <s v="Female"/>
    <s v="Caucasian"/>
    <s v="Heart Disease"/>
    <s v="TP53 Mutation"/>
    <s v="T008"/>
    <x v="1"/>
    <x v="0"/>
    <s v="9/28/2022"/>
    <s v="4/28/2023"/>
    <s v="50mg"/>
    <s v="Not Reported"/>
    <s v="TR0141"/>
    <s v="50mg"/>
    <x v="0"/>
    <s v="Dizziness"/>
    <n v="123"/>
    <n v="1"/>
    <s v="TP53"/>
    <s v="Negative"/>
    <n v="3.96"/>
    <n v="1.84"/>
    <n v="8.6"/>
    <n v="6.5"/>
    <n v="17.3"/>
    <n v="50"/>
    <n v="50"/>
  </r>
  <r>
    <s v="P989"/>
    <n v="82"/>
    <s v="Male"/>
    <s v="Caucasian"/>
    <s v="Diabetes"/>
    <s v="Not Reported"/>
    <s v="T010"/>
    <x v="2"/>
    <x v="2"/>
    <s v="7/6/2020"/>
    <s v="3/6/2021"/>
    <s v="50mg"/>
    <s v="Dizziness, Nausea"/>
    <s v="TR0099"/>
    <s v="50mg"/>
    <x v="2"/>
    <s v="Headache"/>
    <n v="171"/>
    <n v="0"/>
    <s v="TP53"/>
    <s v="Negative"/>
    <n v="2.84"/>
    <n v="1.87"/>
    <n v="2.2000000000000002"/>
    <n v="23.2"/>
    <n v="4.2"/>
    <n v="50"/>
    <n v="50"/>
  </r>
  <r>
    <s v="P990"/>
    <n v="51"/>
    <s v="Female"/>
    <s v="Hispanic"/>
    <s v="Hypertension"/>
    <s v="HER2 Mutation"/>
    <s v="T012"/>
    <x v="1"/>
    <x v="0"/>
    <s v="12/4/2023"/>
    <s v="9/4/2024"/>
    <s v="150mg"/>
    <s v="Fatigue, Nausea, Dizziness"/>
    <s v="TR0015"/>
    <s v="150mg"/>
    <x v="2"/>
    <s v="Nausea"/>
    <n v="134"/>
    <n v="0"/>
    <s v="TP53"/>
    <s v="Positive"/>
    <n v="1.8"/>
    <n v="2.39"/>
    <n v="6.6"/>
    <n v="15.8"/>
    <n v="5.0999999999999996"/>
    <n v="150"/>
    <n v="150"/>
  </r>
  <r>
    <s v="P991"/>
    <n v="67"/>
    <s v="Male"/>
    <s v="Caucasian"/>
    <s v="Asthma"/>
    <s v="Not Reported"/>
    <s v="T007"/>
    <x v="2"/>
    <x v="3"/>
    <s v="11/17/2019"/>
    <s v="5/17/2021"/>
    <s v="150mg"/>
    <s v="Not Reported"/>
    <s v="TR0055"/>
    <s v="150mg"/>
    <x v="2"/>
    <s v="Nausea"/>
    <n v="167"/>
    <n v="0"/>
    <s v="BRCA2"/>
    <s v="Positive"/>
    <n v="2.16"/>
    <n v="1.96"/>
    <n v="2.9"/>
    <n v="13.4"/>
    <n v="15"/>
    <n v="150"/>
    <n v="150"/>
  </r>
  <r>
    <s v="P992"/>
    <n v="54"/>
    <s v="Other"/>
    <s v="African American"/>
    <s v="Heart Disease"/>
    <s v="BRCA1 Mutation"/>
    <s v="T001"/>
    <x v="0"/>
    <x v="1"/>
    <s v="10/26/2022"/>
    <s v="4/26/2024"/>
    <s v="50mg"/>
    <s v="Not Reported"/>
    <s v="TR0059"/>
    <s v="50mg"/>
    <x v="0"/>
    <s v="Fatigue"/>
    <n v="55"/>
    <n v="1"/>
    <s v="TP53"/>
    <s v="Positive"/>
    <n v="1.87"/>
    <n v="2.4700000000000002"/>
    <n v="4.5"/>
    <n v="23.6"/>
    <n v="19.2"/>
    <n v="50"/>
    <n v="50"/>
  </r>
  <r>
    <s v="P993"/>
    <n v="66"/>
    <s v="Female"/>
    <s v="African American"/>
    <s v="Heart Disease"/>
    <s v="Not Reported"/>
    <s v="T010"/>
    <x v="3"/>
    <x v="2"/>
    <s v="11/28/2020"/>
    <s v="2/28/2022"/>
    <s v="150mg"/>
    <s v="Not Reported"/>
    <s v="TR0141"/>
    <s v="150mg"/>
    <x v="0"/>
    <s v="Nausea"/>
    <n v="30"/>
    <n v="1"/>
    <s v="TP53"/>
    <s v="Positive"/>
    <n v="4.2"/>
    <n v="1.97"/>
    <n v="1.6"/>
    <n v="11.7"/>
    <n v="7.5"/>
    <n v="150"/>
    <n v="150"/>
  </r>
  <r>
    <s v="P994"/>
    <n v="33"/>
    <s v="Female"/>
    <s v="Hispanic"/>
    <s v="Asthma"/>
    <s v="BRCA2 Mutation"/>
    <s v="T016"/>
    <x v="3"/>
    <x v="1"/>
    <s v="8/8/2021"/>
    <s v="10/8/2022"/>
    <s v="150mg"/>
    <s v="Nausea, Fatigue"/>
    <s v="TR0140"/>
    <s v="150mg"/>
    <x v="0"/>
    <s v="Headache"/>
    <n v="156"/>
    <n v="1"/>
    <s v="TP53"/>
    <s v="Positive"/>
    <n v="3.02"/>
    <n v="4.1100000000000003"/>
    <n v="8.6999999999999993"/>
    <n v="21.2"/>
    <n v="9.1"/>
    <n v="150"/>
    <n v="150"/>
  </r>
  <r>
    <s v="P995"/>
    <n v="35"/>
    <s v="Male"/>
    <s v="Other"/>
    <s v="Not Reported"/>
    <s v="Not Reported"/>
    <s v="T016"/>
    <x v="1"/>
    <x v="3"/>
    <s v="5/5/2021"/>
    <s v="5/5/2022"/>
    <s v="50mg"/>
    <s v="Dizziness, Headache, Nausea"/>
    <s v="TR0059"/>
    <s v="50mg"/>
    <x v="2"/>
    <s v="Headache"/>
    <n v="34"/>
    <n v="0"/>
    <s v="BRCA2"/>
    <s v="Negative"/>
    <n v="3.75"/>
    <n v="2.25"/>
    <n v="1.5"/>
    <n v="18.600000000000001"/>
    <n v="3.2"/>
    <n v="50"/>
    <n v="50"/>
  </r>
  <r>
    <s v="P996"/>
    <n v="55"/>
    <s v="Female"/>
    <s v="African American"/>
    <s v="Not Reported"/>
    <s v="HER2 Mutation"/>
    <s v="T015"/>
    <x v="2"/>
    <x v="1"/>
    <s v="2/15/2021"/>
    <s v="9/15/2021"/>
    <s v="50mg"/>
    <s v="Fatigue, Nausea"/>
    <s v="TR0129"/>
    <s v="50mg"/>
    <x v="1"/>
    <s v="Nausea"/>
    <n v="122"/>
    <n v="0"/>
    <s v="HER2"/>
    <s v="Negative"/>
    <n v="2.64"/>
    <n v="2.3199999999999998"/>
    <n v="7.2"/>
    <n v="19.8"/>
    <n v="8.1999999999999993"/>
    <n v="50"/>
    <n v="50"/>
  </r>
  <r>
    <s v="P997"/>
    <n v="79"/>
    <s v="Other"/>
    <s v="Asian"/>
    <s v="Asthma"/>
    <s v="Not Reported"/>
    <s v="T002"/>
    <x v="2"/>
    <x v="1"/>
    <s v="6/10/2022"/>
    <s v="3/10/2023"/>
    <s v="50mg"/>
    <s v="Headache"/>
    <s v="TR0076"/>
    <s v="50mg"/>
    <x v="0"/>
    <s v="Not Reported"/>
    <n v="158"/>
    <n v="1"/>
    <s v="TP53"/>
    <s v="Negative"/>
    <n v="4.25"/>
    <n v="2.1800000000000002"/>
    <n v="5"/>
    <n v="19.100000000000001"/>
    <n v="14.8"/>
    <n v="50"/>
    <n v="50"/>
  </r>
  <r>
    <s v="P998"/>
    <n v="41"/>
    <s v="Female"/>
    <s v="Caucasian"/>
    <s v="Diabetes"/>
    <s v="Not Reported"/>
    <s v="T011"/>
    <x v="0"/>
    <x v="0"/>
    <s v="7/5/2023"/>
    <s v="8/5/2024"/>
    <s v="100mg"/>
    <s v="Dizziness, Not Reported, Nausea"/>
    <s v="TR0115"/>
    <s v="100mg"/>
    <x v="1"/>
    <s v="Headache"/>
    <n v="94"/>
    <n v="0"/>
    <s v="BRCA2"/>
    <s v="Positive"/>
    <n v="4.95"/>
    <n v="1.9"/>
    <n v="7"/>
    <n v="17"/>
    <n v="18.600000000000001"/>
    <n v="100"/>
    <n v="100"/>
  </r>
  <r>
    <s v="P999"/>
    <n v="75"/>
    <s v="Other"/>
    <s v="Hispanic"/>
    <s v="Diabetes"/>
    <s v="BRCA1 Mutation"/>
    <s v="T007"/>
    <x v="0"/>
    <x v="2"/>
    <s v="7/16/2023"/>
    <s v="7/16/2024"/>
    <s v="100mg"/>
    <s v="Dizziness, Fatigue"/>
    <s v="TR0056"/>
    <s v="100mg"/>
    <x v="2"/>
    <s v="Headache"/>
    <n v="159"/>
    <n v="0"/>
    <s v="HER2"/>
    <s v="Positive"/>
    <n v="1.63"/>
    <n v="4.01"/>
    <n v="6.1"/>
    <n v="10.9"/>
    <n v="11.1"/>
    <n v="100"/>
    <n v="100"/>
  </r>
  <r>
    <s v="P1000"/>
    <n v="70"/>
    <s v="Other"/>
    <s v="Caucasian"/>
    <s v="Not Reported"/>
    <s v="Not Reported"/>
    <s v="T017"/>
    <x v="3"/>
    <x v="2"/>
    <s v="1/23/2020"/>
    <s v="12/23/2020"/>
    <s v="150mg"/>
    <s v="Not Reported"/>
    <s v="TR0002"/>
    <s v="150mg"/>
    <x v="1"/>
    <s v="Nausea"/>
    <n v="164"/>
    <n v="0"/>
    <s v="EGFR"/>
    <s v="Positive"/>
    <n v="2.34"/>
    <n v="3.32"/>
    <n v="9"/>
    <n v="16.2"/>
    <n v="13.7"/>
    <n v="150"/>
    <n v="1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8DCFE9-1657-4FFE-B200-A02A1EC91347}" name="PivotTable2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Trial Phase">
  <location ref="A247:B252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uccess_Indicator" fld="18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9AC628-5A5E-4107-A9C8-88E9B56054D5}" name="PivotTable2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Age Group">
  <location ref="A238:B243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</pivotFields>
  <rowFields count="1">
    <field x="2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Adverse_Events" fld="12" subtotal="count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CF5E2-E196-4479-B6CA-6CF3D116C6E9}" name="PivotTable2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Mutation">
  <location ref="A231:B234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Efficacy_Score" fld="23" subtotal="average" baseField="0" baseItem="0" numFmtId="2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51AF93-7420-4B1B-8EB9-553A2C771A30}" name="PivotTable2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Age Group">
  <location ref="A222:B227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</pivotFields>
  <rowFields count="1">
    <field x="2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uccess_Indicator" fld="18" subtotal="average" baseField="0" baseItem="0" numFmtId="9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7B7E3-0E55-4FA6-B0CC-6D1E56354810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>
  <location ref="A3:B8" firstHeaderRow="1" firstDataRow="1" firstDataCol="1"/>
  <pivotFields count="2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</pivotFields>
  <rowFields count="1">
    <field x="2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BBDA0B-85EA-4611-A568-2BF4CF229057}" name="PivotTable1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utation Status">
  <location ref="A133:F137" firstHeaderRow="1" firstDataRow="2" firstDataCol="1"/>
  <pivotFields count="29"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Efficacy_Score" fld="23" subtotal="average" baseField="2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F1E9EB-BA09-47FC-B379-D78BDBBF6BF7}" name="PivotTable2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Gender">
  <location ref="A206:B210" firstHeaderRow="1" firstDataRow="1" firstDataCol="1"/>
  <pivotFields count="29">
    <pivotField dataField="1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tient_ID" fld="0" subtotal="count" baseField="0" baseItem="0"/>
  </dataFields>
  <chartFormats count="4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E9EB0B-7906-498A-9EE2-62AC85F188F7}" name="PivotTable1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A150:F155" firstHeaderRow="1" firstDataRow="2" firstDataCol="1"/>
  <pivotFields count="29"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Survival_Rate" fld="24" subtotal="average" baseField="2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2A0276-31E1-4C0E-A53E-34244F6E2AE2}" name="PivotTable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Mutation Status">
  <location ref="A68:B71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Progression_Free_Survival" fld="25" subtotal="average" baseField="20" baseItem="0" numFmtId="2"/>
  </dataFields>
  <formats count="1">
    <format dxfId="27">
      <pivotArea outline="0" collapsedLevelsAreSubtotals="1" fieldPosition="0"/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F07FC6-FADE-493D-A78B-CB2F38D68A7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Drug">
  <location ref="A12:F18" firstHeaderRow="1" firstDataRow="2" firstDataCol="1"/>
  <pivotFields count="28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axis="axisCol"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atient_ID" fld="0" subtotal="count" baseField="0" baseItem="0"/>
  </dataFields>
  <chartFormats count="4"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288A8C-7DDD-4F84-90B3-2759F0B5F2FE}" name="PivotTable1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>
  <location ref="A159:E165" firstHeaderRow="1" firstDataRow="2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dataField="1"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</pivotFields>
  <rowFields count="1">
    <field x="28"/>
  </rowFields>
  <rowItems count="5">
    <i>
      <x/>
    </i>
    <i>
      <x v="1"/>
    </i>
    <i>
      <x v="2"/>
    </i>
    <i>
      <x v="3"/>
    </i>
    <i t="grand">
      <x/>
    </i>
  </rowItems>
  <colFields count="1">
    <field x="15"/>
  </colFields>
  <colItems count="4">
    <i>
      <x/>
    </i>
    <i>
      <x v="1"/>
    </i>
    <i>
      <x v="2"/>
    </i>
    <i t="grand">
      <x/>
    </i>
  </colItems>
  <dataFields count="1">
    <dataField name="Count of Side_Effects" fld="1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6A5E10-6EF1-4509-9791-E98453139371}" name="PivotTable1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rug Name">
  <location ref="A141:B146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Dose_Administered_Numeric" fld="27" subtotal="average" baseField="7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702C58-62AF-4296-979E-F4576400C6C2}" name="PivotTable1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Drug">
  <location ref="A96:B101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dataField="1" showAll="0">
      <items count="92">
        <item x="85"/>
        <item x="82"/>
        <item x="47"/>
        <item x="11"/>
        <item x="53"/>
        <item x="56"/>
        <item x="32"/>
        <item x="27"/>
        <item x="87"/>
        <item x="75"/>
        <item x="57"/>
        <item x="38"/>
        <item x="12"/>
        <item x="43"/>
        <item x="26"/>
        <item x="28"/>
        <item x="17"/>
        <item x="63"/>
        <item x="81"/>
        <item x="22"/>
        <item x="66"/>
        <item x="8"/>
        <item x="7"/>
        <item x="40"/>
        <item x="58"/>
        <item x="5"/>
        <item x="90"/>
        <item x="54"/>
        <item x="0"/>
        <item x="60"/>
        <item x="30"/>
        <item x="42"/>
        <item x="74"/>
        <item x="18"/>
        <item x="89"/>
        <item x="88"/>
        <item x="14"/>
        <item x="68"/>
        <item x="62"/>
        <item x="13"/>
        <item x="71"/>
        <item x="83"/>
        <item x="31"/>
        <item x="72"/>
        <item x="16"/>
        <item x="69"/>
        <item x="21"/>
        <item x="44"/>
        <item x="36"/>
        <item x="34"/>
        <item x="10"/>
        <item x="41"/>
        <item x="29"/>
        <item x="24"/>
        <item x="80"/>
        <item x="25"/>
        <item x="35"/>
        <item x="19"/>
        <item x="45"/>
        <item x="46"/>
        <item x="9"/>
        <item x="23"/>
        <item x="86"/>
        <item x="70"/>
        <item x="79"/>
        <item x="39"/>
        <item x="55"/>
        <item x="20"/>
        <item x="65"/>
        <item x="61"/>
        <item x="73"/>
        <item x="76"/>
        <item x="33"/>
        <item x="3"/>
        <item x="1"/>
        <item x="48"/>
        <item x="59"/>
        <item x="77"/>
        <item x="67"/>
        <item x="37"/>
        <item x="64"/>
        <item x="49"/>
        <item x="52"/>
        <item x="15"/>
        <item x="2"/>
        <item x="50"/>
        <item x="78"/>
        <item x="4"/>
        <item x="84"/>
        <item x="51"/>
        <item x="6"/>
        <item t="default"/>
      </items>
    </pivotField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fficacy_Score" fld="23" subtotal="average" baseField="7" baseItem="0" numFmtId="2"/>
  </dataFields>
  <formats count="1">
    <format dxfId="28">
      <pivotArea outline="0" collapsedLevelsAreSubtotals="1" fieldPosition="0"/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203FC0-3B6F-434C-8E7C-D4880B6B6270}" name="PivotTable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ose">
  <location ref="A50:E56" firstHeaderRow="1" firstDataRow="2" firstDataCol="1"/>
  <pivotFields count="2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</pivotFields>
  <rowFields count="1">
    <field x="26"/>
  </rowFields>
  <rowItems count="5">
    <i>
      <x/>
    </i>
    <i>
      <x v="1"/>
    </i>
    <i>
      <x v="2"/>
    </i>
    <i>
      <x v="3"/>
    </i>
    <i t="grand">
      <x/>
    </i>
  </rowItems>
  <colFields count="1">
    <field x="15"/>
  </colFields>
  <colItems count="4">
    <i>
      <x/>
    </i>
    <i>
      <x v="1"/>
    </i>
    <i>
      <x v="2"/>
    </i>
    <i t="grand">
      <x/>
    </i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E84107-A78B-49EC-A44E-0C4F928D5528}" name="PivotTable1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rug">
  <location ref="A123:F129" firstHeaderRow="1" firstDataRow="2" firstDataCol="1"/>
  <pivotFields count="29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Col" showAll="0">
      <items count="5">
        <item x="0"/>
        <item x="3"/>
        <item x="1"/>
        <item x="2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28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Efficacy_Score" fld="23" subtotal="average" baseField="7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60971C-56A3-44DA-945C-D1E4AF5E7F21}" name="PivotTable2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reatment Outcome">
  <location ref="A198:B202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Biomarker_Level" fld="22" subtotal="average" baseField="15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A6484E-F074-4D8B-8270-D553CE3FA436}" name="PivotTable1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>
  <location ref="A114:B119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</pivotFields>
  <rowFields count="1">
    <field x="2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fficacy_Score" fld="23" subtotal="average" baseField="28" baseItem="0" numFmtId="2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C6DA1F-DEF0-4D1D-AAD4-85DC3A07DAE6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gression Free Survival">
  <location ref="A179:B184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</pivotFields>
  <rowFields count="1">
    <field x="25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dverse_Events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59EE11-FEBF-4223-B645-3277C5B26D81}" name="PivotTable20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reatment Duration">
  <location ref="A188:B194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7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fficacy_Score" fld="23" subtotal="count" baseField="17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5CDC99-B55D-4AB9-B74A-7B4C8BB6A57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rug">
  <location ref="A22:E28" firstHeaderRow="1" firstDataRow="2" firstDataCol="1"/>
  <pivotFields count="28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15"/>
  </colFields>
  <colItems count="4">
    <i>
      <x/>
    </i>
    <i>
      <x v="1"/>
    </i>
    <i>
      <x v="2"/>
    </i>
    <i t="grand">
      <x/>
    </i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B19EF6-48FE-4C7B-8DDE-5F0FB016080F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ide Effects">
  <location ref="A32:F39" firstHeaderRow="1" firstDataRow="2" firstDataCol="1"/>
  <pivotFields count="29"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atient_ID" fld="0" subtotal="count" baseField="0" baseItem="0"/>
  </dataFields>
  <chartFormats count="4"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DB58E-7B3F-4581-8809-FC480ACC895C}" name="PivotTable9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thnicity">
  <location ref="A75:E82" firstHeaderRow="1" firstDataRow="2" firstDataCol="1"/>
  <pivotFields count="29">
    <pivotField dataField="1" showAll="0"/>
    <pivotField showAll="0"/>
    <pivotField showAll="0"/>
    <pivotField axis="axisRow" showAll="0">
      <items count="6">
        <item x="0"/>
        <item x="4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5"/>
  </colFields>
  <colItems count="4">
    <i>
      <x/>
    </i>
    <i>
      <x v="1"/>
    </i>
    <i>
      <x v="2"/>
    </i>
    <i t="grand">
      <x/>
    </i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1A4462-09B7-44AB-BE96-60A657562F44}" name="PivotTable19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e">
  <location ref="A169:C175" firstHeaderRow="0" firstDataRow="1" firstDataCol="1"/>
  <pivotFields count="29">
    <pivotField showAll="0"/>
    <pivotField showAll="0"/>
    <pivotField showAll="0"/>
    <pivotField showAll="0">
      <items count="6">
        <item x="0"/>
        <item x="4"/>
        <item x="2"/>
        <item x="3"/>
        <item x="1"/>
        <item t="default"/>
      </items>
    </pivotField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dataField="1" showAll="0"/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</pivotFields>
  <rowFields count="1">
    <field x="1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xpression_Level" fld="21" subtotal="average" baseField="19" baseItem="0" numFmtId="2"/>
    <dataField name="Average of Survival_Rate" fld="24" subtotal="average" baseField="19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71A08-490D-4558-81C2-2C94A128879E}" name="PivotTable10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>
  <location ref="A86:E92" firstHeaderRow="1" firstDataRow="2" firstDataCol="1"/>
  <pivotFields count="2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</pivotFields>
  <rowFields count="1">
    <field x="28"/>
  </rowFields>
  <rowItems count="5">
    <i>
      <x/>
    </i>
    <i>
      <x v="1"/>
    </i>
    <i>
      <x v="2"/>
    </i>
    <i>
      <x v="3"/>
    </i>
    <i t="grand">
      <x/>
    </i>
  </rowItems>
  <colFields count="1">
    <field x="15"/>
  </colFields>
  <colItems count="4">
    <i>
      <x/>
    </i>
    <i>
      <x v="1"/>
    </i>
    <i>
      <x v="2"/>
    </i>
    <i t="grand">
      <x/>
    </i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4B3C25-D8AA-4BF2-BB1F-8EC739AFCFBC}" name="PivotTable1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Drug">
  <location ref="A105:B110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gression_Free_Survival" fld="25" subtotal="average" baseField="7" baseItem="0" numFmtId="2"/>
  </dataFields>
  <formats count="1">
    <format dxfId="30">
      <pivotArea outline="0" collapsedLevelsAreSubtotals="1" fieldPosition="0"/>
    </format>
  </format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FDA714-30D3-4A98-A810-D02851772375}" name="PivotTable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utation Status">
  <location ref="A60:E64" firstHeaderRow="1" firstDataRow="2" firstDataCol="1"/>
  <pivotFields count="2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Fields count="1">
    <field x="15"/>
  </colFields>
  <colItems count="4">
    <i>
      <x/>
    </i>
    <i>
      <x v="1"/>
    </i>
    <i>
      <x v="2"/>
    </i>
    <i t="grand">
      <x/>
    </i>
  </colItems>
  <dataFields count="1">
    <dataField name="Count of Patien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9B253-9A63-400C-9F4E-F081C6C64134}" name="PivotTable2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Gender">
  <location ref="A214:B218" firstHeaderRow="1" firstDataRow="1" firstDataCol="1"/>
  <pivotFields count="29"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uccess_Indicator" fld="18" subtotal="average" baseField="0" baseItem="0" numFmtId="2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249AA26-FCDD-4DDC-97DC-F6C3CB2D9D21}" autoFormatId="16" applyNumberFormats="0" applyBorderFormats="0" applyFontFormats="0" applyPatternFormats="0" applyAlignmentFormats="0" applyWidthHeightFormats="0">
  <queryTableRefresh nextId="27">
    <queryTableFields count="26">
      <queryTableField id="1" name="Patient_ID" tableColumnId="1"/>
      <queryTableField id="2" name="Age" tableColumnId="2"/>
      <queryTableField id="3" name="Gender" tableColumnId="3"/>
      <queryTableField id="4" name="Ethnicity" tableColumnId="4"/>
      <queryTableField id="5" name="Medical_History" tableColumnId="5"/>
      <queryTableField id="6" name="Genomic_Profile" tableColumnId="6"/>
      <queryTableField id="7" name="Trial_ID" tableColumnId="7"/>
      <queryTableField id="8" name="Drug_Name" tableColumnId="8"/>
      <queryTableField id="9" name="Trial_Phase" tableColumnId="9"/>
      <queryTableField id="10" name="Start_Date" tableColumnId="10"/>
      <queryTableField id="11" name="End_Date" tableColumnId="11"/>
      <queryTableField id="12" name="Dose" tableColumnId="12"/>
      <queryTableField id="13" name="Adverse_Events" tableColumnId="13"/>
      <queryTableField id="14" name="Treatment_ID" tableColumnId="14"/>
      <queryTableField id="15" name="Dose_Administered" tableColumnId="15"/>
      <queryTableField id="16" name="Treatment_Outcome" tableColumnId="16"/>
      <queryTableField id="17" name="Side_Effects" tableColumnId="17"/>
      <queryTableField id="18" name="Duration_of_Treatment" tableColumnId="18"/>
      <queryTableField id="19" name="Success_Indicator" tableColumnId="19"/>
      <queryTableField id="20" name="Gene_Name" tableColumnId="20"/>
      <queryTableField id="21" name="Mutation_Status" tableColumnId="21"/>
      <queryTableField id="22" name="Expression_Level" tableColumnId="22"/>
      <queryTableField id="23" name="Biomarker_Level" tableColumnId="23"/>
      <queryTableField id="24" name="Efficacy_Score" tableColumnId="24"/>
      <queryTableField id="25" name="Survival_Rate" tableColumnId="25"/>
      <queryTableField id="26" name="Progression_Free_Survival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86DD3D-B77A-4B4D-992B-5C309E31359E}" autoFormatId="16" applyNumberFormats="0" applyBorderFormats="0" applyFontFormats="0" applyPatternFormats="0" applyAlignmentFormats="0" applyWidthHeightFormats="0">
  <queryTableRefresh nextId="36" unboundColumnsRight="9">
    <queryTableFields count="35">
      <queryTableField id="1" name="Patient_ID" tableColumnId="1"/>
      <queryTableField id="2" name="Age" tableColumnId="2"/>
      <queryTableField id="3" name="Gender" tableColumnId="3"/>
      <queryTableField id="4" name="Ethnicity" tableColumnId="4"/>
      <queryTableField id="5" name="Medical_History" tableColumnId="5"/>
      <queryTableField id="6" name="Genomic_Profile" tableColumnId="6"/>
      <queryTableField id="7" name="Trial_ID" tableColumnId="7"/>
      <queryTableField id="8" name="Drug_Name" tableColumnId="8"/>
      <queryTableField id="9" name="Trial_Phase" tableColumnId="9"/>
      <queryTableField id="10" name="Start_Date" tableColumnId="10"/>
      <queryTableField id="11" name="End_Date" tableColumnId="11"/>
      <queryTableField id="12" name="Dose" tableColumnId="12"/>
      <queryTableField id="13" name="Adverse_Events" tableColumnId="13"/>
      <queryTableField id="14" name="Treatment_ID" tableColumnId="14"/>
      <queryTableField id="15" name="Dose_Administered" tableColumnId="15"/>
      <queryTableField id="16" name="Treatment_Outcome" tableColumnId="16"/>
      <queryTableField id="17" name="Side_Effects" tableColumnId="17"/>
      <queryTableField id="18" name="Duration_of_Treatment" tableColumnId="18"/>
      <queryTableField id="19" name="Success_Indicator" tableColumnId="19"/>
      <queryTableField id="20" name="Gene_Name" tableColumnId="20"/>
      <queryTableField id="21" name="Mutation_Status" tableColumnId="21"/>
      <queryTableField id="22" name="Expression_Level" tableColumnId="22"/>
      <queryTableField id="23" name="Biomarker_Level" tableColumnId="23"/>
      <queryTableField id="24" name="Efficacy_Score" tableColumnId="24"/>
      <queryTableField id="25" name="Survival_Rate" tableColumnId="25"/>
      <queryTableField id="26" name="Progression_Free_Survival" tableColumnId="26"/>
      <queryTableField id="27" dataBound="0" tableColumnId="27"/>
      <queryTableField id="28" dataBound="0" tableColumnId="28"/>
      <queryTableField id="29" dataBound="0" tableColumnId="29"/>
      <queryTableField id="30" dataBound="0" tableColumnId="30"/>
      <queryTableField id="31" dataBound="0" tableColumnId="31"/>
      <queryTableField id="32" dataBound="0" tableColumnId="32"/>
      <queryTableField id="33" dataBound="0" tableColumnId="33"/>
      <queryTableField id="34" dataBound="0" tableColumnId="34"/>
      <queryTableField id="35" dataBound="0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0DE645-18A0-497F-A241-ADE911529123}" name="DACS19___Pfizer’s_Personalised_Medicine_in3" displayName="DACS19___Pfizer’s_Personalised_Medicine_in3" ref="A1:Z1001" tableType="queryTable" totalsRowShown="0">
  <autoFilter ref="A1:Z1001" xr:uid="{5A5D06D5-45DB-4137-A64C-75A1F7E317EB}"/>
  <tableColumns count="26">
    <tableColumn id="1" xr3:uid="{782AF349-EC25-421D-B3DA-888C4FF52D29}" uniqueName="1" name="Patient_ID" queryTableFieldId="1" dataDxfId="48"/>
    <tableColumn id="2" xr3:uid="{2CA902C9-FEA2-43AD-9E45-8444194FF02E}" uniqueName="2" name="Age" queryTableFieldId="2"/>
    <tableColumn id="3" xr3:uid="{DE54B898-0F30-481F-BF88-625445F88C4A}" uniqueName="3" name="Gender" queryTableFieldId="3" dataDxfId="47"/>
    <tableColumn id="4" xr3:uid="{8F2D04CD-9063-421B-8371-1A641D7676D2}" uniqueName="4" name="Ethnicity" queryTableFieldId="4" dataDxfId="46"/>
    <tableColumn id="5" xr3:uid="{2C5EAA33-3D24-45D6-BCE0-A9AFE0281468}" uniqueName="5" name="Medical_History" queryTableFieldId="5" dataDxfId="45"/>
    <tableColumn id="6" xr3:uid="{FC8044D4-30AF-466B-BBCE-D0C535B9CB3A}" uniqueName="6" name="Genomic_Profile" queryTableFieldId="6" dataDxfId="44"/>
    <tableColumn id="7" xr3:uid="{44B7C31B-D8E9-47ED-B16D-75805FB79133}" uniqueName="7" name="Trial_ID" queryTableFieldId="7" dataDxfId="43"/>
    <tableColumn id="8" xr3:uid="{5433471A-6606-4ECA-894E-F2E58667086F}" uniqueName="8" name="Drug_Name" queryTableFieldId="8" dataDxfId="42"/>
    <tableColumn id="9" xr3:uid="{C8A9D8CF-541E-4767-A341-94A62B0F49C3}" uniqueName="9" name="Trial_Phase" queryTableFieldId="9" dataDxfId="41"/>
    <tableColumn id="10" xr3:uid="{742C286B-1A13-4BBD-8431-FA70BA66390D}" uniqueName="10" name="Start_Date" queryTableFieldId="10" dataDxfId="40"/>
    <tableColumn id="11" xr3:uid="{227FD891-1D16-4A59-B1A2-8784F393FF8C}" uniqueName="11" name="End_Date" queryTableFieldId="11" dataDxfId="39"/>
    <tableColumn id="12" xr3:uid="{A40B7A20-A39C-4C27-BCA6-6193D4DC458B}" uniqueName="12" name="Dose" queryTableFieldId="12" dataDxfId="38"/>
    <tableColumn id="13" xr3:uid="{B24F2664-C96A-4C44-A89B-80CDC130A676}" uniqueName="13" name="Adverse_Events" queryTableFieldId="13" dataDxfId="37"/>
    <tableColumn id="14" xr3:uid="{F1CDE8FE-79DA-4172-947F-1B7A76DBA221}" uniqueName="14" name="Treatment_ID" queryTableFieldId="14" dataDxfId="36"/>
    <tableColumn id="15" xr3:uid="{8E8700F7-22F7-4BBB-9A7D-706270D53E01}" uniqueName="15" name="Dose_Administered" queryTableFieldId="15" dataDxfId="35"/>
    <tableColumn id="16" xr3:uid="{0171A81C-BED8-4832-ADC0-5CB4E092F802}" uniqueName="16" name="Treatment_Outcome" queryTableFieldId="16" dataDxfId="34"/>
    <tableColumn id="17" xr3:uid="{AC9854BB-37A0-4861-B66B-075235EF5D2E}" uniqueName="17" name="Side_Effects" queryTableFieldId="17" dataDxfId="33"/>
    <tableColumn id="18" xr3:uid="{EA93CFB2-C6E1-4B5B-9A4D-2B2D460460CE}" uniqueName="18" name="Duration_of_Treatment" queryTableFieldId="18"/>
    <tableColumn id="19" xr3:uid="{9906351E-FC14-43B2-BF99-4326832903FC}" uniqueName="19" name="Success_Indicator" queryTableFieldId="19"/>
    <tableColumn id="20" xr3:uid="{2ACE03DD-2916-4C2D-9A46-62B9DC64D524}" uniqueName="20" name="Gene_Name" queryTableFieldId="20" dataDxfId="32"/>
    <tableColumn id="21" xr3:uid="{A8223382-1667-4666-9049-8FED5F7ABBA9}" uniqueName="21" name="Mutation_Status" queryTableFieldId="21" dataDxfId="31"/>
    <tableColumn id="22" xr3:uid="{90B704C8-9984-44BD-90CC-CA3D6A1C1FEF}" uniqueName="22" name="Expression_Level" queryTableFieldId="22"/>
    <tableColumn id="23" xr3:uid="{AFEFCC3A-31DE-498D-BC79-9ADE742CB896}" uniqueName="23" name="Biomarker_Level" queryTableFieldId="23"/>
    <tableColumn id="24" xr3:uid="{0E0E616E-0D15-43C2-8277-529C055CEBCB}" uniqueName="24" name="Efficacy_Score" queryTableFieldId="24"/>
    <tableColumn id="25" xr3:uid="{AB988601-398A-41BC-8772-3F88E6A7D91A}" uniqueName="25" name="Survival_Rate" queryTableFieldId="25"/>
    <tableColumn id="26" xr3:uid="{68E98DD8-9D4D-4F95-834F-BB17CBA038D3}" uniqueName="26" name="Progression_Free_Survival" queryTableField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5D06D5-45DB-4137-A64C-75A1F7E317EB}" name="DACS19___Pfizer’s_Personalised_Medicine_in" displayName="DACS19___Pfizer’s_Personalised_Medicine_in" ref="A1:AI1001" tableType="queryTable" totalsRowShown="0">
  <autoFilter ref="A1:AI1001" xr:uid="{5A5D06D5-45DB-4137-A64C-75A1F7E317EB}"/>
  <tableColumns count="35">
    <tableColumn id="1" xr3:uid="{2CACD37E-478D-4FA0-871F-A1D116D09B3F}" uniqueName="1" name="Patient_ID" queryTableFieldId="1" dataDxfId="26"/>
    <tableColumn id="2" xr3:uid="{B90F9DAB-070B-4E40-9C2F-BCF2B40034FA}" uniqueName="2" name="Age" queryTableFieldId="2"/>
    <tableColumn id="3" xr3:uid="{B1780529-A284-4B4A-8DE0-8C799E007DAA}" uniqueName="3" name="Gender" queryTableFieldId="3" dataDxfId="25"/>
    <tableColumn id="4" xr3:uid="{4B2875A9-87E5-426A-AC79-06839479E0C1}" uniqueName="4" name="Ethnicity" queryTableFieldId="4" dataDxfId="24"/>
    <tableColumn id="5" xr3:uid="{9D09B0D5-A065-47F8-9E5A-CFDAEC20A5C3}" uniqueName="5" name="Medical_History" queryTableFieldId="5" dataDxfId="23"/>
    <tableColumn id="6" xr3:uid="{8B002072-7F4E-47F4-98C8-F6C7D75DDF63}" uniqueName="6" name="Genomic_Profile" queryTableFieldId="6" dataDxfId="22"/>
    <tableColumn id="7" xr3:uid="{0FD04A66-B2C6-4FF5-9C73-E96786A39451}" uniqueName="7" name="Trial_ID" queryTableFieldId="7" dataDxfId="21"/>
    <tableColumn id="8" xr3:uid="{8DA75DAF-7279-413A-B244-944C4ECFB2D3}" uniqueName="8" name="Drug_Name" queryTableFieldId="8" dataDxfId="20"/>
    <tableColumn id="9" xr3:uid="{8D3DC7FE-D838-43AA-A3E4-04835357E78B}" uniqueName="9" name="Trial_Phase" queryTableFieldId="9" dataDxfId="19"/>
    <tableColumn id="10" xr3:uid="{E9B31C8C-535F-4F84-818C-D5DB6D135DB1}" uniqueName="10" name="Start_Date" queryTableFieldId="10" dataDxfId="18"/>
    <tableColumn id="11" xr3:uid="{7F03BBFC-7471-472A-AA36-62F84171E1A4}" uniqueName="11" name="End_Date" queryTableFieldId="11" dataDxfId="17"/>
    <tableColumn id="12" xr3:uid="{78DB588D-E1E6-432F-99D5-12BA95435707}" uniqueName="12" name="Dose" queryTableFieldId="12" dataDxfId="16"/>
    <tableColumn id="13" xr3:uid="{2D3A1F8A-A383-46BD-817B-6BE81682ABD3}" uniqueName="13" name="Adverse_Events" queryTableFieldId="13" dataDxfId="15"/>
    <tableColumn id="14" xr3:uid="{0445FED4-47CA-4B4A-A526-41111839FD7B}" uniqueName="14" name="Treatment_ID" queryTableFieldId="14" dataDxfId="14"/>
    <tableColumn id="15" xr3:uid="{993D7DB3-0DE4-482E-965A-5F4D3E354FFE}" uniqueName="15" name="Dose_Administered" queryTableFieldId="15" dataDxfId="13"/>
    <tableColumn id="16" xr3:uid="{6B8054DA-89D6-4E43-8130-5B2775A72599}" uniqueName="16" name="Treatment_Outcome" queryTableFieldId="16" dataDxfId="12"/>
    <tableColumn id="17" xr3:uid="{946370BE-D9A4-4ECE-9623-C69A7A55FA64}" uniqueName="17" name="Side_Effects" queryTableFieldId="17" dataDxfId="11"/>
    <tableColumn id="18" xr3:uid="{01756D43-4F7F-4AF5-87D3-677280E57A2B}" uniqueName="18" name="Duration_of_Treatment" queryTableFieldId="18"/>
    <tableColumn id="19" xr3:uid="{1789E723-E9B9-4F95-9C66-528D86D91909}" uniqueName="19" name="Success_Indicator" queryTableFieldId="19"/>
    <tableColumn id="20" xr3:uid="{51607204-E8C1-4CBE-A12C-61039BA34071}" uniqueName="20" name="Gene_Name" queryTableFieldId="20" dataDxfId="10"/>
    <tableColumn id="21" xr3:uid="{20D17BAB-381D-45F5-AD89-AFB94C870C3E}" uniqueName="21" name="Mutation_Status" queryTableFieldId="21" dataDxfId="9"/>
    <tableColumn id="22" xr3:uid="{01308AE1-21C6-4E86-9C48-3D7A952A5C57}" uniqueName="22" name="Expression_Level" queryTableFieldId="22"/>
    <tableColumn id="23" xr3:uid="{42C26179-6054-43B7-8071-F66E4A0268D0}" uniqueName="23" name="Biomarker_Level" queryTableFieldId="23"/>
    <tableColumn id="24" xr3:uid="{4CB42EBD-EC21-4ED7-9E41-F1B39E8AD7C7}" uniqueName="24" name="Efficacy_Score" queryTableFieldId="24"/>
    <tableColumn id="25" xr3:uid="{B51DA2FC-D461-4BC5-9843-94BA27C965D6}" uniqueName="25" name="Survival_Rate" queryTableFieldId="25"/>
    <tableColumn id="26" xr3:uid="{6B1A4B9E-37AF-4D5C-84B4-A215C16FD5E9}" uniqueName="26" name="Progression_Free_Survival" queryTableFieldId="26"/>
    <tableColumn id="27" xr3:uid="{CC976895-95E5-44A7-AE69-37F156C3B05A}" uniqueName="27" name="Dose_Numeric" queryTableFieldId="27" dataDxfId="8">
      <calculatedColumnFormula>VALUE(SUBSTITUTE(DACS19___Pfizer’s_Personalised_Medicine_in[[#This Row],[Dose]],"mg",""))</calculatedColumnFormula>
    </tableColumn>
    <tableColumn id="28" xr3:uid="{4CDC594F-69A8-475C-8EE4-0F0B73698696}" uniqueName="28" name="Dose_Administered_Numeric" queryTableFieldId="28" dataDxfId="7">
      <calculatedColumnFormula>VALUE(SUBSTITUTE(O2,"mg",""))</calculatedColumnFormula>
    </tableColumn>
    <tableColumn id="29" xr3:uid="{11005AD9-C91D-4408-8981-FDD603E51BD7}" uniqueName="29" name="Side_Effects2" queryTableFieldId="29" dataDxfId="6"/>
    <tableColumn id="30" xr3:uid="{2F302A94-4CC6-4A09-8A54-B247E9B6B805}" uniqueName="30" name="Side_Effects_Numeric" queryTableFieldId="30" dataDxfId="5">
      <calculatedColumnFormula>IF(Q2="","",IF(Q2="Dizziness",1,IF(Q2="Fatigue",2,IF(Q2="Headache",3,IF(Q2="Nausea",4,IF(Q2="Not Reported",0,""))))))</calculatedColumnFormula>
    </tableColumn>
    <tableColumn id="31" xr3:uid="{F7FE5A64-3901-44AD-8F0D-3E801EA4BC01}" uniqueName="31" name="Treatment_Outcome_Numeric" queryTableFieldId="31" dataDxfId="4">
      <calculatedColumnFormula>IF(P2="Deteriorated",1,IF(P2="No Change",2,IF(P2="Improved",3,0)))</calculatedColumnFormula>
    </tableColumn>
    <tableColumn id="32" xr3:uid="{7093FA47-04EF-4EC1-ACFA-D7E70FEEE28F}" uniqueName="32" name="Drug_A_Biomarker" queryTableFieldId="32" dataDxfId="3">
      <calculatedColumnFormula>IF($H2="DrugA",$W2,NA())</calculatedColumnFormula>
    </tableColumn>
    <tableColumn id="33" xr3:uid="{DF00BCE8-0F2A-48C4-9564-64EFEE45D590}" uniqueName="33" name="Drug_B_Biomarker" queryTableFieldId="33" dataDxfId="2">
      <calculatedColumnFormula>IF($H2="DrugB",$W2,NA())</calculatedColumnFormula>
    </tableColumn>
    <tableColumn id="34" xr3:uid="{4BCE6EFD-39DE-4689-9FFC-9EDE3EE7C407}" uniqueName="34" name="Drug_C_Biomarker" queryTableFieldId="34" dataDxfId="1">
      <calculatedColumnFormula>IF($H2="DrugC",$W2,NA())</calculatedColumnFormula>
    </tableColumn>
    <tableColumn id="35" xr3:uid="{B57DF449-DA6A-4FD3-AAFA-B2BECC23CD0E}" uniqueName="35" name="Drug_D_Biomarker" queryTableFieldId="35" dataDxfId="0">
      <calculatedColumnFormula>IF($H2="DrugD",$W2,NA())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ivotTable" Target="../pivotTables/pivotTable26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pivotTable" Target="../pivotTables/pivotTable27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0DB3-11E9-462B-AD7C-9766F17C644C}">
  <dimension ref="A1:Z1001"/>
  <sheetViews>
    <sheetView workbookViewId="0">
      <selection activeCell="G12" sqref="G12"/>
    </sheetView>
  </sheetViews>
  <sheetFormatPr defaultRowHeight="14.25" x14ac:dyDescent="0.45"/>
  <cols>
    <col min="1" max="1" width="11.3984375" bestFit="1" customWidth="1"/>
    <col min="2" max="2" width="6.06640625" bestFit="1" customWidth="1"/>
    <col min="3" max="3" width="8.9296875" bestFit="1" customWidth="1"/>
    <col min="4" max="4" width="14.33203125" bestFit="1" customWidth="1"/>
    <col min="5" max="5" width="16.1328125" bestFit="1" customWidth="1"/>
    <col min="6" max="6" width="16.3984375" bestFit="1" customWidth="1"/>
    <col min="8" max="8" width="12.53125" bestFit="1" customWidth="1"/>
    <col min="9" max="9" width="12.1328125" bestFit="1" customWidth="1"/>
    <col min="10" max="10" width="11.53125" bestFit="1" customWidth="1"/>
    <col min="11" max="11" width="10.73046875" bestFit="1" customWidth="1"/>
    <col min="12" max="12" width="7" bestFit="1" customWidth="1"/>
    <col min="13" max="13" width="23.33203125" bestFit="1" customWidth="1"/>
    <col min="14" max="14" width="14.1328125" bestFit="1" customWidth="1"/>
    <col min="15" max="15" width="19.1328125" bestFit="1" customWidth="1"/>
    <col min="16" max="16" width="20.06640625" bestFit="1" customWidth="1"/>
    <col min="17" max="17" width="12.73046875" bestFit="1" customWidth="1"/>
    <col min="18" max="18" width="22.265625" bestFit="1" customWidth="1"/>
    <col min="19" max="19" width="17.3984375" bestFit="1" customWidth="1"/>
    <col min="20" max="20" width="12.9296875" bestFit="1" customWidth="1"/>
    <col min="21" max="21" width="16.59765625" bestFit="1" customWidth="1"/>
    <col min="22" max="22" width="16.86328125" bestFit="1" customWidth="1"/>
    <col min="23" max="23" width="16.53125" bestFit="1" customWidth="1"/>
    <col min="24" max="24" width="14.3984375" bestFit="1" customWidth="1"/>
    <col min="25" max="25" width="13.9296875" bestFit="1" customWidth="1"/>
    <col min="26" max="26" width="24.46484375" bestFit="1" customWidth="1"/>
  </cols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5">
      <c r="A2" t="s">
        <v>26</v>
      </c>
      <c r="B2">
        <v>22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36</v>
      </c>
      <c r="P2" t="s">
        <v>39</v>
      </c>
      <c r="Q2" t="s">
        <v>40</v>
      </c>
      <c r="R2">
        <v>95</v>
      </c>
      <c r="S2">
        <v>1</v>
      </c>
      <c r="T2" t="s">
        <v>41</v>
      </c>
      <c r="U2" t="s">
        <v>42</v>
      </c>
      <c r="V2">
        <v>3.79</v>
      </c>
      <c r="W2">
        <v>3.14</v>
      </c>
      <c r="X2">
        <v>3.8</v>
      </c>
      <c r="Y2">
        <v>20.6</v>
      </c>
      <c r="Z2">
        <v>14.6</v>
      </c>
    </row>
    <row r="3" spans="1:26" x14ac:dyDescent="0.45">
      <c r="A3" t="s">
        <v>43</v>
      </c>
      <c r="B3">
        <v>61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32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t="s">
        <v>52</v>
      </c>
      <c r="P3" t="s">
        <v>55</v>
      </c>
      <c r="Q3" t="s">
        <v>40</v>
      </c>
      <c r="R3">
        <v>90</v>
      </c>
      <c r="S3">
        <v>0</v>
      </c>
      <c r="T3" t="s">
        <v>56</v>
      </c>
      <c r="U3" t="s">
        <v>57</v>
      </c>
      <c r="V3">
        <v>1.65</v>
      </c>
      <c r="W3">
        <v>4.6399999999999997</v>
      </c>
      <c r="X3">
        <v>8.4</v>
      </c>
      <c r="Y3">
        <v>23.1</v>
      </c>
      <c r="Z3">
        <v>15.3</v>
      </c>
    </row>
    <row r="4" spans="1:26" x14ac:dyDescent="0.45">
      <c r="A4" t="s">
        <v>58</v>
      </c>
      <c r="B4">
        <v>60</v>
      </c>
      <c r="C4" t="s">
        <v>44</v>
      </c>
      <c r="D4" t="s">
        <v>45</v>
      </c>
      <c r="E4" t="s">
        <v>29</v>
      </c>
      <c r="F4" t="s">
        <v>59</v>
      </c>
      <c r="G4" t="s">
        <v>60</v>
      </c>
      <c r="H4" t="s">
        <v>61</v>
      </c>
      <c r="I4" t="s">
        <v>49</v>
      </c>
      <c r="J4" t="s">
        <v>62</v>
      </c>
      <c r="K4" t="s">
        <v>63</v>
      </c>
      <c r="L4" t="s">
        <v>64</v>
      </c>
      <c r="M4" t="s">
        <v>65</v>
      </c>
      <c r="N4" t="s">
        <v>66</v>
      </c>
      <c r="O4" t="s">
        <v>64</v>
      </c>
      <c r="P4" t="s">
        <v>39</v>
      </c>
      <c r="Q4" t="s">
        <v>67</v>
      </c>
      <c r="R4">
        <v>64</v>
      </c>
      <c r="S4">
        <v>1</v>
      </c>
      <c r="T4" t="s">
        <v>56</v>
      </c>
      <c r="U4" t="s">
        <v>42</v>
      </c>
      <c r="V4">
        <v>3.45</v>
      </c>
      <c r="W4">
        <v>2.67</v>
      </c>
      <c r="X4">
        <v>9.4</v>
      </c>
      <c r="Y4">
        <v>21.6</v>
      </c>
      <c r="Z4">
        <v>3.8</v>
      </c>
    </row>
    <row r="5" spans="1:26" x14ac:dyDescent="0.45">
      <c r="A5" t="s">
        <v>68</v>
      </c>
      <c r="B5">
        <v>76</v>
      </c>
      <c r="C5" t="s">
        <v>45</v>
      </c>
      <c r="D5" t="s">
        <v>45</v>
      </c>
      <c r="E5" t="s">
        <v>30</v>
      </c>
      <c r="F5" t="s">
        <v>69</v>
      </c>
      <c r="G5" t="s">
        <v>70</v>
      </c>
      <c r="H5" t="s">
        <v>71</v>
      </c>
      <c r="I5" t="s">
        <v>72</v>
      </c>
      <c r="J5" t="s">
        <v>73</v>
      </c>
      <c r="K5" t="s">
        <v>74</v>
      </c>
      <c r="L5" t="s">
        <v>64</v>
      </c>
      <c r="M5" t="s">
        <v>75</v>
      </c>
      <c r="N5" t="s">
        <v>76</v>
      </c>
      <c r="O5" t="s">
        <v>64</v>
      </c>
      <c r="P5" t="s">
        <v>39</v>
      </c>
      <c r="Q5" t="s">
        <v>75</v>
      </c>
      <c r="R5">
        <v>159</v>
      </c>
      <c r="S5">
        <v>1</v>
      </c>
      <c r="T5" t="s">
        <v>41</v>
      </c>
      <c r="U5" t="s">
        <v>42</v>
      </c>
      <c r="V5">
        <v>1.1100000000000001</v>
      </c>
      <c r="W5">
        <v>2.5099999999999998</v>
      </c>
      <c r="X5">
        <v>8.3000000000000007</v>
      </c>
      <c r="Y5">
        <v>23.8</v>
      </c>
      <c r="Z5">
        <v>5.6</v>
      </c>
    </row>
    <row r="6" spans="1:26" x14ac:dyDescent="0.45">
      <c r="A6" t="s">
        <v>77</v>
      </c>
      <c r="B6">
        <v>39</v>
      </c>
      <c r="C6" t="s">
        <v>44</v>
      </c>
      <c r="D6" t="s">
        <v>45</v>
      </c>
      <c r="E6" t="s">
        <v>78</v>
      </c>
      <c r="F6" t="s">
        <v>79</v>
      </c>
      <c r="G6" t="s">
        <v>80</v>
      </c>
      <c r="H6" t="s">
        <v>81</v>
      </c>
      <c r="I6" t="s">
        <v>49</v>
      </c>
      <c r="J6" t="s">
        <v>82</v>
      </c>
      <c r="K6" t="s">
        <v>83</v>
      </c>
      <c r="L6" t="s">
        <v>36</v>
      </c>
      <c r="M6" t="s">
        <v>75</v>
      </c>
      <c r="N6" t="s">
        <v>84</v>
      </c>
      <c r="O6" t="s">
        <v>36</v>
      </c>
      <c r="P6" t="s">
        <v>55</v>
      </c>
      <c r="Q6" t="s">
        <v>75</v>
      </c>
      <c r="R6">
        <v>44</v>
      </c>
      <c r="S6">
        <v>0</v>
      </c>
      <c r="T6" t="s">
        <v>85</v>
      </c>
      <c r="U6" t="s">
        <v>57</v>
      </c>
      <c r="V6">
        <v>3.38</v>
      </c>
      <c r="W6">
        <v>2.52</v>
      </c>
      <c r="X6">
        <v>9.6999999999999993</v>
      </c>
      <c r="Y6">
        <v>21.2</v>
      </c>
      <c r="Z6">
        <v>17.3</v>
      </c>
    </row>
    <row r="7" spans="1:26" x14ac:dyDescent="0.45">
      <c r="A7" t="s">
        <v>86</v>
      </c>
      <c r="B7">
        <v>57</v>
      </c>
      <c r="C7" t="s">
        <v>45</v>
      </c>
      <c r="D7" t="s">
        <v>87</v>
      </c>
      <c r="E7" t="s">
        <v>78</v>
      </c>
      <c r="F7" t="s">
        <v>88</v>
      </c>
      <c r="G7" t="s">
        <v>89</v>
      </c>
      <c r="H7" t="s">
        <v>61</v>
      </c>
      <c r="I7" t="s">
        <v>49</v>
      </c>
      <c r="J7" t="s">
        <v>90</v>
      </c>
      <c r="K7" t="s">
        <v>91</v>
      </c>
      <c r="L7" t="s">
        <v>92</v>
      </c>
      <c r="M7" t="s">
        <v>40</v>
      </c>
      <c r="N7" t="s">
        <v>93</v>
      </c>
      <c r="O7" t="s">
        <v>92</v>
      </c>
      <c r="P7" t="s">
        <v>55</v>
      </c>
      <c r="Q7" t="s">
        <v>40</v>
      </c>
      <c r="R7">
        <v>76</v>
      </c>
      <c r="S7">
        <v>0</v>
      </c>
      <c r="T7" t="s">
        <v>41</v>
      </c>
      <c r="U7" t="s">
        <v>57</v>
      </c>
      <c r="V7">
        <v>2.87</v>
      </c>
      <c r="W7">
        <v>2.66</v>
      </c>
      <c r="X7">
        <v>3.5</v>
      </c>
      <c r="Y7">
        <v>7</v>
      </c>
      <c r="Z7">
        <v>17.7</v>
      </c>
    </row>
    <row r="8" spans="1:26" x14ac:dyDescent="0.45">
      <c r="A8" t="s">
        <v>94</v>
      </c>
      <c r="B8">
        <v>65</v>
      </c>
      <c r="C8" t="s">
        <v>44</v>
      </c>
      <c r="D8" t="s">
        <v>95</v>
      </c>
      <c r="E8" t="s">
        <v>78</v>
      </c>
      <c r="F8" t="s">
        <v>69</v>
      </c>
      <c r="G8" t="s">
        <v>96</v>
      </c>
      <c r="H8" t="s">
        <v>32</v>
      </c>
      <c r="I8" t="s">
        <v>49</v>
      </c>
      <c r="J8" t="s">
        <v>97</v>
      </c>
      <c r="K8" t="s">
        <v>98</v>
      </c>
      <c r="L8" t="s">
        <v>52</v>
      </c>
      <c r="M8" t="s">
        <v>99</v>
      </c>
      <c r="N8" t="s">
        <v>100</v>
      </c>
      <c r="O8" t="s">
        <v>52</v>
      </c>
      <c r="P8" t="s">
        <v>55</v>
      </c>
      <c r="Q8" t="s">
        <v>75</v>
      </c>
      <c r="R8">
        <v>138</v>
      </c>
      <c r="S8">
        <v>0</v>
      </c>
      <c r="T8" t="s">
        <v>85</v>
      </c>
      <c r="U8" t="s">
        <v>57</v>
      </c>
      <c r="V8">
        <v>4.25</v>
      </c>
      <c r="W8">
        <v>5</v>
      </c>
      <c r="X8">
        <v>10</v>
      </c>
      <c r="Y8">
        <v>16</v>
      </c>
      <c r="Z8">
        <v>16.100000000000001</v>
      </c>
    </row>
    <row r="9" spans="1:26" x14ac:dyDescent="0.45">
      <c r="A9" t="s">
        <v>101</v>
      </c>
      <c r="B9">
        <v>47</v>
      </c>
      <c r="C9" t="s">
        <v>27</v>
      </c>
      <c r="D9" t="s">
        <v>95</v>
      </c>
      <c r="E9" t="s">
        <v>30</v>
      </c>
      <c r="F9" t="s">
        <v>79</v>
      </c>
      <c r="G9" t="s">
        <v>102</v>
      </c>
      <c r="H9" t="s">
        <v>61</v>
      </c>
      <c r="I9" t="s">
        <v>33</v>
      </c>
      <c r="J9" t="s">
        <v>103</v>
      </c>
      <c r="K9" t="s">
        <v>104</v>
      </c>
      <c r="L9" t="s">
        <v>92</v>
      </c>
      <c r="M9" t="s">
        <v>75</v>
      </c>
      <c r="N9" t="s">
        <v>93</v>
      </c>
      <c r="O9" t="s">
        <v>92</v>
      </c>
      <c r="P9" t="s">
        <v>55</v>
      </c>
      <c r="Q9" t="s">
        <v>75</v>
      </c>
      <c r="R9">
        <v>42</v>
      </c>
      <c r="S9">
        <v>0</v>
      </c>
      <c r="T9" t="s">
        <v>41</v>
      </c>
      <c r="U9" t="s">
        <v>42</v>
      </c>
      <c r="V9">
        <v>4.78</v>
      </c>
      <c r="W9">
        <v>4.4000000000000004</v>
      </c>
      <c r="X9">
        <v>3.2</v>
      </c>
      <c r="Y9">
        <v>14.1</v>
      </c>
      <c r="Z9">
        <v>5.2</v>
      </c>
    </row>
    <row r="10" spans="1:26" x14ac:dyDescent="0.45">
      <c r="A10" t="s">
        <v>105</v>
      </c>
      <c r="B10">
        <v>69</v>
      </c>
      <c r="C10" t="s">
        <v>44</v>
      </c>
      <c r="D10" t="s">
        <v>106</v>
      </c>
      <c r="E10" t="s">
        <v>29</v>
      </c>
      <c r="F10" t="s">
        <v>88</v>
      </c>
      <c r="G10" t="s">
        <v>96</v>
      </c>
      <c r="H10" t="s">
        <v>32</v>
      </c>
      <c r="I10" t="s">
        <v>72</v>
      </c>
      <c r="J10" t="s">
        <v>107</v>
      </c>
      <c r="K10" t="s">
        <v>108</v>
      </c>
      <c r="L10" t="s">
        <v>64</v>
      </c>
      <c r="M10" t="s">
        <v>30</v>
      </c>
      <c r="N10" t="s">
        <v>109</v>
      </c>
      <c r="O10" t="s">
        <v>64</v>
      </c>
      <c r="P10" t="s">
        <v>110</v>
      </c>
      <c r="Q10" t="s">
        <v>75</v>
      </c>
      <c r="R10">
        <v>86</v>
      </c>
      <c r="S10">
        <v>0</v>
      </c>
      <c r="T10" t="s">
        <v>56</v>
      </c>
      <c r="U10" t="s">
        <v>57</v>
      </c>
      <c r="V10">
        <v>4.82</v>
      </c>
      <c r="W10">
        <v>3.42</v>
      </c>
      <c r="X10">
        <v>3.1</v>
      </c>
      <c r="Y10">
        <v>18.100000000000001</v>
      </c>
      <c r="Z10">
        <v>13.5</v>
      </c>
    </row>
    <row r="11" spans="1:26" x14ac:dyDescent="0.45">
      <c r="A11" t="s">
        <v>111</v>
      </c>
      <c r="B11">
        <v>53</v>
      </c>
      <c r="C11" t="s">
        <v>27</v>
      </c>
      <c r="D11" t="s">
        <v>45</v>
      </c>
      <c r="E11" t="s">
        <v>29</v>
      </c>
      <c r="F11" t="s">
        <v>30</v>
      </c>
      <c r="G11" t="s">
        <v>112</v>
      </c>
      <c r="H11" t="s">
        <v>81</v>
      </c>
      <c r="I11" t="s">
        <v>33</v>
      </c>
      <c r="J11" t="s">
        <v>113</v>
      </c>
      <c r="K11" t="s">
        <v>114</v>
      </c>
      <c r="L11" t="s">
        <v>36</v>
      </c>
      <c r="M11" t="s">
        <v>115</v>
      </c>
      <c r="N11" t="s">
        <v>116</v>
      </c>
      <c r="O11" t="s">
        <v>36</v>
      </c>
      <c r="P11" t="s">
        <v>55</v>
      </c>
      <c r="Q11" t="s">
        <v>40</v>
      </c>
      <c r="R11">
        <v>77</v>
      </c>
      <c r="S11">
        <v>0</v>
      </c>
      <c r="T11" t="s">
        <v>85</v>
      </c>
      <c r="U11" t="s">
        <v>57</v>
      </c>
      <c r="V11">
        <v>2.4300000000000002</v>
      </c>
      <c r="W11">
        <v>1.45</v>
      </c>
      <c r="X11">
        <v>7</v>
      </c>
      <c r="Y11">
        <v>15.4</v>
      </c>
      <c r="Z11">
        <v>16.100000000000001</v>
      </c>
    </row>
    <row r="12" spans="1:26" x14ac:dyDescent="0.45">
      <c r="A12" t="s">
        <v>117</v>
      </c>
      <c r="B12">
        <v>48</v>
      </c>
      <c r="C12" t="s">
        <v>27</v>
      </c>
      <c r="D12" t="s">
        <v>28</v>
      </c>
      <c r="E12" t="s">
        <v>46</v>
      </c>
      <c r="F12" t="s">
        <v>30</v>
      </c>
      <c r="G12" t="s">
        <v>118</v>
      </c>
      <c r="H12" t="s">
        <v>81</v>
      </c>
      <c r="I12" t="s">
        <v>33</v>
      </c>
      <c r="J12" t="s">
        <v>119</v>
      </c>
      <c r="K12" t="s">
        <v>120</v>
      </c>
      <c r="L12" t="s">
        <v>52</v>
      </c>
      <c r="M12" t="s">
        <v>121</v>
      </c>
      <c r="N12" t="s">
        <v>122</v>
      </c>
      <c r="O12" t="s">
        <v>52</v>
      </c>
      <c r="P12" t="s">
        <v>39</v>
      </c>
      <c r="Q12" t="s">
        <v>40</v>
      </c>
      <c r="R12">
        <v>124</v>
      </c>
      <c r="S12">
        <v>1</v>
      </c>
      <c r="T12" t="s">
        <v>123</v>
      </c>
      <c r="U12" t="s">
        <v>42</v>
      </c>
      <c r="V12">
        <v>3.08</v>
      </c>
      <c r="W12">
        <v>4.41</v>
      </c>
      <c r="X12">
        <v>6</v>
      </c>
      <c r="Y12">
        <v>16.100000000000001</v>
      </c>
      <c r="Z12">
        <v>17.899999999999999</v>
      </c>
    </row>
    <row r="13" spans="1:26" x14ac:dyDescent="0.45">
      <c r="A13" t="s">
        <v>124</v>
      </c>
      <c r="B13">
        <v>24</v>
      </c>
      <c r="C13" t="s">
        <v>44</v>
      </c>
      <c r="D13" t="s">
        <v>95</v>
      </c>
      <c r="E13" t="s">
        <v>29</v>
      </c>
      <c r="F13" t="s">
        <v>30</v>
      </c>
      <c r="G13" t="s">
        <v>125</v>
      </c>
      <c r="H13" t="s">
        <v>71</v>
      </c>
      <c r="I13" t="s">
        <v>72</v>
      </c>
      <c r="J13" t="s">
        <v>126</v>
      </c>
      <c r="K13" t="s">
        <v>127</v>
      </c>
      <c r="L13" t="s">
        <v>64</v>
      </c>
      <c r="M13" t="s">
        <v>67</v>
      </c>
      <c r="N13" t="s">
        <v>128</v>
      </c>
      <c r="O13" t="s">
        <v>64</v>
      </c>
      <c r="P13" t="s">
        <v>110</v>
      </c>
      <c r="Q13" t="s">
        <v>129</v>
      </c>
      <c r="R13">
        <v>152</v>
      </c>
      <c r="S13">
        <v>0</v>
      </c>
      <c r="T13" t="s">
        <v>41</v>
      </c>
      <c r="U13" t="s">
        <v>42</v>
      </c>
      <c r="V13">
        <v>2.61</v>
      </c>
      <c r="W13">
        <v>1.54</v>
      </c>
      <c r="X13">
        <v>1.3</v>
      </c>
      <c r="Y13">
        <v>19.600000000000001</v>
      </c>
      <c r="Z13">
        <v>13.5</v>
      </c>
    </row>
    <row r="14" spans="1:26" x14ac:dyDescent="0.45">
      <c r="A14" t="s">
        <v>130</v>
      </c>
      <c r="B14">
        <v>68</v>
      </c>
      <c r="C14" t="s">
        <v>27</v>
      </c>
      <c r="D14" t="s">
        <v>45</v>
      </c>
      <c r="E14" t="s">
        <v>30</v>
      </c>
      <c r="F14" t="s">
        <v>30</v>
      </c>
      <c r="G14" t="s">
        <v>131</v>
      </c>
      <c r="H14" t="s">
        <v>81</v>
      </c>
      <c r="I14" t="s">
        <v>132</v>
      </c>
      <c r="J14" t="s">
        <v>133</v>
      </c>
      <c r="K14" t="s">
        <v>134</v>
      </c>
      <c r="L14" t="s">
        <v>36</v>
      </c>
      <c r="M14" t="s">
        <v>135</v>
      </c>
      <c r="N14" t="s">
        <v>136</v>
      </c>
      <c r="O14" t="s">
        <v>36</v>
      </c>
      <c r="P14" t="s">
        <v>55</v>
      </c>
      <c r="Q14" t="s">
        <v>67</v>
      </c>
      <c r="R14">
        <v>124</v>
      </c>
      <c r="S14">
        <v>0</v>
      </c>
      <c r="T14" t="s">
        <v>137</v>
      </c>
      <c r="U14" t="s">
        <v>57</v>
      </c>
      <c r="V14">
        <v>3.82</v>
      </c>
      <c r="W14">
        <v>1.85</v>
      </c>
      <c r="X14">
        <v>2.2000000000000002</v>
      </c>
      <c r="Y14">
        <v>6.3</v>
      </c>
      <c r="Z14">
        <v>9</v>
      </c>
    </row>
    <row r="15" spans="1:26" x14ac:dyDescent="0.45">
      <c r="A15" t="s">
        <v>138</v>
      </c>
      <c r="B15">
        <v>23</v>
      </c>
      <c r="C15" t="s">
        <v>45</v>
      </c>
      <c r="D15" t="s">
        <v>106</v>
      </c>
      <c r="E15" t="s">
        <v>46</v>
      </c>
      <c r="F15" t="s">
        <v>69</v>
      </c>
      <c r="G15" t="s">
        <v>80</v>
      </c>
      <c r="H15" t="s">
        <v>81</v>
      </c>
      <c r="I15" t="s">
        <v>132</v>
      </c>
      <c r="J15" t="s">
        <v>139</v>
      </c>
      <c r="K15" t="s">
        <v>140</v>
      </c>
      <c r="L15" t="s">
        <v>36</v>
      </c>
      <c r="M15" t="s">
        <v>141</v>
      </c>
      <c r="N15" t="s">
        <v>142</v>
      </c>
      <c r="O15" t="s">
        <v>36</v>
      </c>
      <c r="P15" t="s">
        <v>110</v>
      </c>
      <c r="Q15" t="s">
        <v>30</v>
      </c>
      <c r="R15">
        <v>95</v>
      </c>
      <c r="S15">
        <v>0</v>
      </c>
      <c r="T15" t="s">
        <v>56</v>
      </c>
      <c r="U15" t="s">
        <v>57</v>
      </c>
      <c r="V15">
        <v>3.36</v>
      </c>
      <c r="W15">
        <v>2.57</v>
      </c>
      <c r="X15">
        <v>4.9000000000000004</v>
      </c>
      <c r="Y15">
        <v>22.3</v>
      </c>
      <c r="Z15">
        <v>8.9</v>
      </c>
    </row>
    <row r="16" spans="1:26" x14ac:dyDescent="0.45">
      <c r="A16" t="s">
        <v>143</v>
      </c>
      <c r="B16">
        <v>76</v>
      </c>
      <c r="C16" t="s">
        <v>27</v>
      </c>
      <c r="D16" t="s">
        <v>28</v>
      </c>
      <c r="E16" t="s">
        <v>46</v>
      </c>
      <c r="F16" t="s">
        <v>69</v>
      </c>
      <c r="G16" t="s">
        <v>70</v>
      </c>
      <c r="H16" t="s">
        <v>71</v>
      </c>
      <c r="I16" t="s">
        <v>49</v>
      </c>
      <c r="J16" t="s">
        <v>144</v>
      </c>
      <c r="K16" t="s">
        <v>145</v>
      </c>
      <c r="L16" t="s">
        <v>92</v>
      </c>
      <c r="M16" t="s">
        <v>40</v>
      </c>
      <c r="N16" t="s">
        <v>146</v>
      </c>
      <c r="O16" t="s">
        <v>92</v>
      </c>
      <c r="P16" t="s">
        <v>110</v>
      </c>
      <c r="Q16" t="s">
        <v>67</v>
      </c>
      <c r="R16">
        <v>47</v>
      </c>
      <c r="S16">
        <v>0</v>
      </c>
      <c r="T16" t="s">
        <v>41</v>
      </c>
      <c r="U16" t="s">
        <v>42</v>
      </c>
      <c r="V16">
        <v>3.06</v>
      </c>
      <c r="W16">
        <v>4.13</v>
      </c>
      <c r="X16">
        <v>4.5999999999999996</v>
      </c>
      <c r="Y16">
        <v>17.2</v>
      </c>
      <c r="Z16">
        <v>17.7</v>
      </c>
    </row>
    <row r="17" spans="1:26" x14ac:dyDescent="0.45">
      <c r="A17" t="s">
        <v>147</v>
      </c>
      <c r="B17">
        <v>45</v>
      </c>
      <c r="C17" t="s">
        <v>45</v>
      </c>
      <c r="D17" t="s">
        <v>95</v>
      </c>
      <c r="E17" t="s">
        <v>30</v>
      </c>
      <c r="F17" t="s">
        <v>69</v>
      </c>
      <c r="G17" t="s">
        <v>70</v>
      </c>
      <c r="H17" t="s">
        <v>81</v>
      </c>
      <c r="I17" t="s">
        <v>49</v>
      </c>
      <c r="J17" t="s">
        <v>148</v>
      </c>
      <c r="K17" t="s">
        <v>149</v>
      </c>
      <c r="L17" t="s">
        <v>92</v>
      </c>
      <c r="M17" t="s">
        <v>75</v>
      </c>
      <c r="N17" t="s">
        <v>150</v>
      </c>
      <c r="O17" t="s">
        <v>92</v>
      </c>
      <c r="P17" t="s">
        <v>55</v>
      </c>
      <c r="Q17" t="s">
        <v>75</v>
      </c>
      <c r="R17">
        <v>103</v>
      </c>
      <c r="S17">
        <v>0</v>
      </c>
      <c r="T17" t="s">
        <v>123</v>
      </c>
      <c r="U17" t="s">
        <v>57</v>
      </c>
      <c r="V17">
        <v>4.8</v>
      </c>
      <c r="W17">
        <v>1.59</v>
      </c>
      <c r="X17">
        <v>9.3000000000000007</v>
      </c>
      <c r="Y17">
        <v>14.9</v>
      </c>
      <c r="Z17">
        <v>7.4</v>
      </c>
    </row>
    <row r="18" spans="1:26" x14ac:dyDescent="0.45">
      <c r="A18" t="s">
        <v>151</v>
      </c>
      <c r="B18">
        <v>40</v>
      </c>
      <c r="C18" t="s">
        <v>27</v>
      </c>
      <c r="D18" t="s">
        <v>87</v>
      </c>
      <c r="E18" t="s">
        <v>29</v>
      </c>
      <c r="F18" t="s">
        <v>79</v>
      </c>
      <c r="G18" t="s">
        <v>152</v>
      </c>
      <c r="H18" t="s">
        <v>32</v>
      </c>
      <c r="I18" t="s">
        <v>132</v>
      </c>
      <c r="J18" t="s">
        <v>153</v>
      </c>
      <c r="K18" t="s">
        <v>154</v>
      </c>
      <c r="L18" t="s">
        <v>36</v>
      </c>
      <c r="M18" t="s">
        <v>155</v>
      </c>
      <c r="N18" t="s">
        <v>156</v>
      </c>
      <c r="O18" t="s">
        <v>36</v>
      </c>
      <c r="P18" t="s">
        <v>39</v>
      </c>
      <c r="Q18" t="s">
        <v>30</v>
      </c>
      <c r="R18">
        <v>50</v>
      </c>
      <c r="S18">
        <v>1</v>
      </c>
      <c r="T18" t="s">
        <v>123</v>
      </c>
      <c r="U18" t="s">
        <v>42</v>
      </c>
      <c r="V18">
        <v>2.84</v>
      </c>
      <c r="W18">
        <v>4.92</v>
      </c>
      <c r="X18">
        <v>5.4</v>
      </c>
      <c r="Y18">
        <v>11.9</v>
      </c>
      <c r="Z18">
        <v>13.8</v>
      </c>
    </row>
    <row r="19" spans="1:26" x14ac:dyDescent="0.45">
      <c r="A19" t="s">
        <v>157</v>
      </c>
      <c r="B19">
        <v>69</v>
      </c>
      <c r="C19" t="s">
        <v>44</v>
      </c>
      <c r="D19" t="s">
        <v>95</v>
      </c>
      <c r="E19" t="s">
        <v>29</v>
      </c>
      <c r="F19" t="s">
        <v>88</v>
      </c>
      <c r="G19" t="s">
        <v>112</v>
      </c>
      <c r="H19" t="s">
        <v>61</v>
      </c>
      <c r="I19" t="s">
        <v>33</v>
      </c>
      <c r="J19" t="s">
        <v>158</v>
      </c>
      <c r="K19" t="s">
        <v>159</v>
      </c>
      <c r="L19" t="s">
        <v>92</v>
      </c>
      <c r="M19" t="s">
        <v>160</v>
      </c>
      <c r="N19" t="s">
        <v>161</v>
      </c>
      <c r="O19" t="s">
        <v>92</v>
      </c>
      <c r="P19" t="s">
        <v>110</v>
      </c>
      <c r="Q19" t="s">
        <v>40</v>
      </c>
      <c r="R19">
        <v>99</v>
      </c>
      <c r="S19">
        <v>0</v>
      </c>
      <c r="T19" t="s">
        <v>123</v>
      </c>
      <c r="U19" t="s">
        <v>42</v>
      </c>
      <c r="V19">
        <v>1.96</v>
      </c>
      <c r="W19">
        <v>1.3</v>
      </c>
      <c r="X19">
        <v>2.2000000000000002</v>
      </c>
      <c r="Y19">
        <v>8.3000000000000007</v>
      </c>
      <c r="Z19">
        <v>5.6</v>
      </c>
    </row>
    <row r="20" spans="1:26" x14ac:dyDescent="0.45">
      <c r="A20" t="s">
        <v>162</v>
      </c>
      <c r="B20">
        <v>53</v>
      </c>
      <c r="C20" t="s">
        <v>45</v>
      </c>
      <c r="D20" t="s">
        <v>45</v>
      </c>
      <c r="E20" t="s">
        <v>163</v>
      </c>
      <c r="F20" t="s">
        <v>59</v>
      </c>
      <c r="G20" t="s">
        <v>164</v>
      </c>
      <c r="H20" t="s">
        <v>71</v>
      </c>
      <c r="I20" t="s">
        <v>72</v>
      </c>
      <c r="J20" t="s">
        <v>165</v>
      </c>
      <c r="K20" t="s">
        <v>166</v>
      </c>
      <c r="L20" t="s">
        <v>52</v>
      </c>
      <c r="M20" t="s">
        <v>167</v>
      </c>
      <c r="N20" t="s">
        <v>168</v>
      </c>
      <c r="O20" t="s">
        <v>52</v>
      </c>
      <c r="P20" t="s">
        <v>110</v>
      </c>
      <c r="Q20" t="s">
        <v>67</v>
      </c>
      <c r="R20">
        <v>50</v>
      </c>
      <c r="S20">
        <v>0</v>
      </c>
      <c r="T20" t="s">
        <v>85</v>
      </c>
      <c r="U20" t="s">
        <v>57</v>
      </c>
      <c r="V20">
        <v>1.56</v>
      </c>
      <c r="W20">
        <v>3.56</v>
      </c>
      <c r="X20">
        <v>2.6</v>
      </c>
      <c r="Y20">
        <v>12.2</v>
      </c>
      <c r="Z20">
        <v>18.2</v>
      </c>
    </row>
    <row r="21" spans="1:26" x14ac:dyDescent="0.45">
      <c r="A21" t="s">
        <v>169</v>
      </c>
      <c r="B21">
        <v>24</v>
      </c>
      <c r="C21" t="s">
        <v>27</v>
      </c>
      <c r="D21" t="s">
        <v>95</v>
      </c>
      <c r="E21" t="s">
        <v>46</v>
      </c>
      <c r="F21" t="s">
        <v>30</v>
      </c>
      <c r="G21" t="s">
        <v>31</v>
      </c>
      <c r="H21" t="s">
        <v>81</v>
      </c>
      <c r="I21" t="s">
        <v>132</v>
      </c>
      <c r="J21" t="s">
        <v>170</v>
      </c>
      <c r="K21" t="s">
        <v>171</v>
      </c>
      <c r="L21" t="s">
        <v>36</v>
      </c>
      <c r="M21" t="s">
        <v>121</v>
      </c>
      <c r="N21" t="s">
        <v>172</v>
      </c>
      <c r="O21" t="s">
        <v>36</v>
      </c>
      <c r="P21" t="s">
        <v>55</v>
      </c>
      <c r="Q21" t="s">
        <v>40</v>
      </c>
      <c r="R21">
        <v>77</v>
      </c>
      <c r="S21">
        <v>0</v>
      </c>
      <c r="T21" t="s">
        <v>85</v>
      </c>
      <c r="U21" t="s">
        <v>57</v>
      </c>
      <c r="V21">
        <v>2.9</v>
      </c>
      <c r="W21">
        <v>3.67</v>
      </c>
      <c r="X21">
        <v>2.6</v>
      </c>
      <c r="Y21">
        <v>9.5</v>
      </c>
      <c r="Z21">
        <v>3.7</v>
      </c>
    </row>
    <row r="22" spans="1:26" x14ac:dyDescent="0.45">
      <c r="A22" t="s">
        <v>173</v>
      </c>
      <c r="B22">
        <v>28</v>
      </c>
      <c r="C22" t="s">
        <v>45</v>
      </c>
      <c r="D22" t="s">
        <v>28</v>
      </c>
      <c r="E22" t="s">
        <v>46</v>
      </c>
      <c r="F22" t="s">
        <v>30</v>
      </c>
      <c r="G22" t="s">
        <v>125</v>
      </c>
      <c r="H22" t="s">
        <v>32</v>
      </c>
      <c r="I22" t="s">
        <v>72</v>
      </c>
      <c r="J22" t="s">
        <v>174</v>
      </c>
      <c r="K22" t="s">
        <v>175</v>
      </c>
      <c r="L22" t="s">
        <v>52</v>
      </c>
      <c r="M22" t="s">
        <v>167</v>
      </c>
      <c r="N22" t="s">
        <v>176</v>
      </c>
      <c r="O22" t="s">
        <v>52</v>
      </c>
      <c r="P22" t="s">
        <v>39</v>
      </c>
      <c r="Q22" t="s">
        <v>129</v>
      </c>
      <c r="R22">
        <v>108</v>
      </c>
      <c r="S22">
        <v>1</v>
      </c>
      <c r="T22" t="s">
        <v>56</v>
      </c>
      <c r="U22" t="s">
        <v>57</v>
      </c>
      <c r="V22">
        <v>1.68</v>
      </c>
      <c r="W22">
        <v>2.11</v>
      </c>
      <c r="X22">
        <v>2.6</v>
      </c>
      <c r="Y22">
        <v>7.6</v>
      </c>
      <c r="Z22">
        <v>5.0999999999999996</v>
      </c>
    </row>
    <row r="23" spans="1:26" x14ac:dyDescent="0.45">
      <c r="A23" t="s">
        <v>177</v>
      </c>
      <c r="B23">
        <v>52</v>
      </c>
      <c r="C23" t="s">
        <v>27</v>
      </c>
      <c r="D23" t="s">
        <v>106</v>
      </c>
      <c r="E23" t="s">
        <v>163</v>
      </c>
      <c r="F23" t="s">
        <v>47</v>
      </c>
      <c r="G23" t="s">
        <v>178</v>
      </c>
      <c r="H23" t="s">
        <v>81</v>
      </c>
      <c r="I23" t="s">
        <v>49</v>
      </c>
      <c r="J23" t="s">
        <v>179</v>
      </c>
      <c r="K23" t="s">
        <v>180</v>
      </c>
      <c r="L23" t="s">
        <v>92</v>
      </c>
      <c r="M23" t="s">
        <v>181</v>
      </c>
      <c r="N23" t="s">
        <v>182</v>
      </c>
      <c r="O23" t="s">
        <v>92</v>
      </c>
      <c r="P23" t="s">
        <v>55</v>
      </c>
      <c r="Q23" t="s">
        <v>40</v>
      </c>
      <c r="R23">
        <v>129</v>
      </c>
      <c r="S23">
        <v>0</v>
      </c>
      <c r="T23" t="s">
        <v>123</v>
      </c>
      <c r="U23" t="s">
        <v>42</v>
      </c>
      <c r="V23">
        <v>2.84</v>
      </c>
      <c r="W23">
        <v>1.83</v>
      </c>
      <c r="X23">
        <v>4.3</v>
      </c>
      <c r="Y23">
        <v>15.1</v>
      </c>
      <c r="Z23">
        <v>14.7</v>
      </c>
    </row>
    <row r="24" spans="1:26" x14ac:dyDescent="0.45">
      <c r="A24" t="s">
        <v>183</v>
      </c>
      <c r="B24">
        <v>84</v>
      </c>
      <c r="C24" t="s">
        <v>27</v>
      </c>
      <c r="D24" t="s">
        <v>95</v>
      </c>
      <c r="E24" t="s">
        <v>46</v>
      </c>
      <c r="F24" t="s">
        <v>59</v>
      </c>
      <c r="G24" t="s">
        <v>184</v>
      </c>
      <c r="H24" t="s">
        <v>81</v>
      </c>
      <c r="I24" t="s">
        <v>72</v>
      </c>
      <c r="J24" t="s">
        <v>185</v>
      </c>
      <c r="K24" t="s">
        <v>186</v>
      </c>
      <c r="L24" t="s">
        <v>36</v>
      </c>
      <c r="M24" t="s">
        <v>187</v>
      </c>
      <c r="N24" t="s">
        <v>188</v>
      </c>
      <c r="O24" t="s">
        <v>36</v>
      </c>
      <c r="P24" t="s">
        <v>55</v>
      </c>
      <c r="Q24" t="s">
        <v>67</v>
      </c>
      <c r="R24">
        <v>156</v>
      </c>
      <c r="S24">
        <v>0</v>
      </c>
      <c r="T24" t="s">
        <v>85</v>
      </c>
      <c r="U24" t="s">
        <v>42</v>
      </c>
      <c r="V24">
        <v>1.1599999999999999</v>
      </c>
      <c r="W24">
        <v>4.2</v>
      </c>
      <c r="X24">
        <v>6.7</v>
      </c>
      <c r="Y24">
        <v>7.5</v>
      </c>
      <c r="Z24">
        <v>17.899999999999999</v>
      </c>
    </row>
    <row r="25" spans="1:26" x14ac:dyDescent="0.45">
      <c r="A25" t="s">
        <v>189</v>
      </c>
      <c r="B25">
        <v>76</v>
      </c>
      <c r="C25" t="s">
        <v>27</v>
      </c>
      <c r="D25" t="s">
        <v>106</v>
      </c>
      <c r="E25" t="s">
        <v>30</v>
      </c>
      <c r="F25" t="s">
        <v>47</v>
      </c>
      <c r="G25" t="s">
        <v>31</v>
      </c>
      <c r="H25" t="s">
        <v>81</v>
      </c>
      <c r="I25" t="s">
        <v>132</v>
      </c>
      <c r="J25" t="s">
        <v>190</v>
      </c>
      <c r="K25" t="s">
        <v>191</v>
      </c>
      <c r="L25" t="s">
        <v>52</v>
      </c>
      <c r="M25" t="s">
        <v>53</v>
      </c>
      <c r="N25" t="s">
        <v>192</v>
      </c>
      <c r="O25" t="s">
        <v>52</v>
      </c>
      <c r="P25" t="s">
        <v>55</v>
      </c>
      <c r="Q25" t="s">
        <v>67</v>
      </c>
      <c r="R25">
        <v>131</v>
      </c>
      <c r="S25">
        <v>0</v>
      </c>
      <c r="T25" t="s">
        <v>137</v>
      </c>
      <c r="U25" t="s">
        <v>57</v>
      </c>
      <c r="V25">
        <v>4.68</v>
      </c>
      <c r="W25">
        <v>1.24</v>
      </c>
      <c r="X25">
        <v>3.5</v>
      </c>
      <c r="Y25">
        <v>20.5</v>
      </c>
      <c r="Z25">
        <v>15.7</v>
      </c>
    </row>
    <row r="26" spans="1:26" x14ac:dyDescent="0.45">
      <c r="A26" t="s">
        <v>193</v>
      </c>
      <c r="B26">
        <v>80</v>
      </c>
      <c r="C26" t="s">
        <v>45</v>
      </c>
      <c r="D26" t="s">
        <v>106</v>
      </c>
      <c r="E26" t="s">
        <v>30</v>
      </c>
      <c r="F26" t="s">
        <v>47</v>
      </c>
      <c r="G26" t="s">
        <v>194</v>
      </c>
      <c r="H26" t="s">
        <v>61</v>
      </c>
      <c r="I26" t="s">
        <v>72</v>
      </c>
      <c r="J26" t="s">
        <v>195</v>
      </c>
      <c r="K26" t="s">
        <v>196</v>
      </c>
      <c r="L26" t="s">
        <v>92</v>
      </c>
      <c r="M26" t="s">
        <v>197</v>
      </c>
      <c r="N26" t="s">
        <v>198</v>
      </c>
      <c r="O26" t="s">
        <v>92</v>
      </c>
      <c r="P26" t="s">
        <v>110</v>
      </c>
      <c r="Q26" t="s">
        <v>129</v>
      </c>
      <c r="R26">
        <v>134</v>
      </c>
      <c r="S26">
        <v>0</v>
      </c>
      <c r="T26" t="s">
        <v>56</v>
      </c>
      <c r="U26" t="s">
        <v>42</v>
      </c>
      <c r="V26">
        <v>1.74</v>
      </c>
      <c r="W26">
        <v>1.84</v>
      </c>
      <c r="X26">
        <v>4.3</v>
      </c>
      <c r="Y26">
        <v>14.7</v>
      </c>
      <c r="Z26">
        <v>13.5</v>
      </c>
    </row>
    <row r="27" spans="1:26" x14ac:dyDescent="0.45">
      <c r="A27" t="s">
        <v>199</v>
      </c>
      <c r="B27">
        <v>56</v>
      </c>
      <c r="C27" t="s">
        <v>27</v>
      </c>
      <c r="D27" t="s">
        <v>28</v>
      </c>
      <c r="E27" t="s">
        <v>46</v>
      </c>
      <c r="F27" t="s">
        <v>30</v>
      </c>
      <c r="G27" t="s">
        <v>131</v>
      </c>
      <c r="H27" t="s">
        <v>61</v>
      </c>
      <c r="I27" t="s">
        <v>33</v>
      </c>
      <c r="J27" t="s">
        <v>200</v>
      </c>
      <c r="K27" t="s">
        <v>201</v>
      </c>
      <c r="L27" t="s">
        <v>36</v>
      </c>
      <c r="M27" t="s">
        <v>202</v>
      </c>
      <c r="N27" t="s">
        <v>203</v>
      </c>
      <c r="O27" t="s">
        <v>36</v>
      </c>
      <c r="P27" t="s">
        <v>110</v>
      </c>
      <c r="Q27" t="s">
        <v>129</v>
      </c>
      <c r="R27">
        <v>57</v>
      </c>
      <c r="S27">
        <v>0</v>
      </c>
      <c r="T27" t="s">
        <v>41</v>
      </c>
      <c r="U27" t="s">
        <v>57</v>
      </c>
      <c r="V27">
        <v>2.48</v>
      </c>
      <c r="W27">
        <v>2.85</v>
      </c>
      <c r="X27">
        <v>7.7</v>
      </c>
      <c r="Y27">
        <v>6.7</v>
      </c>
      <c r="Z27">
        <v>7.3</v>
      </c>
    </row>
    <row r="28" spans="1:26" x14ac:dyDescent="0.45">
      <c r="A28" t="s">
        <v>204</v>
      </c>
      <c r="B28">
        <v>39</v>
      </c>
      <c r="C28" t="s">
        <v>45</v>
      </c>
      <c r="D28" t="s">
        <v>45</v>
      </c>
      <c r="E28" t="s">
        <v>163</v>
      </c>
      <c r="F28" t="s">
        <v>30</v>
      </c>
      <c r="G28" t="s">
        <v>131</v>
      </c>
      <c r="H28" t="s">
        <v>32</v>
      </c>
      <c r="I28" t="s">
        <v>33</v>
      </c>
      <c r="J28" t="s">
        <v>205</v>
      </c>
      <c r="K28" t="s">
        <v>206</v>
      </c>
      <c r="L28" t="s">
        <v>52</v>
      </c>
      <c r="M28" t="s">
        <v>207</v>
      </c>
      <c r="N28" t="s">
        <v>208</v>
      </c>
      <c r="O28" t="s">
        <v>52</v>
      </c>
      <c r="P28" t="s">
        <v>55</v>
      </c>
      <c r="Q28" t="s">
        <v>40</v>
      </c>
      <c r="R28">
        <v>180</v>
      </c>
      <c r="S28">
        <v>0</v>
      </c>
      <c r="T28" t="s">
        <v>85</v>
      </c>
      <c r="U28" t="s">
        <v>42</v>
      </c>
      <c r="V28">
        <v>3.85</v>
      </c>
      <c r="W28">
        <v>4.58</v>
      </c>
      <c r="X28">
        <v>5.6</v>
      </c>
      <c r="Y28">
        <v>15.6</v>
      </c>
      <c r="Z28">
        <v>4.8</v>
      </c>
    </row>
    <row r="29" spans="1:26" x14ac:dyDescent="0.45">
      <c r="A29" t="s">
        <v>209</v>
      </c>
      <c r="B29">
        <v>62</v>
      </c>
      <c r="C29" t="s">
        <v>27</v>
      </c>
      <c r="D29" t="s">
        <v>95</v>
      </c>
      <c r="E29" t="s">
        <v>163</v>
      </c>
      <c r="F29" t="s">
        <v>88</v>
      </c>
      <c r="G29" t="s">
        <v>102</v>
      </c>
      <c r="H29" t="s">
        <v>71</v>
      </c>
      <c r="I29" t="s">
        <v>132</v>
      </c>
      <c r="J29" t="s">
        <v>210</v>
      </c>
      <c r="K29" t="s">
        <v>211</v>
      </c>
      <c r="L29" t="s">
        <v>52</v>
      </c>
      <c r="M29" t="s">
        <v>167</v>
      </c>
      <c r="N29" t="s">
        <v>212</v>
      </c>
      <c r="O29" t="s">
        <v>52</v>
      </c>
      <c r="P29" t="s">
        <v>55</v>
      </c>
      <c r="Q29" t="s">
        <v>40</v>
      </c>
      <c r="R29">
        <v>111</v>
      </c>
      <c r="S29">
        <v>0</v>
      </c>
      <c r="T29" t="s">
        <v>123</v>
      </c>
      <c r="U29" t="s">
        <v>57</v>
      </c>
      <c r="V29">
        <v>2.79</v>
      </c>
      <c r="W29">
        <v>3.13</v>
      </c>
      <c r="X29">
        <v>3.2</v>
      </c>
      <c r="Y29">
        <v>10.8</v>
      </c>
      <c r="Z29">
        <v>9.4</v>
      </c>
    </row>
    <row r="30" spans="1:26" x14ac:dyDescent="0.45">
      <c r="A30" t="s">
        <v>213</v>
      </c>
      <c r="B30">
        <v>23</v>
      </c>
      <c r="C30" t="s">
        <v>45</v>
      </c>
      <c r="D30" t="s">
        <v>87</v>
      </c>
      <c r="E30" t="s">
        <v>163</v>
      </c>
      <c r="F30" t="s">
        <v>30</v>
      </c>
      <c r="G30" t="s">
        <v>102</v>
      </c>
      <c r="H30" t="s">
        <v>71</v>
      </c>
      <c r="I30" t="s">
        <v>72</v>
      </c>
      <c r="J30" t="s">
        <v>214</v>
      </c>
      <c r="K30" t="s">
        <v>215</v>
      </c>
      <c r="L30" t="s">
        <v>64</v>
      </c>
      <c r="M30" t="s">
        <v>216</v>
      </c>
      <c r="N30" t="s">
        <v>217</v>
      </c>
      <c r="O30" t="s">
        <v>64</v>
      </c>
      <c r="P30" t="s">
        <v>110</v>
      </c>
      <c r="Q30" t="s">
        <v>67</v>
      </c>
      <c r="R30">
        <v>77</v>
      </c>
      <c r="S30">
        <v>0</v>
      </c>
      <c r="T30" t="s">
        <v>56</v>
      </c>
      <c r="U30" t="s">
        <v>57</v>
      </c>
      <c r="V30">
        <v>1.08</v>
      </c>
      <c r="W30">
        <v>2.29</v>
      </c>
      <c r="X30">
        <v>2.9</v>
      </c>
      <c r="Y30">
        <v>11.9</v>
      </c>
      <c r="Z30">
        <v>5</v>
      </c>
    </row>
    <row r="31" spans="1:26" x14ac:dyDescent="0.45">
      <c r="A31" t="s">
        <v>218</v>
      </c>
      <c r="B31">
        <v>21</v>
      </c>
      <c r="C31" t="s">
        <v>45</v>
      </c>
      <c r="D31" t="s">
        <v>45</v>
      </c>
      <c r="E31" t="s">
        <v>46</v>
      </c>
      <c r="F31" t="s">
        <v>47</v>
      </c>
      <c r="G31" t="s">
        <v>131</v>
      </c>
      <c r="H31" t="s">
        <v>61</v>
      </c>
      <c r="I31" t="s">
        <v>72</v>
      </c>
      <c r="J31" t="s">
        <v>219</v>
      </c>
      <c r="K31" t="s">
        <v>220</v>
      </c>
      <c r="L31" t="s">
        <v>92</v>
      </c>
      <c r="M31" t="s">
        <v>221</v>
      </c>
      <c r="N31" t="s">
        <v>222</v>
      </c>
      <c r="O31" t="s">
        <v>92</v>
      </c>
      <c r="P31" t="s">
        <v>39</v>
      </c>
      <c r="Q31" t="s">
        <v>40</v>
      </c>
      <c r="R31">
        <v>59</v>
      </c>
      <c r="S31">
        <v>1</v>
      </c>
      <c r="T31" t="s">
        <v>137</v>
      </c>
      <c r="U31" t="s">
        <v>57</v>
      </c>
      <c r="V31">
        <v>4.5599999999999996</v>
      </c>
      <c r="W31">
        <v>3.37</v>
      </c>
      <c r="X31">
        <v>7.1</v>
      </c>
      <c r="Y31">
        <v>20.2</v>
      </c>
      <c r="Z31">
        <v>11.5</v>
      </c>
    </row>
    <row r="32" spans="1:26" x14ac:dyDescent="0.45">
      <c r="A32" t="s">
        <v>223</v>
      </c>
      <c r="B32">
        <v>85</v>
      </c>
      <c r="C32" t="s">
        <v>45</v>
      </c>
      <c r="D32" t="s">
        <v>28</v>
      </c>
      <c r="E32" t="s">
        <v>29</v>
      </c>
      <c r="F32" t="s">
        <v>47</v>
      </c>
      <c r="G32" t="s">
        <v>80</v>
      </c>
      <c r="H32" t="s">
        <v>61</v>
      </c>
      <c r="I32" t="s">
        <v>132</v>
      </c>
      <c r="J32" t="s">
        <v>224</v>
      </c>
      <c r="K32" t="s">
        <v>225</v>
      </c>
      <c r="L32" t="s">
        <v>64</v>
      </c>
      <c r="M32" t="s">
        <v>226</v>
      </c>
      <c r="N32" t="s">
        <v>227</v>
      </c>
      <c r="O32" t="s">
        <v>64</v>
      </c>
      <c r="P32" t="s">
        <v>55</v>
      </c>
      <c r="Q32" t="s">
        <v>129</v>
      </c>
      <c r="R32">
        <v>91</v>
      </c>
      <c r="S32">
        <v>0</v>
      </c>
      <c r="T32" t="s">
        <v>137</v>
      </c>
      <c r="U32" t="s">
        <v>42</v>
      </c>
      <c r="V32">
        <v>1.35</v>
      </c>
      <c r="W32">
        <v>3.15</v>
      </c>
      <c r="X32">
        <v>6.3</v>
      </c>
      <c r="Y32">
        <v>19.399999999999999</v>
      </c>
      <c r="Z32">
        <v>10.3</v>
      </c>
    </row>
    <row r="33" spans="1:26" x14ac:dyDescent="0.45">
      <c r="A33" t="s">
        <v>228</v>
      </c>
      <c r="B33">
        <v>41</v>
      </c>
      <c r="C33" t="s">
        <v>44</v>
      </c>
      <c r="D33" t="s">
        <v>106</v>
      </c>
      <c r="E33" t="s">
        <v>29</v>
      </c>
      <c r="F33" t="s">
        <v>69</v>
      </c>
      <c r="G33" t="s">
        <v>96</v>
      </c>
      <c r="H33" t="s">
        <v>81</v>
      </c>
      <c r="I33" t="s">
        <v>33</v>
      </c>
      <c r="J33" t="s">
        <v>229</v>
      </c>
      <c r="K33" t="s">
        <v>230</v>
      </c>
      <c r="L33" t="s">
        <v>52</v>
      </c>
      <c r="M33" t="s">
        <v>231</v>
      </c>
      <c r="N33" t="s">
        <v>146</v>
      </c>
      <c r="O33" t="s">
        <v>52</v>
      </c>
      <c r="P33" t="s">
        <v>39</v>
      </c>
      <c r="Q33" t="s">
        <v>30</v>
      </c>
      <c r="R33">
        <v>145</v>
      </c>
      <c r="S33">
        <v>1</v>
      </c>
      <c r="T33" t="s">
        <v>85</v>
      </c>
      <c r="U33" t="s">
        <v>42</v>
      </c>
      <c r="V33">
        <v>1.51</v>
      </c>
      <c r="W33">
        <v>2.14</v>
      </c>
      <c r="X33">
        <v>4.3</v>
      </c>
      <c r="Y33">
        <v>17.600000000000001</v>
      </c>
      <c r="Z33">
        <v>12.7</v>
      </c>
    </row>
    <row r="34" spans="1:26" x14ac:dyDescent="0.45">
      <c r="A34" t="s">
        <v>232</v>
      </c>
      <c r="B34">
        <v>63</v>
      </c>
      <c r="C34" t="s">
        <v>27</v>
      </c>
      <c r="D34" t="s">
        <v>95</v>
      </c>
      <c r="E34" t="s">
        <v>46</v>
      </c>
      <c r="F34" t="s">
        <v>47</v>
      </c>
      <c r="G34" t="s">
        <v>178</v>
      </c>
      <c r="H34" t="s">
        <v>81</v>
      </c>
      <c r="I34" t="s">
        <v>33</v>
      </c>
      <c r="J34" t="s">
        <v>233</v>
      </c>
      <c r="K34" t="s">
        <v>234</v>
      </c>
      <c r="L34" t="s">
        <v>36</v>
      </c>
      <c r="M34" t="s">
        <v>129</v>
      </c>
      <c r="N34" t="s">
        <v>235</v>
      </c>
      <c r="O34" t="s">
        <v>36</v>
      </c>
      <c r="P34" t="s">
        <v>39</v>
      </c>
      <c r="Q34" t="s">
        <v>67</v>
      </c>
      <c r="R34">
        <v>104</v>
      </c>
      <c r="S34">
        <v>1</v>
      </c>
      <c r="T34" t="s">
        <v>123</v>
      </c>
      <c r="U34" t="s">
        <v>57</v>
      </c>
      <c r="V34">
        <v>2.42</v>
      </c>
      <c r="W34">
        <v>4.95</v>
      </c>
      <c r="X34">
        <v>6.5</v>
      </c>
      <c r="Y34">
        <v>10.3</v>
      </c>
      <c r="Z34">
        <v>4.7</v>
      </c>
    </row>
    <row r="35" spans="1:26" x14ac:dyDescent="0.45">
      <c r="A35" t="s">
        <v>236</v>
      </c>
      <c r="B35">
        <v>46</v>
      </c>
      <c r="C35" t="s">
        <v>45</v>
      </c>
      <c r="D35" t="s">
        <v>28</v>
      </c>
      <c r="E35" t="s">
        <v>46</v>
      </c>
      <c r="F35" t="s">
        <v>30</v>
      </c>
      <c r="G35" t="s">
        <v>80</v>
      </c>
      <c r="H35" t="s">
        <v>81</v>
      </c>
      <c r="I35" t="s">
        <v>49</v>
      </c>
      <c r="J35" t="s">
        <v>237</v>
      </c>
      <c r="K35" t="s">
        <v>238</v>
      </c>
      <c r="L35" t="s">
        <v>64</v>
      </c>
      <c r="M35" t="s">
        <v>239</v>
      </c>
      <c r="N35" t="s">
        <v>240</v>
      </c>
      <c r="O35" t="s">
        <v>64</v>
      </c>
      <c r="P35" t="s">
        <v>55</v>
      </c>
      <c r="Q35" t="s">
        <v>129</v>
      </c>
      <c r="R35">
        <v>93</v>
      </c>
      <c r="S35">
        <v>0</v>
      </c>
      <c r="T35" t="s">
        <v>137</v>
      </c>
      <c r="U35" t="s">
        <v>42</v>
      </c>
      <c r="V35">
        <v>1.61</v>
      </c>
      <c r="W35">
        <v>1.98</v>
      </c>
      <c r="X35">
        <v>2.4</v>
      </c>
      <c r="Y35">
        <v>9.4</v>
      </c>
      <c r="Z35">
        <v>7.8</v>
      </c>
    </row>
    <row r="36" spans="1:26" x14ac:dyDescent="0.45">
      <c r="A36" t="s">
        <v>241</v>
      </c>
      <c r="B36">
        <v>75</v>
      </c>
      <c r="C36" t="s">
        <v>44</v>
      </c>
      <c r="D36" t="s">
        <v>28</v>
      </c>
      <c r="E36" t="s">
        <v>163</v>
      </c>
      <c r="F36" t="s">
        <v>88</v>
      </c>
      <c r="G36" t="s">
        <v>60</v>
      </c>
      <c r="H36" t="s">
        <v>71</v>
      </c>
      <c r="I36" t="s">
        <v>132</v>
      </c>
      <c r="J36" t="s">
        <v>242</v>
      </c>
      <c r="K36" t="s">
        <v>243</v>
      </c>
      <c r="L36" t="s">
        <v>52</v>
      </c>
      <c r="M36" t="s">
        <v>67</v>
      </c>
      <c r="N36" t="s">
        <v>244</v>
      </c>
      <c r="O36" t="s">
        <v>52</v>
      </c>
      <c r="P36" t="s">
        <v>110</v>
      </c>
      <c r="Q36" t="s">
        <v>30</v>
      </c>
      <c r="R36">
        <v>166</v>
      </c>
      <c r="S36">
        <v>0</v>
      </c>
      <c r="T36" t="s">
        <v>137</v>
      </c>
      <c r="U36" t="s">
        <v>42</v>
      </c>
      <c r="V36">
        <v>1.69</v>
      </c>
      <c r="W36">
        <v>4.59</v>
      </c>
      <c r="X36">
        <v>1.7</v>
      </c>
      <c r="Y36">
        <v>15.4</v>
      </c>
      <c r="Z36">
        <v>10</v>
      </c>
    </row>
    <row r="37" spans="1:26" x14ac:dyDescent="0.45">
      <c r="A37" t="s">
        <v>245</v>
      </c>
      <c r="B37">
        <v>59</v>
      </c>
      <c r="C37" t="s">
        <v>45</v>
      </c>
      <c r="D37" t="s">
        <v>28</v>
      </c>
      <c r="E37" t="s">
        <v>30</v>
      </c>
      <c r="F37" t="s">
        <v>30</v>
      </c>
      <c r="G37" t="s">
        <v>246</v>
      </c>
      <c r="H37" t="s">
        <v>61</v>
      </c>
      <c r="I37" t="s">
        <v>72</v>
      </c>
      <c r="J37" t="s">
        <v>247</v>
      </c>
      <c r="K37" t="s">
        <v>248</v>
      </c>
      <c r="L37" t="s">
        <v>52</v>
      </c>
      <c r="M37" t="s">
        <v>249</v>
      </c>
      <c r="N37" t="s">
        <v>250</v>
      </c>
      <c r="O37" t="s">
        <v>52</v>
      </c>
      <c r="P37" t="s">
        <v>55</v>
      </c>
      <c r="Q37" t="s">
        <v>67</v>
      </c>
      <c r="R37">
        <v>130</v>
      </c>
      <c r="S37">
        <v>0</v>
      </c>
      <c r="T37" t="s">
        <v>56</v>
      </c>
      <c r="U37" t="s">
        <v>42</v>
      </c>
      <c r="V37">
        <v>4.93</v>
      </c>
      <c r="W37">
        <v>1.45</v>
      </c>
      <c r="X37">
        <v>4.5999999999999996</v>
      </c>
      <c r="Y37">
        <v>23.5</v>
      </c>
      <c r="Z37">
        <v>17.7</v>
      </c>
    </row>
    <row r="38" spans="1:26" x14ac:dyDescent="0.45">
      <c r="A38" t="s">
        <v>251</v>
      </c>
      <c r="B38">
        <v>52</v>
      </c>
      <c r="C38" t="s">
        <v>45</v>
      </c>
      <c r="D38" t="s">
        <v>95</v>
      </c>
      <c r="E38" t="s">
        <v>78</v>
      </c>
      <c r="F38" t="s">
        <v>88</v>
      </c>
      <c r="G38" t="s">
        <v>131</v>
      </c>
      <c r="H38" t="s">
        <v>32</v>
      </c>
      <c r="I38" t="s">
        <v>132</v>
      </c>
      <c r="J38" t="s">
        <v>252</v>
      </c>
      <c r="K38" t="s">
        <v>253</v>
      </c>
      <c r="L38" t="s">
        <v>92</v>
      </c>
      <c r="M38" t="s">
        <v>239</v>
      </c>
      <c r="N38" t="s">
        <v>254</v>
      </c>
      <c r="O38" t="s">
        <v>92</v>
      </c>
      <c r="P38" t="s">
        <v>110</v>
      </c>
      <c r="Q38" t="s">
        <v>30</v>
      </c>
      <c r="R38">
        <v>46</v>
      </c>
      <c r="S38">
        <v>0</v>
      </c>
      <c r="T38" t="s">
        <v>85</v>
      </c>
      <c r="U38" t="s">
        <v>57</v>
      </c>
      <c r="V38">
        <v>4.2699999999999996</v>
      </c>
      <c r="W38">
        <v>2.0299999999999998</v>
      </c>
      <c r="X38">
        <v>2.5</v>
      </c>
      <c r="Y38">
        <v>18</v>
      </c>
      <c r="Z38">
        <v>18.8</v>
      </c>
    </row>
    <row r="39" spans="1:26" x14ac:dyDescent="0.45">
      <c r="A39" t="s">
        <v>255</v>
      </c>
      <c r="B39">
        <v>45</v>
      </c>
      <c r="C39" t="s">
        <v>44</v>
      </c>
      <c r="D39" t="s">
        <v>106</v>
      </c>
      <c r="E39" t="s">
        <v>78</v>
      </c>
      <c r="F39" t="s">
        <v>59</v>
      </c>
      <c r="G39" t="s">
        <v>31</v>
      </c>
      <c r="H39" t="s">
        <v>71</v>
      </c>
      <c r="I39" t="s">
        <v>33</v>
      </c>
      <c r="J39" t="s">
        <v>256</v>
      </c>
      <c r="K39" t="s">
        <v>257</v>
      </c>
      <c r="L39" t="s">
        <v>92</v>
      </c>
      <c r="M39" t="s">
        <v>40</v>
      </c>
      <c r="N39" t="s">
        <v>258</v>
      </c>
      <c r="O39" t="s">
        <v>92</v>
      </c>
      <c r="P39" t="s">
        <v>39</v>
      </c>
      <c r="Q39" t="s">
        <v>67</v>
      </c>
      <c r="R39">
        <v>142</v>
      </c>
      <c r="S39">
        <v>1</v>
      </c>
      <c r="T39" t="s">
        <v>56</v>
      </c>
      <c r="U39" t="s">
        <v>42</v>
      </c>
      <c r="V39">
        <v>3.23</v>
      </c>
      <c r="W39">
        <v>3.29</v>
      </c>
      <c r="X39">
        <v>3.5</v>
      </c>
      <c r="Y39">
        <v>19.899999999999999</v>
      </c>
      <c r="Z39">
        <v>6.2</v>
      </c>
    </row>
    <row r="40" spans="1:26" x14ac:dyDescent="0.45">
      <c r="A40" t="s">
        <v>259</v>
      </c>
      <c r="B40">
        <v>72</v>
      </c>
      <c r="C40" t="s">
        <v>27</v>
      </c>
      <c r="D40" t="s">
        <v>106</v>
      </c>
      <c r="E40" t="s">
        <v>30</v>
      </c>
      <c r="F40" t="s">
        <v>59</v>
      </c>
      <c r="G40" t="s">
        <v>125</v>
      </c>
      <c r="H40" t="s">
        <v>32</v>
      </c>
      <c r="I40" t="s">
        <v>132</v>
      </c>
      <c r="J40" t="s">
        <v>260</v>
      </c>
      <c r="K40" t="s">
        <v>261</v>
      </c>
      <c r="L40" t="s">
        <v>52</v>
      </c>
      <c r="M40" t="s">
        <v>40</v>
      </c>
      <c r="N40" t="s">
        <v>262</v>
      </c>
      <c r="O40" t="s">
        <v>52</v>
      </c>
      <c r="P40" t="s">
        <v>55</v>
      </c>
      <c r="Q40" t="s">
        <v>67</v>
      </c>
      <c r="R40">
        <v>139</v>
      </c>
      <c r="S40">
        <v>0</v>
      </c>
      <c r="T40" t="s">
        <v>123</v>
      </c>
      <c r="U40" t="s">
        <v>42</v>
      </c>
      <c r="V40">
        <v>2.29</v>
      </c>
      <c r="W40">
        <v>2.7</v>
      </c>
      <c r="X40">
        <v>5.6</v>
      </c>
      <c r="Y40">
        <v>10.4</v>
      </c>
      <c r="Z40">
        <v>5</v>
      </c>
    </row>
    <row r="41" spans="1:26" x14ac:dyDescent="0.45">
      <c r="A41" t="s">
        <v>263</v>
      </c>
      <c r="B41">
        <v>18</v>
      </c>
      <c r="C41" t="s">
        <v>27</v>
      </c>
      <c r="D41" t="s">
        <v>95</v>
      </c>
      <c r="E41" t="s">
        <v>163</v>
      </c>
      <c r="F41" t="s">
        <v>79</v>
      </c>
      <c r="G41" t="s">
        <v>246</v>
      </c>
      <c r="H41" t="s">
        <v>81</v>
      </c>
      <c r="I41" t="s">
        <v>49</v>
      </c>
      <c r="J41" t="s">
        <v>264</v>
      </c>
      <c r="K41" t="s">
        <v>265</v>
      </c>
      <c r="L41" t="s">
        <v>36</v>
      </c>
      <c r="M41" t="s">
        <v>266</v>
      </c>
      <c r="N41" t="s">
        <v>267</v>
      </c>
      <c r="O41" t="s">
        <v>36</v>
      </c>
      <c r="P41" t="s">
        <v>55</v>
      </c>
      <c r="Q41" t="s">
        <v>129</v>
      </c>
      <c r="R41">
        <v>56</v>
      </c>
      <c r="S41">
        <v>0</v>
      </c>
      <c r="T41" t="s">
        <v>123</v>
      </c>
      <c r="U41" t="s">
        <v>57</v>
      </c>
      <c r="V41">
        <v>3.44</v>
      </c>
      <c r="W41">
        <v>2.15</v>
      </c>
      <c r="X41">
        <v>6.2</v>
      </c>
      <c r="Y41">
        <v>8.8000000000000007</v>
      </c>
      <c r="Z41">
        <v>11.2</v>
      </c>
    </row>
    <row r="42" spans="1:26" x14ac:dyDescent="0.45">
      <c r="A42" t="s">
        <v>268</v>
      </c>
      <c r="B42">
        <v>65</v>
      </c>
      <c r="C42" t="s">
        <v>44</v>
      </c>
      <c r="D42" t="s">
        <v>106</v>
      </c>
      <c r="E42" t="s">
        <v>78</v>
      </c>
      <c r="F42" t="s">
        <v>30</v>
      </c>
      <c r="G42" t="s">
        <v>96</v>
      </c>
      <c r="H42" t="s">
        <v>71</v>
      </c>
      <c r="I42" t="s">
        <v>49</v>
      </c>
      <c r="J42" t="s">
        <v>269</v>
      </c>
      <c r="K42" t="s">
        <v>270</v>
      </c>
      <c r="L42" t="s">
        <v>52</v>
      </c>
      <c r="M42" t="s">
        <v>53</v>
      </c>
      <c r="N42" t="s">
        <v>262</v>
      </c>
      <c r="O42" t="s">
        <v>52</v>
      </c>
      <c r="P42" t="s">
        <v>110</v>
      </c>
      <c r="Q42" t="s">
        <v>67</v>
      </c>
      <c r="R42">
        <v>135</v>
      </c>
      <c r="S42">
        <v>0</v>
      </c>
      <c r="T42" t="s">
        <v>85</v>
      </c>
      <c r="U42" t="s">
        <v>57</v>
      </c>
      <c r="V42">
        <v>3.13</v>
      </c>
      <c r="W42">
        <v>1.21</v>
      </c>
      <c r="X42">
        <v>4</v>
      </c>
      <c r="Y42">
        <v>8.4</v>
      </c>
      <c r="Z42">
        <v>4.0999999999999996</v>
      </c>
    </row>
    <row r="43" spans="1:26" x14ac:dyDescent="0.45">
      <c r="A43" t="s">
        <v>271</v>
      </c>
      <c r="B43">
        <v>45</v>
      </c>
      <c r="C43" t="s">
        <v>27</v>
      </c>
      <c r="D43" t="s">
        <v>87</v>
      </c>
      <c r="E43" t="s">
        <v>46</v>
      </c>
      <c r="F43" t="s">
        <v>30</v>
      </c>
      <c r="G43" t="s">
        <v>80</v>
      </c>
      <c r="H43" t="s">
        <v>81</v>
      </c>
      <c r="I43" t="s">
        <v>132</v>
      </c>
      <c r="J43" t="s">
        <v>272</v>
      </c>
      <c r="K43" t="s">
        <v>273</v>
      </c>
      <c r="L43" t="s">
        <v>52</v>
      </c>
      <c r="M43" t="s">
        <v>274</v>
      </c>
      <c r="N43" t="s">
        <v>172</v>
      </c>
      <c r="O43" t="s">
        <v>52</v>
      </c>
      <c r="P43" t="s">
        <v>110</v>
      </c>
      <c r="Q43" t="s">
        <v>75</v>
      </c>
      <c r="R43">
        <v>102</v>
      </c>
      <c r="S43">
        <v>0</v>
      </c>
      <c r="T43" t="s">
        <v>123</v>
      </c>
      <c r="U43" t="s">
        <v>57</v>
      </c>
      <c r="V43">
        <v>4.96</v>
      </c>
      <c r="W43">
        <v>2.29</v>
      </c>
      <c r="X43">
        <v>8.3000000000000007</v>
      </c>
      <c r="Y43">
        <v>10.6</v>
      </c>
      <c r="Z43">
        <v>14.6</v>
      </c>
    </row>
    <row r="44" spans="1:26" x14ac:dyDescent="0.45">
      <c r="A44" t="s">
        <v>275</v>
      </c>
      <c r="B44">
        <v>44</v>
      </c>
      <c r="C44" t="s">
        <v>45</v>
      </c>
      <c r="D44" t="s">
        <v>45</v>
      </c>
      <c r="E44" t="s">
        <v>29</v>
      </c>
      <c r="F44" t="s">
        <v>47</v>
      </c>
      <c r="G44" t="s">
        <v>276</v>
      </c>
      <c r="H44" t="s">
        <v>61</v>
      </c>
      <c r="I44" t="s">
        <v>72</v>
      </c>
      <c r="J44" t="s">
        <v>277</v>
      </c>
      <c r="K44" t="s">
        <v>278</v>
      </c>
      <c r="L44" t="s">
        <v>36</v>
      </c>
      <c r="M44" t="s">
        <v>226</v>
      </c>
      <c r="N44" t="s">
        <v>182</v>
      </c>
      <c r="O44" t="s">
        <v>36</v>
      </c>
      <c r="P44" t="s">
        <v>55</v>
      </c>
      <c r="Q44" t="s">
        <v>30</v>
      </c>
      <c r="R44">
        <v>63</v>
      </c>
      <c r="S44">
        <v>0</v>
      </c>
      <c r="T44" t="s">
        <v>56</v>
      </c>
      <c r="U44" t="s">
        <v>57</v>
      </c>
      <c r="V44">
        <v>4.04</v>
      </c>
      <c r="W44">
        <v>3.38</v>
      </c>
      <c r="X44">
        <v>5.2</v>
      </c>
      <c r="Y44">
        <v>13.4</v>
      </c>
      <c r="Z44">
        <v>8.9</v>
      </c>
    </row>
    <row r="45" spans="1:26" x14ac:dyDescent="0.45">
      <c r="A45" t="s">
        <v>279</v>
      </c>
      <c r="B45">
        <v>64</v>
      </c>
      <c r="C45" t="s">
        <v>45</v>
      </c>
      <c r="D45" t="s">
        <v>106</v>
      </c>
      <c r="E45" t="s">
        <v>78</v>
      </c>
      <c r="F45" t="s">
        <v>30</v>
      </c>
      <c r="G45" t="s">
        <v>125</v>
      </c>
      <c r="H45" t="s">
        <v>61</v>
      </c>
      <c r="I45" t="s">
        <v>49</v>
      </c>
      <c r="J45" t="s">
        <v>280</v>
      </c>
      <c r="K45" t="s">
        <v>281</v>
      </c>
      <c r="L45" t="s">
        <v>92</v>
      </c>
      <c r="M45" t="s">
        <v>282</v>
      </c>
      <c r="N45" t="s">
        <v>262</v>
      </c>
      <c r="O45" t="s">
        <v>92</v>
      </c>
      <c r="P45" t="s">
        <v>110</v>
      </c>
      <c r="Q45" t="s">
        <v>75</v>
      </c>
      <c r="R45">
        <v>136</v>
      </c>
      <c r="S45">
        <v>0</v>
      </c>
      <c r="T45" t="s">
        <v>56</v>
      </c>
      <c r="U45" t="s">
        <v>57</v>
      </c>
      <c r="V45">
        <v>4.72</v>
      </c>
      <c r="W45">
        <v>4.32</v>
      </c>
      <c r="X45">
        <v>9.6999999999999993</v>
      </c>
      <c r="Y45">
        <v>8.1999999999999993</v>
      </c>
      <c r="Z45">
        <v>15.4</v>
      </c>
    </row>
    <row r="46" spans="1:26" x14ac:dyDescent="0.45">
      <c r="A46" t="s">
        <v>283</v>
      </c>
      <c r="B46">
        <v>28</v>
      </c>
      <c r="C46" t="s">
        <v>45</v>
      </c>
      <c r="D46" t="s">
        <v>45</v>
      </c>
      <c r="E46" t="s">
        <v>29</v>
      </c>
      <c r="F46" t="s">
        <v>30</v>
      </c>
      <c r="G46" t="s">
        <v>184</v>
      </c>
      <c r="H46" t="s">
        <v>61</v>
      </c>
      <c r="I46" t="s">
        <v>132</v>
      </c>
      <c r="J46" t="s">
        <v>284</v>
      </c>
      <c r="K46" t="s">
        <v>285</v>
      </c>
      <c r="L46" t="s">
        <v>52</v>
      </c>
      <c r="M46" t="s">
        <v>286</v>
      </c>
      <c r="N46" t="s">
        <v>287</v>
      </c>
      <c r="O46" t="s">
        <v>52</v>
      </c>
      <c r="P46" t="s">
        <v>110</v>
      </c>
      <c r="Q46" t="s">
        <v>129</v>
      </c>
      <c r="R46">
        <v>109</v>
      </c>
      <c r="S46">
        <v>0</v>
      </c>
      <c r="T46" t="s">
        <v>56</v>
      </c>
      <c r="U46" t="s">
        <v>42</v>
      </c>
      <c r="V46">
        <v>4.75</v>
      </c>
      <c r="W46">
        <v>1.72</v>
      </c>
      <c r="X46">
        <v>1.6</v>
      </c>
      <c r="Y46">
        <v>19.3</v>
      </c>
      <c r="Z46">
        <v>12.8</v>
      </c>
    </row>
    <row r="47" spans="1:26" x14ac:dyDescent="0.45">
      <c r="A47" t="s">
        <v>288</v>
      </c>
      <c r="B47">
        <v>25</v>
      </c>
      <c r="C47" t="s">
        <v>27</v>
      </c>
      <c r="D47" t="s">
        <v>87</v>
      </c>
      <c r="E47" t="s">
        <v>78</v>
      </c>
      <c r="F47" t="s">
        <v>69</v>
      </c>
      <c r="G47" t="s">
        <v>152</v>
      </c>
      <c r="H47" t="s">
        <v>61</v>
      </c>
      <c r="I47" t="s">
        <v>132</v>
      </c>
      <c r="J47" t="s">
        <v>289</v>
      </c>
      <c r="K47" t="s">
        <v>290</v>
      </c>
      <c r="L47" t="s">
        <v>52</v>
      </c>
      <c r="M47" t="s">
        <v>221</v>
      </c>
      <c r="N47" t="s">
        <v>291</v>
      </c>
      <c r="O47" t="s">
        <v>52</v>
      </c>
      <c r="P47" t="s">
        <v>110</v>
      </c>
      <c r="Q47" t="s">
        <v>75</v>
      </c>
      <c r="R47">
        <v>96</v>
      </c>
      <c r="S47">
        <v>0</v>
      </c>
      <c r="T47" t="s">
        <v>41</v>
      </c>
      <c r="U47" t="s">
        <v>57</v>
      </c>
      <c r="V47">
        <v>4.37</v>
      </c>
      <c r="W47">
        <v>1.56</v>
      </c>
      <c r="X47">
        <v>8.1999999999999993</v>
      </c>
      <c r="Y47">
        <v>9.6</v>
      </c>
      <c r="Z47">
        <v>5.8</v>
      </c>
    </row>
    <row r="48" spans="1:26" x14ac:dyDescent="0.45">
      <c r="A48" t="s">
        <v>292</v>
      </c>
      <c r="B48">
        <v>34</v>
      </c>
      <c r="C48" t="s">
        <v>45</v>
      </c>
      <c r="D48" t="s">
        <v>28</v>
      </c>
      <c r="E48" t="s">
        <v>163</v>
      </c>
      <c r="F48" t="s">
        <v>30</v>
      </c>
      <c r="G48" t="s">
        <v>164</v>
      </c>
      <c r="H48" t="s">
        <v>32</v>
      </c>
      <c r="I48" t="s">
        <v>33</v>
      </c>
      <c r="J48" t="s">
        <v>293</v>
      </c>
      <c r="K48" t="s">
        <v>294</v>
      </c>
      <c r="L48" t="s">
        <v>92</v>
      </c>
      <c r="M48" t="s">
        <v>295</v>
      </c>
      <c r="N48" t="s">
        <v>296</v>
      </c>
      <c r="O48" t="s">
        <v>92</v>
      </c>
      <c r="P48" t="s">
        <v>55</v>
      </c>
      <c r="Q48" t="s">
        <v>75</v>
      </c>
      <c r="R48">
        <v>72</v>
      </c>
      <c r="S48">
        <v>0</v>
      </c>
      <c r="T48" t="s">
        <v>137</v>
      </c>
      <c r="U48" t="s">
        <v>42</v>
      </c>
      <c r="V48">
        <v>1.66</v>
      </c>
      <c r="W48">
        <v>4.26</v>
      </c>
      <c r="X48">
        <v>7</v>
      </c>
      <c r="Y48">
        <v>15.4</v>
      </c>
      <c r="Z48">
        <v>9.1</v>
      </c>
    </row>
    <row r="49" spans="1:26" x14ac:dyDescent="0.45">
      <c r="A49" t="s">
        <v>297</v>
      </c>
      <c r="B49">
        <v>50</v>
      </c>
      <c r="C49" t="s">
        <v>27</v>
      </c>
      <c r="D49" t="s">
        <v>45</v>
      </c>
      <c r="E49" t="s">
        <v>163</v>
      </c>
      <c r="F49" t="s">
        <v>69</v>
      </c>
      <c r="G49" t="s">
        <v>164</v>
      </c>
      <c r="H49" t="s">
        <v>61</v>
      </c>
      <c r="I49" t="s">
        <v>49</v>
      </c>
      <c r="J49" t="s">
        <v>298</v>
      </c>
      <c r="K49" t="s">
        <v>299</v>
      </c>
      <c r="L49" t="s">
        <v>36</v>
      </c>
      <c r="M49" t="s">
        <v>67</v>
      </c>
      <c r="N49" t="s">
        <v>300</v>
      </c>
      <c r="O49" t="s">
        <v>36</v>
      </c>
      <c r="P49" t="s">
        <v>110</v>
      </c>
      <c r="Q49" t="s">
        <v>40</v>
      </c>
      <c r="R49">
        <v>87</v>
      </c>
      <c r="S49">
        <v>0</v>
      </c>
      <c r="T49" t="s">
        <v>137</v>
      </c>
      <c r="U49" t="s">
        <v>42</v>
      </c>
      <c r="V49">
        <v>4.51</v>
      </c>
      <c r="W49">
        <v>2.57</v>
      </c>
      <c r="X49">
        <v>8.3000000000000007</v>
      </c>
      <c r="Y49">
        <v>13.9</v>
      </c>
      <c r="Z49">
        <v>9.4</v>
      </c>
    </row>
    <row r="50" spans="1:26" x14ac:dyDescent="0.45">
      <c r="A50" t="s">
        <v>301</v>
      </c>
      <c r="B50">
        <v>71</v>
      </c>
      <c r="C50" t="s">
        <v>45</v>
      </c>
      <c r="D50" t="s">
        <v>28</v>
      </c>
      <c r="E50" t="s">
        <v>30</v>
      </c>
      <c r="F50" t="s">
        <v>30</v>
      </c>
      <c r="G50" t="s">
        <v>80</v>
      </c>
      <c r="H50" t="s">
        <v>32</v>
      </c>
      <c r="I50" t="s">
        <v>49</v>
      </c>
      <c r="J50" t="s">
        <v>302</v>
      </c>
      <c r="K50" t="s">
        <v>303</v>
      </c>
      <c r="L50" t="s">
        <v>52</v>
      </c>
      <c r="M50" t="s">
        <v>304</v>
      </c>
      <c r="N50" t="s">
        <v>305</v>
      </c>
      <c r="O50" t="s">
        <v>52</v>
      </c>
      <c r="P50" t="s">
        <v>55</v>
      </c>
      <c r="Q50" t="s">
        <v>30</v>
      </c>
      <c r="R50">
        <v>113</v>
      </c>
      <c r="S50">
        <v>0</v>
      </c>
      <c r="T50" t="s">
        <v>123</v>
      </c>
      <c r="U50" t="s">
        <v>57</v>
      </c>
      <c r="V50">
        <v>2.85</v>
      </c>
      <c r="W50">
        <v>2.21</v>
      </c>
      <c r="X50">
        <v>7.7</v>
      </c>
      <c r="Y50">
        <v>15</v>
      </c>
      <c r="Z50">
        <v>6.9</v>
      </c>
    </row>
    <row r="51" spans="1:26" x14ac:dyDescent="0.45">
      <c r="A51" t="s">
        <v>306</v>
      </c>
      <c r="B51">
        <v>19</v>
      </c>
      <c r="C51" t="s">
        <v>44</v>
      </c>
      <c r="D51" t="s">
        <v>106</v>
      </c>
      <c r="E51" t="s">
        <v>30</v>
      </c>
      <c r="F51" t="s">
        <v>30</v>
      </c>
      <c r="G51" t="s">
        <v>276</v>
      </c>
      <c r="H51" t="s">
        <v>71</v>
      </c>
      <c r="I51" t="s">
        <v>33</v>
      </c>
      <c r="J51" t="s">
        <v>307</v>
      </c>
      <c r="K51" t="s">
        <v>308</v>
      </c>
      <c r="L51" t="s">
        <v>52</v>
      </c>
      <c r="M51" t="s">
        <v>309</v>
      </c>
      <c r="N51" t="s">
        <v>54</v>
      </c>
      <c r="O51" t="s">
        <v>52</v>
      </c>
      <c r="P51" t="s">
        <v>55</v>
      </c>
      <c r="Q51" t="s">
        <v>129</v>
      </c>
      <c r="R51">
        <v>89</v>
      </c>
      <c r="S51">
        <v>0</v>
      </c>
      <c r="T51" t="s">
        <v>85</v>
      </c>
      <c r="U51" t="s">
        <v>57</v>
      </c>
      <c r="V51">
        <v>4.5999999999999996</v>
      </c>
      <c r="W51">
        <v>2.54</v>
      </c>
      <c r="X51">
        <v>5.9</v>
      </c>
      <c r="Y51">
        <v>22.3</v>
      </c>
      <c r="Z51">
        <v>13.6</v>
      </c>
    </row>
    <row r="52" spans="1:26" x14ac:dyDescent="0.45">
      <c r="A52" t="s">
        <v>310</v>
      </c>
      <c r="B52">
        <v>19</v>
      </c>
      <c r="C52" t="s">
        <v>44</v>
      </c>
      <c r="D52" t="s">
        <v>87</v>
      </c>
      <c r="E52" t="s">
        <v>78</v>
      </c>
      <c r="F52" t="s">
        <v>30</v>
      </c>
      <c r="G52" t="s">
        <v>276</v>
      </c>
      <c r="H52" t="s">
        <v>61</v>
      </c>
      <c r="I52" t="s">
        <v>72</v>
      </c>
      <c r="J52" t="s">
        <v>311</v>
      </c>
      <c r="K52" t="s">
        <v>312</v>
      </c>
      <c r="L52" t="s">
        <v>92</v>
      </c>
      <c r="M52" t="s">
        <v>30</v>
      </c>
      <c r="N52" t="s">
        <v>313</v>
      </c>
      <c r="O52" t="s">
        <v>92</v>
      </c>
      <c r="P52" t="s">
        <v>39</v>
      </c>
      <c r="Q52" t="s">
        <v>67</v>
      </c>
      <c r="R52">
        <v>163</v>
      </c>
      <c r="S52">
        <v>1</v>
      </c>
      <c r="T52" t="s">
        <v>56</v>
      </c>
      <c r="U52" t="s">
        <v>57</v>
      </c>
      <c r="V52">
        <v>1.47</v>
      </c>
      <c r="W52">
        <v>4.76</v>
      </c>
      <c r="X52">
        <v>6.6</v>
      </c>
      <c r="Y52">
        <v>12</v>
      </c>
      <c r="Z52">
        <v>5.4</v>
      </c>
    </row>
    <row r="53" spans="1:26" x14ac:dyDescent="0.45">
      <c r="A53" t="s">
        <v>314</v>
      </c>
      <c r="B53">
        <v>76</v>
      </c>
      <c r="C53" t="s">
        <v>45</v>
      </c>
      <c r="D53" t="s">
        <v>87</v>
      </c>
      <c r="E53" t="s">
        <v>29</v>
      </c>
      <c r="F53" t="s">
        <v>79</v>
      </c>
      <c r="G53" t="s">
        <v>131</v>
      </c>
      <c r="H53" t="s">
        <v>61</v>
      </c>
      <c r="I53" t="s">
        <v>49</v>
      </c>
      <c r="J53" t="s">
        <v>315</v>
      </c>
      <c r="K53" t="s">
        <v>316</v>
      </c>
      <c r="L53" t="s">
        <v>64</v>
      </c>
      <c r="M53" t="s">
        <v>317</v>
      </c>
      <c r="N53" t="s">
        <v>318</v>
      </c>
      <c r="O53" t="s">
        <v>64</v>
      </c>
      <c r="P53" t="s">
        <v>110</v>
      </c>
      <c r="Q53" t="s">
        <v>30</v>
      </c>
      <c r="R53">
        <v>111</v>
      </c>
      <c r="S53">
        <v>0</v>
      </c>
      <c r="T53" t="s">
        <v>56</v>
      </c>
      <c r="U53" t="s">
        <v>57</v>
      </c>
      <c r="V53">
        <v>4.18</v>
      </c>
      <c r="W53">
        <v>3.48</v>
      </c>
      <c r="X53">
        <v>5.8</v>
      </c>
      <c r="Y53">
        <v>22.1</v>
      </c>
      <c r="Z53">
        <v>16.399999999999999</v>
      </c>
    </row>
    <row r="54" spans="1:26" x14ac:dyDescent="0.45">
      <c r="A54" t="s">
        <v>319</v>
      </c>
      <c r="B54">
        <v>47</v>
      </c>
      <c r="C54" t="s">
        <v>27</v>
      </c>
      <c r="D54" t="s">
        <v>106</v>
      </c>
      <c r="E54" t="s">
        <v>46</v>
      </c>
      <c r="F54" t="s">
        <v>30</v>
      </c>
      <c r="G54" t="s">
        <v>80</v>
      </c>
      <c r="H54" t="s">
        <v>61</v>
      </c>
      <c r="I54" t="s">
        <v>72</v>
      </c>
      <c r="J54" t="s">
        <v>320</v>
      </c>
      <c r="K54" t="s">
        <v>321</v>
      </c>
      <c r="L54" t="s">
        <v>64</v>
      </c>
      <c r="M54" t="s">
        <v>322</v>
      </c>
      <c r="N54" t="s">
        <v>323</v>
      </c>
      <c r="O54" t="s">
        <v>64</v>
      </c>
      <c r="P54" t="s">
        <v>39</v>
      </c>
      <c r="Q54" t="s">
        <v>40</v>
      </c>
      <c r="R54">
        <v>108</v>
      </c>
      <c r="S54">
        <v>1</v>
      </c>
      <c r="T54" t="s">
        <v>56</v>
      </c>
      <c r="U54" t="s">
        <v>57</v>
      </c>
      <c r="V54">
        <v>1.61</v>
      </c>
      <c r="W54">
        <v>2.25</v>
      </c>
      <c r="X54">
        <v>3.2</v>
      </c>
      <c r="Y54">
        <v>19.399999999999999</v>
      </c>
      <c r="Z54">
        <v>3.6</v>
      </c>
    </row>
    <row r="55" spans="1:26" x14ac:dyDescent="0.45">
      <c r="A55" t="s">
        <v>324</v>
      </c>
      <c r="B55">
        <v>33</v>
      </c>
      <c r="C55" t="s">
        <v>27</v>
      </c>
      <c r="D55" t="s">
        <v>106</v>
      </c>
      <c r="E55" t="s">
        <v>30</v>
      </c>
      <c r="F55" t="s">
        <v>30</v>
      </c>
      <c r="G55" t="s">
        <v>152</v>
      </c>
      <c r="H55" t="s">
        <v>61</v>
      </c>
      <c r="I55" t="s">
        <v>72</v>
      </c>
      <c r="J55" t="s">
        <v>325</v>
      </c>
      <c r="K55" t="s">
        <v>326</v>
      </c>
      <c r="L55" t="s">
        <v>52</v>
      </c>
      <c r="M55" t="s">
        <v>187</v>
      </c>
      <c r="N55" t="s">
        <v>327</v>
      </c>
      <c r="O55" t="s">
        <v>52</v>
      </c>
      <c r="P55" t="s">
        <v>55</v>
      </c>
      <c r="Q55" t="s">
        <v>30</v>
      </c>
      <c r="R55">
        <v>74</v>
      </c>
      <c r="S55">
        <v>0</v>
      </c>
      <c r="T55" t="s">
        <v>123</v>
      </c>
      <c r="U55" t="s">
        <v>57</v>
      </c>
      <c r="V55">
        <v>3.28</v>
      </c>
      <c r="W55">
        <v>4.05</v>
      </c>
      <c r="X55">
        <v>8.9</v>
      </c>
      <c r="Y55">
        <v>12.2</v>
      </c>
      <c r="Z55">
        <v>17</v>
      </c>
    </row>
    <row r="56" spans="1:26" x14ac:dyDescent="0.45">
      <c r="A56" t="s">
        <v>328</v>
      </c>
      <c r="B56">
        <v>75</v>
      </c>
      <c r="C56" t="s">
        <v>45</v>
      </c>
      <c r="D56" t="s">
        <v>45</v>
      </c>
      <c r="E56" t="s">
        <v>46</v>
      </c>
      <c r="F56" t="s">
        <v>88</v>
      </c>
      <c r="G56" t="s">
        <v>96</v>
      </c>
      <c r="H56" t="s">
        <v>61</v>
      </c>
      <c r="I56" t="s">
        <v>49</v>
      </c>
      <c r="J56" t="s">
        <v>329</v>
      </c>
      <c r="K56" t="s">
        <v>330</v>
      </c>
      <c r="L56" t="s">
        <v>36</v>
      </c>
      <c r="M56" t="s">
        <v>322</v>
      </c>
      <c r="N56" t="s">
        <v>331</v>
      </c>
      <c r="O56" t="s">
        <v>36</v>
      </c>
      <c r="P56" t="s">
        <v>39</v>
      </c>
      <c r="Q56" t="s">
        <v>129</v>
      </c>
      <c r="R56">
        <v>80</v>
      </c>
      <c r="S56">
        <v>1</v>
      </c>
      <c r="T56" t="s">
        <v>56</v>
      </c>
      <c r="U56" t="s">
        <v>42</v>
      </c>
      <c r="V56">
        <v>1.44</v>
      </c>
      <c r="W56">
        <v>4.3899999999999997</v>
      </c>
      <c r="X56">
        <v>2.1</v>
      </c>
      <c r="Y56">
        <v>13.2</v>
      </c>
      <c r="Z56">
        <v>16.600000000000001</v>
      </c>
    </row>
    <row r="57" spans="1:26" x14ac:dyDescent="0.45">
      <c r="A57" t="s">
        <v>332</v>
      </c>
      <c r="B57">
        <v>29</v>
      </c>
      <c r="C57" t="s">
        <v>44</v>
      </c>
      <c r="D57" t="s">
        <v>87</v>
      </c>
      <c r="E57" t="s">
        <v>163</v>
      </c>
      <c r="F57" t="s">
        <v>30</v>
      </c>
      <c r="G57" t="s">
        <v>118</v>
      </c>
      <c r="H57" t="s">
        <v>71</v>
      </c>
      <c r="I57" t="s">
        <v>33</v>
      </c>
      <c r="J57" t="s">
        <v>333</v>
      </c>
      <c r="K57" t="s">
        <v>334</v>
      </c>
      <c r="L57" t="s">
        <v>36</v>
      </c>
      <c r="M57" t="s">
        <v>30</v>
      </c>
      <c r="N57" t="s">
        <v>335</v>
      </c>
      <c r="O57" t="s">
        <v>36</v>
      </c>
      <c r="P57" t="s">
        <v>39</v>
      </c>
      <c r="Q57" t="s">
        <v>30</v>
      </c>
      <c r="R57">
        <v>101</v>
      </c>
      <c r="S57">
        <v>1</v>
      </c>
      <c r="T57" t="s">
        <v>56</v>
      </c>
      <c r="U57" t="s">
        <v>42</v>
      </c>
      <c r="V57">
        <v>1.6</v>
      </c>
      <c r="W57">
        <v>1.92</v>
      </c>
      <c r="X57">
        <v>7.5</v>
      </c>
      <c r="Y57">
        <v>19</v>
      </c>
      <c r="Z57">
        <v>13.9</v>
      </c>
    </row>
    <row r="58" spans="1:26" x14ac:dyDescent="0.45">
      <c r="A58" t="s">
        <v>336</v>
      </c>
      <c r="B58">
        <v>22</v>
      </c>
      <c r="C58" t="s">
        <v>45</v>
      </c>
      <c r="D58" t="s">
        <v>45</v>
      </c>
      <c r="E58" t="s">
        <v>29</v>
      </c>
      <c r="F58" t="s">
        <v>59</v>
      </c>
      <c r="G58" t="s">
        <v>70</v>
      </c>
      <c r="H58" t="s">
        <v>81</v>
      </c>
      <c r="I58" t="s">
        <v>33</v>
      </c>
      <c r="J58" t="s">
        <v>337</v>
      </c>
      <c r="K58" t="s">
        <v>338</v>
      </c>
      <c r="L58" t="s">
        <v>52</v>
      </c>
      <c r="M58" t="s">
        <v>339</v>
      </c>
      <c r="N58" t="s">
        <v>340</v>
      </c>
      <c r="O58" t="s">
        <v>52</v>
      </c>
      <c r="P58" t="s">
        <v>110</v>
      </c>
      <c r="Q58" t="s">
        <v>129</v>
      </c>
      <c r="R58">
        <v>127</v>
      </c>
      <c r="S58">
        <v>0</v>
      </c>
      <c r="T58" t="s">
        <v>137</v>
      </c>
      <c r="U58" t="s">
        <v>57</v>
      </c>
      <c r="V58">
        <v>3.78</v>
      </c>
      <c r="W58">
        <v>3.17</v>
      </c>
      <c r="X58">
        <v>3.3</v>
      </c>
      <c r="Y58">
        <v>12.2</v>
      </c>
      <c r="Z58">
        <v>6.1</v>
      </c>
    </row>
    <row r="59" spans="1:26" x14ac:dyDescent="0.45">
      <c r="A59" t="s">
        <v>341</v>
      </c>
      <c r="B59">
        <v>80</v>
      </c>
      <c r="C59" t="s">
        <v>44</v>
      </c>
      <c r="D59" t="s">
        <v>45</v>
      </c>
      <c r="E59" t="s">
        <v>29</v>
      </c>
      <c r="F59" t="s">
        <v>59</v>
      </c>
      <c r="G59" t="s">
        <v>112</v>
      </c>
      <c r="H59" t="s">
        <v>61</v>
      </c>
      <c r="I59" t="s">
        <v>132</v>
      </c>
      <c r="J59" t="s">
        <v>342</v>
      </c>
      <c r="K59" t="s">
        <v>343</v>
      </c>
      <c r="L59" t="s">
        <v>64</v>
      </c>
      <c r="M59" t="s">
        <v>40</v>
      </c>
      <c r="N59" t="s">
        <v>344</v>
      </c>
      <c r="O59" t="s">
        <v>64</v>
      </c>
      <c r="P59" t="s">
        <v>55</v>
      </c>
      <c r="Q59" t="s">
        <v>75</v>
      </c>
      <c r="R59">
        <v>89</v>
      </c>
      <c r="S59">
        <v>0</v>
      </c>
      <c r="T59" t="s">
        <v>41</v>
      </c>
      <c r="U59" t="s">
        <v>42</v>
      </c>
      <c r="V59">
        <v>4.63</v>
      </c>
      <c r="W59">
        <v>3.33</v>
      </c>
      <c r="X59">
        <v>4.5999999999999996</v>
      </c>
      <c r="Y59">
        <v>14.3</v>
      </c>
      <c r="Z59">
        <v>19.100000000000001</v>
      </c>
    </row>
    <row r="60" spans="1:26" x14ac:dyDescent="0.45">
      <c r="A60" t="s">
        <v>345</v>
      </c>
      <c r="B60">
        <v>49</v>
      </c>
      <c r="C60" t="s">
        <v>45</v>
      </c>
      <c r="D60" t="s">
        <v>106</v>
      </c>
      <c r="E60" t="s">
        <v>30</v>
      </c>
      <c r="F60" t="s">
        <v>30</v>
      </c>
      <c r="G60" t="s">
        <v>118</v>
      </c>
      <c r="H60" t="s">
        <v>71</v>
      </c>
      <c r="I60" t="s">
        <v>33</v>
      </c>
      <c r="J60" t="s">
        <v>346</v>
      </c>
      <c r="K60" t="s">
        <v>347</v>
      </c>
      <c r="L60" t="s">
        <v>64</v>
      </c>
      <c r="M60" t="s">
        <v>348</v>
      </c>
      <c r="N60" t="s">
        <v>318</v>
      </c>
      <c r="O60" t="s">
        <v>64</v>
      </c>
      <c r="P60" t="s">
        <v>55</v>
      </c>
      <c r="Q60" t="s">
        <v>75</v>
      </c>
      <c r="R60">
        <v>174</v>
      </c>
      <c r="S60">
        <v>0</v>
      </c>
      <c r="T60" t="s">
        <v>41</v>
      </c>
      <c r="U60" t="s">
        <v>42</v>
      </c>
      <c r="V60">
        <v>1.61</v>
      </c>
      <c r="W60">
        <v>3.34</v>
      </c>
      <c r="X60">
        <v>5.6</v>
      </c>
      <c r="Y60">
        <v>17</v>
      </c>
      <c r="Z60">
        <v>3.3</v>
      </c>
    </row>
    <row r="61" spans="1:26" x14ac:dyDescent="0.45">
      <c r="A61" t="s">
        <v>349</v>
      </c>
      <c r="B61">
        <v>81</v>
      </c>
      <c r="C61" t="s">
        <v>45</v>
      </c>
      <c r="D61" t="s">
        <v>28</v>
      </c>
      <c r="E61" t="s">
        <v>46</v>
      </c>
      <c r="F61" t="s">
        <v>88</v>
      </c>
      <c r="G61" t="s">
        <v>118</v>
      </c>
      <c r="H61" t="s">
        <v>71</v>
      </c>
      <c r="I61" t="s">
        <v>72</v>
      </c>
      <c r="J61" t="s">
        <v>350</v>
      </c>
      <c r="K61" t="s">
        <v>351</v>
      </c>
      <c r="L61" t="s">
        <v>64</v>
      </c>
      <c r="M61" t="s">
        <v>352</v>
      </c>
      <c r="N61" t="s">
        <v>353</v>
      </c>
      <c r="O61" t="s">
        <v>64</v>
      </c>
      <c r="P61" t="s">
        <v>39</v>
      </c>
      <c r="Q61" t="s">
        <v>30</v>
      </c>
      <c r="R61">
        <v>45</v>
      </c>
      <c r="S61">
        <v>1</v>
      </c>
      <c r="T61" t="s">
        <v>123</v>
      </c>
      <c r="U61" t="s">
        <v>42</v>
      </c>
      <c r="V61">
        <v>4.49</v>
      </c>
      <c r="W61">
        <v>4.7300000000000004</v>
      </c>
      <c r="X61">
        <v>6.1</v>
      </c>
      <c r="Y61">
        <v>18.5</v>
      </c>
      <c r="Z61">
        <v>18.7</v>
      </c>
    </row>
    <row r="62" spans="1:26" x14ac:dyDescent="0.45">
      <c r="A62" t="s">
        <v>354</v>
      </c>
      <c r="B62">
        <v>36</v>
      </c>
      <c r="C62" t="s">
        <v>27</v>
      </c>
      <c r="D62" t="s">
        <v>45</v>
      </c>
      <c r="E62" t="s">
        <v>30</v>
      </c>
      <c r="F62" t="s">
        <v>30</v>
      </c>
      <c r="G62" t="s">
        <v>194</v>
      </c>
      <c r="H62" t="s">
        <v>81</v>
      </c>
      <c r="I62" t="s">
        <v>49</v>
      </c>
      <c r="J62" t="s">
        <v>355</v>
      </c>
      <c r="K62" t="s">
        <v>356</v>
      </c>
      <c r="L62" t="s">
        <v>52</v>
      </c>
      <c r="M62" t="s">
        <v>357</v>
      </c>
      <c r="N62" t="s">
        <v>358</v>
      </c>
      <c r="O62" t="s">
        <v>52</v>
      </c>
      <c r="P62" t="s">
        <v>39</v>
      </c>
      <c r="Q62" t="s">
        <v>75</v>
      </c>
      <c r="R62">
        <v>121</v>
      </c>
      <c r="S62">
        <v>1</v>
      </c>
      <c r="T62" t="s">
        <v>41</v>
      </c>
      <c r="U62" t="s">
        <v>42</v>
      </c>
      <c r="V62">
        <v>3.83</v>
      </c>
      <c r="W62">
        <v>1.61</v>
      </c>
      <c r="X62">
        <v>6.2</v>
      </c>
      <c r="Y62">
        <v>16.899999999999999</v>
      </c>
      <c r="Z62">
        <v>10.199999999999999</v>
      </c>
    </row>
    <row r="63" spans="1:26" x14ac:dyDescent="0.45">
      <c r="A63" t="s">
        <v>359</v>
      </c>
      <c r="B63">
        <v>66</v>
      </c>
      <c r="C63" t="s">
        <v>44</v>
      </c>
      <c r="D63" t="s">
        <v>28</v>
      </c>
      <c r="E63" t="s">
        <v>46</v>
      </c>
      <c r="F63" t="s">
        <v>88</v>
      </c>
      <c r="G63" t="s">
        <v>80</v>
      </c>
      <c r="H63" t="s">
        <v>81</v>
      </c>
      <c r="I63" t="s">
        <v>49</v>
      </c>
      <c r="J63" t="s">
        <v>360</v>
      </c>
      <c r="K63" t="s">
        <v>361</v>
      </c>
      <c r="L63" t="s">
        <v>52</v>
      </c>
      <c r="M63" t="s">
        <v>362</v>
      </c>
      <c r="N63" t="s">
        <v>109</v>
      </c>
      <c r="O63" t="s">
        <v>52</v>
      </c>
      <c r="P63" t="s">
        <v>55</v>
      </c>
      <c r="Q63" t="s">
        <v>129</v>
      </c>
      <c r="R63">
        <v>90</v>
      </c>
      <c r="S63">
        <v>0</v>
      </c>
      <c r="T63" t="s">
        <v>137</v>
      </c>
      <c r="U63" t="s">
        <v>57</v>
      </c>
      <c r="V63">
        <v>3.95</v>
      </c>
      <c r="W63">
        <v>4.74</v>
      </c>
      <c r="X63">
        <v>9.3000000000000007</v>
      </c>
      <c r="Y63">
        <v>14.1</v>
      </c>
      <c r="Z63">
        <v>4.9000000000000004</v>
      </c>
    </row>
    <row r="64" spans="1:26" x14ac:dyDescent="0.45">
      <c r="A64" t="s">
        <v>363</v>
      </c>
      <c r="B64">
        <v>39</v>
      </c>
      <c r="C64" t="s">
        <v>45</v>
      </c>
      <c r="D64" t="s">
        <v>87</v>
      </c>
      <c r="E64" t="s">
        <v>30</v>
      </c>
      <c r="F64" t="s">
        <v>59</v>
      </c>
      <c r="G64" t="s">
        <v>89</v>
      </c>
      <c r="H64" t="s">
        <v>71</v>
      </c>
      <c r="I64" t="s">
        <v>49</v>
      </c>
      <c r="J64" t="s">
        <v>364</v>
      </c>
      <c r="K64" t="s">
        <v>365</v>
      </c>
      <c r="L64" t="s">
        <v>92</v>
      </c>
      <c r="M64" t="s">
        <v>40</v>
      </c>
      <c r="N64" t="s">
        <v>366</v>
      </c>
      <c r="O64" t="s">
        <v>92</v>
      </c>
      <c r="P64" t="s">
        <v>110</v>
      </c>
      <c r="Q64" t="s">
        <v>40</v>
      </c>
      <c r="R64">
        <v>72</v>
      </c>
      <c r="S64">
        <v>0</v>
      </c>
      <c r="T64" t="s">
        <v>56</v>
      </c>
      <c r="U64" t="s">
        <v>57</v>
      </c>
      <c r="V64">
        <v>4.9400000000000004</v>
      </c>
      <c r="W64">
        <v>4.3600000000000003</v>
      </c>
      <c r="X64">
        <v>2.1</v>
      </c>
      <c r="Y64">
        <v>22.6</v>
      </c>
      <c r="Z64">
        <v>17.8</v>
      </c>
    </row>
    <row r="65" spans="1:26" x14ac:dyDescent="0.45">
      <c r="A65" t="s">
        <v>367</v>
      </c>
      <c r="B65">
        <v>66</v>
      </c>
      <c r="C65" t="s">
        <v>44</v>
      </c>
      <c r="D65" t="s">
        <v>45</v>
      </c>
      <c r="E65" t="s">
        <v>78</v>
      </c>
      <c r="F65" t="s">
        <v>47</v>
      </c>
      <c r="G65" t="s">
        <v>80</v>
      </c>
      <c r="H65" t="s">
        <v>71</v>
      </c>
      <c r="I65" t="s">
        <v>72</v>
      </c>
      <c r="J65" t="s">
        <v>368</v>
      </c>
      <c r="K65" t="s">
        <v>369</v>
      </c>
      <c r="L65" t="s">
        <v>64</v>
      </c>
      <c r="M65" t="s">
        <v>30</v>
      </c>
      <c r="N65" t="s">
        <v>370</v>
      </c>
      <c r="O65" t="s">
        <v>64</v>
      </c>
      <c r="P65" t="s">
        <v>39</v>
      </c>
      <c r="Q65" t="s">
        <v>129</v>
      </c>
      <c r="R65">
        <v>117</v>
      </c>
      <c r="S65">
        <v>1</v>
      </c>
      <c r="T65" t="s">
        <v>41</v>
      </c>
      <c r="U65" t="s">
        <v>57</v>
      </c>
      <c r="V65">
        <v>3.08</v>
      </c>
      <c r="W65">
        <v>3.37</v>
      </c>
      <c r="X65">
        <v>4.5999999999999996</v>
      </c>
      <c r="Y65">
        <v>7</v>
      </c>
      <c r="Z65">
        <v>8.6999999999999993</v>
      </c>
    </row>
    <row r="66" spans="1:26" x14ac:dyDescent="0.45">
      <c r="A66" t="s">
        <v>371</v>
      </c>
      <c r="B66">
        <v>38</v>
      </c>
      <c r="C66" t="s">
        <v>45</v>
      </c>
      <c r="D66" t="s">
        <v>87</v>
      </c>
      <c r="E66" t="s">
        <v>29</v>
      </c>
      <c r="F66" t="s">
        <v>30</v>
      </c>
      <c r="G66" t="s">
        <v>125</v>
      </c>
      <c r="H66" t="s">
        <v>32</v>
      </c>
      <c r="I66" t="s">
        <v>33</v>
      </c>
      <c r="J66" t="s">
        <v>372</v>
      </c>
      <c r="K66" t="s">
        <v>373</v>
      </c>
      <c r="L66" t="s">
        <v>36</v>
      </c>
      <c r="M66" t="s">
        <v>129</v>
      </c>
      <c r="N66" t="s">
        <v>374</v>
      </c>
      <c r="O66" t="s">
        <v>36</v>
      </c>
      <c r="P66" t="s">
        <v>55</v>
      </c>
      <c r="Q66" t="s">
        <v>67</v>
      </c>
      <c r="R66">
        <v>78</v>
      </c>
      <c r="S66">
        <v>0</v>
      </c>
      <c r="T66" t="s">
        <v>56</v>
      </c>
      <c r="U66" t="s">
        <v>57</v>
      </c>
      <c r="V66">
        <v>4.21</v>
      </c>
      <c r="W66">
        <v>1.02</v>
      </c>
      <c r="X66">
        <v>4</v>
      </c>
      <c r="Y66">
        <v>13.2</v>
      </c>
      <c r="Z66">
        <v>12.1</v>
      </c>
    </row>
    <row r="67" spans="1:26" x14ac:dyDescent="0.45">
      <c r="A67" t="s">
        <v>375</v>
      </c>
      <c r="B67">
        <v>54</v>
      </c>
      <c r="C67" t="s">
        <v>44</v>
      </c>
      <c r="D67" t="s">
        <v>106</v>
      </c>
      <c r="E67" t="s">
        <v>163</v>
      </c>
      <c r="F67" t="s">
        <v>69</v>
      </c>
      <c r="G67" t="s">
        <v>178</v>
      </c>
      <c r="H67" t="s">
        <v>81</v>
      </c>
      <c r="I67" t="s">
        <v>72</v>
      </c>
      <c r="J67" t="s">
        <v>376</v>
      </c>
      <c r="K67" t="s">
        <v>377</v>
      </c>
      <c r="L67" t="s">
        <v>92</v>
      </c>
      <c r="M67" t="s">
        <v>378</v>
      </c>
      <c r="N67" t="s">
        <v>379</v>
      </c>
      <c r="O67" t="s">
        <v>92</v>
      </c>
      <c r="P67" t="s">
        <v>39</v>
      </c>
      <c r="Q67" t="s">
        <v>129</v>
      </c>
      <c r="R67">
        <v>82</v>
      </c>
      <c r="S67">
        <v>1</v>
      </c>
      <c r="T67" t="s">
        <v>41</v>
      </c>
      <c r="U67" t="s">
        <v>57</v>
      </c>
      <c r="V67">
        <v>4.68</v>
      </c>
      <c r="W67">
        <v>2.39</v>
      </c>
      <c r="X67">
        <v>4.0999999999999996</v>
      </c>
      <c r="Y67">
        <v>19.3</v>
      </c>
      <c r="Z67">
        <v>10.7</v>
      </c>
    </row>
    <row r="68" spans="1:26" x14ac:dyDescent="0.45">
      <c r="A68" t="s">
        <v>380</v>
      </c>
      <c r="B68">
        <v>28</v>
      </c>
      <c r="C68" t="s">
        <v>44</v>
      </c>
      <c r="D68" t="s">
        <v>87</v>
      </c>
      <c r="E68" t="s">
        <v>30</v>
      </c>
      <c r="F68" t="s">
        <v>30</v>
      </c>
      <c r="G68" t="s">
        <v>70</v>
      </c>
      <c r="H68" t="s">
        <v>81</v>
      </c>
      <c r="I68" t="s">
        <v>132</v>
      </c>
      <c r="J68" t="s">
        <v>381</v>
      </c>
      <c r="K68" t="s">
        <v>382</v>
      </c>
      <c r="L68" t="s">
        <v>52</v>
      </c>
      <c r="M68" t="s">
        <v>295</v>
      </c>
      <c r="N68" t="s">
        <v>383</v>
      </c>
      <c r="O68" t="s">
        <v>52</v>
      </c>
      <c r="P68" t="s">
        <v>55</v>
      </c>
      <c r="Q68" t="s">
        <v>129</v>
      </c>
      <c r="R68">
        <v>97</v>
      </c>
      <c r="S68">
        <v>0</v>
      </c>
      <c r="T68" t="s">
        <v>56</v>
      </c>
      <c r="U68" t="s">
        <v>57</v>
      </c>
      <c r="V68">
        <v>1.9</v>
      </c>
      <c r="W68">
        <v>2.81</v>
      </c>
      <c r="X68">
        <v>2.2999999999999998</v>
      </c>
      <c r="Y68">
        <v>9.1999999999999993</v>
      </c>
      <c r="Z68">
        <v>11.5</v>
      </c>
    </row>
    <row r="69" spans="1:26" x14ac:dyDescent="0.45">
      <c r="A69" t="s">
        <v>384</v>
      </c>
      <c r="B69">
        <v>51</v>
      </c>
      <c r="C69" t="s">
        <v>27</v>
      </c>
      <c r="D69" t="s">
        <v>28</v>
      </c>
      <c r="E69" t="s">
        <v>29</v>
      </c>
      <c r="F69" t="s">
        <v>88</v>
      </c>
      <c r="G69" t="s">
        <v>125</v>
      </c>
      <c r="H69" t="s">
        <v>32</v>
      </c>
      <c r="I69" t="s">
        <v>33</v>
      </c>
      <c r="J69" t="s">
        <v>385</v>
      </c>
      <c r="K69" t="s">
        <v>386</v>
      </c>
      <c r="L69" t="s">
        <v>36</v>
      </c>
      <c r="M69" t="s">
        <v>357</v>
      </c>
      <c r="N69" t="s">
        <v>387</v>
      </c>
      <c r="O69" t="s">
        <v>36</v>
      </c>
      <c r="P69" t="s">
        <v>55</v>
      </c>
      <c r="Q69" t="s">
        <v>30</v>
      </c>
      <c r="R69">
        <v>50</v>
      </c>
      <c r="S69">
        <v>0</v>
      </c>
      <c r="T69" t="s">
        <v>56</v>
      </c>
      <c r="U69" t="s">
        <v>42</v>
      </c>
      <c r="V69">
        <v>2.68</v>
      </c>
      <c r="W69">
        <v>4.66</v>
      </c>
      <c r="X69">
        <v>4.3</v>
      </c>
      <c r="Y69">
        <v>16.5</v>
      </c>
      <c r="Z69">
        <v>13.7</v>
      </c>
    </row>
    <row r="70" spans="1:26" x14ac:dyDescent="0.45">
      <c r="A70" t="s">
        <v>388</v>
      </c>
      <c r="B70">
        <v>82</v>
      </c>
      <c r="C70" t="s">
        <v>45</v>
      </c>
      <c r="D70" t="s">
        <v>45</v>
      </c>
      <c r="E70" t="s">
        <v>29</v>
      </c>
      <c r="F70" t="s">
        <v>30</v>
      </c>
      <c r="G70" t="s">
        <v>152</v>
      </c>
      <c r="H70" t="s">
        <v>71</v>
      </c>
      <c r="I70" t="s">
        <v>49</v>
      </c>
      <c r="J70" t="s">
        <v>389</v>
      </c>
      <c r="K70" t="s">
        <v>390</v>
      </c>
      <c r="L70" t="s">
        <v>52</v>
      </c>
      <c r="M70" t="s">
        <v>129</v>
      </c>
      <c r="N70" t="s">
        <v>391</v>
      </c>
      <c r="O70" t="s">
        <v>52</v>
      </c>
      <c r="P70" t="s">
        <v>39</v>
      </c>
      <c r="Q70" t="s">
        <v>40</v>
      </c>
      <c r="R70">
        <v>81</v>
      </c>
      <c r="S70">
        <v>1</v>
      </c>
      <c r="T70" t="s">
        <v>41</v>
      </c>
      <c r="U70" t="s">
        <v>57</v>
      </c>
      <c r="V70">
        <v>1.05</v>
      </c>
      <c r="W70">
        <v>3.65</v>
      </c>
      <c r="X70">
        <v>2.6</v>
      </c>
      <c r="Y70">
        <v>23.3</v>
      </c>
      <c r="Z70">
        <v>5.5</v>
      </c>
    </row>
    <row r="71" spans="1:26" x14ac:dyDescent="0.45">
      <c r="A71" t="s">
        <v>392</v>
      </c>
      <c r="B71">
        <v>58</v>
      </c>
      <c r="C71" t="s">
        <v>45</v>
      </c>
      <c r="D71" t="s">
        <v>87</v>
      </c>
      <c r="E71" t="s">
        <v>163</v>
      </c>
      <c r="F71" t="s">
        <v>47</v>
      </c>
      <c r="G71" t="s">
        <v>178</v>
      </c>
      <c r="H71" t="s">
        <v>32</v>
      </c>
      <c r="I71" t="s">
        <v>132</v>
      </c>
      <c r="J71" t="s">
        <v>393</v>
      </c>
      <c r="K71" t="s">
        <v>394</v>
      </c>
      <c r="L71" t="s">
        <v>36</v>
      </c>
      <c r="M71" t="s">
        <v>40</v>
      </c>
      <c r="N71" t="s">
        <v>116</v>
      </c>
      <c r="O71" t="s">
        <v>36</v>
      </c>
      <c r="P71" t="s">
        <v>39</v>
      </c>
      <c r="Q71" t="s">
        <v>75</v>
      </c>
      <c r="R71">
        <v>180</v>
      </c>
      <c r="S71">
        <v>1</v>
      </c>
      <c r="T71" t="s">
        <v>85</v>
      </c>
      <c r="U71" t="s">
        <v>42</v>
      </c>
      <c r="V71">
        <v>2.66</v>
      </c>
      <c r="W71">
        <v>1.34</v>
      </c>
      <c r="X71">
        <v>10</v>
      </c>
      <c r="Y71">
        <v>15</v>
      </c>
      <c r="Z71">
        <v>13.1</v>
      </c>
    </row>
    <row r="72" spans="1:26" x14ac:dyDescent="0.45">
      <c r="A72" t="s">
        <v>395</v>
      </c>
      <c r="B72">
        <v>31</v>
      </c>
      <c r="C72" t="s">
        <v>45</v>
      </c>
      <c r="D72" t="s">
        <v>87</v>
      </c>
      <c r="E72" t="s">
        <v>30</v>
      </c>
      <c r="F72" t="s">
        <v>30</v>
      </c>
      <c r="G72" t="s">
        <v>194</v>
      </c>
      <c r="H72" t="s">
        <v>81</v>
      </c>
      <c r="I72" t="s">
        <v>132</v>
      </c>
      <c r="J72" t="s">
        <v>396</v>
      </c>
      <c r="K72" t="s">
        <v>397</v>
      </c>
      <c r="L72" t="s">
        <v>36</v>
      </c>
      <c r="M72" t="s">
        <v>67</v>
      </c>
      <c r="N72" t="s">
        <v>398</v>
      </c>
      <c r="O72" t="s">
        <v>36</v>
      </c>
      <c r="P72" t="s">
        <v>55</v>
      </c>
      <c r="Q72" t="s">
        <v>67</v>
      </c>
      <c r="R72">
        <v>132</v>
      </c>
      <c r="S72">
        <v>0</v>
      </c>
      <c r="T72" t="s">
        <v>123</v>
      </c>
      <c r="U72" t="s">
        <v>57</v>
      </c>
      <c r="V72">
        <v>1.27</v>
      </c>
      <c r="W72">
        <v>4</v>
      </c>
      <c r="X72">
        <v>2.9</v>
      </c>
      <c r="Y72">
        <v>22.2</v>
      </c>
      <c r="Z72">
        <v>6.5</v>
      </c>
    </row>
    <row r="73" spans="1:26" x14ac:dyDescent="0.45">
      <c r="A73" t="s">
        <v>399</v>
      </c>
      <c r="B73">
        <v>60</v>
      </c>
      <c r="C73" t="s">
        <v>45</v>
      </c>
      <c r="D73" t="s">
        <v>106</v>
      </c>
      <c r="E73" t="s">
        <v>163</v>
      </c>
      <c r="F73" t="s">
        <v>30</v>
      </c>
      <c r="G73" t="s">
        <v>184</v>
      </c>
      <c r="H73" t="s">
        <v>32</v>
      </c>
      <c r="I73" t="s">
        <v>49</v>
      </c>
      <c r="J73" t="s">
        <v>400</v>
      </c>
      <c r="K73" t="s">
        <v>401</v>
      </c>
      <c r="L73" t="s">
        <v>36</v>
      </c>
      <c r="M73" t="s">
        <v>160</v>
      </c>
      <c r="N73" t="s">
        <v>100</v>
      </c>
      <c r="O73" t="s">
        <v>36</v>
      </c>
      <c r="P73" t="s">
        <v>110</v>
      </c>
      <c r="Q73" t="s">
        <v>40</v>
      </c>
      <c r="R73">
        <v>112</v>
      </c>
      <c r="S73">
        <v>0</v>
      </c>
      <c r="T73" t="s">
        <v>137</v>
      </c>
      <c r="U73" t="s">
        <v>57</v>
      </c>
      <c r="V73">
        <v>1.76</v>
      </c>
      <c r="W73">
        <v>1.1499999999999999</v>
      </c>
      <c r="X73">
        <v>5.2</v>
      </c>
      <c r="Y73">
        <v>16.2</v>
      </c>
      <c r="Z73">
        <v>4.0999999999999996</v>
      </c>
    </row>
    <row r="74" spans="1:26" x14ac:dyDescent="0.45">
      <c r="A74" t="s">
        <v>402</v>
      </c>
      <c r="B74">
        <v>29</v>
      </c>
      <c r="C74" t="s">
        <v>27</v>
      </c>
      <c r="D74" t="s">
        <v>95</v>
      </c>
      <c r="E74" t="s">
        <v>46</v>
      </c>
      <c r="F74" t="s">
        <v>30</v>
      </c>
      <c r="G74" t="s">
        <v>48</v>
      </c>
      <c r="H74" t="s">
        <v>81</v>
      </c>
      <c r="I74" t="s">
        <v>132</v>
      </c>
      <c r="J74" t="s">
        <v>403</v>
      </c>
      <c r="K74" t="s">
        <v>404</v>
      </c>
      <c r="L74" t="s">
        <v>92</v>
      </c>
      <c r="M74" t="s">
        <v>378</v>
      </c>
      <c r="N74" t="s">
        <v>227</v>
      </c>
      <c r="O74" t="s">
        <v>92</v>
      </c>
      <c r="P74" t="s">
        <v>110</v>
      </c>
      <c r="Q74" t="s">
        <v>75</v>
      </c>
      <c r="R74">
        <v>37</v>
      </c>
      <c r="S74">
        <v>0</v>
      </c>
      <c r="T74" t="s">
        <v>41</v>
      </c>
      <c r="U74" t="s">
        <v>42</v>
      </c>
      <c r="V74">
        <v>4.0999999999999996</v>
      </c>
      <c r="W74">
        <v>2.81</v>
      </c>
      <c r="X74">
        <v>5.7</v>
      </c>
      <c r="Y74">
        <v>13.9</v>
      </c>
      <c r="Z74">
        <v>9.8000000000000007</v>
      </c>
    </row>
    <row r="75" spans="1:26" x14ac:dyDescent="0.45">
      <c r="A75" t="s">
        <v>405</v>
      </c>
      <c r="B75">
        <v>43</v>
      </c>
      <c r="C75" t="s">
        <v>27</v>
      </c>
      <c r="D75" t="s">
        <v>106</v>
      </c>
      <c r="E75" t="s">
        <v>163</v>
      </c>
      <c r="F75" t="s">
        <v>59</v>
      </c>
      <c r="G75" t="s">
        <v>89</v>
      </c>
      <c r="H75" t="s">
        <v>32</v>
      </c>
      <c r="I75" t="s">
        <v>132</v>
      </c>
      <c r="J75" t="s">
        <v>406</v>
      </c>
      <c r="K75" t="s">
        <v>407</v>
      </c>
      <c r="L75" t="s">
        <v>92</v>
      </c>
      <c r="M75" t="s">
        <v>221</v>
      </c>
      <c r="N75" t="s">
        <v>408</v>
      </c>
      <c r="O75" t="s">
        <v>92</v>
      </c>
      <c r="P75" t="s">
        <v>110</v>
      </c>
      <c r="Q75" t="s">
        <v>40</v>
      </c>
      <c r="R75">
        <v>75</v>
      </c>
      <c r="S75">
        <v>0</v>
      </c>
      <c r="T75" t="s">
        <v>56</v>
      </c>
      <c r="U75" t="s">
        <v>57</v>
      </c>
      <c r="V75">
        <v>3.24</v>
      </c>
      <c r="W75">
        <v>1.62</v>
      </c>
      <c r="X75">
        <v>2.6</v>
      </c>
      <c r="Y75">
        <v>21.5</v>
      </c>
      <c r="Z75">
        <v>19.100000000000001</v>
      </c>
    </row>
    <row r="76" spans="1:26" x14ac:dyDescent="0.45">
      <c r="A76" t="s">
        <v>409</v>
      </c>
      <c r="B76">
        <v>62</v>
      </c>
      <c r="C76" t="s">
        <v>27</v>
      </c>
      <c r="D76" t="s">
        <v>28</v>
      </c>
      <c r="E76" t="s">
        <v>163</v>
      </c>
      <c r="F76" t="s">
        <v>47</v>
      </c>
      <c r="G76" t="s">
        <v>118</v>
      </c>
      <c r="H76" t="s">
        <v>71</v>
      </c>
      <c r="I76" t="s">
        <v>72</v>
      </c>
      <c r="J76" t="s">
        <v>410</v>
      </c>
      <c r="K76" t="s">
        <v>411</v>
      </c>
      <c r="L76" t="s">
        <v>52</v>
      </c>
      <c r="M76" t="s">
        <v>187</v>
      </c>
      <c r="N76" t="s">
        <v>412</v>
      </c>
      <c r="O76" t="s">
        <v>52</v>
      </c>
      <c r="P76" t="s">
        <v>110</v>
      </c>
      <c r="Q76" t="s">
        <v>129</v>
      </c>
      <c r="R76">
        <v>151</v>
      </c>
      <c r="S76">
        <v>0</v>
      </c>
      <c r="T76" t="s">
        <v>41</v>
      </c>
      <c r="U76" t="s">
        <v>42</v>
      </c>
      <c r="V76">
        <v>2.4900000000000002</v>
      </c>
      <c r="W76">
        <v>2.08</v>
      </c>
      <c r="X76">
        <v>6.8</v>
      </c>
      <c r="Y76">
        <v>13.4</v>
      </c>
      <c r="Z76">
        <v>3.4</v>
      </c>
    </row>
    <row r="77" spans="1:26" x14ac:dyDescent="0.45">
      <c r="A77" t="s">
        <v>413</v>
      </c>
      <c r="B77">
        <v>19</v>
      </c>
      <c r="C77" t="s">
        <v>27</v>
      </c>
      <c r="D77" t="s">
        <v>28</v>
      </c>
      <c r="E77" t="s">
        <v>29</v>
      </c>
      <c r="F77" t="s">
        <v>30</v>
      </c>
      <c r="G77" t="s">
        <v>276</v>
      </c>
      <c r="H77" t="s">
        <v>32</v>
      </c>
      <c r="I77" t="s">
        <v>33</v>
      </c>
      <c r="J77" t="s">
        <v>414</v>
      </c>
      <c r="K77" t="s">
        <v>415</v>
      </c>
      <c r="L77" t="s">
        <v>52</v>
      </c>
      <c r="M77" t="s">
        <v>317</v>
      </c>
      <c r="N77" t="s">
        <v>416</v>
      </c>
      <c r="O77" t="s">
        <v>52</v>
      </c>
      <c r="P77" t="s">
        <v>39</v>
      </c>
      <c r="Q77" t="s">
        <v>129</v>
      </c>
      <c r="R77">
        <v>160</v>
      </c>
      <c r="S77">
        <v>1</v>
      </c>
      <c r="T77" t="s">
        <v>137</v>
      </c>
      <c r="U77" t="s">
        <v>57</v>
      </c>
      <c r="V77">
        <v>1.62</v>
      </c>
      <c r="W77">
        <v>3.86</v>
      </c>
      <c r="X77">
        <v>6.9</v>
      </c>
      <c r="Y77">
        <v>6.5</v>
      </c>
      <c r="Z77">
        <v>6.8</v>
      </c>
    </row>
    <row r="78" spans="1:26" x14ac:dyDescent="0.45">
      <c r="A78" t="s">
        <v>417</v>
      </c>
      <c r="B78">
        <v>56</v>
      </c>
      <c r="C78" t="s">
        <v>45</v>
      </c>
      <c r="D78" t="s">
        <v>87</v>
      </c>
      <c r="E78" t="s">
        <v>78</v>
      </c>
      <c r="F78" t="s">
        <v>59</v>
      </c>
      <c r="G78" t="s">
        <v>31</v>
      </c>
      <c r="H78" t="s">
        <v>32</v>
      </c>
      <c r="I78" t="s">
        <v>132</v>
      </c>
      <c r="J78" t="s">
        <v>418</v>
      </c>
      <c r="K78" t="s">
        <v>419</v>
      </c>
      <c r="L78" t="s">
        <v>52</v>
      </c>
      <c r="M78" t="s">
        <v>75</v>
      </c>
      <c r="N78" t="s">
        <v>217</v>
      </c>
      <c r="O78" t="s">
        <v>52</v>
      </c>
      <c r="P78" t="s">
        <v>110</v>
      </c>
      <c r="Q78" t="s">
        <v>30</v>
      </c>
      <c r="R78">
        <v>65</v>
      </c>
      <c r="S78">
        <v>0</v>
      </c>
      <c r="T78" t="s">
        <v>123</v>
      </c>
      <c r="U78" t="s">
        <v>57</v>
      </c>
      <c r="V78">
        <v>1.92</v>
      </c>
      <c r="W78">
        <v>3.69</v>
      </c>
      <c r="X78">
        <v>1.2</v>
      </c>
      <c r="Y78">
        <v>7.9</v>
      </c>
      <c r="Z78">
        <v>16.600000000000001</v>
      </c>
    </row>
    <row r="79" spans="1:26" x14ac:dyDescent="0.45">
      <c r="A79" t="s">
        <v>420</v>
      </c>
      <c r="B79">
        <v>55</v>
      </c>
      <c r="C79" t="s">
        <v>44</v>
      </c>
      <c r="D79" t="s">
        <v>95</v>
      </c>
      <c r="E79" t="s">
        <v>78</v>
      </c>
      <c r="F79" t="s">
        <v>88</v>
      </c>
      <c r="G79" t="s">
        <v>80</v>
      </c>
      <c r="H79" t="s">
        <v>71</v>
      </c>
      <c r="I79" t="s">
        <v>132</v>
      </c>
      <c r="J79" t="s">
        <v>382</v>
      </c>
      <c r="K79" t="s">
        <v>421</v>
      </c>
      <c r="L79" t="s">
        <v>36</v>
      </c>
      <c r="M79" t="s">
        <v>422</v>
      </c>
      <c r="N79" t="s">
        <v>423</v>
      </c>
      <c r="O79" t="s">
        <v>36</v>
      </c>
      <c r="P79" t="s">
        <v>110</v>
      </c>
      <c r="Q79" t="s">
        <v>67</v>
      </c>
      <c r="R79">
        <v>105</v>
      </c>
      <c r="S79">
        <v>0</v>
      </c>
      <c r="T79" t="s">
        <v>123</v>
      </c>
      <c r="U79" t="s">
        <v>57</v>
      </c>
      <c r="V79">
        <v>1.71</v>
      </c>
      <c r="W79">
        <v>3.61</v>
      </c>
      <c r="X79">
        <v>3.1</v>
      </c>
      <c r="Y79">
        <v>7.8</v>
      </c>
      <c r="Z79">
        <v>7.1</v>
      </c>
    </row>
    <row r="80" spans="1:26" x14ac:dyDescent="0.45">
      <c r="A80" t="s">
        <v>424</v>
      </c>
      <c r="B80">
        <v>34</v>
      </c>
      <c r="C80" t="s">
        <v>45</v>
      </c>
      <c r="D80" t="s">
        <v>28</v>
      </c>
      <c r="E80" t="s">
        <v>29</v>
      </c>
      <c r="F80" t="s">
        <v>30</v>
      </c>
      <c r="G80" t="s">
        <v>112</v>
      </c>
      <c r="H80" t="s">
        <v>32</v>
      </c>
      <c r="I80" t="s">
        <v>49</v>
      </c>
      <c r="J80" t="s">
        <v>425</v>
      </c>
      <c r="K80" t="s">
        <v>426</v>
      </c>
      <c r="L80" t="s">
        <v>64</v>
      </c>
      <c r="M80" t="s">
        <v>427</v>
      </c>
      <c r="N80" t="s">
        <v>370</v>
      </c>
      <c r="O80" t="s">
        <v>64</v>
      </c>
      <c r="P80" t="s">
        <v>110</v>
      </c>
      <c r="Q80" t="s">
        <v>30</v>
      </c>
      <c r="R80">
        <v>148</v>
      </c>
      <c r="S80">
        <v>0</v>
      </c>
      <c r="T80" t="s">
        <v>123</v>
      </c>
      <c r="U80" t="s">
        <v>57</v>
      </c>
      <c r="V80">
        <v>3.89</v>
      </c>
      <c r="W80">
        <v>4.42</v>
      </c>
      <c r="X80">
        <v>8.5</v>
      </c>
      <c r="Y80">
        <v>13.1</v>
      </c>
      <c r="Z80">
        <v>14.4</v>
      </c>
    </row>
    <row r="81" spans="1:26" x14ac:dyDescent="0.45">
      <c r="A81" t="s">
        <v>428</v>
      </c>
      <c r="B81">
        <v>24</v>
      </c>
      <c r="C81" t="s">
        <v>45</v>
      </c>
      <c r="D81" t="s">
        <v>45</v>
      </c>
      <c r="E81" t="s">
        <v>29</v>
      </c>
      <c r="F81" t="s">
        <v>30</v>
      </c>
      <c r="G81" t="s">
        <v>125</v>
      </c>
      <c r="H81" t="s">
        <v>81</v>
      </c>
      <c r="I81" t="s">
        <v>72</v>
      </c>
      <c r="J81" t="s">
        <v>429</v>
      </c>
      <c r="K81" t="s">
        <v>430</v>
      </c>
      <c r="L81" t="s">
        <v>36</v>
      </c>
      <c r="M81" t="s">
        <v>431</v>
      </c>
      <c r="N81" t="s">
        <v>116</v>
      </c>
      <c r="O81" t="s">
        <v>36</v>
      </c>
      <c r="P81" t="s">
        <v>39</v>
      </c>
      <c r="Q81" t="s">
        <v>67</v>
      </c>
      <c r="R81">
        <v>117</v>
      </c>
      <c r="S81">
        <v>1</v>
      </c>
      <c r="T81" t="s">
        <v>56</v>
      </c>
      <c r="U81" t="s">
        <v>57</v>
      </c>
      <c r="V81">
        <v>1.82</v>
      </c>
      <c r="W81">
        <v>2.17</v>
      </c>
      <c r="X81">
        <v>9.1</v>
      </c>
      <c r="Y81">
        <v>6.2</v>
      </c>
      <c r="Z81">
        <v>4.5</v>
      </c>
    </row>
    <row r="82" spans="1:26" x14ac:dyDescent="0.45">
      <c r="A82" t="s">
        <v>432</v>
      </c>
      <c r="B82">
        <v>36</v>
      </c>
      <c r="C82" t="s">
        <v>44</v>
      </c>
      <c r="D82" t="s">
        <v>106</v>
      </c>
      <c r="E82" t="s">
        <v>163</v>
      </c>
      <c r="F82" t="s">
        <v>79</v>
      </c>
      <c r="G82" t="s">
        <v>31</v>
      </c>
      <c r="H82" t="s">
        <v>61</v>
      </c>
      <c r="I82" t="s">
        <v>49</v>
      </c>
      <c r="J82" t="s">
        <v>433</v>
      </c>
      <c r="K82" t="s">
        <v>434</v>
      </c>
      <c r="L82" t="s">
        <v>52</v>
      </c>
      <c r="M82" t="s">
        <v>266</v>
      </c>
      <c r="N82" t="s">
        <v>435</v>
      </c>
      <c r="O82" t="s">
        <v>52</v>
      </c>
      <c r="P82" t="s">
        <v>110</v>
      </c>
      <c r="Q82" t="s">
        <v>40</v>
      </c>
      <c r="R82">
        <v>139</v>
      </c>
      <c r="S82">
        <v>0</v>
      </c>
      <c r="T82" t="s">
        <v>56</v>
      </c>
      <c r="U82" t="s">
        <v>57</v>
      </c>
      <c r="V82">
        <v>1.83</v>
      </c>
      <c r="W82">
        <v>1.1100000000000001</v>
      </c>
      <c r="X82">
        <v>2.6</v>
      </c>
      <c r="Y82">
        <v>16.5</v>
      </c>
      <c r="Z82">
        <v>10.199999999999999</v>
      </c>
    </row>
    <row r="83" spans="1:26" x14ac:dyDescent="0.45">
      <c r="A83" t="s">
        <v>436</v>
      </c>
      <c r="B83">
        <v>79</v>
      </c>
      <c r="C83" t="s">
        <v>44</v>
      </c>
      <c r="D83" t="s">
        <v>87</v>
      </c>
      <c r="E83" t="s">
        <v>163</v>
      </c>
      <c r="F83" t="s">
        <v>30</v>
      </c>
      <c r="G83" t="s">
        <v>194</v>
      </c>
      <c r="H83" t="s">
        <v>61</v>
      </c>
      <c r="I83" t="s">
        <v>132</v>
      </c>
      <c r="J83" t="s">
        <v>342</v>
      </c>
      <c r="K83" t="s">
        <v>437</v>
      </c>
      <c r="L83" t="s">
        <v>92</v>
      </c>
      <c r="M83" t="s">
        <v>438</v>
      </c>
      <c r="N83" t="s">
        <v>291</v>
      </c>
      <c r="O83" t="s">
        <v>92</v>
      </c>
      <c r="P83" t="s">
        <v>55</v>
      </c>
      <c r="Q83" t="s">
        <v>67</v>
      </c>
      <c r="R83">
        <v>56</v>
      </c>
      <c r="S83">
        <v>0</v>
      </c>
      <c r="T83" t="s">
        <v>56</v>
      </c>
      <c r="U83" t="s">
        <v>57</v>
      </c>
      <c r="V83">
        <v>4.57</v>
      </c>
      <c r="W83">
        <v>4.2699999999999996</v>
      </c>
      <c r="X83">
        <v>4.0999999999999996</v>
      </c>
      <c r="Y83">
        <v>10.7</v>
      </c>
      <c r="Z83">
        <v>9.5</v>
      </c>
    </row>
    <row r="84" spans="1:26" x14ac:dyDescent="0.45">
      <c r="A84" t="s">
        <v>439</v>
      </c>
      <c r="B84">
        <v>39</v>
      </c>
      <c r="C84" t="s">
        <v>27</v>
      </c>
      <c r="D84" t="s">
        <v>87</v>
      </c>
      <c r="E84" t="s">
        <v>30</v>
      </c>
      <c r="F84" t="s">
        <v>30</v>
      </c>
      <c r="G84" t="s">
        <v>440</v>
      </c>
      <c r="H84" t="s">
        <v>32</v>
      </c>
      <c r="I84" t="s">
        <v>33</v>
      </c>
      <c r="J84" t="s">
        <v>441</v>
      </c>
      <c r="K84" t="s">
        <v>442</v>
      </c>
      <c r="L84" t="s">
        <v>52</v>
      </c>
      <c r="M84" t="s">
        <v>40</v>
      </c>
      <c r="N84" t="s">
        <v>258</v>
      </c>
      <c r="O84" t="s">
        <v>52</v>
      </c>
      <c r="P84" t="s">
        <v>39</v>
      </c>
      <c r="Q84" t="s">
        <v>67</v>
      </c>
      <c r="R84">
        <v>63</v>
      </c>
      <c r="S84">
        <v>1</v>
      </c>
      <c r="T84" t="s">
        <v>41</v>
      </c>
      <c r="U84" t="s">
        <v>42</v>
      </c>
      <c r="V84">
        <v>3.36</v>
      </c>
      <c r="W84">
        <v>2.0699999999999998</v>
      </c>
      <c r="X84">
        <v>6.6</v>
      </c>
      <c r="Y84">
        <v>13.4</v>
      </c>
      <c r="Z84">
        <v>12.4</v>
      </c>
    </row>
    <row r="85" spans="1:26" x14ac:dyDescent="0.45">
      <c r="A85" t="s">
        <v>443</v>
      </c>
      <c r="B85">
        <v>82</v>
      </c>
      <c r="C85" t="s">
        <v>27</v>
      </c>
      <c r="D85" t="s">
        <v>87</v>
      </c>
      <c r="E85" t="s">
        <v>30</v>
      </c>
      <c r="F85" t="s">
        <v>30</v>
      </c>
      <c r="G85" t="s">
        <v>118</v>
      </c>
      <c r="H85" t="s">
        <v>81</v>
      </c>
      <c r="I85" t="s">
        <v>132</v>
      </c>
      <c r="J85" t="s">
        <v>444</v>
      </c>
      <c r="K85" t="s">
        <v>445</v>
      </c>
      <c r="L85" t="s">
        <v>92</v>
      </c>
      <c r="M85" t="s">
        <v>446</v>
      </c>
      <c r="N85" t="s">
        <v>447</v>
      </c>
      <c r="O85" t="s">
        <v>92</v>
      </c>
      <c r="P85" t="s">
        <v>39</v>
      </c>
      <c r="Q85" t="s">
        <v>40</v>
      </c>
      <c r="R85">
        <v>143</v>
      </c>
      <c r="S85">
        <v>1</v>
      </c>
      <c r="T85" t="s">
        <v>56</v>
      </c>
      <c r="U85" t="s">
        <v>42</v>
      </c>
      <c r="V85">
        <v>2.74</v>
      </c>
      <c r="W85">
        <v>2.1800000000000002</v>
      </c>
      <c r="X85">
        <v>9.5</v>
      </c>
      <c r="Y85">
        <v>19.7</v>
      </c>
      <c r="Z85">
        <v>5.4</v>
      </c>
    </row>
    <row r="86" spans="1:26" x14ac:dyDescent="0.45">
      <c r="A86" t="s">
        <v>448</v>
      </c>
      <c r="B86">
        <v>50</v>
      </c>
      <c r="C86" t="s">
        <v>44</v>
      </c>
      <c r="D86" t="s">
        <v>106</v>
      </c>
      <c r="E86" t="s">
        <v>46</v>
      </c>
      <c r="F86" t="s">
        <v>30</v>
      </c>
      <c r="G86" t="s">
        <v>164</v>
      </c>
      <c r="H86" t="s">
        <v>32</v>
      </c>
      <c r="I86" t="s">
        <v>33</v>
      </c>
      <c r="J86" t="s">
        <v>449</v>
      </c>
      <c r="K86" t="s">
        <v>450</v>
      </c>
      <c r="L86" t="s">
        <v>52</v>
      </c>
      <c r="M86" t="s">
        <v>451</v>
      </c>
      <c r="N86" t="s">
        <v>452</v>
      </c>
      <c r="O86" t="s">
        <v>52</v>
      </c>
      <c r="P86" t="s">
        <v>39</v>
      </c>
      <c r="Q86" t="s">
        <v>129</v>
      </c>
      <c r="R86">
        <v>157</v>
      </c>
      <c r="S86">
        <v>1</v>
      </c>
      <c r="T86" t="s">
        <v>41</v>
      </c>
      <c r="U86" t="s">
        <v>42</v>
      </c>
      <c r="V86">
        <v>4.47</v>
      </c>
      <c r="W86">
        <v>2.95</v>
      </c>
      <c r="X86">
        <v>9.1</v>
      </c>
      <c r="Y86">
        <v>20.399999999999999</v>
      </c>
      <c r="Z86">
        <v>10.199999999999999</v>
      </c>
    </row>
    <row r="87" spans="1:26" x14ac:dyDescent="0.45">
      <c r="A87" t="s">
        <v>453</v>
      </c>
      <c r="B87">
        <v>51</v>
      </c>
      <c r="C87" t="s">
        <v>45</v>
      </c>
      <c r="D87" t="s">
        <v>106</v>
      </c>
      <c r="E87" t="s">
        <v>30</v>
      </c>
      <c r="F87" t="s">
        <v>30</v>
      </c>
      <c r="G87" t="s">
        <v>276</v>
      </c>
      <c r="H87" t="s">
        <v>71</v>
      </c>
      <c r="I87" t="s">
        <v>49</v>
      </c>
      <c r="J87" t="s">
        <v>454</v>
      </c>
      <c r="K87" t="s">
        <v>455</v>
      </c>
      <c r="L87" t="s">
        <v>36</v>
      </c>
      <c r="M87" t="s">
        <v>37</v>
      </c>
      <c r="N87" t="s">
        <v>182</v>
      </c>
      <c r="O87" t="s">
        <v>36</v>
      </c>
      <c r="P87" t="s">
        <v>110</v>
      </c>
      <c r="Q87" t="s">
        <v>129</v>
      </c>
      <c r="R87">
        <v>58</v>
      </c>
      <c r="S87">
        <v>0</v>
      </c>
      <c r="T87" t="s">
        <v>85</v>
      </c>
      <c r="U87" t="s">
        <v>57</v>
      </c>
      <c r="V87">
        <v>1.0900000000000001</v>
      </c>
      <c r="W87">
        <v>2.0699999999999998</v>
      </c>
      <c r="X87">
        <v>5.9</v>
      </c>
      <c r="Y87">
        <v>17.399999999999999</v>
      </c>
      <c r="Z87">
        <v>7.4</v>
      </c>
    </row>
    <row r="88" spans="1:26" x14ac:dyDescent="0.45">
      <c r="A88" t="s">
        <v>456</v>
      </c>
      <c r="B88">
        <v>37</v>
      </c>
      <c r="C88" t="s">
        <v>27</v>
      </c>
      <c r="D88" t="s">
        <v>45</v>
      </c>
      <c r="E88" t="s">
        <v>163</v>
      </c>
      <c r="F88" t="s">
        <v>30</v>
      </c>
      <c r="G88" t="s">
        <v>102</v>
      </c>
      <c r="H88" t="s">
        <v>32</v>
      </c>
      <c r="I88" t="s">
        <v>72</v>
      </c>
      <c r="J88" t="s">
        <v>457</v>
      </c>
      <c r="K88" t="s">
        <v>458</v>
      </c>
      <c r="L88" t="s">
        <v>92</v>
      </c>
      <c r="M88" t="s">
        <v>67</v>
      </c>
      <c r="N88" t="s">
        <v>459</v>
      </c>
      <c r="O88" t="s">
        <v>92</v>
      </c>
      <c r="P88" t="s">
        <v>55</v>
      </c>
      <c r="Q88" t="s">
        <v>30</v>
      </c>
      <c r="R88">
        <v>110</v>
      </c>
      <c r="S88">
        <v>0</v>
      </c>
      <c r="T88" t="s">
        <v>56</v>
      </c>
      <c r="U88" t="s">
        <v>42</v>
      </c>
      <c r="V88">
        <v>1.56</v>
      </c>
      <c r="W88">
        <v>4.34</v>
      </c>
      <c r="X88">
        <v>9.9</v>
      </c>
      <c r="Y88">
        <v>15.5</v>
      </c>
      <c r="Z88">
        <v>5.9</v>
      </c>
    </row>
    <row r="89" spans="1:26" x14ac:dyDescent="0.45">
      <c r="A89" t="s">
        <v>460</v>
      </c>
      <c r="B89">
        <v>30</v>
      </c>
      <c r="C89" t="s">
        <v>27</v>
      </c>
      <c r="D89" t="s">
        <v>87</v>
      </c>
      <c r="E89" t="s">
        <v>46</v>
      </c>
      <c r="F89" t="s">
        <v>30</v>
      </c>
      <c r="G89" t="s">
        <v>112</v>
      </c>
      <c r="H89" t="s">
        <v>32</v>
      </c>
      <c r="I89" t="s">
        <v>132</v>
      </c>
      <c r="J89" t="s">
        <v>461</v>
      </c>
      <c r="K89" t="s">
        <v>462</v>
      </c>
      <c r="L89" t="s">
        <v>92</v>
      </c>
      <c r="M89" t="s">
        <v>53</v>
      </c>
      <c r="N89" t="s">
        <v>463</v>
      </c>
      <c r="O89" t="s">
        <v>92</v>
      </c>
      <c r="P89" t="s">
        <v>55</v>
      </c>
      <c r="Q89" t="s">
        <v>40</v>
      </c>
      <c r="R89">
        <v>146</v>
      </c>
      <c r="S89">
        <v>0</v>
      </c>
      <c r="T89" t="s">
        <v>137</v>
      </c>
      <c r="U89" t="s">
        <v>57</v>
      </c>
      <c r="V89">
        <v>2.09</v>
      </c>
      <c r="W89">
        <v>1.07</v>
      </c>
      <c r="X89">
        <v>9.1999999999999993</v>
      </c>
      <c r="Y89">
        <v>8.1</v>
      </c>
      <c r="Z89">
        <v>12.8</v>
      </c>
    </row>
    <row r="90" spans="1:26" x14ac:dyDescent="0.45">
      <c r="A90" t="s">
        <v>464</v>
      </c>
      <c r="B90">
        <v>79</v>
      </c>
      <c r="C90" t="s">
        <v>44</v>
      </c>
      <c r="D90" t="s">
        <v>106</v>
      </c>
      <c r="E90" t="s">
        <v>163</v>
      </c>
      <c r="F90" t="s">
        <v>88</v>
      </c>
      <c r="G90" t="s">
        <v>112</v>
      </c>
      <c r="H90" t="s">
        <v>61</v>
      </c>
      <c r="I90" t="s">
        <v>33</v>
      </c>
      <c r="J90" t="s">
        <v>82</v>
      </c>
      <c r="K90" t="s">
        <v>465</v>
      </c>
      <c r="L90" t="s">
        <v>36</v>
      </c>
      <c r="M90" t="s">
        <v>75</v>
      </c>
      <c r="N90" t="s">
        <v>466</v>
      </c>
      <c r="O90" t="s">
        <v>36</v>
      </c>
      <c r="P90" t="s">
        <v>55</v>
      </c>
      <c r="Q90" t="s">
        <v>75</v>
      </c>
      <c r="R90">
        <v>37</v>
      </c>
      <c r="S90">
        <v>0</v>
      </c>
      <c r="T90" t="s">
        <v>41</v>
      </c>
      <c r="U90" t="s">
        <v>57</v>
      </c>
      <c r="V90">
        <v>2.1</v>
      </c>
      <c r="W90">
        <v>3.22</v>
      </c>
      <c r="X90">
        <v>6.9</v>
      </c>
      <c r="Y90">
        <v>20.9</v>
      </c>
      <c r="Z90">
        <v>6.5</v>
      </c>
    </row>
    <row r="91" spans="1:26" x14ac:dyDescent="0.45">
      <c r="A91" t="s">
        <v>467</v>
      </c>
      <c r="B91">
        <v>80</v>
      </c>
      <c r="C91" t="s">
        <v>27</v>
      </c>
      <c r="D91" t="s">
        <v>95</v>
      </c>
      <c r="E91" t="s">
        <v>78</v>
      </c>
      <c r="F91" t="s">
        <v>59</v>
      </c>
      <c r="G91" t="s">
        <v>31</v>
      </c>
      <c r="H91" t="s">
        <v>61</v>
      </c>
      <c r="I91" t="s">
        <v>72</v>
      </c>
      <c r="J91" t="s">
        <v>468</v>
      </c>
      <c r="K91" t="s">
        <v>73</v>
      </c>
      <c r="L91" t="s">
        <v>92</v>
      </c>
      <c r="M91" t="s">
        <v>469</v>
      </c>
      <c r="N91" t="s">
        <v>291</v>
      </c>
      <c r="O91" t="s">
        <v>92</v>
      </c>
      <c r="P91" t="s">
        <v>110</v>
      </c>
      <c r="Q91" t="s">
        <v>40</v>
      </c>
      <c r="R91">
        <v>68</v>
      </c>
      <c r="S91">
        <v>0</v>
      </c>
      <c r="T91" t="s">
        <v>85</v>
      </c>
      <c r="U91" t="s">
        <v>42</v>
      </c>
      <c r="V91">
        <v>1.04</v>
      </c>
      <c r="W91">
        <v>1.55</v>
      </c>
      <c r="X91">
        <v>9.1</v>
      </c>
      <c r="Y91">
        <v>21.7</v>
      </c>
      <c r="Z91">
        <v>13.2</v>
      </c>
    </row>
    <row r="92" spans="1:26" x14ac:dyDescent="0.45">
      <c r="A92" t="s">
        <v>470</v>
      </c>
      <c r="B92">
        <v>19</v>
      </c>
      <c r="C92" t="s">
        <v>45</v>
      </c>
      <c r="D92" t="s">
        <v>106</v>
      </c>
      <c r="E92" t="s">
        <v>29</v>
      </c>
      <c r="F92" t="s">
        <v>30</v>
      </c>
      <c r="G92" t="s">
        <v>70</v>
      </c>
      <c r="H92" t="s">
        <v>71</v>
      </c>
      <c r="I92" t="s">
        <v>49</v>
      </c>
      <c r="J92" t="s">
        <v>471</v>
      </c>
      <c r="K92" t="s">
        <v>472</v>
      </c>
      <c r="L92" t="s">
        <v>64</v>
      </c>
      <c r="M92" t="s">
        <v>75</v>
      </c>
      <c r="N92" t="s">
        <v>473</v>
      </c>
      <c r="O92" t="s">
        <v>64</v>
      </c>
      <c r="P92" t="s">
        <v>110</v>
      </c>
      <c r="Q92" t="s">
        <v>40</v>
      </c>
      <c r="R92">
        <v>133</v>
      </c>
      <c r="S92">
        <v>0</v>
      </c>
      <c r="T92" t="s">
        <v>41</v>
      </c>
      <c r="U92" t="s">
        <v>42</v>
      </c>
      <c r="V92">
        <v>3.4</v>
      </c>
      <c r="W92">
        <v>3.66</v>
      </c>
      <c r="X92">
        <v>2.6</v>
      </c>
      <c r="Y92">
        <v>22.5</v>
      </c>
      <c r="Z92">
        <v>10.1</v>
      </c>
    </row>
    <row r="93" spans="1:26" x14ac:dyDescent="0.45">
      <c r="A93" t="s">
        <v>474</v>
      </c>
      <c r="B93">
        <v>76</v>
      </c>
      <c r="C93" t="s">
        <v>44</v>
      </c>
      <c r="D93" t="s">
        <v>45</v>
      </c>
      <c r="E93" t="s">
        <v>78</v>
      </c>
      <c r="F93" t="s">
        <v>47</v>
      </c>
      <c r="G93" t="s">
        <v>440</v>
      </c>
      <c r="H93" t="s">
        <v>32</v>
      </c>
      <c r="I93" t="s">
        <v>49</v>
      </c>
      <c r="J93" t="s">
        <v>475</v>
      </c>
      <c r="K93" t="s">
        <v>476</v>
      </c>
      <c r="L93" t="s">
        <v>92</v>
      </c>
      <c r="M93" t="s">
        <v>187</v>
      </c>
      <c r="N93" t="s">
        <v>477</v>
      </c>
      <c r="O93" t="s">
        <v>92</v>
      </c>
      <c r="P93" t="s">
        <v>110</v>
      </c>
      <c r="Q93" t="s">
        <v>129</v>
      </c>
      <c r="R93">
        <v>53</v>
      </c>
      <c r="S93">
        <v>0</v>
      </c>
      <c r="T93" t="s">
        <v>85</v>
      </c>
      <c r="U93" t="s">
        <v>57</v>
      </c>
      <c r="V93">
        <v>2.5299999999999998</v>
      </c>
      <c r="W93">
        <v>3.08</v>
      </c>
      <c r="X93">
        <v>1.4</v>
      </c>
      <c r="Y93">
        <v>9</v>
      </c>
      <c r="Z93">
        <v>15.5</v>
      </c>
    </row>
    <row r="94" spans="1:26" x14ac:dyDescent="0.45">
      <c r="A94" t="s">
        <v>478</v>
      </c>
      <c r="B94">
        <v>83</v>
      </c>
      <c r="C94" t="s">
        <v>45</v>
      </c>
      <c r="D94" t="s">
        <v>106</v>
      </c>
      <c r="E94" t="s">
        <v>78</v>
      </c>
      <c r="F94" t="s">
        <v>30</v>
      </c>
      <c r="G94" t="s">
        <v>194</v>
      </c>
      <c r="H94" t="s">
        <v>61</v>
      </c>
      <c r="I94" t="s">
        <v>72</v>
      </c>
      <c r="J94" t="s">
        <v>479</v>
      </c>
      <c r="K94" t="s">
        <v>480</v>
      </c>
      <c r="L94" t="s">
        <v>36</v>
      </c>
      <c r="M94" t="s">
        <v>431</v>
      </c>
      <c r="N94" t="s">
        <v>212</v>
      </c>
      <c r="O94" t="s">
        <v>36</v>
      </c>
      <c r="P94" t="s">
        <v>110</v>
      </c>
      <c r="Q94" t="s">
        <v>67</v>
      </c>
      <c r="R94">
        <v>30</v>
      </c>
      <c r="S94">
        <v>0</v>
      </c>
      <c r="T94" t="s">
        <v>137</v>
      </c>
      <c r="U94" t="s">
        <v>57</v>
      </c>
      <c r="V94">
        <v>1.33</v>
      </c>
      <c r="W94">
        <v>3.41</v>
      </c>
      <c r="X94">
        <v>3.2</v>
      </c>
      <c r="Y94">
        <v>13</v>
      </c>
      <c r="Z94">
        <v>7.9</v>
      </c>
    </row>
    <row r="95" spans="1:26" x14ac:dyDescent="0.45">
      <c r="A95" t="s">
        <v>481</v>
      </c>
      <c r="B95">
        <v>55</v>
      </c>
      <c r="C95" t="s">
        <v>45</v>
      </c>
      <c r="D95" t="s">
        <v>45</v>
      </c>
      <c r="E95" t="s">
        <v>30</v>
      </c>
      <c r="F95" t="s">
        <v>30</v>
      </c>
      <c r="G95" t="s">
        <v>118</v>
      </c>
      <c r="H95" t="s">
        <v>71</v>
      </c>
      <c r="I95" t="s">
        <v>33</v>
      </c>
      <c r="J95" t="s">
        <v>482</v>
      </c>
      <c r="K95" t="s">
        <v>483</v>
      </c>
      <c r="L95" t="s">
        <v>36</v>
      </c>
      <c r="M95" t="s">
        <v>30</v>
      </c>
      <c r="N95" t="s">
        <v>484</v>
      </c>
      <c r="O95" t="s">
        <v>36</v>
      </c>
      <c r="P95" t="s">
        <v>39</v>
      </c>
      <c r="Q95" t="s">
        <v>67</v>
      </c>
      <c r="R95">
        <v>60</v>
      </c>
      <c r="S95">
        <v>1</v>
      </c>
      <c r="T95" t="s">
        <v>56</v>
      </c>
      <c r="U95" t="s">
        <v>42</v>
      </c>
      <c r="V95">
        <v>2.42</v>
      </c>
      <c r="W95">
        <v>3.88</v>
      </c>
      <c r="X95">
        <v>3.7</v>
      </c>
      <c r="Y95">
        <v>16.2</v>
      </c>
      <c r="Z95">
        <v>11.1</v>
      </c>
    </row>
    <row r="96" spans="1:26" x14ac:dyDescent="0.45">
      <c r="A96" t="s">
        <v>485</v>
      </c>
      <c r="B96">
        <v>76</v>
      </c>
      <c r="C96" t="s">
        <v>27</v>
      </c>
      <c r="D96" t="s">
        <v>28</v>
      </c>
      <c r="E96" t="s">
        <v>163</v>
      </c>
      <c r="F96" t="s">
        <v>30</v>
      </c>
      <c r="G96" t="s">
        <v>118</v>
      </c>
      <c r="H96" t="s">
        <v>61</v>
      </c>
      <c r="I96" t="s">
        <v>33</v>
      </c>
      <c r="J96" t="s">
        <v>486</v>
      </c>
      <c r="K96" t="s">
        <v>487</v>
      </c>
      <c r="L96" t="s">
        <v>52</v>
      </c>
      <c r="M96" t="s">
        <v>451</v>
      </c>
      <c r="N96" t="s">
        <v>172</v>
      </c>
      <c r="O96" t="s">
        <v>52</v>
      </c>
      <c r="P96" t="s">
        <v>55</v>
      </c>
      <c r="Q96" t="s">
        <v>75</v>
      </c>
      <c r="R96">
        <v>153</v>
      </c>
      <c r="S96">
        <v>0</v>
      </c>
      <c r="T96" t="s">
        <v>85</v>
      </c>
      <c r="U96" t="s">
        <v>42</v>
      </c>
      <c r="V96">
        <v>3.65</v>
      </c>
      <c r="W96">
        <v>4.75</v>
      </c>
      <c r="X96">
        <v>7.6</v>
      </c>
      <c r="Y96">
        <v>9.9</v>
      </c>
      <c r="Z96">
        <v>3.5</v>
      </c>
    </row>
    <row r="97" spans="1:26" x14ac:dyDescent="0.45">
      <c r="A97" t="s">
        <v>488</v>
      </c>
      <c r="B97">
        <v>40</v>
      </c>
      <c r="C97" t="s">
        <v>45</v>
      </c>
      <c r="D97" t="s">
        <v>106</v>
      </c>
      <c r="E97" t="s">
        <v>163</v>
      </c>
      <c r="F97" t="s">
        <v>69</v>
      </c>
      <c r="G97" t="s">
        <v>152</v>
      </c>
      <c r="H97" t="s">
        <v>32</v>
      </c>
      <c r="I97" t="s">
        <v>33</v>
      </c>
      <c r="J97" t="s">
        <v>489</v>
      </c>
      <c r="K97" t="s">
        <v>490</v>
      </c>
      <c r="L97" t="s">
        <v>52</v>
      </c>
      <c r="M97" t="s">
        <v>295</v>
      </c>
      <c r="N97" t="s">
        <v>491</v>
      </c>
      <c r="O97" t="s">
        <v>52</v>
      </c>
      <c r="P97" t="s">
        <v>55</v>
      </c>
      <c r="Q97" t="s">
        <v>67</v>
      </c>
      <c r="R97">
        <v>65</v>
      </c>
      <c r="S97">
        <v>0</v>
      </c>
      <c r="T97" t="s">
        <v>56</v>
      </c>
      <c r="U97" t="s">
        <v>57</v>
      </c>
      <c r="V97">
        <v>2.0499999999999998</v>
      </c>
      <c r="W97">
        <v>3.38</v>
      </c>
      <c r="X97">
        <v>1.5</v>
      </c>
      <c r="Y97">
        <v>14.9</v>
      </c>
      <c r="Z97">
        <v>13.1</v>
      </c>
    </row>
    <row r="98" spans="1:26" x14ac:dyDescent="0.45">
      <c r="A98" t="s">
        <v>492</v>
      </c>
      <c r="B98">
        <v>58</v>
      </c>
      <c r="C98" t="s">
        <v>45</v>
      </c>
      <c r="D98" t="s">
        <v>45</v>
      </c>
      <c r="E98" t="s">
        <v>46</v>
      </c>
      <c r="F98" t="s">
        <v>69</v>
      </c>
      <c r="G98" t="s">
        <v>276</v>
      </c>
      <c r="H98" t="s">
        <v>32</v>
      </c>
      <c r="I98" t="s">
        <v>72</v>
      </c>
      <c r="J98" t="s">
        <v>149</v>
      </c>
      <c r="K98" t="s">
        <v>493</v>
      </c>
      <c r="L98" t="s">
        <v>64</v>
      </c>
      <c r="M98" t="s">
        <v>202</v>
      </c>
      <c r="N98" t="s">
        <v>192</v>
      </c>
      <c r="O98" t="s">
        <v>64</v>
      </c>
      <c r="P98" t="s">
        <v>110</v>
      </c>
      <c r="Q98" t="s">
        <v>75</v>
      </c>
      <c r="R98">
        <v>136</v>
      </c>
      <c r="S98">
        <v>0</v>
      </c>
      <c r="T98" t="s">
        <v>85</v>
      </c>
      <c r="U98" t="s">
        <v>57</v>
      </c>
      <c r="V98">
        <v>2.34</v>
      </c>
      <c r="W98">
        <v>4.08</v>
      </c>
      <c r="X98">
        <v>2</v>
      </c>
      <c r="Y98">
        <v>7.4</v>
      </c>
      <c r="Z98">
        <v>15.4</v>
      </c>
    </row>
    <row r="99" spans="1:26" x14ac:dyDescent="0.45">
      <c r="A99" t="s">
        <v>494</v>
      </c>
      <c r="B99">
        <v>72</v>
      </c>
      <c r="C99" t="s">
        <v>27</v>
      </c>
      <c r="D99" t="s">
        <v>45</v>
      </c>
      <c r="E99" t="s">
        <v>163</v>
      </c>
      <c r="F99" t="s">
        <v>79</v>
      </c>
      <c r="G99" t="s">
        <v>118</v>
      </c>
      <c r="H99" t="s">
        <v>61</v>
      </c>
      <c r="I99" t="s">
        <v>72</v>
      </c>
      <c r="J99" t="s">
        <v>495</v>
      </c>
      <c r="K99" t="s">
        <v>496</v>
      </c>
      <c r="L99" t="s">
        <v>64</v>
      </c>
      <c r="M99" t="s">
        <v>129</v>
      </c>
      <c r="N99" t="s">
        <v>447</v>
      </c>
      <c r="O99" t="s">
        <v>64</v>
      </c>
      <c r="P99" t="s">
        <v>55</v>
      </c>
      <c r="Q99" t="s">
        <v>67</v>
      </c>
      <c r="R99">
        <v>168</v>
      </c>
      <c r="S99">
        <v>0</v>
      </c>
      <c r="T99" t="s">
        <v>123</v>
      </c>
      <c r="U99" t="s">
        <v>57</v>
      </c>
      <c r="V99">
        <v>2.98</v>
      </c>
      <c r="W99">
        <v>3.75</v>
      </c>
      <c r="X99">
        <v>4.9000000000000004</v>
      </c>
      <c r="Y99">
        <v>10.4</v>
      </c>
      <c r="Z99">
        <v>16.899999999999999</v>
      </c>
    </row>
    <row r="100" spans="1:26" x14ac:dyDescent="0.45">
      <c r="A100" t="s">
        <v>497</v>
      </c>
      <c r="B100">
        <v>75</v>
      </c>
      <c r="C100" t="s">
        <v>27</v>
      </c>
      <c r="D100" t="s">
        <v>45</v>
      </c>
      <c r="E100" t="s">
        <v>29</v>
      </c>
      <c r="F100" t="s">
        <v>30</v>
      </c>
      <c r="G100" t="s">
        <v>178</v>
      </c>
      <c r="H100" t="s">
        <v>81</v>
      </c>
      <c r="I100" t="s">
        <v>72</v>
      </c>
      <c r="J100" t="s">
        <v>498</v>
      </c>
      <c r="K100" t="s">
        <v>499</v>
      </c>
      <c r="L100" t="s">
        <v>92</v>
      </c>
      <c r="M100" t="s">
        <v>500</v>
      </c>
      <c r="N100" t="s">
        <v>501</v>
      </c>
      <c r="O100" t="s">
        <v>92</v>
      </c>
      <c r="P100" t="s">
        <v>55</v>
      </c>
      <c r="Q100" t="s">
        <v>75</v>
      </c>
      <c r="R100">
        <v>43</v>
      </c>
      <c r="S100">
        <v>0</v>
      </c>
      <c r="T100" t="s">
        <v>123</v>
      </c>
      <c r="U100" t="s">
        <v>57</v>
      </c>
      <c r="V100">
        <v>4.2</v>
      </c>
      <c r="W100">
        <v>3.78</v>
      </c>
      <c r="X100">
        <v>3.4</v>
      </c>
      <c r="Y100">
        <v>16.600000000000001</v>
      </c>
      <c r="Z100">
        <v>9.1</v>
      </c>
    </row>
    <row r="101" spans="1:26" x14ac:dyDescent="0.45">
      <c r="A101" t="s">
        <v>502</v>
      </c>
      <c r="B101">
        <v>43</v>
      </c>
      <c r="C101" t="s">
        <v>45</v>
      </c>
      <c r="D101" t="s">
        <v>95</v>
      </c>
      <c r="E101" t="s">
        <v>46</v>
      </c>
      <c r="F101" t="s">
        <v>30</v>
      </c>
      <c r="G101" t="s">
        <v>194</v>
      </c>
      <c r="H101" t="s">
        <v>71</v>
      </c>
      <c r="I101" t="s">
        <v>72</v>
      </c>
      <c r="J101" t="s">
        <v>503</v>
      </c>
      <c r="K101" t="s">
        <v>390</v>
      </c>
      <c r="L101" t="s">
        <v>92</v>
      </c>
      <c r="M101" t="s">
        <v>67</v>
      </c>
      <c r="N101" t="s">
        <v>504</v>
      </c>
      <c r="O101" t="s">
        <v>92</v>
      </c>
      <c r="P101" t="s">
        <v>110</v>
      </c>
      <c r="Q101" t="s">
        <v>129</v>
      </c>
      <c r="R101">
        <v>126</v>
      </c>
      <c r="S101">
        <v>0</v>
      </c>
      <c r="T101" t="s">
        <v>123</v>
      </c>
      <c r="U101" t="s">
        <v>57</v>
      </c>
      <c r="V101">
        <v>1.37</v>
      </c>
      <c r="W101">
        <v>4.67</v>
      </c>
      <c r="X101">
        <v>2.2000000000000002</v>
      </c>
      <c r="Y101">
        <v>23.1</v>
      </c>
      <c r="Z101">
        <v>10.6</v>
      </c>
    </row>
    <row r="102" spans="1:26" x14ac:dyDescent="0.45">
      <c r="A102" t="s">
        <v>505</v>
      </c>
      <c r="B102">
        <v>53</v>
      </c>
      <c r="C102" t="s">
        <v>45</v>
      </c>
      <c r="D102" t="s">
        <v>28</v>
      </c>
      <c r="E102" t="s">
        <v>46</v>
      </c>
      <c r="F102" t="s">
        <v>59</v>
      </c>
      <c r="G102" t="s">
        <v>164</v>
      </c>
      <c r="H102" t="s">
        <v>32</v>
      </c>
      <c r="I102" t="s">
        <v>33</v>
      </c>
      <c r="J102" t="s">
        <v>330</v>
      </c>
      <c r="K102" t="s">
        <v>506</v>
      </c>
      <c r="L102" t="s">
        <v>92</v>
      </c>
      <c r="M102" t="s">
        <v>181</v>
      </c>
      <c r="N102" t="s">
        <v>507</v>
      </c>
      <c r="O102" t="s">
        <v>92</v>
      </c>
      <c r="P102" t="s">
        <v>110</v>
      </c>
      <c r="Q102" t="s">
        <v>30</v>
      </c>
      <c r="R102">
        <v>48</v>
      </c>
      <c r="S102">
        <v>0</v>
      </c>
      <c r="T102" t="s">
        <v>137</v>
      </c>
      <c r="U102" t="s">
        <v>42</v>
      </c>
      <c r="V102">
        <v>1.74</v>
      </c>
      <c r="W102">
        <v>3.17</v>
      </c>
      <c r="X102">
        <v>8.9</v>
      </c>
      <c r="Y102">
        <v>19.2</v>
      </c>
      <c r="Z102">
        <v>16.7</v>
      </c>
    </row>
    <row r="103" spans="1:26" x14ac:dyDescent="0.45">
      <c r="A103" t="s">
        <v>508</v>
      </c>
      <c r="B103">
        <v>41</v>
      </c>
      <c r="C103" t="s">
        <v>45</v>
      </c>
      <c r="D103" t="s">
        <v>87</v>
      </c>
      <c r="E103" t="s">
        <v>29</v>
      </c>
      <c r="F103" t="s">
        <v>69</v>
      </c>
      <c r="G103" t="s">
        <v>178</v>
      </c>
      <c r="H103" t="s">
        <v>81</v>
      </c>
      <c r="I103" t="s">
        <v>49</v>
      </c>
      <c r="J103" t="s">
        <v>509</v>
      </c>
      <c r="K103" t="s">
        <v>510</v>
      </c>
      <c r="L103" t="s">
        <v>64</v>
      </c>
      <c r="M103" t="s">
        <v>427</v>
      </c>
      <c r="N103" t="s">
        <v>240</v>
      </c>
      <c r="O103" t="s">
        <v>64</v>
      </c>
      <c r="P103" t="s">
        <v>110</v>
      </c>
      <c r="Q103" t="s">
        <v>75</v>
      </c>
      <c r="R103">
        <v>151</v>
      </c>
      <c r="S103">
        <v>0</v>
      </c>
      <c r="T103" t="s">
        <v>85</v>
      </c>
      <c r="U103" t="s">
        <v>42</v>
      </c>
      <c r="V103">
        <v>3.64</v>
      </c>
      <c r="W103">
        <v>3.77</v>
      </c>
      <c r="X103">
        <v>8.6</v>
      </c>
      <c r="Y103">
        <v>10.5</v>
      </c>
      <c r="Z103">
        <v>11.3</v>
      </c>
    </row>
    <row r="104" spans="1:26" x14ac:dyDescent="0.45">
      <c r="A104" t="s">
        <v>511</v>
      </c>
      <c r="B104">
        <v>32</v>
      </c>
      <c r="C104" t="s">
        <v>45</v>
      </c>
      <c r="D104" t="s">
        <v>28</v>
      </c>
      <c r="E104" t="s">
        <v>78</v>
      </c>
      <c r="F104" t="s">
        <v>69</v>
      </c>
      <c r="G104" t="s">
        <v>152</v>
      </c>
      <c r="H104" t="s">
        <v>71</v>
      </c>
      <c r="I104" t="s">
        <v>49</v>
      </c>
      <c r="J104" t="s">
        <v>512</v>
      </c>
      <c r="K104" t="s">
        <v>368</v>
      </c>
      <c r="L104" t="s">
        <v>36</v>
      </c>
      <c r="M104" t="s">
        <v>282</v>
      </c>
      <c r="N104" t="s">
        <v>513</v>
      </c>
      <c r="O104" t="s">
        <v>36</v>
      </c>
      <c r="P104" t="s">
        <v>110</v>
      </c>
      <c r="Q104" t="s">
        <v>30</v>
      </c>
      <c r="R104">
        <v>161</v>
      </c>
      <c r="S104">
        <v>0</v>
      </c>
      <c r="T104" t="s">
        <v>85</v>
      </c>
      <c r="U104" t="s">
        <v>57</v>
      </c>
      <c r="V104">
        <v>1.88</v>
      </c>
      <c r="W104">
        <v>4.95</v>
      </c>
      <c r="X104">
        <v>9.5</v>
      </c>
      <c r="Y104">
        <v>6.7</v>
      </c>
      <c r="Z104">
        <v>15</v>
      </c>
    </row>
    <row r="105" spans="1:26" x14ac:dyDescent="0.45">
      <c r="A105" t="s">
        <v>514</v>
      </c>
      <c r="B105">
        <v>80</v>
      </c>
      <c r="C105" t="s">
        <v>27</v>
      </c>
      <c r="D105" t="s">
        <v>28</v>
      </c>
      <c r="E105" t="s">
        <v>46</v>
      </c>
      <c r="F105" t="s">
        <v>88</v>
      </c>
      <c r="G105" t="s">
        <v>102</v>
      </c>
      <c r="H105" t="s">
        <v>71</v>
      </c>
      <c r="I105" t="s">
        <v>49</v>
      </c>
      <c r="J105" t="s">
        <v>515</v>
      </c>
      <c r="K105" t="s">
        <v>516</v>
      </c>
      <c r="L105" t="s">
        <v>52</v>
      </c>
      <c r="M105" t="s">
        <v>517</v>
      </c>
      <c r="N105" t="s">
        <v>203</v>
      </c>
      <c r="O105" t="s">
        <v>52</v>
      </c>
      <c r="P105" t="s">
        <v>110</v>
      </c>
      <c r="Q105" t="s">
        <v>40</v>
      </c>
      <c r="R105">
        <v>48</v>
      </c>
      <c r="S105">
        <v>0</v>
      </c>
      <c r="T105" t="s">
        <v>41</v>
      </c>
      <c r="U105" t="s">
        <v>42</v>
      </c>
      <c r="V105">
        <v>4.7</v>
      </c>
      <c r="W105">
        <v>1.72</v>
      </c>
      <c r="X105">
        <v>6.1</v>
      </c>
      <c r="Y105">
        <v>22.5</v>
      </c>
      <c r="Z105">
        <v>3.6</v>
      </c>
    </row>
    <row r="106" spans="1:26" x14ac:dyDescent="0.45">
      <c r="A106" t="s">
        <v>518</v>
      </c>
      <c r="B106">
        <v>76</v>
      </c>
      <c r="C106" t="s">
        <v>45</v>
      </c>
      <c r="D106" t="s">
        <v>28</v>
      </c>
      <c r="E106" t="s">
        <v>163</v>
      </c>
      <c r="F106" t="s">
        <v>88</v>
      </c>
      <c r="G106" t="s">
        <v>112</v>
      </c>
      <c r="H106" t="s">
        <v>32</v>
      </c>
      <c r="I106" t="s">
        <v>49</v>
      </c>
      <c r="J106" t="s">
        <v>519</v>
      </c>
      <c r="K106" t="s">
        <v>520</v>
      </c>
      <c r="L106" t="s">
        <v>36</v>
      </c>
      <c r="M106" t="s">
        <v>500</v>
      </c>
      <c r="N106" t="s">
        <v>521</v>
      </c>
      <c r="O106" t="s">
        <v>36</v>
      </c>
      <c r="P106" t="s">
        <v>39</v>
      </c>
      <c r="Q106" t="s">
        <v>40</v>
      </c>
      <c r="R106">
        <v>60</v>
      </c>
      <c r="S106">
        <v>1</v>
      </c>
      <c r="T106" t="s">
        <v>85</v>
      </c>
      <c r="U106" t="s">
        <v>42</v>
      </c>
      <c r="V106">
        <v>3.79</v>
      </c>
      <c r="W106">
        <v>2.19</v>
      </c>
      <c r="X106">
        <v>9.3000000000000007</v>
      </c>
      <c r="Y106">
        <v>23.5</v>
      </c>
      <c r="Z106">
        <v>19.100000000000001</v>
      </c>
    </row>
    <row r="107" spans="1:26" x14ac:dyDescent="0.45">
      <c r="A107" t="s">
        <v>522</v>
      </c>
      <c r="B107">
        <v>26</v>
      </c>
      <c r="C107" t="s">
        <v>45</v>
      </c>
      <c r="D107" t="s">
        <v>45</v>
      </c>
      <c r="E107" t="s">
        <v>163</v>
      </c>
      <c r="F107" t="s">
        <v>30</v>
      </c>
      <c r="G107" t="s">
        <v>125</v>
      </c>
      <c r="H107" t="s">
        <v>32</v>
      </c>
      <c r="I107" t="s">
        <v>49</v>
      </c>
      <c r="J107" t="s">
        <v>523</v>
      </c>
      <c r="K107" t="s">
        <v>524</v>
      </c>
      <c r="L107" t="s">
        <v>92</v>
      </c>
      <c r="M107" t="s">
        <v>500</v>
      </c>
      <c r="N107" t="s">
        <v>525</v>
      </c>
      <c r="O107" t="s">
        <v>92</v>
      </c>
      <c r="P107" t="s">
        <v>110</v>
      </c>
      <c r="Q107" t="s">
        <v>129</v>
      </c>
      <c r="R107">
        <v>151</v>
      </c>
      <c r="S107">
        <v>0</v>
      </c>
      <c r="T107" t="s">
        <v>41</v>
      </c>
      <c r="U107" t="s">
        <v>42</v>
      </c>
      <c r="V107">
        <v>2.9</v>
      </c>
      <c r="W107">
        <v>4.45</v>
      </c>
      <c r="X107">
        <v>8.6</v>
      </c>
      <c r="Y107">
        <v>11.7</v>
      </c>
      <c r="Z107">
        <v>17.100000000000001</v>
      </c>
    </row>
    <row r="108" spans="1:26" x14ac:dyDescent="0.45">
      <c r="A108" t="s">
        <v>526</v>
      </c>
      <c r="B108">
        <v>35</v>
      </c>
      <c r="C108" t="s">
        <v>45</v>
      </c>
      <c r="D108" t="s">
        <v>95</v>
      </c>
      <c r="E108" t="s">
        <v>29</v>
      </c>
      <c r="F108" t="s">
        <v>79</v>
      </c>
      <c r="G108" t="s">
        <v>276</v>
      </c>
      <c r="H108" t="s">
        <v>32</v>
      </c>
      <c r="I108" t="s">
        <v>49</v>
      </c>
      <c r="J108" t="s">
        <v>119</v>
      </c>
      <c r="K108" t="s">
        <v>527</v>
      </c>
      <c r="L108" t="s">
        <v>92</v>
      </c>
      <c r="M108" t="s">
        <v>75</v>
      </c>
      <c r="N108" t="s">
        <v>528</v>
      </c>
      <c r="O108" t="s">
        <v>92</v>
      </c>
      <c r="P108" t="s">
        <v>55</v>
      </c>
      <c r="Q108" t="s">
        <v>75</v>
      </c>
      <c r="R108">
        <v>170</v>
      </c>
      <c r="S108">
        <v>0</v>
      </c>
      <c r="T108" t="s">
        <v>123</v>
      </c>
      <c r="U108" t="s">
        <v>57</v>
      </c>
      <c r="V108">
        <v>1.1499999999999999</v>
      </c>
      <c r="W108">
        <v>3.39</v>
      </c>
      <c r="X108">
        <v>3.1</v>
      </c>
      <c r="Y108">
        <v>8.1999999999999993</v>
      </c>
      <c r="Z108">
        <v>4.3</v>
      </c>
    </row>
    <row r="109" spans="1:26" x14ac:dyDescent="0.45">
      <c r="A109" t="s">
        <v>529</v>
      </c>
      <c r="B109">
        <v>44</v>
      </c>
      <c r="C109" t="s">
        <v>45</v>
      </c>
      <c r="D109" t="s">
        <v>28</v>
      </c>
      <c r="E109" t="s">
        <v>46</v>
      </c>
      <c r="F109" t="s">
        <v>69</v>
      </c>
      <c r="G109" t="s">
        <v>96</v>
      </c>
      <c r="H109" t="s">
        <v>71</v>
      </c>
      <c r="I109" t="s">
        <v>72</v>
      </c>
      <c r="J109" t="s">
        <v>530</v>
      </c>
      <c r="K109" t="s">
        <v>531</v>
      </c>
      <c r="L109" t="s">
        <v>52</v>
      </c>
      <c r="M109" t="s">
        <v>67</v>
      </c>
      <c r="N109" t="s">
        <v>532</v>
      </c>
      <c r="O109" t="s">
        <v>52</v>
      </c>
      <c r="P109" t="s">
        <v>110</v>
      </c>
      <c r="Q109" t="s">
        <v>129</v>
      </c>
      <c r="R109">
        <v>170</v>
      </c>
      <c r="S109">
        <v>0</v>
      </c>
      <c r="T109" t="s">
        <v>56</v>
      </c>
      <c r="U109" t="s">
        <v>42</v>
      </c>
      <c r="V109">
        <v>3.79</v>
      </c>
      <c r="W109">
        <v>2.36</v>
      </c>
      <c r="X109">
        <v>7.5</v>
      </c>
      <c r="Y109">
        <v>7.2</v>
      </c>
      <c r="Z109">
        <v>8.4</v>
      </c>
    </row>
    <row r="110" spans="1:26" x14ac:dyDescent="0.45">
      <c r="A110" t="s">
        <v>533</v>
      </c>
      <c r="B110">
        <v>55</v>
      </c>
      <c r="C110" t="s">
        <v>45</v>
      </c>
      <c r="D110" t="s">
        <v>87</v>
      </c>
      <c r="E110" t="s">
        <v>30</v>
      </c>
      <c r="F110" t="s">
        <v>69</v>
      </c>
      <c r="G110" t="s">
        <v>70</v>
      </c>
      <c r="H110" t="s">
        <v>32</v>
      </c>
      <c r="I110" t="s">
        <v>132</v>
      </c>
      <c r="J110" t="s">
        <v>534</v>
      </c>
      <c r="K110" t="s">
        <v>535</v>
      </c>
      <c r="L110" t="s">
        <v>92</v>
      </c>
      <c r="M110" t="s">
        <v>536</v>
      </c>
      <c r="N110" t="s">
        <v>537</v>
      </c>
      <c r="O110" t="s">
        <v>92</v>
      </c>
      <c r="P110" t="s">
        <v>55</v>
      </c>
      <c r="Q110" t="s">
        <v>40</v>
      </c>
      <c r="R110">
        <v>145</v>
      </c>
      <c r="S110">
        <v>0</v>
      </c>
      <c r="T110" t="s">
        <v>137</v>
      </c>
      <c r="U110" t="s">
        <v>57</v>
      </c>
      <c r="V110">
        <v>3.16</v>
      </c>
      <c r="W110">
        <v>4.16</v>
      </c>
      <c r="X110">
        <v>3.9</v>
      </c>
      <c r="Y110">
        <v>17.3</v>
      </c>
      <c r="Z110">
        <v>18.100000000000001</v>
      </c>
    </row>
    <row r="111" spans="1:26" x14ac:dyDescent="0.45">
      <c r="A111" t="s">
        <v>538</v>
      </c>
      <c r="B111">
        <v>37</v>
      </c>
      <c r="C111" t="s">
        <v>45</v>
      </c>
      <c r="D111" t="s">
        <v>45</v>
      </c>
      <c r="E111" t="s">
        <v>30</v>
      </c>
      <c r="F111" t="s">
        <v>30</v>
      </c>
      <c r="G111" t="s">
        <v>48</v>
      </c>
      <c r="H111" t="s">
        <v>71</v>
      </c>
      <c r="I111" t="s">
        <v>49</v>
      </c>
      <c r="J111" t="s">
        <v>539</v>
      </c>
      <c r="K111" t="s">
        <v>540</v>
      </c>
      <c r="L111" t="s">
        <v>36</v>
      </c>
      <c r="M111" t="s">
        <v>53</v>
      </c>
      <c r="N111" t="s">
        <v>327</v>
      </c>
      <c r="O111" t="s">
        <v>36</v>
      </c>
      <c r="P111" t="s">
        <v>110</v>
      </c>
      <c r="Q111" t="s">
        <v>30</v>
      </c>
      <c r="R111">
        <v>152</v>
      </c>
      <c r="S111">
        <v>0</v>
      </c>
      <c r="T111" t="s">
        <v>56</v>
      </c>
      <c r="U111" t="s">
        <v>57</v>
      </c>
      <c r="V111">
        <v>3.46</v>
      </c>
      <c r="W111">
        <v>1.93</v>
      </c>
      <c r="X111">
        <v>1.2</v>
      </c>
      <c r="Y111">
        <v>21.7</v>
      </c>
      <c r="Z111">
        <v>3.4</v>
      </c>
    </row>
    <row r="112" spans="1:26" x14ac:dyDescent="0.45">
      <c r="A112" t="s">
        <v>541</v>
      </c>
      <c r="B112">
        <v>63</v>
      </c>
      <c r="C112" t="s">
        <v>44</v>
      </c>
      <c r="D112" t="s">
        <v>95</v>
      </c>
      <c r="E112" t="s">
        <v>29</v>
      </c>
      <c r="F112" t="s">
        <v>69</v>
      </c>
      <c r="G112" t="s">
        <v>125</v>
      </c>
      <c r="H112" t="s">
        <v>32</v>
      </c>
      <c r="I112" t="s">
        <v>72</v>
      </c>
      <c r="J112" t="s">
        <v>519</v>
      </c>
      <c r="K112" t="s">
        <v>542</v>
      </c>
      <c r="L112" t="s">
        <v>92</v>
      </c>
      <c r="M112" t="s">
        <v>543</v>
      </c>
      <c r="N112" t="s">
        <v>340</v>
      </c>
      <c r="O112" t="s">
        <v>92</v>
      </c>
      <c r="P112" t="s">
        <v>39</v>
      </c>
      <c r="Q112" t="s">
        <v>75</v>
      </c>
      <c r="R112">
        <v>178</v>
      </c>
      <c r="S112">
        <v>1</v>
      </c>
      <c r="T112" t="s">
        <v>56</v>
      </c>
      <c r="U112" t="s">
        <v>42</v>
      </c>
      <c r="V112">
        <v>4.5</v>
      </c>
      <c r="W112">
        <v>3.12</v>
      </c>
      <c r="X112">
        <v>9.5</v>
      </c>
      <c r="Y112">
        <v>20.399999999999999</v>
      </c>
      <c r="Z112">
        <v>20</v>
      </c>
    </row>
    <row r="113" spans="1:26" x14ac:dyDescent="0.45">
      <c r="A113" t="s">
        <v>544</v>
      </c>
      <c r="B113">
        <v>22</v>
      </c>
      <c r="C113" t="s">
        <v>45</v>
      </c>
      <c r="D113" t="s">
        <v>28</v>
      </c>
      <c r="E113" t="s">
        <v>29</v>
      </c>
      <c r="F113" t="s">
        <v>30</v>
      </c>
      <c r="G113" t="s">
        <v>178</v>
      </c>
      <c r="H113" t="s">
        <v>81</v>
      </c>
      <c r="I113" t="s">
        <v>72</v>
      </c>
      <c r="J113" t="s">
        <v>545</v>
      </c>
      <c r="K113" t="s">
        <v>103</v>
      </c>
      <c r="L113" t="s">
        <v>64</v>
      </c>
      <c r="M113" t="s">
        <v>40</v>
      </c>
      <c r="N113" t="s">
        <v>546</v>
      </c>
      <c r="O113" t="s">
        <v>64</v>
      </c>
      <c r="P113" t="s">
        <v>110</v>
      </c>
      <c r="Q113" t="s">
        <v>129</v>
      </c>
      <c r="R113">
        <v>131</v>
      </c>
      <c r="S113">
        <v>0</v>
      </c>
      <c r="T113" t="s">
        <v>137</v>
      </c>
      <c r="U113" t="s">
        <v>42</v>
      </c>
      <c r="V113">
        <v>2.4</v>
      </c>
      <c r="W113">
        <v>4.07</v>
      </c>
      <c r="X113">
        <v>4.5999999999999996</v>
      </c>
      <c r="Y113">
        <v>14.6</v>
      </c>
      <c r="Z113">
        <v>13.7</v>
      </c>
    </row>
    <row r="114" spans="1:26" x14ac:dyDescent="0.45">
      <c r="A114" t="s">
        <v>547</v>
      </c>
      <c r="B114">
        <v>48</v>
      </c>
      <c r="C114" t="s">
        <v>45</v>
      </c>
      <c r="D114" t="s">
        <v>106</v>
      </c>
      <c r="E114" t="s">
        <v>29</v>
      </c>
      <c r="F114" t="s">
        <v>79</v>
      </c>
      <c r="G114" t="s">
        <v>112</v>
      </c>
      <c r="H114" t="s">
        <v>71</v>
      </c>
      <c r="I114" t="s">
        <v>33</v>
      </c>
      <c r="J114" t="s">
        <v>548</v>
      </c>
      <c r="K114" t="s">
        <v>549</v>
      </c>
      <c r="L114" t="s">
        <v>36</v>
      </c>
      <c r="M114" t="s">
        <v>129</v>
      </c>
      <c r="N114" t="s">
        <v>550</v>
      </c>
      <c r="O114" t="s">
        <v>36</v>
      </c>
      <c r="P114" t="s">
        <v>55</v>
      </c>
      <c r="Q114" t="s">
        <v>67</v>
      </c>
      <c r="R114">
        <v>40</v>
      </c>
      <c r="S114">
        <v>0</v>
      </c>
      <c r="T114" t="s">
        <v>41</v>
      </c>
      <c r="U114" t="s">
        <v>57</v>
      </c>
      <c r="V114">
        <v>4.49</v>
      </c>
      <c r="W114">
        <v>4.9400000000000004</v>
      </c>
      <c r="X114">
        <v>7.9</v>
      </c>
      <c r="Y114">
        <v>13.5</v>
      </c>
      <c r="Z114">
        <v>10.199999999999999</v>
      </c>
    </row>
    <row r="115" spans="1:26" x14ac:dyDescent="0.45">
      <c r="A115" t="s">
        <v>551</v>
      </c>
      <c r="B115">
        <v>67</v>
      </c>
      <c r="C115" t="s">
        <v>44</v>
      </c>
      <c r="D115" t="s">
        <v>95</v>
      </c>
      <c r="E115" t="s">
        <v>163</v>
      </c>
      <c r="F115" t="s">
        <v>59</v>
      </c>
      <c r="G115" t="s">
        <v>102</v>
      </c>
      <c r="H115" t="s">
        <v>32</v>
      </c>
      <c r="I115" t="s">
        <v>132</v>
      </c>
      <c r="J115" t="s">
        <v>552</v>
      </c>
      <c r="K115" t="s">
        <v>553</v>
      </c>
      <c r="L115" t="s">
        <v>36</v>
      </c>
      <c r="M115" t="s">
        <v>554</v>
      </c>
      <c r="N115" t="s">
        <v>142</v>
      </c>
      <c r="O115" t="s">
        <v>36</v>
      </c>
      <c r="P115" t="s">
        <v>39</v>
      </c>
      <c r="Q115" t="s">
        <v>75</v>
      </c>
      <c r="R115">
        <v>94</v>
      </c>
      <c r="S115">
        <v>1</v>
      </c>
      <c r="T115" t="s">
        <v>56</v>
      </c>
      <c r="U115" t="s">
        <v>42</v>
      </c>
      <c r="V115">
        <v>3.95</v>
      </c>
      <c r="W115">
        <v>1.96</v>
      </c>
      <c r="X115">
        <v>2</v>
      </c>
      <c r="Y115">
        <v>12.4</v>
      </c>
      <c r="Z115">
        <v>7.9</v>
      </c>
    </row>
    <row r="116" spans="1:26" x14ac:dyDescent="0.45">
      <c r="A116" t="s">
        <v>555</v>
      </c>
      <c r="B116">
        <v>84</v>
      </c>
      <c r="C116" t="s">
        <v>44</v>
      </c>
      <c r="D116" t="s">
        <v>28</v>
      </c>
      <c r="E116" t="s">
        <v>30</v>
      </c>
      <c r="F116" t="s">
        <v>47</v>
      </c>
      <c r="G116" t="s">
        <v>152</v>
      </c>
      <c r="H116" t="s">
        <v>61</v>
      </c>
      <c r="I116" t="s">
        <v>72</v>
      </c>
      <c r="J116" t="s">
        <v>411</v>
      </c>
      <c r="K116" t="s">
        <v>556</v>
      </c>
      <c r="L116" t="s">
        <v>64</v>
      </c>
      <c r="M116" t="s">
        <v>67</v>
      </c>
      <c r="N116" t="s">
        <v>383</v>
      </c>
      <c r="O116" t="s">
        <v>64</v>
      </c>
      <c r="P116" t="s">
        <v>39</v>
      </c>
      <c r="Q116" t="s">
        <v>30</v>
      </c>
      <c r="R116">
        <v>60</v>
      </c>
      <c r="S116">
        <v>1</v>
      </c>
      <c r="T116" t="s">
        <v>41</v>
      </c>
      <c r="U116" t="s">
        <v>57</v>
      </c>
      <c r="V116">
        <v>2.19</v>
      </c>
      <c r="W116">
        <v>1.93</v>
      </c>
      <c r="X116">
        <v>1.4</v>
      </c>
      <c r="Y116">
        <v>6.3</v>
      </c>
      <c r="Z116">
        <v>19.8</v>
      </c>
    </row>
    <row r="117" spans="1:26" x14ac:dyDescent="0.45">
      <c r="A117" t="s">
        <v>557</v>
      </c>
      <c r="B117">
        <v>60</v>
      </c>
      <c r="C117" t="s">
        <v>45</v>
      </c>
      <c r="D117" t="s">
        <v>87</v>
      </c>
      <c r="E117" t="s">
        <v>78</v>
      </c>
      <c r="F117" t="s">
        <v>30</v>
      </c>
      <c r="G117" t="s">
        <v>70</v>
      </c>
      <c r="H117" t="s">
        <v>71</v>
      </c>
      <c r="I117" t="s">
        <v>72</v>
      </c>
      <c r="J117" t="s">
        <v>558</v>
      </c>
      <c r="K117" t="s">
        <v>549</v>
      </c>
      <c r="L117" t="s">
        <v>52</v>
      </c>
      <c r="M117" t="s">
        <v>309</v>
      </c>
      <c r="N117" t="s">
        <v>340</v>
      </c>
      <c r="O117" t="s">
        <v>52</v>
      </c>
      <c r="P117" t="s">
        <v>110</v>
      </c>
      <c r="Q117" t="s">
        <v>129</v>
      </c>
      <c r="R117">
        <v>176</v>
      </c>
      <c r="S117">
        <v>0</v>
      </c>
      <c r="T117" t="s">
        <v>41</v>
      </c>
      <c r="U117" t="s">
        <v>42</v>
      </c>
      <c r="V117">
        <v>2.71</v>
      </c>
      <c r="W117">
        <v>2.54</v>
      </c>
      <c r="X117">
        <v>7.1</v>
      </c>
      <c r="Y117">
        <v>9.9</v>
      </c>
      <c r="Z117">
        <v>19.100000000000001</v>
      </c>
    </row>
    <row r="118" spans="1:26" x14ac:dyDescent="0.45">
      <c r="A118" t="s">
        <v>559</v>
      </c>
      <c r="B118">
        <v>39</v>
      </c>
      <c r="C118" t="s">
        <v>44</v>
      </c>
      <c r="D118" t="s">
        <v>106</v>
      </c>
      <c r="E118" t="s">
        <v>29</v>
      </c>
      <c r="F118" t="s">
        <v>30</v>
      </c>
      <c r="G118" t="s">
        <v>152</v>
      </c>
      <c r="H118" t="s">
        <v>61</v>
      </c>
      <c r="I118" t="s">
        <v>132</v>
      </c>
      <c r="J118" t="s">
        <v>560</v>
      </c>
      <c r="K118" t="s">
        <v>561</v>
      </c>
      <c r="L118" t="s">
        <v>36</v>
      </c>
      <c r="M118" t="s">
        <v>339</v>
      </c>
      <c r="N118" t="s">
        <v>562</v>
      </c>
      <c r="O118" t="s">
        <v>36</v>
      </c>
      <c r="P118" t="s">
        <v>110</v>
      </c>
      <c r="Q118" t="s">
        <v>67</v>
      </c>
      <c r="R118">
        <v>179</v>
      </c>
      <c r="S118">
        <v>0</v>
      </c>
      <c r="T118" t="s">
        <v>41</v>
      </c>
      <c r="U118" t="s">
        <v>57</v>
      </c>
      <c r="V118">
        <v>4.1500000000000004</v>
      </c>
      <c r="W118">
        <v>1.36</v>
      </c>
      <c r="X118">
        <v>4.8</v>
      </c>
      <c r="Y118">
        <v>21.8</v>
      </c>
      <c r="Z118">
        <v>19.100000000000001</v>
      </c>
    </row>
    <row r="119" spans="1:26" x14ac:dyDescent="0.45">
      <c r="A119" t="s">
        <v>563</v>
      </c>
      <c r="B119">
        <v>39</v>
      </c>
      <c r="C119" t="s">
        <v>45</v>
      </c>
      <c r="D119" t="s">
        <v>28</v>
      </c>
      <c r="E119" t="s">
        <v>78</v>
      </c>
      <c r="F119" t="s">
        <v>30</v>
      </c>
      <c r="G119" t="s">
        <v>125</v>
      </c>
      <c r="H119" t="s">
        <v>71</v>
      </c>
      <c r="I119" t="s">
        <v>33</v>
      </c>
      <c r="J119" t="s">
        <v>564</v>
      </c>
      <c r="K119" t="s">
        <v>565</v>
      </c>
      <c r="L119" t="s">
        <v>52</v>
      </c>
      <c r="M119" t="s">
        <v>566</v>
      </c>
      <c r="N119" t="s">
        <v>567</v>
      </c>
      <c r="O119" t="s">
        <v>52</v>
      </c>
      <c r="P119" t="s">
        <v>39</v>
      </c>
      <c r="Q119" t="s">
        <v>67</v>
      </c>
      <c r="R119">
        <v>151</v>
      </c>
      <c r="S119">
        <v>1</v>
      </c>
      <c r="T119" t="s">
        <v>85</v>
      </c>
      <c r="U119" t="s">
        <v>42</v>
      </c>
      <c r="V119">
        <v>2.87</v>
      </c>
      <c r="W119">
        <v>3.45</v>
      </c>
      <c r="X119">
        <v>2.5</v>
      </c>
      <c r="Y119">
        <v>23.8</v>
      </c>
      <c r="Z119">
        <v>6.9</v>
      </c>
    </row>
    <row r="120" spans="1:26" x14ac:dyDescent="0.45">
      <c r="A120" t="s">
        <v>568</v>
      </c>
      <c r="B120">
        <v>82</v>
      </c>
      <c r="C120" t="s">
        <v>27</v>
      </c>
      <c r="D120" t="s">
        <v>87</v>
      </c>
      <c r="E120" t="s">
        <v>78</v>
      </c>
      <c r="F120" t="s">
        <v>30</v>
      </c>
      <c r="G120" t="s">
        <v>152</v>
      </c>
      <c r="H120" t="s">
        <v>61</v>
      </c>
      <c r="I120" t="s">
        <v>33</v>
      </c>
      <c r="J120" t="s">
        <v>569</v>
      </c>
      <c r="K120" t="s">
        <v>570</v>
      </c>
      <c r="L120" t="s">
        <v>36</v>
      </c>
      <c r="M120" t="s">
        <v>40</v>
      </c>
      <c r="N120" t="s">
        <v>571</v>
      </c>
      <c r="O120" t="s">
        <v>36</v>
      </c>
      <c r="P120" t="s">
        <v>55</v>
      </c>
      <c r="Q120" t="s">
        <v>30</v>
      </c>
      <c r="R120">
        <v>180</v>
      </c>
      <c r="S120">
        <v>0</v>
      </c>
      <c r="T120" t="s">
        <v>85</v>
      </c>
      <c r="U120" t="s">
        <v>42</v>
      </c>
      <c r="V120">
        <v>4.7699999999999996</v>
      </c>
      <c r="W120">
        <v>3.6</v>
      </c>
      <c r="X120">
        <v>6.5</v>
      </c>
      <c r="Y120">
        <v>15.2</v>
      </c>
      <c r="Z120">
        <v>6.9</v>
      </c>
    </row>
    <row r="121" spans="1:26" x14ac:dyDescent="0.45">
      <c r="A121" t="s">
        <v>572</v>
      </c>
      <c r="B121">
        <v>72</v>
      </c>
      <c r="C121" t="s">
        <v>27</v>
      </c>
      <c r="D121" t="s">
        <v>28</v>
      </c>
      <c r="E121" t="s">
        <v>78</v>
      </c>
      <c r="F121" t="s">
        <v>30</v>
      </c>
      <c r="G121" t="s">
        <v>125</v>
      </c>
      <c r="H121" t="s">
        <v>32</v>
      </c>
      <c r="I121" t="s">
        <v>33</v>
      </c>
      <c r="J121" t="s">
        <v>573</v>
      </c>
      <c r="K121" t="s">
        <v>574</v>
      </c>
      <c r="L121" t="s">
        <v>92</v>
      </c>
      <c r="M121" t="s">
        <v>226</v>
      </c>
      <c r="N121" t="s">
        <v>54</v>
      </c>
      <c r="O121" t="s">
        <v>92</v>
      </c>
      <c r="P121" t="s">
        <v>55</v>
      </c>
      <c r="Q121" t="s">
        <v>67</v>
      </c>
      <c r="R121">
        <v>110</v>
      </c>
      <c r="S121">
        <v>0</v>
      </c>
      <c r="T121" t="s">
        <v>56</v>
      </c>
      <c r="U121" t="s">
        <v>57</v>
      </c>
      <c r="V121">
        <v>1.71</v>
      </c>
      <c r="W121">
        <v>1.88</v>
      </c>
      <c r="X121">
        <v>2.7</v>
      </c>
      <c r="Y121">
        <v>20</v>
      </c>
      <c r="Z121">
        <v>9</v>
      </c>
    </row>
    <row r="122" spans="1:26" x14ac:dyDescent="0.45">
      <c r="A122" t="s">
        <v>575</v>
      </c>
      <c r="B122">
        <v>31</v>
      </c>
      <c r="C122" t="s">
        <v>27</v>
      </c>
      <c r="D122" t="s">
        <v>95</v>
      </c>
      <c r="E122" t="s">
        <v>29</v>
      </c>
      <c r="F122" t="s">
        <v>69</v>
      </c>
      <c r="G122" t="s">
        <v>48</v>
      </c>
      <c r="H122" t="s">
        <v>32</v>
      </c>
      <c r="I122" t="s">
        <v>132</v>
      </c>
      <c r="J122" t="s">
        <v>576</v>
      </c>
      <c r="K122" t="s">
        <v>577</v>
      </c>
      <c r="L122" t="s">
        <v>36</v>
      </c>
      <c r="M122" t="s">
        <v>30</v>
      </c>
      <c r="N122" t="s">
        <v>578</v>
      </c>
      <c r="O122" t="s">
        <v>36</v>
      </c>
      <c r="P122" t="s">
        <v>110</v>
      </c>
      <c r="Q122" t="s">
        <v>40</v>
      </c>
      <c r="R122">
        <v>94</v>
      </c>
      <c r="S122">
        <v>0</v>
      </c>
      <c r="T122" t="s">
        <v>137</v>
      </c>
      <c r="U122" t="s">
        <v>57</v>
      </c>
      <c r="V122">
        <v>1.23</v>
      </c>
      <c r="W122">
        <v>4.88</v>
      </c>
      <c r="X122">
        <v>9</v>
      </c>
      <c r="Y122">
        <v>22.7</v>
      </c>
      <c r="Z122">
        <v>19.899999999999999</v>
      </c>
    </row>
    <row r="123" spans="1:26" x14ac:dyDescent="0.45">
      <c r="A123" t="s">
        <v>579</v>
      </c>
      <c r="B123">
        <v>68</v>
      </c>
      <c r="C123" t="s">
        <v>45</v>
      </c>
      <c r="D123" t="s">
        <v>106</v>
      </c>
      <c r="E123" t="s">
        <v>163</v>
      </c>
      <c r="F123" t="s">
        <v>30</v>
      </c>
      <c r="G123" t="s">
        <v>440</v>
      </c>
      <c r="H123" t="s">
        <v>71</v>
      </c>
      <c r="I123" t="s">
        <v>49</v>
      </c>
      <c r="J123" t="s">
        <v>97</v>
      </c>
      <c r="K123" t="s">
        <v>580</v>
      </c>
      <c r="L123" t="s">
        <v>64</v>
      </c>
      <c r="M123" t="s">
        <v>581</v>
      </c>
      <c r="N123" t="s">
        <v>582</v>
      </c>
      <c r="O123" t="s">
        <v>64</v>
      </c>
      <c r="P123" t="s">
        <v>110</v>
      </c>
      <c r="Q123" t="s">
        <v>129</v>
      </c>
      <c r="R123">
        <v>53</v>
      </c>
      <c r="S123">
        <v>0</v>
      </c>
      <c r="T123" t="s">
        <v>41</v>
      </c>
      <c r="U123" t="s">
        <v>57</v>
      </c>
      <c r="V123">
        <v>1.7</v>
      </c>
      <c r="W123">
        <v>2.58</v>
      </c>
      <c r="X123">
        <v>7.8</v>
      </c>
      <c r="Y123">
        <v>18.5</v>
      </c>
      <c r="Z123">
        <v>5.6</v>
      </c>
    </row>
    <row r="124" spans="1:26" x14ac:dyDescent="0.45">
      <c r="A124" t="s">
        <v>583</v>
      </c>
      <c r="B124">
        <v>73</v>
      </c>
      <c r="C124" t="s">
        <v>27</v>
      </c>
      <c r="D124" t="s">
        <v>87</v>
      </c>
      <c r="E124" t="s">
        <v>30</v>
      </c>
      <c r="F124" t="s">
        <v>88</v>
      </c>
      <c r="G124" t="s">
        <v>152</v>
      </c>
      <c r="H124" t="s">
        <v>61</v>
      </c>
      <c r="I124" t="s">
        <v>33</v>
      </c>
      <c r="J124" t="s">
        <v>584</v>
      </c>
      <c r="K124" t="s">
        <v>585</v>
      </c>
      <c r="L124" t="s">
        <v>64</v>
      </c>
      <c r="M124" t="s">
        <v>581</v>
      </c>
      <c r="N124" t="s">
        <v>586</v>
      </c>
      <c r="O124" t="s">
        <v>64</v>
      </c>
      <c r="P124" t="s">
        <v>55</v>
      </c>
      <c r="Q124" t="s">
        <v>40</v>
      </c>
      <c r="R124">
        <v>32</v>
      </c>
      <c r="S124">
        <v>0</v>
      </c>
      <c r="T124" t="s">
        <v>41</v>
      </c>
      <c r="U124" t="s">
        <v>57</v>
      </c>
      <c r="V124">
        <v>4.26</v>
      </c>
      <c r="W124">
        <v>1.9</v>
      </c>
      <c r="X124">
        <v>3</v>
      </c>
      <c r="Y124">
        <v>15.7</v>
      </c>
      <c r="Z124">
        <v>13.1</v>
      </c>
    </row>
    <row r="125" spans="1:26" x14ac:dyDescent="0.45">
      <c r="A125" t="s">
        <v>587</v>
      </c>
      <c r="B125">
        <v>42</v>
      </c>
      <c r="C125" t="s">
        <v>27</v>
      </c>
      <c r="D125" t="s">
        <v>45</v>
      </c>
      <c r="E125" t="s">
        <v>29</v>
      </c>
      <c r="F125" t="s">
        <v>30</v>
      </c>
      <c r="G125" t="s">
        <v>60</v>
      </c>
      <c r="H125" t="s">
        <v>71</v>
      </c>
      <c r="I125" t="s">
        <v>49</v>
      </c>
      <c r="J125" t="s">
        <v>588</v>
      </c>
      <c r="K125" t="s">
        <v>230</v>
      </c>
      <c r="L125" t="s">
        <v>52</v>
      </c>
      <c r="M125" t="s">
        <v>30</v>
      </c>
      <c r="N125" t="s">
        <v>412</v>
      </c>
      <c r="O125" t="s">
        <v>52</v>
      </c>
      <c r="P125" t="s">
        <v>55</v>
      </c>
      <c r="Q125" t="s">
        <v>30</v>
      </c>
      <c r="R125">
        <v>131</v>
      </c>
      <c r="S125">
        <v>0</v>
      </c>
      <c r="T125" t="s">
        <v>56</v>
      </c>
      <c r="U125" t="s">
        <v>42</v>
      </c>
      <c r="V125">
        <v>3.32</v>
      </c>
      <c r="W125">
        <v>1.37</v>
      </c>
      <c r="X125">
        <v>8.9</v>
      </c>
      <c r="Y125">
        <v>10.8</v>
      </c>
      <c r="Z125">
        <v>5.2</v>
      </c>
    </row>
    <row r="126" spans="1:26" x14ac:dyDescent="0.45">
      <c r="A126" t="s">
        <v>589</v>
      </c>
      <c r="B126">
        <v>84</v>
      </c>
      <c r="C126" t="s">
        <v>27</v>
      </c>
      <c r="D126" t="s">
        <v>87</v>
      </c>
      <c r="E126" t="s">
        <v>163</v>
      </c>
      <c r="F126" t="s">
        <v>30</v>
      </c>
      <c r="G126" t="s">
        <v>178</v>
      </c>
      <c r="H126" t="s">
        <v>32</v>
      </c>
      <c r="I126" t="s">
        <v>132</v>
      </c>
      <c r="J126" t="s">
        <v>590</v>
      </c>
      <c r="K126" t="s">
        <v>591</v>
      </c>
      <c r="L126" t="s">
        <v>36</v>
      </c>
      <c r="M126" t="s">
        <v>536</v>
      </c>
      <c r="N126" t="s">
        <v>370</v>
      </c>
      <c r="O126" t="s">
        <v>36</v>
      </c>
      <c r="P126" t="s">
        <v>39</v>
      </c>
      <c r="Q126" t="s">
        <v>40</v>
      </c>
      <c r="R126">
        <v>159</v>
      </c>
      <c r="S126">
        <v>1</v>
      </c>
      <c r="T126" t="s">
        <v>123</v>
      </c>
      <c r="U126" t="s">
        <v>42</v>
      </c>
      <c r="V126">
        <v>4.55</v>
      </c>
      <c r="W126">
        <v>4.82</v>
      </c>
      <c r="X126">
        <v>8.8000000000000007</v>
      </c>
      <c r="Y126">
        <v>20.6</v>
      </c>
      <c r="Z126">
        <v>14.1</v>
      </c>
    </row>
    <row r="127" spans="1:26" x14ac:dyDescent="0.45">
      <c r="A127" t="s">
        <v>592</v>
      </c>
      <c r="B127">
        <v>82</v>
      </c>
      <c r="C127" t="s">
        <v>44</v>
      </c>
      <c r="D127" t="s">
        <v>28</v>
      </c>
      <c r="E127" t="s">
        <v>163</v>
      </c>
      <c r="F127" t="s">
        <v>30</v>
      </c>
      <c r="G127" t="s">
        <v>184</v>
      </c>
      <c r="H127" t="s">
        <v>32</v>
      </c>
      <c r="I127" t="s">
        <v>33</v>
      </c>
      <c r="J127" t="s">
        <v>593</v>
      </c>
      <c r="K127" t="s">
        <v>594</v>
      </c>
      <c r="L127" t="s">
        <v>52</v>
      </c>
      <c r="M127" t="s">
        <v>500</v>
      </c>
      <c r="N127" t="s">
        <v>595</v>
      </c>
      <c r="O127" t="s">
        <v>52</v>
      </c>
      <c r="P127" t="s">
        <v>39</v>
      </c>
      <c r="Q127" t="s">
        <v>40</v>
      </c>
      <c r="R127">
        <v>59</v>
      </c>
      <c r="S127">
        <v>1</v>
      </c>
      <c r="T127" t="s">
        <v>137</v>
      </c>
      <c r="U127" t="s">
        <v>42</v>
      </c>
      <c r="V127">
        <v>3.2</v>
      </c>
      <c r="W127">
        <v>1.35</v>
      </c>
      <c r="X127">
        <v>4.7</v>
      </c>
      <c r="Y127">
        <v>12.7</v>
      </c>
      <c r="Z127">
        <v>7.4</v>
      </c>
    </row>
    <row r="128" spans="1:26" x14ac:dyDescent="0.45">
      <c r="A128" t="s">
        <v>596</v>
      </c>
      <c r="B128">
        <v>66</v>
      </c>
      <c r="C128" t="s">
        <v>45</v>
      </c>
      <c r="D128" t="s">
        <v>106</v>
      </c>
      <c r="E128" t="s">
        <v>46</v>
      </c>
      <c r="F128" t="s">
        <v>30</v>
      </c>
      <c r="G128" t="s">
        <v>48</v>
      </c>
      <c r="H128" t="s">
        <v>32</v>
      </c>
      <c r="I128" t="s">
        <v>49</v>
      </c>
      <c r="J128" t="s">
        <v>597</v>
      </c>
      <c r="K128" t="s">
        <v>523</v>
      </c>
      <c r="L128" t="s">
        <v>36</v>
      </c>
      <c r="M128" t="s">
        <v>348</v>
      </c>
      <c r="N128" t="s">
        <v>598</v>
      </c>
      <c r="O128" t="s">
        <v>36</v>
      </c>
      <c r="P128" t="s">
        <v>55</v>
      </c>
      <c r="Q128" t="s">
        <v>30</v>
      </c>
      <c r="R128">
        <v>120</v>
      </c>
      <c r="S128">
        <v>0</v>
      </c>
      <c r="T128" t="s">
        <v>41</v>
      </c>
      <c r="U128" t="s">
        <v>57</v>
      </c>
      <c r="V128">
        <v>3.89</v>
      </c>
      <c r="W128">
        <v>2.98</v>
      </c>
      <c r="X128">
        <v>1.7</v>
      </c>
      <c r="Y128">
        <v>10</v>
      </c>
      <c r="Z128">
        <v>14.6</v>
      </c>
    </row>
    <row r="129" spans="1:26" x14ac:dyDescent="0.45">
      <c r="A129" t="s">
        <v>599</v>
      </c>
      <c r="B129">
        <v>41</v>
      </c>
      <c r="C129" t="s">
        <v>45</v>
      </c>
      <c r="D129" t="s">
        <v>106</v>
      </c>
      <c r="E129" t="s">
        <v>78</v>
      </c>
      <c r="F129" t="s">
        <v>30</v>
      </c>
      <c r="G129" t="s">
        <v>60</v>
      </c>
      <c r="H129" t="s">
        <v>71</v>
      </c>
      <c r="I129" t="s">
        <v>132</v>
      </c>
      <c r="J129" t="s">
        <v>600</v>
      </c>
      <c r="K129" t="s">
        <v>601</v>
      </c>
      <c r="L129" t="s">
        <v>64</v>
      </c>
      <c r="M129" t="s">
        <v>129</v>
      </c>
      <c r="N129" t="s">
        <v>602</v>
      </c>
      <c r="O129" t="s">
        <v>64</v>
      </c>
      <c r="P129" t="s">
        <v>39</v>
      </c>
      <c r="Q129" t="s">
        <v>40</v>
      </c>
      <c r="R129">
        <v>31</v>
      </c>
      <c r="S129">
        <v>1</v>
      </c>
      <c r="T129" t="s">
        <v>85</v>
      </c>
      <c r="U129" t="s">
        <v>42</v>
      </c>
      <c r="V129">
        <v>1.3</v>
      </c>
      <c r="W129">
        <v>4.4000000000000004</v>
      </c>
      <c r="X129">
        <v>5.5</v>
      </c>
      <c r="Y129">
        <v>14.7</v>
      </c>
      <c r="Z129">
        <v>13.1</v>
      </c>
    </row>
    <row r="130" spans="1:26" x14ac:dyDescent="0.45">
      <c r="A130" t="s">
        <v>603</v>
      </c>
      <c r="B130">
        <v>79</v>
      </c>
      <c r="C130" t="s">
        <v>44</v>
      </c>
      <c r="D130" t="s">
        <v>45</v>
      </c>
      <c r="E130" t="s">
        <v>30</v>
      </c>
      <c r="F130" t="s">
        <v>69</v>
      </c>
      <c r="G130" t="s">
        <v>184</v>
      </c>
      <c r="H130" t="s">
        <v>81</v>
      </c>
      <c r="I130" t="s">
        <v>72</v>
      </c>
      <c r="J130" t="s">
        <v>604</v>
      </c>
      <c r="K130" t="s">
        <v>605</v>
      </c>
      <c r="L130" t="s">
        <v>52</v>
      </c>
      <c r="M130" t="s">
        <v>75</v>
      </c>
      <c r="N130" t="s">
        <v>391</v>
      </c>
      <c r="O130" t="s">
        <v>52</v>
      </c>
      <c r="P130" t="s">
        <v>55</v>
      </c>
      <c r="Q130" t="s">
        <v>75</v>
      </c>
      <c r="R130">
        <v>38</v>
      </c>
      <c r="S130">
        <v>0</v>
      </c>
      <c r="T130" t="s">
        <v>85</v>
      </c>
      <c r="U130" t="s">
        <v>57</v>
      </c>
      <c r="V130">
        <v>4.3</v>
      </c>
      <c r="W130">
        <v>2.39</v>
      </c>
      <c r="X130">
        <v>7.1</v>
      </c>
      <c r="Y130">
        <v>16.2</v>
      </c>
      <c r="Z130">
        <v>7.5</v>
      </c>
    </row>
    <row r="131" spans="1:26" x14ac:dyDescent="0.45">
      <c r="A131" t="s">
        <v>606</v>
      </c>
      <c r="B131">
        <v>68</v>
      </c>
      <c r="C131" t="s">
        <v>45</v>
      </c>
      <c r="D131" t="s">
        <v>106</v>
      </c>
      <c r="E131" t="s">
        <v>78</v>
      </c>
      <c r="F131" t="s">
        <v>30</v>
      </c>
      <c r="G131" t="s">
        <v>246</v>
      </c>
      <c r="H131" t="s">
        <v>81</v>
      </c>
      <c r="I131" t="s">
        <v>132</v>
      </c>
      <c r="J131" t="s">
        <v>607</v>
      </c>
      <c r="K131" t="s">
        <v>608</v>
      </c>
      <c r="L131" t="s">
        <v>36</v>
      </c>
      <c r="M131" t="s">
        <v>65</v>
      </c>
      <c r="N131" t="s">
        <v>484</v>
      </c>
      <c r="O131" t="s">
        <v>36</v>
      </c>
      <c r="P131" t="s">
        <v>55</v>
      </c>
      <c r="Q131" t="s">
        <v>67</v>
      </c>
      <c r="R131">
        <v>170</v>
      </c>
      <c r="S131">
        <v>0</v>
      </c>
      <c r="T131" t="s">
        <v>137</v>
      </c>
      <c r="U131" t="s">
        <v>42</v>
      </c>
      <c r="V131">
        <v>4.51</v>
      </c>
      <c r="W131">
        <v>4.1900000000000004</v>
      </c>
      <c r="X131">
        <v>6.9</v>
      </c>
      <c r="Y131">
        <v>21.3</v>
      </c>
      <c r="Z131">
        <v>17.7</v>
      </c>
    </row>
    <row r="132" spans="1:26" x14ac:dyDescent="0.45">
      <c r="A132" t="s">
        <v>609</v>
      </c>
      <c r="B132">
        <v>52</v>
      </c>
      <c r="C132" t="s">
        <v>44</v>
      </c>
      <c r="D132" t="s">
        <v>45</v>
      </c>
      <c r="E132" t="s">
        <v>30</v>
      </c>
      <c r="F132" t="s">
        <v>47</v>
      </c>
      <c r="G132" t="s">
        <v>48</v>
      </c>
      <c r="H132" t="s">
        <v>71</v>
      </c>
      <c r="I132" t="s">
        <v>33</v>
      </c>
      <c r="J132" t="s">
        <v>610</v>
      </c>
      <c r="K132" t="s">
        <v>611</v>
      </c>
      <c r="L132" t="s">
        <v>64</v>
      </c>
      <c r="M132" t="s">
        <v>339</v>
      </c>
      <c r="N132" t="s">
        <v>612</v>
      </c>
      <c r="O132" t="s">
        <v>64</v>
      </c>
      <c r="P132" t="s">
        <v>110</v>
      </c>
      <c r="Q132" t="s">
        <v>67</v>
      </c>
      <c r="R132">
        <v>55</v>
      </c>
      <c r="S132">
        <v>0</v>
      </c>
      <c r="T132" t="s">
        <v>137</v>
      </c>
      <c r="U132" t="s">
        <v>42</v>
      </c>
      <c r="V132">
        <v>3.83</v>
      </c>
      <c r="W132">
        <v>4.3499999999999996</v>
      </c>
      <c r="X132">
        <v>7.3</v>
      </c>
      <c r="Y132">
        <v>18.2</v>
      </c>
      <c r="Z132">
        <v>13.5</v>
      </c>
    </row>
    <row r="133" spans="1:26" x14ac:dyDescent="0.45">
      <c r="A133" t="s">
        <v>613</v>
      </c>
      <c r="B133">
        <v>73</v>
      </c>
      <c r="C133" t="s">
        <v>44</v>
      </c>
      <c r="D133" t="s">
        <v>106</v>
      </c>
      <c r="E133" t="s">
        <v>46</v>
      </c>
      <c r="F133" t="s">
        <v>30</v>
      </c>
      <c r="G133" t="s">
        <v>96</v>
      </c>
      <c r="H133" t="s">
        <v>81</v>
      </c>
      <c r="I133" t="s">
        <v>49</v>
      </c>
      <c r="J133" t="s">
        <v>614</v>
      </c>
      <c r="K133" t="s">
        <v>615</v>
      </c>
      <c r="L133" t="s">
        <v>64</v>
      </c>
      <c r="M133" t="s">
        <v>427</v>
      </c>
      <c r="N133" t="s">
        <v>578</v>
      </c>
      <c r="O133" t="s">
        <v>64</v>
      </c>
      <c r="P133" t="s">
        <v>110</v>
      </c>
      <c r="Q133" t="s">
        <v>129</v>
      </c>
      <c r="R133">
        <v>131</v>
      </c>
      <c r="S133">
        <v>0</v>
      </c>
      <c r="T133" t="s">
        <v>123</v>
      </c>
      <c r="U133" t="s">
        <v>42</v>
      </c>
      <c r="V133">
        <v>4.01</v>
      </c>
      <c r="W133">
        <v>1.63</v>
      </c>
      <c r="X133">
        <v>8.9</v>
      </c>
      <c r="Y133">
        <v>21.7</v>
      </c>
      <c r="Z133">
        <v>3.5</v>
      </c>
    </row>
    <row r="134" spans="1:26" x14ac:dyDescent="0.45">
      <c r="A134" t="s">
        <v>616</v>
      </c>
      <c r="B134">
        <v>25</v>
      </c>
      <c r="C134" t="s">
        <v>27</v>
      </c>
      <c r="D134" t="s">
        <v>28</v>
      </c>
      <c r="E134" t="s">
        <v>78</v>
      </c>
      <c r="F134" t="s">
        <v>30</v>
      </c>
      <c r="G134" t="s">
        <v>102</v>
      </c>
      <c r="H134" t="s">
        <v>81</v>
      </c>
      <c r="I134" t="s">
        <v>132</v>
      </c>
      <c r="J134" t="s">
        <v>617</v>
      </c>
      <c r="K134" t="s">
        <v>618</v>
      </c>
      <c r="L134" t="s">
        <v>64</v>
      </c>
      <c r="M134" t="s">
        <v>135</v>
      </c>
      <c r="N134" t="s">
        <v>619</v>
      </c>
      <c r="O134" t="s">
        <v>64</v>
      </c>
      <c r="P134" t="s">
        <v>55</v>
      </c>
      <c r="Q134" t="s">
        <v>75</v>
      </c>
      <c r="R134">
        <v>80</v>
      </c>
      <c r="S134">
        <v>0</v>
      </c>
      <c r="T134" t="s">
        <v>85</v>
      </c>
      <c r="U134" t="s">
        <v>42</v>
      </c>
      <c r="V134">
        <v>4.3</v>
      </c>
      <c r="W134">
        <v>1.52</v>
      </c>
      <c r="X134">
        <v>4</v>
      </c>
      <c r="Y134">
        <v>19.399999999999999</v>
      </c>
      <c r="Z134">
        <v>5.7</v>
      </c>
    </row>
    <row r="135" spans="1:26" x14ac:dyDescent="0.45">
      <c r="A135" t="s">
        <v>620</v>
      </c>
      <c r="B135">
        <v>54</v>
      </c>
      <c r="C135" t="s">
        <v>44</v>
      </c>
      <c r="D135" t="s">
        <v>28</v>
      </c>
      <c r="E135" t="s">
        <v>29</v>
      </c>
      <c r="F135" t="s">
        <v>47</v>
      </c>
      <c r="G135" t="s">
        <v>125</v>
      </c>
      <c r="H135" t="s">
        <v>81</v>
      </c>
      <c r="I135" t="s">
        <v>132</v>
      </c>
      <c r="J135" t="s">
        <v>315</v>
      </c>
      <c r="K135" t="s">
        <v>621</v>
      </c>
      <c r="L135" t="s">
        <v>64</v>
      </c>
      <c r="M135" t="s">
        <v>378</v>
      </c>
      <c r="N135" t="s">
        <v>622</v>
      </c>
      <c r="O135" t="s">
        <v>64</v>
      </c>
      <c r="P135" t="s">
        <v>39</v>
      </c>
      <c r="Q135" t="s">
        <v>67</v>
      </c>
      <c r="R135">
        <v>117</v>
      </c>
      <c r="S135">
        <v>1</v>
      </c>
      <c r="T135" t="s">
        <v>41</v>
      </c>
      <c r="U135" t="s">
        <v>57</v>
      </c>
      <c r="V135">
        <v>4.2699999999999996</v>
      </c>
      <c r="W135">
        <v>4.33</v>
      </c>
      <c r="X135">
        <v>5.6</v>
      </c>
      <c r="Y135">
        <v>6.1</v>
      </c>
      <c r="Z135">
        <v>7.9</v>
      </c>
    </row>
    <row r="136" spans="1:26" x14ac:dyDescent="0.45">
      <c r="A136" t="s">
        <v>623</v>
      </c>
      <c r="B136">
        <v>58</v>
      </c>
      <c r="C136" t="s">
        <v>45</v>
      </c>
      <c r="D136" t="s">
        <v>28</v>
      </c>
      <c r="E136" t="s">
        <v>30</v>
      </c>
      <c r="F136" t="s">
        <v>30</v>
      </c>
      <c r="G136" t="s">
        <v>131</v>
      </c>
      <c r="H136" t="s">
        <v>32</v>
      </c>
      <c r="I136" t="s">
        <v>33</v>
      </c>
      <c r="J136" t="s">
        <v>624</v>
      </c>
      <c r="K136" t="s">
        <v>625</v>
      </c>
      <c r="L136" t="s">
        <v>36</v>
      </c>
      <c r="M136" t="s">
        <v>339</v>
      </c>
      <c r="N136" t="s">
        <v>626</v>
      </c>
      <c r="O136" t="s">
        <v>36</v>
      </c>
      <c r="P136" t="s">
        <v>39</v>
      </c>
      <c r="Q136" t="s">
        <v>67</v>
      </c>
      <c r="R136">
        <v>94</v>
      </c>
      <c r="S136">
        <v>1</v>
      </c>
      <c r="T136" t="s">
        <v>123</v>
      </c>
      <c r="U136" t="s">
        <v>42</v>
      </c>
      <c r="V136">
        <v>3.47</v>
      </c>
      <c r="W136">
        <v>4.92</v>
      </c>
      <c r="X136">
        <v>6.7</v>
      </c>
      <c r="Y136">
        <v>10.7</v>
      </c>
      <c r="Z136">
        <v>13.8</v>
      </c>
    </row>
    <row r="137" spans="1:26" x14ac:dyDescent="0.45">
      <c r="A137" t="s">
        <v>627</v>
      </c>
      <c r="B137">
        <v>39</v>
      </c>
      <c r="C137" t="s">
        <v>44</v>
      </c>
      <c r="D137" t="s">
        <v>87</v>
      </c>
      <c r="E137" t="s">
        <v>163</v>
      </c>
      <c r="F137" t="s">
        <v>47</v>
      </c>
      <c r="G137" t="s">
        <v>178</v>
      </c>
      <c r="H137" t="s">
        <v>61</v>
      </c>
      <c r="I137" t="s">
        <v>49</v>
      </c>
      <c r="J137" t="s">
        <v>628</v>
      </c>
      <c r="K137" t="s">
        <v>629</v>
      </c>
      <c r="L137" t="s">
        <v>92</v>
      </c>
      <c r="M137" t="s">
        <v>155</v>
      </c>
      <c r="N137" t="s">
        <v>630</v>
      </c>
      <c r="O137" t="s">
        <v>92</v>
      </c>
      <c r="P137" t="s">
        <v>110</v>
      </c>
      <c r="Q137" t="s">
        <v>40</v>
      </c>
      <c r="R137">
        <v>109</v>
      </c>
      <c r="S137">
        <v>0</v>
      </c>
      <c r="T137" t="s">
        <v>41</v>
      </c>
      <c r="U137" t="s">
        <v>42</v>
      </c>
      <c r="V137">
        <v>3.16</v>
      </c>
      <c r="W137">
        <v>4.12</v>
      </c>
      <c r="X137">
        <v>2</v>
      </c>
      <c r="Y137">
        <v>19.7</v>
      </c>
      <c r="Z137">
        <v>12.2</v>
      </c>
    </row>
    <row r="138" spans="1:26" x14ac:dyDescent="0.45">
      <c r="A138" t="s">
        <v>631</v>
      </c>
      <c r="B138">
        <v>54</v>
      </c>
      <c r="C138" t="s">
        <v>44</v>
      </c>
      <c r="D138" t="s">
        <v>106</v>
      </c>
      <c r="E138" t="s">
        <v>46</v>
      </c>
      <c r="F138" t="s">
        <v>30</v>
      </c>
      <c r="G138" t="s">
        <v>112</v>
      </c>
      <c r="H138" t="s">
        <v>61</v>
      </c>
      <c r="I138" t="s">
        <v>49</v>
      </c>
      <c r="J138" t="s">
        <v>610</v>
      </c>
      <c r="K138" t="s">
        <v>632</v>
      </c>
      <c r="L138" t="s">
        <v>36</v>
      </c>
      <c r="M138" t="s">
        <v>431</v>
      </c>
      <c r="N138" t="s">
        <v>156</v>
      </c>
      <c r="O138" t="s">
        <v>36</v>
      </c>
      <c r="P138" t="s">
        <v>110</v>
      </c>
      <c r="Q138" t="s">
        <v>67</v>
      </c>
      <c r="R138">
        <v>146</v>
      </c>
      <c r="S138">
        <v>0</v>
      </c>
      <c r="T138" t="s">
        <v>85</v>
      </c>
      <c r="U138" t="s">
        <v>57</v>
      </c>
      <c r="V138">
        <v>4.8499999999999996</v>
      </c>
      <c r="W138">
        <v>2.37</v>
      </c>
      <c r="X138">
        <v>6.7</v>
      </c>
      <c r="Y138">
        <v>22.8</v>
      </c>
      <c r="Z138">
        <v>4.7</v>
      </c>
    </row>
    <row r="139" spans="1:26" x14ac:dyDescent="0.45">
      <c r="A139" t="s">
        <v>633</v>
      </c>
      <c r="B139">
        <v>85</v>
      </c>
      <c r="C139" t="s">
        <v>45</v>
      </c>
      <c r="D139" t="s">
        <v>45</v>
      </c>
      <c r="E139" t="s">
        <v>30</v>
      </c>
      <c r="F139" t="s">
        <v>30</v>
      </c>
      <c r="G139" t="s">
        <v>70</v>
      </c>
      <c r="H139" t="s">
        <v>71</v>
      </c>
      <c r="I139" t="s">
        <v>49</v>
      </c>
      <c r="J139" t="s">
        <v>634</v>
      </c>
      <c r="K139" t="s">
        <v>635</v>
      </c>
      <c r="L139" t="s">
        <v>64</v>
      </c>
      <c r="M139" t="s">
        <v>30</v>
      </c>
      <c r="N139" t="s">
        <v>636</v>
      </c>
      <c r="O139" t="s">
        <v>64</v>
      </c>
      <c r="P139" t="s">
        <v>39</v>
      </c>
      <c r="Q139" t="s">
        <v>75</v>
      </c>
      <c r="R139">
        <v>64</v>
      </c>
      <c r="S139">
        <v>1</v>
      </c>
      <c r="T139" t="s">
        <v>137</v>
      </c>
      <c r="U139" t="s">
        <v>57</v>
      </c>
      <c r="V139">
        <v>4.75</v>
      </c>
      <c r="W139">
        <v>3.75</v>
      </c>
      <c r="X139">
        <v>1.6</v>
      </c>
      <c r="Y139">
        <v>11.4</v>
      </c>
      <c r="Z139">
        <v>15</v>
      </c>
    </row>
    <row r="140" spans="1:26" x14ac:dyDescent="0.45">
      <c r="A140" t="s">
        <v>637</v>
      </c>
      <c r="B140">
        <v>78</v>
      </c>
      <c r="C140" t="s">
        <v>45</v>
      </c>
      <c r="D140" t="s">
        <v>87</v>
      </c>
      <c r="E140" t="s">
        <v>78</v>
      </c>
      <c r="F140" t="s">
        <v>30</v>
      </c>
      <c r="G140" t="s">
        <v>70</v>
      </c>
      <c r="H140" t="s">
        <v>32</v>
      </c>
      <c r="I140" t="s">
        <v>49</v>
      </c>
      <c r="J140" t="s">
        <v>638</v>
      </c>
      <c r="K140" t="s">
        <v>639</v>
      </c>
      <c r="L140" t="s">
        <v>92</v>
      </c>
      <c r="M140" t="s">
        <v>640</v>
      </c>
      <c r="N140" t="s">
        <v>578</v>
      </c>
      <c r="O140" t="s">
        <v>92</v>
      </c>
      <c r="P140" t="s">
        <v>55</v>
      </c>
      <c r="Q140" t="s">
        <v>40</v>
      </c>
      <c r="R140">
        <v>93</v>
      </c>
      <c r="S140">
        <v>0</v>
      </c>
      <c r="T140" t="s">
        <v>41</v>
      </c>
      <c r="U140" t="s">
        <v>57</v>
      </c>
      <c r="V140">
        <v>1.27</v>
      </c>
      <c r="W140">
        <v>3.33</v>
      </c>
      <c r="X140">
        <v>4.0999999999999996</v>
      </c>
      <c r="Y140">
        <v>17.2</v>
      </c>
      <c r="Z140">
        <v>3.8</v>
      </c>
    </row>
    <row r="141" spans="1:26" x14ac:dyDescent="0.45">
      <c r="A141" t="s">
        <v>641</v>
      </c>
      <c r="B141">
        <v>66</v>
      </c>
      <c r="C141" t="s">
        <v>27</v>
      </c>
      <c r="D141" t="s">
        <v>28</v>
      </c>
      <c r="E141" t="s">
        <v>163</v>
      </c>
      <c r="F141" t="s">
        <v>79</v>
      </c>
      <c r="G141" t="s">
        <v>246</v>
      </c>
      <c r="H141" t="s">
        <v>32</v>
      </c>
      <c r="I141" t="s">
        <v>132</v>
      </c>
      <c r="J141" t="s">
        <v>642</v>
      </c>
      <c r="K141" t="s">
        <v>643</v>
      </c>
      <c r="L141" t="s">
        <v>92</v>
      </c>
      <c r="M141" t="s">
        <v>67</v>
      </c>
      <c r="N141" t="s">
        <v>198</v>
      </c>
      <c r="O141" t="s">
        <v>92</v>
      </c>
      <c r="P141" t="s">
        <v>39</v>
      </c>
      <c r="Q141" t="s">
        <v>40</v>
      </c>
      <c r="R141">
        <v>145</v>
      </c>
      <c r="S141">
        <v>1</v>
      </c>
      <c r="T141" t="s">
        <v>137</v>
      </c>
      <c r="U141" t="s">
        <v>57</v>
      </c>
      <c r="V141">
        <v>4.49</v>
      </c>
      <c r="W141">
        <v>4.8899999999999997</v>
      </c>
      <c r="X141">
        <v>9.6999999999999993</v>
      </c>
      <c r="Y141">
        <v>19.5</v>
      </c>
      <c r="Z141">
        <v>5.2</v>
      </c>
    </row>
    <row r="142" spans="1:26" x14ac:dyDescent="0.45">
      <c r="A142" t="s">
        <v>644</v>
      </c>
      <c r="B142">
        <v>42</v>
      </c>
      <c r="C142" t="s">
        <v>44</v>
      </c>
      <c r="D142" t="s">
        <v>87</v>
      </c>
      <c r="E142" t="s">
        <v>46</v>
      </c>
      <c r="F142" t="s">
        <v>69</v>
      </c>
      <c r="G142" t="s">
        <v>164</v>
      </c>
      <c r="H142" t="s">
        <v>71</v>
      </c>
      <c r="I142" t="s">
        <v>49</v>
      </c>
      <c r="J142" t="s">
        <v>645</v>
      </c>
      <c r="K142" t="s">
        <v>646</v>
      </c>
      <c r="L142" t="s">
        <v>36</v>
      </c>
      <c r="M142" t="s">
        <v>160</v>
      </c>
      <c r="N142" t="s">
        <v>116</v>
      </c>
      <c r="O142" t="s">
        <v>36</v>
      </c>
      <c r="P142" t="s">
        <v>39</v>
      </c>
      <c r="Q142" t="s">
        <v>40</v>
      </c>
      <c r="R142">
        <v>85</v>
      </c>
      <c r="S142">
        <v>1</v>
      </c>
      <c r="T142" t="s">
        <v>137</v>
      </c>
      <c r="U142" t="s">
        <v>57</v>
      </c>
      <c r="V142">
        <v>4.03</v>
      </c>
      <c r="W142">
        <v>1.1000000000000001</v>
      </c>
      <c r="X142">
        <v>1.2</v>
      </c>
      <c r="Y142">
        <v>11.8</v>
      </c>
      <c r="Z142">
        <v>11.3</v>
      </c>
    </row>
    <row r="143" spans="1:26" x14ac:dyDescent="0.45">
      <c r="A143" t="s">
        <v>647</v>
      </c>
      <c r="B143">
        <v>57</v>
      </c>
      <c r="C143" t="s">
        <v>44</v>
      </c>
      <c r="D143" t="s">
        <v>28</v>
      </c>
      <c r="E143" t="s">
        <v>78</v>
      </c>
      <c r="F143" t="s">
        <v>30</v>
      </c>
      <c r="G143" t="s">
        <v>118</v>
      </c>
      <c r="H143" t="s">
        <v>32</v>
      </c>
      <c r="I143" t="s">
        <v>49</v>
      </c>
      <c r="J143" t="s">
        <v>648</v>
      </c>
      <c r="K143" t="s">
        <v>649</v>
      </c>
      <c r="L143" t="s">
        <v>36</v>
      </c>
      <c r="M143" t="s">
        <v>75</v>
      </c>
      <c r="N143" t="s">
        <v>650</v>
      </c>
      <c r="O143" t="s">
        <v>36</v>
      </c>
      <c r="P143" t="s">
        <v>39</v>
      </c>
      <c r="Q143" t="s">
        <v>67</v>
      </c>
      <c r="R143">
        <v>94</v>
      </c>
      <c r="S143">
        <v>1</v>
      </c>
      <c r="T143" t="s">
        <v>56</v>
      </c>
      <c r="U143" t="s">
        <v>42</v>
      </c>
      <c r="V143">
        <v>4.08</v>
      </c>
      <c r="W143">
        <v>3.73</v>
      </c>
      <c r="X143">
        <v>5</v>
      </c>
      <c r="Y143">
        <v>10.9</v>
      </c>
      <c r="Z143">
        <v>20</v>
      </c>
    </row>
    <row r="144" spans="1:26" x14ac:dyDescent="0.45">
      <c r="A144" t="s">
        <v>651</v>
      </c>
      <c r="B144">
        <v>33</v>
      </c>
      <c r="C144" t="s">
        <v>45</v>
      </c>
      <c r="D144" t="s">
        <v>106</v>
      </c>
      <c r="E144" t="s">
        <v>78</v>
      </c>
      <c r="F144" t="s">
        <v>30</v>
      </c>
      <c r="G144" t="s">
        <v>440</v>
      </c>
      <c r="H144" t="s">
        <v>71</v>
      </c>
      <c r="I144" t="s">
        <v>49</v>
      </c>
      <c r="J144" t="s">
        <v>652</v>
      </c>
      <c r="K144" t="s">
        <v>653</v>
      </c>
      <c r="L144" t="s">
        <v>92</v>
      </c>
      <c r="M144" t="s">
        <v>231</v>
      </c>
      <c r="N144" t="s">
        <v>654</v>
      </c>
      <c r="O144" t="s">
        <v>92</v>
      </c>
      <c r="P144" t="s">
        <v>55</v>
      </c>
      <c r="Q144" t="s">
        <v>30</v>
      </c>
      <c r="R144">
        <v>70</v>
      </c>
      <c r="S144">
        <v>0</v>
      </c>
      <c r="T144" t="s">
        <v>123</v>
      </c>
      <c r="U144" t="s">
        <v>42</v>
      </c>
      <c r="V144">
        <v>2.7</v>
      </c>
      <c r="W144">
        <v>2.81</v>
      </c>
      <c r="X144">
        <v>2.5</v>
      </c>
      <c r="Y144">
        <v>20.3</v>
      </c>
      <c r="Z144">
        <v>14.8</v>
      </c>
    </row>
    <row r="145" spans="1:26" x14ac:dyDescent="0.45">
      <c r="A145" t="s">
        <v>655</v>
      </c>
      <c r="B145">
        <v>50</v>
      </c>
      <c r="C145" t="s">
        <v>44</v>
      </c>
      <c r="D145" t="s">
        <v>28</v>
      </c>
      <c r="E145" t="s">
        <v>46</v>
      </c>
      <c r="F145" t="s">
        <v>88</v>
      </c>
      <c r="G145" t="s">
        <v>89</v>
      </c>
      <c r="H145" t="s">
        <v>61</v>
      </c>
      <c r="I145" t="s">
        <v>72</v>
      </c>
      <c r="J145" t="s">
        <v>656</v>
      </c>
      <c r="K145" t="s">
        <v>657</v>
      </c>
      <c r="L145" t="s">
        <v>64</v>
      </c>
      <c r="M145" t="s">
        <v>304</v>
      </c>
      <c r="N145" t="s">
        <v>636</v>
      </c>
      <c r="O145" t="s">
        <v>64</v>
      </c>
      <c r="P145" t="s">
        <v>39</v>
      </c>
      <c r="Q145" t="s">
        <v>75</v>
      </c>
      <c r="R145">
        <v>151</v>
      </c>
      <c r="S145">
        <v>1</v>
      </c>
      <c r="T145" t="s">
        <v>85</v>
      </c>
      <c r="U145" t="s">
        <v>42</v>
      </c>
      <c r="V145">
        <v>1.88</v>
      </c>
      <c r="W145">
        <v>1.33</v>
      </c>
      <c r="X145">
        <v>7.1</v>
      </c>
      <c r="Y145">
        <v>17.8</v>
      </c>
      <c r="Z145">
        <v>7.6</v>
      </c>
    </row>
    <row r="146" spans="1:26" x14ac:dyDescent="0.45">
      <c r="A146" t="s">
        <v>658</v>
      </c>
      <c r="B146">
        <v>65</v>
      </c>
      <c r="C146" t="s">
        <v>27</v>
      </c>
      <c r="D146" t="s">
        <v>106</v>
      </c>
      <c r="E146" t="s">
        <v>46</v>
      </c>
      <c r="F146" t="s">
        <v>69</v>
      </c>
      <c r="G146" t="s">
        <v>31</v>
      </c>
      <c r="H146" t="s">
        <v>61</v>
      </c>
      <c r="I146" t="s">
        <v>49</v>
      </c>
      <c r="J146" t="s">
        <v>659</v>
      </c>
      <c r="K146" t="s">
        <v>660</v>
      </c>
      <c r="L146" t="s">
        <v>92</v>
      </c>
      <c r="M146" t="s">
        <v>40</v>
      </c>
      <c r="N146" t="s">
        <v>661</v>
      </c>
      <c r="O146" t="s">
        <v>92</v>
      </c>
      <c r="P146" t="s">
        <v>55</v>
      </c>
      <c r="Q146" t="s">
        <v>75</v>
      </c>
      <c r="R146">
        <v>118</v>
      </c>
      <c r="S146">
        <v>0</v>
      </c>
      <c r="T146" t="s">
        <v>56</v>
      </c>
      <c r="U146" t="s">
        <v>42</v>
      </c>
      <c r="V146">
        <v>4.8</v>
      </c>
      <c r="W146">
        <v>1.6</v>
      </c>
      <c r="X146">
        <v>4.9000000000000004</v>
      </c>
      <c r="Y146">
        <v>23</v>
      </c>
      <c r="Z146">
        <v>10.1</v>
      </c>
    </row>
    <row r="147" spans="1:26" x14ac:dyDescent="0.45">
      <c r="A147" t="s">
        <v>662</v>
      </c>
      <c r="B147">
        <v>20</v>
      </c>
      <c r="C147" t="s">
        <v>45</v>
      </c>
      <c r="D147" t="s">
        <v>95</v>
      </c>
      <c r="E147" t="s">
        <v>30</v>
      </c>
      <c r="F147" t="s">
        <v>30</v>
      </c>
      <c r="G147" t="s">
        <v>184</v>
      </c>
      <c r="H147" t="s">
        <v>61</v>
      </c>
      <c r="I147" t="s">
        <v>33</v>
      </c>
      <c r="J147" t="s">
        <v>663</v>
      </c>
      <c r="K147" t="s">
        <v>664</v>
      </c>
      <c r="L147" t="s">
        <v>36</v>
      </c>
      <c r="M147" t="s">
        <v>75</v>
      </c>
      <c r="N147" t="s">
        <v>383</v>
      </c>
      <c r="O147" t="s">
        <v>36</v>
      </c>
      <c r="P147" t="s">
        <v>110</v>
      </c>
      <c r="Q147" t="s">
        <v>30</v>
      </c>
      <c r="R147">
        <v>112</v>
      </c>
      <c r="S147">
        <v>0</v>
      </c>
      <c r="T147" t="s">
        <v>56</v>
      </c>
      <c r="U147" t="s">
        <v>57</v>
      </c>
      <c r="V147">
        <v>3.55</v>
      </c>
      <c r="W147">
        <v>2.59</v>
      </c>
      <c r="X147">
        <v>3.5</v>
      </c>
      <c r="Y147">
        <v>23.7</v>
      </c>
      <c r="Z147">
        <v>10</v>
      </c>
    </row>
    <row r="148" spans="1:26" x14ac:dyDescent="0.45">
      <c r="A148" t="s">
        <v>665</v>
      </c>
      <c r="B148">
        <v>38</v>
      </c>
      <c r="C148" t="s">
        <v>27</v>
      </c>
      <c r="D148" t="s">
        <v>45</v>
      </c>
      <c r="E148" t="s">
        <v>46</v>
      </c>
      <c r="F148" t="s">
        <v>59</v>
      </c>
      <c r="G148" t="s">
        <v>178</v>
      </c>
      <c r="H148" t="s">
        <v>32</v>
      </c>
      <c r="I148" t="s">
        <v>33</v>
      </c>
      <c r="J148" t="s">
        <v>449</v>
      </c>
      <c r="K148" t="s">
        <v>666</v>
      </c>
      <c r="L148" t="s">
        <v>52</v>
      </c>
      <c r="M148" t="s">
        <v>75</v>
      </c>
      <c r="N148" t="s">
        <v>667</v>
      </c>
      <c r="O148" t="s">
        <v>52</v>
      </c>
      <c r="P148" t="s">
        <v>110</v>
      </c>
      <c r="Q148" t="s">
        <v>67</v>
      </c>
      <c r="R148">
        <v>112</v>
      </c>
      <c r="S148">
        <v>0</v>
      </c>
      <c r="T148" t="s">
        <v>123</v>
      </c>
      <c r="U148" t="s">
        <v>57</v>
      </c>
      <c r="V148">
        <v>4.58</v>
      </c>
      <c r="W148">
        <v>1.92</v>
      </c>
      <c r="X148">
        <v>2.9</v>
      </c>
      <c r="Y148">
        <v>6.6</v>
      </c>
      <c r="Z148">
        <v>14.1</v>
      </c>
    </row>
    <row r="149" spans="1:26" x14ac:dyDescent="0.45">
      <c r="A149" t="s">
        <v>668</v>
      </c>
      <c r="B149">
        <v>42</v>
      </c>
      <c r="C149" t="s">
        <v>45</v>
      </c>
      <c r="D149" t="s">
        <v>95</v>
      </c>
      <c r="E149" t="s">
        <v>29</v>
      </c>
      <c r="F149" t="s">
        <v>59</v>
      </c>
      <c r="G149" t="s">
        <v>31</v>
      </c>
      <c r="H149" t="s">
        <v>81</v>
      </c>
      <c r="I149" t="s">
        <v>132</v>
      </c>
      <c r="J149" t="s">
        <v>669</v>
      </c>
      <c r="K149" t="s">
        <v>670</v>
      </c>
      <c r="L149" t="s">
        <v>92</v>
      </c>
      <c r="M149" t="s">
        <v>67</v>
      </c>
      <c r="N149" t="s">
        <v>598</v>
      </c>
      <c r="O149" t="s">
        <v>92</v>
      </c>
      <c r="P149" t="s">
        <v>39</v>
      </c>
      <c r="Q149" t="s">
        <v>67</v>
      </c>
      <c r="R149">
        <v>57</v>
      </c>
      <c r="S149">
        <v>1</v>
      </c>
      <c r="T149" t="s">
        <v>56</v>
      </c>
      <c r="U149" t="s">
        <v>42</v>
      </c>
      <c r="V149">
        <v>2.4700000000000002</v>
      </c>
      <c r="W149">
        <v>4.46</v>
      </c>
      <c r="X149">
        <v>5.3</v>
      </c>
      <c r="Y149">
        <v>23.4</v>
      </c>
      <c r="Z149">
        <v>6.2</v>
      </c>
    </row>
    <row r="150" spans="1:26" x14ac:dyDescent="0.45">
      <c r="A150" t="s">
        <v>671</v>
      </c>
      <c r="B150">
        <v>30</v>
      </c>
      <c r="C150" t="s">
        <v>27</v>
      </c>
      <c r="D150" t="s">
        <v>45</v>
      </c>
      <c r="E150" t="s">
        <v>78</v>
      </c>
      <c r="F150" t="s">
        <v>30</v>
      </c>
      <c r="G150" t="s">
        <v>246</v>
      </c>
      <c r="H150" t="s">
        <v>32</v>
      </c>
      <c r="I150" t="s">
        <v>49</v>
      </c>
      <c r="J150" t="s">
        <v>590</v>
      </c>
      <c r="K150" t="s">
        <v>672</v>
      </c>
      <c r="L150" t="s">
        <v>92</v>
      </c>
      <c r="M150" t="s">
        <v>67</v>
      </c>
      <c r="N150" t="s">
        <v>142</v>
      </c>
      <c r="O150" t="s">
        <v>92</v>
      </c>
      <c r="P150" t="s">
        <v>55</v>
      </c>
      <c r="Q150" t="s">
        <v>129</v>
      </c>
      <c r="R150">
        <v>149</v>
      </c>
      <c r="S150">
        <v>0</v>
      </c>
      <c r="T150" t="s">
        <v>123</v>
      </c>
      <c r="U150" t="s">
        <v>57</v>
      </c>
      <c r="V150">
        <v>4.47</v>
      </c>
      <c r="W150">
        <v>4.1100000000000003</v>
      </c>
      <c r="X150">
        <v>7.9</v>
      </c>
      <c r="Y150">
        <v>21.2</v>
      </c>
      <c r="Z150">
        <v>15.9</v>
      </c>
    </row>
    <row r="151" spans="1:26" x14ac:dyDescent="0.45">
      <c r="A151" t="s">
        <v>673</v>
      </c>
      <c r="B151">
        <v>71</v>
      </c>
      <c r="C151" t="s">
        <v>44</v>
      </c>
      <c r="D151" t="s">
        <v>87</v>
      </c>
      <c r="E151" t="s">
        <v>29</v>
      </c>
      <c r="F151" t="s">
        <v>88</v>
      </c>
      <c r="G151" t="s">
        <v>125</v>
      </c>
      <c r="H151" t="s">
        <v>32</v>
      </c>
      <c r="I151" t="s">
        <v>49</v>
      </c>
      <c r="J151" t="s">
        <v>674</v>
      </c>
      <c r="K151" t="s">
        <v>675</v>
      </c>
      <c r="L151" t="s">
        <v>52</v>
      </c>
      <c r="M151" t="s">
        <v>676</v>
      </c>
      <c r="N151" t="s">
        <v>677</v>
      </c>
      <c r="O151" t="s">
        <v>52</v>
      </c>
      <c r="P151" t="s">
        <v>110</v>
      </c>
      <c r="Q151" t="s">
        <v>67</v>
      </c>
      <c r="R151">
        <v>175</v>
      </c>
      <c r="S151">
        <v>0</v>
      </c>
      <c r="T151" t="s">
        <v>41</v>
      </c>
      <c r="U151" t="s">
        <v>57</v>
      </c>
      <c r="V151">
        <v>3.5</v>
      </c>
      <c r="W151">
        <v>1.52</v>
      </c>
      <c r="X151">
        <v>1.3</v>
      </c>
      <c r="Y151">
        <v>22.6</v>
      </c>
      <c r="Z151">
        <v>13.5</v>
      </c>
    </row>
    <row r="152" spans="1:26" x14ac:dyDescent="0.45">
      <c r="A152" t="s">
        <v>678</v>
      </c>
      <c r="B152">
        <v>31</v>
      </c>
      <c r="C152" t="s">
        <v>45</v>
      </c>
      <c r="D152" t="s">
        <v>45</v>
      </c>
      <c r="E152" t="s">
        <v>30</v>
      </c>
      <c r="F152" t="s">
        <v>30</v>
      </c>
      <c r="G152" t="s">
        <v>48</v>
      </c>
      <c r="H152" t="s">
        <v>61</v>
      </c>
      <c r="I152" t="s">
        <v>72</v>
      </c>
      <c r="J152" t="s">
        <v>97</v>
      </c>
      <c r="K152" t="s">
        <v>98</v>
      </c>
      <c r="L152" t="s">
        <v>64</v>
      </c>
      <c r="M152" t="s">
        <v>231</v>
      </c>
      <c r="N152" t="s">
        <v>521</v>
      </c>
      <c r="O152" t="s">
        <v>64</v>
      </c>
      <c r="P152" t="s">
        <v>110</v>
      </c>
      <c r="Q152" t="s">
        <v>30</v>
      </c>
      <c r="R152">
        <v>125</v>
      </c>
      <c r="S152">
        <v>0</v>
      </c>
      <c r="T152" t="s">
        <v>56</v>
      </c>
      <c r="U152" t="s">
        <v>57</v>
      </c>
      <c r="V152">
        <v>4.1900000000000004</v>
      </c>
      <c r="W152">
        <v>2.93</v>
      </c>
      <c r="X152">
        <v>2.1</v>
      </c>
      <c r="Y152">
        <v>8.3000000000000007</v>
      </c>
      <c r="Z152">
        <v>14.7</v>
      </c>
    </row>
    <row r="153" spans="1:26" x14ac:dyDescent="0.45">
      <c r="A153" t="s">
        <v>679</v>
      </c>
      <c r="B153">
        <v>59</v>
      </c>
      <c r="C153" t="s">
        <v>45</v>
      </c>
      <c r="D153" t="s">
        <v>106</v>
      </c>
      <c r="E153" t="s">
        <v>29</v>
      </c>
      <c r="F153" t="s">
        <v>30</v>
      </c>
      <c r="G153" t="s">
        <v>131</v>
      </c>
      <c r="H153" t="s">
        <v>32</v>
      </c>
      <c r="I153" t="s">
        <v>132</v>
      </c>
      <c r="J153" t="s">
        <v>680</v>
      </c>
      <c r="K153" t="s">
        <v>681</v>
      </c>
      <c r="L153" t="s">
        <v>92</v>
      </c>
      <c r="M153" t="s">
        <v>536</v>
      </c>
      <c r="N153" t="s">
        <v>682</v>
      </c>
      <c r="O153" t="s">
        <v>92</v>
      </c>
      <c r="P153" t="s">
        <v>39</v>
      </c>
      <c r="Q153" t="s">
        <v>30</v>
      </c>
      <c r="R153">
        <v>31</v>
      </c>
      <c r="S153">
        <v>1</v>
      </c>
      <c r="T153" t="s">
        <v>137</v>
      </c>
      <c r="U153" t="s">
        <v>42</v>
      </c>
      <c r="V153">
        <v>2.72</v>
      </c>
      <c r="W153">
        <v>1.8</v>
      </c>
      <c r="X153">
        <v>5.4</v>
      </c>
      <c r="Y153">
        <v>7.2</v>
      </c>
      <c r="Z153">
        <v>12.9</v>
      </c>
    </row>
    <row r="154" spans="1:26" x14ac:dyDescent="0.45">
      <c r="A154" t="s">
        <v>683</v>
      </c>
      <c r="B154">
        <v>45</v>
      </c>
      <c r="C154" t="s">
        <v>44</v>
      </c>
      <c r="D154" t="s">
        <v>87</v>
      </c>
      <c r="E154" t="s">
        <v>30</v>
      </c>
      <c r="F154" t="s">
        <v>30</v>
      </c>
      <c r="G154" t="s">
        <v>246</v>
      </c>
      <c r="H154" t="s">
        <v>71</v>
      </c>
      <c r="I154" t="s">
        <v>49</v>
      </c>
      <c r="J154" t="s">
        <v>684</v>
      </c>
      <c r="K154" t="s">
        <v>180</v>
      </c>
      <c r="L154" t="s">
        <v>52</v>
      </c>
      <c r="M154" t="s">
        <v>53</v>
      </c>
      <c r="N154" t="s">
        <v>661</v>
      </c>
      <c r="O154" t="s">
        <v>52</v>
      </c>
      <c r="P154" t="s">
        <v>55</v>
      </c>
      <c r="Q154" t="s">
        <v>30</v>
      </c>
      <c r="R154">
        <v>53</v>
      </c>
      <c r="S154">
        <v>0</v>
      </c>
      <c r="T154" t="s">
        <v>85</v>
      </c>
      <c r="U154" t="s">
        <v>57</v>
      </c>
      <c r="V154">
        <v>2.08</v>
      </c>
      <c r="W154">
        <v>4.1900000000000004</v>
      </c>
      <c r="X154">
        <v>3.8</v>
      </c>
      <c r="Y154">
        <v>14.2</v>
      </c>
      <c r="Z154">
        <v>3.2</v>
      </c>
    </row>
    <row r="155" spans="1:26" x14ac:dyDescent="0.45">
      <c r="A155" t="s">
        <v>685</v>
      </c>
      <c r="B155">
        <v>45</v>
      </c>
      <c r="C155" t="s">
        <v>45</v>
      </c>
      <c r="D155" t="s">
        <v>87</v>
      </c>
      <c r="E155" t="s">
        <v>30</v>
      </c>
      <c r="F155" t="s">
        <v>30</v>
      </c>
      <c r="G155" t="s">
        <v>112</v>
      </c>
      <c r="H155" t="s">
        <v>81</v>
      </c>
      <c r="I155" t="s">
        <v>49</v>
      </c>
      <c r="J155" t="s">
        <v>664</v>
      </c>
      <c r="K155" t="s">
        <v>686</v>
      </c>
      <c r="L155" t="s">
        <v>36</v>
      </c>
      <c r="M155" t="s">
        <v>129</v>
      </c>
      <c r="N155" t="s">
        <v>323</v>
      </c>
      <c r="O155" t="s">
        <v>36</v>
      </c>
      <c r="P155" t="s">
        <v>55</v>
      </c>
      <c r="Q155" t="s">
        <v>30</v>
      </c>
      <c r="R155">
        <v>141</v>
      </c>
      <c r="S155">
        <v>0</v>
      </c>
      <c r="T155" t="s">
        <v>56</v>
      </c>
      <c r="U155" t="s">
        <v>42</v>
      </c>
      <c r="V155">
        <v>1.29</v>
      </c>
      <c r="W155">
        <v>2.57</v>
      </c>
      <c r="X155">
        <v>5.3</v>
      </c>
      <c r="Y155">
        <v>16.8</v>
      </c>
      <c r="Z155">
        <v>8</v>
      </c>
    </row>
    <row r="156" spans="1:26" x14ac:dyDescent="0.45">
      <c r="A156" t="s">
        <v>687</v>
      </c>
      <c r="B156">
        <v>47</v>
      </c>
      <c r="C156" t="s">
        <v>45</v>
      </c>
      <c r="D156" t="s">
        <v>45</v>
      </c>
      <c r="E156" t="s">
        <v>163</v>
      </c>
      <c r="F156" t="s">
        <v>30</v>
      </c>
      <c r="G156" t="s">
        <v>131</v>
      </c>
      <c r="H156" t="s">
        <v>61</v>
      </c>
      <c r="I156" t="s">
        <v>132</v>
      </c>
      <c r="J156" t="s">
        <v>688</v>
      </c>
      <c r="K156" t="s">
        <v>689</v>
      </c>
      <c r="L156" t="s">
        <v>52</v>
      </c>
      <c r="M156" t="s">
        <v>155</v>
      </c>
      <c r="N156" t="s">
        <v>690</v>
      </c>
      <c r="O156" t="s">
        <v>52</v>
      </c>
      <c r="P156" t="s">
        <v>39</v>
      </c>
      <c r="Q156" t="s">
        <v>40</v>
      </c>
      <c r="R156">
        <v>144</v>
      </c>
      <c r="S156">
        <v>1</v>
      </c>
      <c r="T156" t="s">
        <v>85</v>
      </c>
      <c r="U156" t="s">
        <v>42</v>
      </c>
      <c r="V156">
        <v>3.78</v>
      </c>
      <c r="W156">
        <v>4.4400000000000004</v>
      </c>
      <c r="X156">
        <v>8</v>
      </c>
      <c r="Y156">
        <v>6.7</v>
      </c>
      <c r="Z156">
        <v>11.2</v>
      </c>
    </row>
    <row r="157" spans="1:26" x14ac:dyDescent="0.45">
      <c r="A157" t="s">
        <v>691</v>
      </c>
      <c r="B157">
        <v>46</v>
      </c>
      <c r="C157" t="s">
        <v>44</v>
      </c>
      <c r="D157" t="s">
        <v>28</v>
      </c>
      <c r="E157" t="s">
        <v>78</v>
      </c>
      <c r="F157" t="s">
        <v>59</v>
      </c>
      <c r="G157" t="s">
        <v>125</v>
      </c>
      <c r="H157" t="s">
        <v>81</v>
      </c>
      <c r="I157" t="s">
        <v>49</v>
      </c>
      <c r="J157" t="s">
        <v>692</v>
      </c>
      <c r="K157" t="s">
        <v>693</v>
      </c>
      <c r="L157" t="s">
        <v>36</v>
      </c>
      <c r="M157" t="s">
        <v>676</v>
      </c>
      <c r="N157" t="s">
        <v>694</v>
      </c>
      <c r="O157" t="s">
        <v>36</v>
      </c>
      <c r="P157" t="s">
        <v>110</v>
      </c>
      <c r="Q157" t="s">
        <v>67</v>
      </c>
      <c r="R157">
        <v>154</v>
      </c>
      <c r="S157">
        <v>0</v>
      </c>
      <c r="T157" t="s">
        <v>56</v>
      </c>
      <c r="U157" t="s">
        <v>42</v>
      </c>
      <c r="V157">
        <v>1.42</v>
      </c>
      <c r="W157">
        <v>1.97</v>
      </c>
      <c r="X157">
        <v>9.9</v>
      </c>
      <c r="Y157">
        <v>8.6</v>
      </c>
      <c r="Z157">
        <v>11.5</v>
      </c>
    </row>
    <row r="158" spans="1:26" x14ac:dyDescent="0.45">
      <c r="A158" t="s">
        <v>695</v>
      </c>
      <c r="B158">
        <v>85</v>
      </c>
      <c r="C158" t="s">
        <v>27</v>
      </c>
      <c r="D158" t="s">
        <v>106</v>
      </c>
      <c r="E158" t="s">
        <v>163</v>
      </c>
      <c r="F158" t="s">
        <v>47</v>
      </c>
      <c r="G158" t="s">
        <v>31</v>
      </c>
      <c r="H158" t="s">
        <v>61</v>
      </c>
      <c r="I158" t="s">
        <v>49</v>
      </c>
      <c r="J158" t="s">
        <v>134</v>
      </c>
      <c r="K158" t="s">
        <v>696</v>
      </c>
      <c r="L158" t="s">
        <v>52</v>
      </c>
      <c r="M158" t="s">
        <v>697</v>
      </c>
      <c r="N158" t="s">
        <v>323</v>
      </c>
      <c r="O158" t="s">
        <v>52</v>
      </c>
      <c r="P158" t="s">
        <v>55</v>
      </c>
      <c r="Q158" t="s">
        <v>67</v>
      </c>
      <c r="R158">
        <v>119</v>
      </c>
      <c r="S158">
        <v>0</v>
      </c>
      <c r="T158" t="s">
        <v>85</v>
      </c>
      <c r="U158" t="s">
        <v>57</v>
      </c>
      <c r="V158">
        <v>3.47</v>
      </c>
      <c r="W158">
        <v>3.81</v>
      </c>
      <c r="X158">
        <v>6</v>
      </c>
      <c r="Y158">
        <v>6.2</v>
      </c>
      <c r="Z158">
        <v>8.5</v>
      </c>
    </row>
    <row r="159" spans="1:26" x14ac:dyDescent="0.45">
      <c r="A159" t="s">
        <v>698</v>
      </c>
      <c r="B159">
        <v>36</v>
      </c>
      <c r="C159" t="s">
        <v>44</v>
      </c>
      <c r="D159" t="s">
        <v>87</v>
      </c>
      <c r="E159" t="s">
        <v>46</v>
      </c>
      <c r="F159" t="s">
        <v>59</v>
      </c>
      <c r="G159" t="s">
        <v>96</v>
      </c>
      <c r="H159" t="s">
        <v>61</v>
      </c>
      <c r="I159" t="s">
        <v>49</v>
      </c>
      <c r="J159" t="s">
        <v>699</v>
      </c>
      <c r="K159" t="s">
        <v>700</v>
      </c>
      <c r="L159" t="s">
        <v>64</v>
      </c>
      <c r="M159" t="s">
        <v>30</v>
      </c>
      <c r="N159" t="s">
        <v>161</v>
      </c>
      <c r="O159" t="s">
        <v>64</v>
      </c>
      <c r="P159" t="s">
        <v>39</v>
      </c>
      <c r="Q159" t="s">
        <v>30</v>
      </c>
      <c r="R159">
        <v>145</v>
      </c>
      <c r="S159">
        <v>1</v>
      </c>
      <c r="T159" t="s">
        <v>56</v>
      </c>
      <c r="U159" t="s">
        <v>42</v>
      </c>
      <c r="V159">
        <v>3.07</v>
      </c>
      <c r="W159">
        <v>1.35</v>
      </c>
      <c r="X159">
        <v>4.2</v>
      </c>
      <c r="Y159">
        <v>6.6</v>
      </c>
      <c r="Z159">
        <v>4.3</v>
      </c>
    </row>
    <row r="160" spans="1:26" x14ac:dyDescent="0.45">
      <c r="A160" t="s">
        <v>701</v>
      </c>
      <c r="B160">
        <v>60</v>
      </c>
      <c r="C160" t="s">
        <v>27</v>
      </c>
      <c r="D160" t="s">
        <v>45</v>
      </c>
      <c r="E160" t="s">
        <v>46</v>
      </c>
      <c r="F160" t="s">
        <v>69</v>
      </c>
      <c r="G160" t="s">
        <v>184</v>
      </c>
      <c r="H160" t="s">
        <v>81</v>
      </c>
      <c r="I160" t="s">
        <v>72</v>
      </c>
      <c r="J160" t="s">
        <v>702</v>
      </c>
      <c r="K160" t="s">
        <v>703</v>
      </c>
      <c r="L160" t="s">
        <v>92</v>
      </c>
      <c r="M160" t="s">
        <v>37</v>
      </c>
      <c r="N160" t="s">
        <v>452</v>
      </c>
      <c r="O160" t="s">
        <v>92</v>
      </c>
      <c r="P160" t="s">
        <v>39</v>
      </c>
      <c r="Q160" t="s">
        <v>75</v>
      </c>
      <c r="R160">
        <v>99</v>
      </c>
      <c r="S160">
        <v>1</v>
      </c>
      <c r="T160" t="s">
        <v>123</v>
      </c>
      <c r="U160" t="s">
        <v>57</v>
      </c>
      <c r="V160">
        <v>2.59</v>
      </c>
      <c r="W160">
        <v>1.53</v>
      </c>
      <c r="X160">
        <v>6.1</v>
      </c>
      <c r="Y160">
        <v>18.399999999999999</v>
      </c>
      <c r="Z160">
        <v>16.600000000000001</v>
      </c>
    </row>
    <row r="161" spans="1:26" x14ac:dyDescent="0.45">
      <c r="A161" t="s">
        <v>704</v>
      </c>
      <c r="B161">
        <v>19</v>
      </c>
      <c r="C161" t="s">
        <v>27</v>
      </c>
      <c r="D161" t="s">
        <v>95</v>
      </c>
      <c r="E161" t="s">
        <v>30</v>
      </c>
      <c r="F161" t="s">
        <v>30</v>
      </c>
      <c r="G161" t="s">
        <v>194</v>
      </c>
      <c r="H161" t="s">
        <v>61</v>
      </c>
      <c r="I161" t="s">
        <v>49</v>
      </c>
      <c r="J161" t="s">
        <v>98</v>
      </c>
      <c r="K161" t="s">
        <v>680</v>
      </c>
      <c r="L161" t="s">
        <v>36</v>
      </c>
      <c r="M161" t="s">
        <v>65</v>
      </c>
      <c r="N161" t="s">
        <v>528</v>
      </c>
      <c r="O161" t="s">
        <v>36</v>
      </c>
      <c r="P161" t="s">
        <v>110</v>
      </c>
      <c r="Q161" t="s">
        <v>129</v>
      </c>
      <c r="R161">
        <v>77</v>
      </c>
      <c r="S161">
        <v>0</v>
      </c>
      <c r="T161" t="s">
        <v>41</v>
      </c>
      <c r="U161" t="s">
        <v>57</v>
      </c>
      <c r="V161">
        <v>1.8</v>
      </c>
      <c r="W161">
        <v>1.67</v>
      </c>
      <c r="X161">
        <v>1.9</v>
      </c>
      <c r="Y161">
        <v>17.5</v>
      </c>
      <c r="Z161">
        <v>15</v>
      </c>
    </row>
    <row r="162" spans="1:26" x14ac:dyDescent="0.45">
      <c r="A162" t="s">
        <v>705</v>
      </c>
      <c r="B162">
        <v>20</v>
      </c>
      <c r="C162" t="s">
        <v>27</v>
      </c>
      <c r="D162" t="s">
        <v>106</v>
      </c>
      <c r="E162" t="s">
        <v>29</v>
      </c>
      <c r="F162" t="s">
        <v>47</v>
      </c>
      <c r="G162" t="s">
        <v>131</v>
      </c>
      <c r="H162" t="s">
        <v>71</v>
      </c>
      <c r="I162" t="s">
        <v>49</v>
      </c>
      <c r="J162" t="s">
        <v>706</v>
      </c>
      <c r="K162" t="s">
        <v>707</v>
      </c>
      <c r="L162" t="s">
        <v>64</v>
      </c>
      <c r="M162" t="s">
        <v>75</v>
      </c>
      <c r="N162" t="s">
        <v>398</v>
      </c>
      <c r="O162" t="s">
        <v>64</v>
      </c>
      <c r="P162" t="s">
        <v>39</v>
      </c>
      <c r="Q162" t="s">
        <v>30</v>
      </c>
      <c r="R162">
        <v>129</v>
      </c>
      <c r="S162">
        <v>1</v>
      </c>
      <c r="T162" t="s">
        <v>123</v>
      </c>
      <c r="U162" t="s">
        <v>57</v>
      </c>
      <c r="V162">
        <v>1.1299999999999999</v>
      </c>
      <c r="W162">
        <v>4.74</v>
      </c>
      <c r="X162">
        <v>1.5</v>
      </c>
      <c r="Y162">
        <v>15.7</v>
      </c>
      <c r="Z162">
        <v>15.1</v>
      </c>
    </row>
    <row r="163" spans="1:26" x14ac:dyDescent="0.45">
      <c r="A163" t="s">
        <v>708</v>
      </c>
      <c r="B163">
        <v>46</v>
      </c>
      <c r="C163" t="s">
        <v>27</v>
      </c>
      <c r="D163" t="s">
        <v>28</v>
      </c>
      <c r="E163" t="s">
        <v>78</v>
      </c>
      <c r="F163" t="s">
        <v>30</v>
      </c>
      <c r="G163" t="s">
        <v>125</v>
      </c>
      <c r="H163" t="s">
        <v>81</v>
      </c>
      <c r="I163" t="s">
        <v>72</v>
      </c>
      <c r="J163" t="s">
        <v>709</v>
      </c>
      <c r="K163" t="s">
        <v>710</v>
      </c>
      <c r="L163" t="s">
        <v>36</v>
      </c>
      <c r="M163" t="s">
        <v>282</v>
      </c>
      <c r="N163" t="s">
        <v>711</v>
      </c>
      <c r="O163" t="s">
        <v>36</v>
      </c>
      <c r="P163" t="s">
        <v>110</v>
      </c>
      <c r="Q163" t="s">
        <v>67</v>
      </c>
      <c r="R163">
        <v>82</v>
      </c>
      <c r="S163">
        <v>0</v>
      </c>
      <c r="T163" t="s">
        <v>41</v>
      </c>
      <c r="U163" t="s">
        <v>42</v>
      </c>
      <c r="V163">
        <v>4.4800000000000004</v>
      </c>
      <c r="W163">
        <v>3.86</v>
      </c>
      <c r="X163">
        <v>8.1999999999999993</v>
      </c>
      <c r="Y163">
        <v>12.1</v>
      </c>
      <c r="Z163">
        <v>16.899999999999999</v>
      </c>
    </row>
    <row r="164" spans="1:26" x14ac:dyDescent="0.45">
      <c r="A164" t="s">
        <v>712</v>
      </c>
      <c r="B164">
        <v>35</v>
      </c>
      <c r="C164" t="s">
        <v>44</v>
      </c>
      <c r="D164" t="s">
        <v>45</v>
      </c>
      <c r="E164" t="s">
        <v>46</v>
      </c>
      <c r="F164" t="s">
        <v>79</v>
      </c>
      <c r="G164" t="s">
        <v>80</v>
      </c>
      <c r="H164" t="s">
        <v>71</v>
      </c>
      <c r="I164" t="s">
        <v>132</v>
      </c>
      <c r="J164" t="s">
        <v>148</v>
      </c>
      <c r="K164" t="s">
        <v>713</v>
      </c>
      <c r="L164" t="s">
        <v>92</v>
      </c>
      <c r="M164" t="s">
        <v>30</v>
      </c>
      <c r="N164" t="s">
        <v>714</v>
      </c>
      <c r="O164" t="s">
        <v>92</v>
      </c>
      <c r="P164" t="s">
        <v>110</v>
      </c>
      <c r="Q164" t="s">
        <v>129</v>
      </c>
      <c r="R164">
        <v>111</v>
      </c>
      <c r="S164">
        <v>0</v>
      </c>
      <c r="T164" t="s">
        <v>56</v>
      </c>
      <c r="U164" t="s">
        <v>57</v>
      </c>
      <c r="V164">
        <v>1.32</v>
      </c>
      <c r="W164">
        <v>4.58</v>
      </c>
      <c r="X164">
        <v>5.9</v>
      </c>
      <c r="Y164">
        <v>20.7</v>
      </c>
      <c r="Z164">
        <v>10.7</v>
      </c>
    </row>
    <row r="165" spans="1:26" x14ac:dyDescent="0.45">
      <c r="A165" t="s">
        <v>715</v>
      </c>
      <c r="B165">
        <v>56</v>
      </c>
      <c r="C165" t="s">
        <v>44</v>
      </c>
      <c r="D165" t="s">
        <v>28</v>
      </c>
      <c r="E165" t="s">
        <v>46</v>
      </c>
      <c r="F165" t="s">
        <v>30</v>
      </c>
      <c r="G165" t="s">
        <v>102</v>
      </c>
      <c r="H165" t="s">
        <v>71</v>
      </c>
      <c r="I165" t="s">
        <v>72</v>
      </c>
      <c r="J165" t="s">
        <v>716</v>
      </c>
      <c r="K165" t="s">
        <v>717</v>
      </c>
      <c r="L165" t="s">
        <v>52</v>
      </c>
      <c r="M165" t="s">
        <v>438</v>
      </c>
      <c r="N165" t="s">
        <v>513</v>
      </c>
      <c r="O165" t="s">
        <v>52</v>
      </c>
      <c r="P165" t="s">
        <v>55</v>
      </c>
      <c r="Q165" t="s">
        <v>129</v>
      </c>
      <c r="R165">
        <v>152</v>
      </c>
      <c r="S165">
        <v>0</v>
      </c>
      <c r="T165" t="s">
        <v>41</v>
      </c>
      <c r="U165" t="s">
        <v>57</v>
      </c>
      <c r="V165">
        <v>3.57</v>
      </c>
      <c r="W165">
        <v>3.11</v>
      </c>
      <c r="X165">
        <v>7.6</v>
      </c>
      <c r="Y165">
        <v>7.5</v>
      </c>
      <c r="Z165">
        <v>4</v>
      </c>
    </row>
    <row r="166" spans="1:26" x14ac:dyDescent="0.45">
      <c r="A166" t="s">
        <v>718</v>
      </c>
      <c r="B166">
        <v>65</v>
      </c>
      <c r="C166" t="s">
        <v>27</v>
      </c>
      <c r="D166" t="s">
        <v>95</v>
      </c>
      <c r="E166" t="s">
        <v>78</v>
      </c>
      <c r="F166" t="s">
        <v>79</v>
      </c>
      <c r="G166" t="s">
        <v>89</v>
      </c>
      <c r="H166" t="s">
        <v>71</v>
      </c>
      <c r="I166" t="s">
        <v>49</v>
      </c>
      <c r="J166" t="s">
        <v>247</v>
      </c>
      <c r="K166" t="s">
        <v>719</v>
      </c>
      <c r="L166" t="s">
        <v>52</v>
      </c>
      <c r="M166" t="s">
        <v>249</v>
      </c>
      <c r="N166" t="s">
        <v>598</v>
      </c>
      <c r="O166" t="s">
        <v>52</v>
      </c>
      <c r="P166" t="s">
        <v>55</v>
      </c>
      <c r="Q166" t="s">
        <v>75</v>
      </c>
      <c r="R166">
        <v>155</v>
      </c>
      <c r="S166">
        <v>0</v>
      </c>
      <c r="T166" t="s">
        <v>137</v>
      </c>
      <c r="U166" t="s">
        <v>57</v>
      </c>
      <c r="V166">
        <v>1.99</v>
      </c>
      <c r="W166">
        <v>1.64</v>
      </c>
      <c r="X166">
        <v>8.8000000000000007</v>
      </c>
      <c r="Y166">
        <v>9.9</v>
      </c>
      <c r="Z166">
        <v>19.600000000000001</v>
      </c>
    </row>
    <row r="167" spans="1:26" x14ac:dyDescent="0.45">
      <c r="A167" t="s">
        <v>720</v>
      </c>
      <c r="B167">
        <v>49</v>
      </c>
      <c r="C167" t="s">
        <v>44</v>
      </c>
      <c r="D167" t="s">
        <v>95</v>
      </c>
      <c r="E167" t="s">
        <v>163</v>
      </c>
      <c r="F167" t="s">
        <v>30</v>
      </c>
      <c r="G167" t="s">
        <v>131</v>
      </c>
      <c r="H167" t="s">
        <v>32</v>
      </c>
      <c r="I167" t="s">
        <v>33</v>
      </c>
      <c r="J167" t="s">
        <v>721</v>
      </c>
      <c r="K167" t="s">
        <v>722</v>
      </c>
      <c r="L167" t="s">
        <v>92</v>
      </c>
      <c r="M167" t="s">
        <v>723</v>
      </c>
      <c r="N167" t="s">
        <v>459</v>
      </c>
      <c r="O167" t="s">
        <v>92</v>
      </c>
      <c r="P167" t="s">
        <v>39</v>
      </c>
      <c r="Q167" t="s">
        <v>75</v>
      </c>
      <c r="R167">
        <v>167</v>
      </c>
      <c r="S167">
        <v>1</v>
      </c>
      <c r="T167" t="s">
        <v>56</v>
      </c>
      <c r="U167" t="s">
        <v>42</v>
      </c>
      <c r="V167">
        <v>2.35</v>
      </c>
      <c r="W167">
        <v>1.73</v>
      </c>
      <c r="X167">
        <v>8.1</v>
      </c>
      <c r="Y167">
        <v>17.899999999999999</v>
      </c>
      <c r="Z167">
        <v>11.5</v>
      </c>
    </row>
    <row r="168" spans="1:26" x14ac:dyDescent="0.45">
      <c r="A168" t="s">
        <v>724</v>
      </c>
      <c r="B168">
        <v>67</v>
      </c>
      <c r="C168" t="s">
        <v>45</v>
      </c>
      <c r="D168" t="s">
        <v>87</v>
      </c>
      <c r="E168" t="s">
        <v>46</v>
      </c>
      <c r="F168" t="s">
        <v>47</v>
      </c>
      <c r="G168" t="s">
        <v>276</v>
      </c>
      <c r="H168" t="s">
        <v>32</v>
      </c>
      <c r="I168" t="s">
        <v>33</v>
      </c>
      <c r="J168" t="s">
        <v>725</v>
      </c>
      <c r="K168" t="s">
        <v>726</v>
      </c>
      <c r="L168" t="s">
        <v>92</v>
      </c>
      <c r="M168" t="s">
        <v>207</v>
      </c>
      <c r="N168" t="s">
        <v>122</v>
      </c>
      <c r="O168" t="s">
        <v>92</v>
      </c>
      <c r="P168" t="s">
        <v>55</v>
      </c>
      <c r="Q168" t="s">
        <v>129</v>
      </c>
      <c r="R168">
        <v>158</v>
      </c>
      <c r="S168">
        <v>0</v>
      </c>
      <c r="T168" t="s">
        <v>123</v>
      </c>
      <c r="U168" t="s">
        <v>42</v>
      </c>
      <c r="V168">
        <v>3.22</v>
      </c>
      <c r="W168">
        <v>3.88</v>
      </c>
      <c r="X168">
        <v>3.1</v>
      </c>
      <c r="Y168">
        <v>23.9</v>
      </c>
      <c r="Z168">
        <v>19.600000000000001</v>
      </c>
    </row>
    <row r="169" spans="1:26" x14ac:dyDescent="0.45">
      <c r="A169" t="s">
        <v>727</v>
      </c>
      <c r="B169">
        <v>35</v>
      </c>
      <c r="C169" t="s">
        <v>44</v>
      </c>
      <c r="D169" t="s">
        <v>95</v>
      </c>
      <c r="E169" t="s">
        <v>30</v>
      </c>
      <c r="F169" t="s">
        <v>79</v>
      </c>
      <c r="G169" t="s">
        <v>440</v>
      </c>
      <c r="H169" t="s">
        <v>71</v>
      </c>
      <c r="I169" t="s">
        <v>33</v>
      </c>
      <c r="J169" t="s">
        <v>728</v>
      </c>
      <c r="K169" t="s">
        <v>360</v>
      </c>
      <c r="L169" t="s">
        <v>52</v>
      </c>
      <c r="M169" t="s">
        <v>446</v>
      </c>
      <c r="N169" t="s">
        <v>729</v>
      </c>
      <c r="O169" t="s">
        <v>52</v>
      </c>
      <c r="P169" t="s">
        <v>55</v>
      </c>
      <c r="Q169" t="s">
        <v>30</v>
      </c>
      <c r="R169">
        <v>51</v>
      </c>
      <c r="S169">
        <v>0</v>
      </c>
      <c r="T169" t="s">
        <v>85</v>
      </c>
      <c r="U169" t="s">
        <v>57</v>
      </c>
      <c r="V169">
        <v>3.6</v>
      </c>
      <c r="W169">
        <v>1.8</v>
      </c>
      <c r="X169">
        <v>7.1</v>
      </c>
      <c r="Y169">
        <v>7.3</v>
      </c>
      <c r="Z169">
        <v>3.5</v>
      </c>
    </row>
    <row r="170" spans="1:26" x14ac:dyDescent="0.45">
      <c r="A170" t="s">
        <v>730</v>
      </c>
      <c r="B170">
        <v>83</v>
      </c>
      <c r="C170" t="s">
        <v>45</v>
      </c>
      <c r="D170" t="s">
        <v>106</v>
      </c>
      <c r="E170" t="s">
        <v>78</v>
      </c>
      <c r="F170" t="s">
        <v>30</v>
      </c>
      <c r="G170" t="s">
        <v>118</v>
      </c>
      <c r="H170" t="s">
        <v>71</v>
      </c>
      <c r="I170" t="s">
        <v>132</v>
      </c>
      <c r="J170" t="s">
        <v>731</v>
      </c>
      <c r="K170" t="s">
        <v>732</v>
      </c>
      <c r="L170" t="s">
        <v>52</v>
      </c>
      <c r="M170" t="s">
        <v>67</v>
      </c>
      <c r="N170" t="s">
        <v>571</v>
      </c>
      <c r="O170" t="s">
        <v>52</v>
      </c>
      <c r="P170" t="s">
        <v>110</v>
      </c>
      <c r="Q170" t="s">
        <v>129</v>
      </c>
      <c r="R170">
        <v>137</v>
      </c>
      <c r="S170">
        <v>0</v>
      </c>
      <c r="T170" t="s">
        <v>137</v>
      </c>
      <c r="U170" t="s">
        <v>57</v>
      </c>
      <c r="V170">
        <v>2.0299999999999998</v>
      </c>
      <c r="W170">
        <v>2.85</v>
      </c>
      <c r="X170">
        <v>8.8000000000000007</v>
      </c>
      <c r="Y170">
        <v>19.100000000000001</v>
      </c>
      <c r="Z170">
        <v>15.6</v>
      </c>
    </row>
    <row r="171" spans="1:26" x14ac:dyDescent="0.45">
      <c r="A171" t="s">
        <v>733</v>
      </c>
      <c r="B171">
        <v>75</v>
      </c>
      <c r="C171" t="s">
        <v>44</v>
      </c>
      <c r="D171" t="s">
        <v>106</v>
      </c>
      <c r="E171" t="s">
        <v>163</v>
      </c>
      <c r="F171" t="s">
        <v>30</v>
      </c>
      <c r="G171" t="s">
        <v>89</v>
      </c>
      <c r="H171" t="s">
        <v>61</v>
      </c>
      <c r="I171" t="s">
        <v>132</v>
      </c>
      <c r="J171" t="s">
        <v>734</v>
      </c>
      <c r="K171" t="s">
        <v>735</v>
      </c>
      <c r="L171" t="s">
        <v>92</v>
      </c>
      <c r="M171" t="s">
        <v>676</v>
      </c>
      <c r="N171" t="s">
        <v>595</v>
      </c>
      <c r="O171" t="s">
        <v>92</v>
      </c>
      <c r="P171" t="s">
        <v>110</v>
      </c>
      <c r="Q171" t="s">
        <v>40</v>
      </c>
      <c r="R171">
        <v>146</v>
      </c>
      <c r="S171">
        <v>0</v>
      </c>
      <c r="T171" t="s">
        <v>56</v>
      </c>
      <c r="U171" t="s">
        <v>57</v>
      </c>
      <c r="V171">
        <v>2.7</v>
      </c>
      <c r="W171">
        <v>2.38</v>
      </c>
      <c r="X171">
        <v>4.3</v>
      </c>
      <c r="Y171">
        <v>23.8</v>
      </c>
      <c r="Z171">
        <v>3.7</v>
      </c>
    </row>
    <row r="172" spans="1:26" x14ac:dyDescent="0.45">
      <c r="A172" t="s">
        <v>736</v>
      </c>
      <c r="B172">
        <v>28</v>
      </c>
      <c r="C172" t="s">
        <v>45</v>
      </c>
      <c r="D172" t="s">
        <v>45</v>
      </c>
      <c r="E172" t="s">
        <v>163</v>
      </c>
      <c r="F172" t="s">
        <v>69</v>
      </c>
      <c r="G172" t="s">
        <v>184</v>
      </c>
      <c r="H172" t="s">
        <v>71</v>
      </c>
      <c r="I172" t="s">
        <v>49</v>
      </c>
      <c r="J172" t="s">
        <v>737</v>
      </c>
      <c r="K172" t="s">
        <v>738</v>
      </c>
      <c r="L172" t="s">
        <v>64</v>
      </c>
      <c r="M172" t="s">
        <v>67</v>
      </c>
      <c r="N172" t="s">
        <v>93</v>
      </c>
      <c r="O172" t="s">
        <v>64</v>
      </c>
      <c r="P172" t="s">
        <v>110</v>
      </c>
      <c r="Q172" t="s">
        <v>75</v>
      </c>
      <c r="R172">
        <v>106</v>
      </c>
      <c r="S172">
        <v>0</v>
      </c>
      <c r="T172" t="s">
        <v>137</v>
      </c>
      <c r="U172" t="s">
        <v>42</v>
      </c>
      <c r="V172">
        <v>4.47</v>
      </c>
      <c r="W172">
        <v>3.31</v>
      </c>
      <c r="X172">
        <v>4.9000000000000004</v>
      </c>
      <c r="Y172">
        <v>19.100000000000001</v>
      </c>
      <c r="Z172">
        <v>11.3</v>
      </c>
    </row>
    <row r="173" spans="1:26" x14ac:dyDescent="0.45">
      <c r="A173" t="s">
        <v>739</v>
      </c>
      <c r="B173">
        <v>24</v>
      </c>
      <c r="C173" t="s">
        <v>27</v>
      </c>
      <c r="D173" t="s">
        <v>95</v>
      </c>
      <c r="E173" t="s">
        <v>46</v>
      </c>
      <c r="F173" t="s">
        <v>59</v>
      </c>
      <c r="G173" t="s">
        <v>152</v>
      </c>
      <c r="H173" t="s">
        <v>71</v>
      </c>
      <c r="I173" t="s">
        <v>33</v>
      </c>
      <c r="J173" t="s">
        <v>740</v>
      </c>
      <c r="K173" t="s">
        <v>741</v>
      </c>
      <c r="L173" t="s">
        <v>64</v>
      </c>
      <c r="M173" t="s">
        <v>317</v>
      </c>
      <c r="N173" t="s">
        <v>742</v>
      </c>
      <c r="O173" t="s">
        <v>64</v>
      </c>
      <c r="P173" t="s">
        <v>55</v>
      </c>
      <c r="Q173" t="s">
        <v>75</v>
      </c>
      <c r="R173">
        <v>46</v>
      </c>
      <c r="S173">
        <v>0</v>
      </c>
      <c r="T173" t="s">
        <v>137</v>
      </c>
      <c r="U173" t="s">
        <v>57</v>
      </c>
      <c r="V173">
        <v>4.49</v>
      </c>
      <c r="W173">
        <v>4.5999999999999996</v>
      </c>
      <c r="X173">
        <v>4.8</v>
      </c>
      <c r="Y173">
        <v>11</v>
      </c>
      <c r="Z173">
        <v>13.1</v>
      </c>
    </row>
    <row r="174" spans="1:26" x14ac:dyDescent="0.45">
      <c r="A174" t="s">
        <v>743</v>
      </c>
      <c r="B174">
        <v>35</v>
      </c>
      <c r="C174" t="s">
        <v>27</v>
      </c>
      <c r="D174" t="s">
        <v>28</v>
      </c>
      <c r="E174" t="s">
        <v>30</v>
      </c>
      <c r="F174" t="s">
        <v>30</v>
      </c>
      <c r="G174" t="s">
        <v>246</v>
      </c>
      <c r="H174" t="s">
        <v>71</v>
      </c>
      <c r="I174" t="s">
        <v>72</v>
      </c>
      <c r="J174" t="s">
        <v>744</v>
      </c>
      <c r="K174" t="s">
        <v>745</v>
      </c>
      <c r="L174" t="s">
        <v>92</v>
      </c>
      <c r="M174" t="s">
        <v>282</v>
      </c>
      <c r="N174" t="s">
        <v>746</v>
      </c>
      <c r="O174" t="s">
        <v>92</v>
      </c>
      <c r="P174" t="s">
        <v>110</v>
      </c>
      <c r="Q174" t="s">
        <v>30</v>
      </c>
      <c r="R174">
        <v>96</v>
      </c>
      <c r="S174">
        <v>0</v>
      </c>
      <c r="T174" t="s">
        <v>85</v>
      </c>
      <c r="U174" t="s">
        <v>57</v>
      </c>
      <c r="V174">
        <v>4.6500000000000004</v>
      </c>
      <c r="W174">
        <v>1.84</v>
      </c>
      <c r="X174">
        <v>6.6</v>
      </c>
      <c r="Y174">
        <v>17.399999999999999</v>
      </c>
      <c r="Z174">
        <v>15.5</v>
      </c>
    </row>
    <row r="175" spans="1:26" x14ac:dyDescent="0.45">
      <c r="A175" t="s">
        <v>747</v>
      </c>
      <c r="B175">
        <v>34</v>
      </c>
      <c r="C175" t="s">
        <v>45</v>
      </c>
      <c r="D175" t="s">
        <v>45</v>
      </c>
      <c r="E175" t="s">
        <v>78</v>
      </c>
      <c r="F175" t="s">
        <v>30</v>
      </c>
      <c r="G175" t="s">
        <v>70</v>
      </c>
      <c r="H175" t="s">
        <v>81</v>
      </c>
      <c r="I175" t="s">
        <v>72</v>
      </c>
      <c r="J175" t="s">
        <v>748</v>
      </c>
      <c r="K175" t="s">
        <v>749</v>
      </c>
      <c r="L175" t="s">
        <v>52</v>
      </c>
      <c r="M175" t="s">
        <v>129</v>
      </c>
      <c r="N175" t="s">
        <v>513</v>
      </c>
      <c r="O175" t="s">
        <v>52</v>
      </c>
      <c r="P175" t="s">
        <v>55</v>
      </c>
      <c r="Q175" t="s">
        <v>129</v>
      </c>
      <c r="R175">
        <v>83</v>
      </c>
      <c r="S175">
        <v>0</v>
      </c>
      <c r="T175" t="s">
        <v>85</v>
      </c>
      <c r="U175" t="s">
        <v>57</v>
      </c>
      <c r="V175">
        <v>1.53</v>
      </c>
      <c r="W175">
        <v>3.86</v>
      </c>
      <c r="X175">
        <v>9.1999999999999993</v>
      </c>
      <c r="Y175">
        <v>9.1999999999999993</v>
      </c>
      <c r="Z175">
        <v>7</v>
      </c>
    </row>
    <row r="176" spans="1:26" x14ac:dyDescent="0.45">
      <c r="A176" t="s">
        <v>750</v>
      </c>
      <c r="B176">
        <v>70</v>
      </c>
      <c r="C176" t="s">
        <v>27</v>
      </c>
      <c r="D176" t="s">
        <v>28</v>
      </c>
      <c r="E176" t="s">
        <v>30</v>
      </c>
      <c r="F176" t="s">
        <v>30</v>
      </c>
      <c r="G176" t="s">
        <v>89</v>
      </c>
      <c r="H176" t="s">
        <v>61</v>
      </c>
      <c r="I176" t="s">
        <v>72</v>
      </c>
      <c r="J176" t="s">
        <v>364</v>
      </c>
      <c r="K176" t="s">
        <v>365</v>
      </c>
      <c r="L176" t="s">
        <v>64</v>
      </c>
      <c r="M176" t="s">
        <v>282</v>
      </c>
      <c r="N176" t="s">
        <v>571</v>
      </c>
      <c r="O176" t="s">
        <v>64</v>
      </c>
      <c r="P176" t="s">
        <v>39</v>
      </c>
      <c r="Q176" t="s">
        <v>129</v>
      </c>
      <c r="R176">
        <v>115</v>
      </c>
      <c r="S176">
        <v>1</v>
      </c>
      <c r="T176" t="s">
        <v>137</v>
      </c>
      <c r="U176" t="s">
        <v>57</v>
      </c>
      <c r="V176">
        <v>4.8899999999999997</v>
      </c>
      <c r="W176">
        <v>1.72</v>
      </c>
      <c r="X176">
        <v>8.6999999999999993</v>
      </c>
      <c r="Y176">
        <v>14.9</v>
      </c>
      <c r="Z176">
        <v>7.2</v>
      </c>
    </row>
    <row r="177" spans="1:26" x14ac:dyDescent="0.45">
      <c r="A177" t="s">
        <v>751</v>
      </c>
      <c r="B177">
        <v>21</v>
      </c>
      <c r="C177" t="s">
        <v>27</v>
      </c>
      <c r="D177" t="s">
        <v>106</v>
      </c>
      <c r="E177" t="s">
        <v>30</v>
      </c>
      <c r="F177" t="s">
        <v>30</v>
      </c>
      <c r="G177" t="s">
        <v>70</v>
      </c>
      <c r="H177" t="s">
        <v>81</v>
      </c>
      <c r="I177" t="s">
        <v>49</v>
      </c>
      <c r="J177" t="s">
        <v>752</v>
      </c>
      <c r="K177" t="s">
        <v>753</v>
      </c>
      <c r="L177" t="s">
        <v>36</v>
      </c>
      <c r="M177" t="s">
        <v>115</v>
      </c>
      <c r="N177" t="s">
        <v>754</v>
      </c>
      <c r="O177" t="s">
        <v>36</v>
      </c>
      <c r="P177" t="s">
        <v>39</v>
      </c>
      <c r="Q177" t="s">
        <v>75</v>
      </c>
      <c r="R177">
        <v>106</v>
      </c>
      <c r="S177">
        <v>1</v>
      </c>
      <c r="T177" t="s">
        <v>85</v>
      </c>
      <c r="U177" t="s">
        <v>57</v>
      </c>
      <c r="V177">
        <v>4.4800000000000004</v>
      </c>
      <c r="W177">
        <v>2.78</v>
      </c>
      <c r="X177">
        <v>5.6</v>
      </c>
      <c r="Y177">
        <v>12.5</v>
      </c>
      <c r="Z177">
        <v>13.1</v>
      </c>
    </row>
    <row r="178" spans="1:26" x14ac:dyDescent="0.45">
      <c r="A178" t="s">
        <v>755</v>
      </c>
      <c r="B178">
        <v>20</v>
      </c>
      <c r="C178" t="s">
        <v>27</v>
      </c>
      <c r="D178" t="s">
        <v>45</v>
      </c>
      <c r="E178" t="s">
        <v>30</v>
      </c>
      <c r="F178" t="s">
        <v>30</v>
      </c>
      <c r="G178" t="s">
        <v>194</v>
      </c>
      <c r="H178" t="s">
        <v>61</v>
      </c>
      <c r="I178" t="s">
        <v>72</v>
      </c>
      <c r="J178" t="s">
        <v>140</v>
      </c>
      <c r="K178" t="s">
        <v>356</v>
      </c>
      <c r="L178" t="s">
        <v>52</v>
      </c>
      <c r="M178" t="s">
        <v>566</v>
      </c>
      <c r="N178" t="s">
        <v>528</v>
      </c>
      <c r="O178" t="s">
        <v>52</v>
      </c>
      <c r="P178" t="s">
        <v>39</v>
      </c>
      <c r="Q178" t="s">
        <v>30</v>
      </c>
      <c r="R178">
        <v>110</v>
      </c>
      <c r="S178">
        <v>1</v>
      </c>
      <c r="T178" t="s">
        <v>123</v>
      </c>
      <c r="U178" t="s">
        <v>57</v>
      </c>
      <c r="V178">
        <v>1.65</v>
      </c>
      <c r="W178">
        <v>2.56</v>
      </c>
      <c r="X178">
        <v>9.6999999999999993</v>
      </c>
      <c r="Y178">
        <v>10.6</v>
      </c>
      <c r="Z178">
        <v>14.2</v>
      </c>
    </row>
    <row r="179" spans="1:26" x14ac:dyDescent="0.45">
      <c r="A179" t="s">
        <v>756</v>
      </c>
      <c r="B179">
        <v>70</v>
      </c>
      <c r="C179" t="s">
        <v>27</v>
      </c>
      <c r="D179" t="s">
        <v>95</v>
      </c>
      <c r="E179" t="s">
        <v>46</v>
      </c>
      <c r="F179" t="s">
        <v>59</v>
      </c>
      <c r="G179" t="s">
        <v>89</v>
      </c>
      <c r="H179" t="s">
        <v>32</v>
      </c>
      <c r="I179" t="s">
        <v>72</v>
      </c>
      <c r="J179" t="s">
        <v>757</v>
      </c>
      <c r="K179" t="s">
        <v>758</v>
      </c>
      <c r="L179" t="s">
        <v>52</v>
      </c>
      <c r="M179" t="s">
        <v>40</v>
      </c>
      <c r="N179" t="s">
        <v>759</v>
      </c>
      <c r="O179" t="s">
        <v>52</v>
      </c>
      <c r="P179" t="s">
        <v>39</v>
      </c>
      <c r="Q179" t="s">
        <v>40</v>
      </c>
      <c r="R179">
        <v>158</v>
      </c>
      <c r="S179">
        <v>1</v>
      </c>
      <c r="T179" t="s">
        <v>41</v>
      </c>
      <c r="U179" t="s">
        <v>42</v>
      </c>
      <c r="V179">
        <v>2.2999999999999998</v>
      </c>
      <c r="W179">
        <v>4.09</v>
      </c>
      <c r="X179">
        <v>2.2000000000000002</v>
      </c>
      <c r="Y179">
        <v>23.5</v>
      </c>
      <c r="Z179">
        <v>10.7</v>
      </c>
    </row>
    <row r="180" spans="1:26" x14ac:dyDescent="0.45">
      <c r="A180" t="s">
        <v>760</v>
      </c>
      <c r="B180">
        <v>61</v>
      </c>
      <c r="C180" t="s">
        <v>44</v>
      </c>
      <c r="D180" t="s">
        <v>45</v>
      </c>
      <c r="E180" t="s">
        <v>30</v>
      </c>
      <c r="F180" t="s">
        <v>30</v>
      </c>
      <c r="G180" t="s">
        <v>96</v>
      </c>
      <c r="H180" t="s">
        <v>61</v>
      </c>
      <c r="I180" t="s">
        <v>72</v>
      </c>
      <c r="J180" t="s">
        <v>761</v>
      </c>
      <c r="K180" t="s">
        <v>762</v>
      </c>
      <c r="L180" t="s">
        <v>36</v>
      </c>
      <c r="M180" t="s">
        <v>581</v>
      </c>
      <c r="N180" t="s">
        <v>763</v>
      </c>
      <c r="O180" t="s">
        <v>36</v>
      </c>
      <c r="P180" t="s">
        <v>39</v>
      </c>
      <c r="Q180" t="s">
        <v>75</v>
      </c>
      <c r="R180">
        <v>52</v>
      </c>
      <c r="S180">
        <v>1</v>
      </c>
      <c r="T180" t="s">
        <v>137</v>
      </c>
      <c r="U180" t="s">
        <v>57</v>
      </c>
      <c r="V180">
        <v>1.94</v>
      </c>
      <c r="W180">
        <v>1.29</v>
      </c>
      <c r="X180">
        <v>2.5</v>
      </c>
      <c r="Y180">
        <v>15.4</v>
      </c>
      <c r="Z180">
        <v>8.6999999999999993</v>
      </c>
    </row>
    <row r="181" spans="1:26" x14ac:dyDescent="0.45">
      <c r="A181" t="s">
        <v>764</v>
      </c>
      <c r="B181">
        <v>23</v>
      </c>
      <c r="C181" t="s">
        <v>27</v>
      </c>
      <c r="D181" t="s">
        <v>45</v>
      </c>
      <c r="E181" t="s">
        <v>30</v>
      </c>
      <c r="F181" t="s">
        <v>59</v>
      </c>
      <c r="G181" t="s">
        <v>89</v>
      </c>
      <c r="H181" t="s">
        <v>32</v>
      </c>
      <c r="I181" t="s">
        <v>72</v>
      </c>
      <c r="J181" t="s">
        <v>765</v>
      </c>
      <c r="K181" t="s">
        <v>649</v>
      </c>
      <c r="L181" t="s">
        <v>64</v>
      </c>
      <c r="M181" t="s">
        <v>322</v>
      </c>
      <c r="N181" t="s">
        <v>116</v>
      </c>
      <c r="O181" t="s">
        <v>64</v>
      </c>
      <c r="P181" t="s">
        <v>39</v>
      </c>
      <c r="Q181" t="s">
        <v>30</v>
      </c>
      <c r="R181">
        <v>59</v>
      </c>
      <c r="S181">
        <v>1</v>
      </c>
      <c r="T181" t="s">
        <v>123</v>
      </c>
      <c r="U181" t="s">
        <v>42</v>
      </c>
      <c r="V181">
        <v>4.32</v>
      </c>
      <c r="W181">
        <v>2.72</v>
      </c>
      <c r="X181">
        <v>3.2</v>
      </c>
      <c r="Y181">
        <v>17.100000000000001</v>
      </c>
      <c r="Z181">
        <v>15</v>
      </c>
    </row>
    <row r="182" spans="1:26" x14ac:dyDescent="0.45">
      <c r="A182" t="s">
        <v>766</v>
      </c>
      <c r="B182">
        <v>44</v>
      </c>
      <c r="C182" t="s">
        <v>45</v>
      </c>
      <c r="D182" t="s">
        <v>28</v>
      </c>
      <c r="E182" t="s">
        <v>29</v>
      </c>
      <c r="F182" t="s">
        <v>79</v>
      </c>
      <c r="G182" t="s">
        <v>276</v>
      </c>
      <c r="H182" t="s">
        <v>71</v>
      </c>
      <c r="I182" t="s">
        <v>72</v>
      </c>
      <c r="J182" t="s">
        <v>767</v>
      </c>
      <c r="K182" t="s">
        <v>768</v>
      </c>
      <c r="L182" t="s">
        <v>36</v>
      </c>
      <c r="M182" t="s">
        <v>67</v>
      </c>
      <c r="N182" t="s">
        <v>769</v>
      </c>
      <c r="O182" t="s">
        <v>36</v>
      </c>
      <c r="P182" t="s">
        <v>55</v>
      </c>
      <c r="Q182" t="s">
        <v>129</v>
      </c>
      <c r="R182">
        <v>57</v>
      </c>
      <c r="S182">
        <v>0</v>
      </c>
      <c r="T182" t="s">
        <v>56</v>
      </c>
      <c r="U182" t="s">
        <v>42</v>
      </c>
      <c r="V182">
        <v>1.67</v>
      </c>
      <c r="W182">
        <v>1.67</v>
      </c>
      <c r="X182">
        <v>1.3</v>
      </c>
      <c r="Y182">
        <v>19.3</v>
      </c>
      <c r="Z182">
        <v>14.3</v>
      </c>
    </row>
    <row r="183" spans="1:26" x14ac:dyDescent="0.45">
      <c r="A183" t="s">
        <v>770</v>
      </c>
      <c r="B183">
        <v>29</v>
      </c>
      <c r="C183" t="s">
        <v>44</v>
      </c>
      <c r="D183" t="s">
        <v>95</v>
      </c>
      <c r="E183" t="s">
        <v>46</v>
      </c>
      <c r="F183" t="s">
        <v>30</v>
      </c>
      <c r="G183" t="s">
        <v>80</v>
      </c>
      <c r="H183" t="s">
        <v>81</v>
      </c>
      <c r="I183" t="s">
        <v>132</v>
      </c>
      <c r="J183" t="s">
        <v>771</v>
      </c>
      <c r="K183" t="s">
        <v>772</v>
      </c>
      <c r="L183" t="s">
        <v>92</v>
      </c>
      <c r="M183" t="s">
        <v>155</v>
      </c>
      <c r="N183" t="s">
        <v>313</v>
      </c>
      <c r="O183" t="s">
        <v>92</v>
      </c>
      <c r="P183" t="s">
        <v>110</v>
      </c>
      <c r="Q183" t="s">
        <v>40</v>
      </c>
      <c r="R183">
        <v>54</v>
      </c>
      <c r="S183">
        <v>0</v>
      </c>
      <c r="T183" t="s">
        <v>56</v>
      </c>
      <c r="U183" t="s">
        <v>57</v>
      </c>
      <c r="V183">
        <v>2.9</v>
      </c>
      <c r="W183">
        <v>4.38</v>
      </c>
      <c r="X183">
        <v>8.3000000000000007</v>
      </c>
      <c r="Y183">
        <v>16.5</v>
      </c>
      <c r="Z183">
        <v>17.8</v>
      </c>
    </row>
    <row r="184" spans="1:26" x14ac:dyDescent="0.45">
      <c r="A184" t="s">
        <v>773</v>
      </c>
      <c r="B184">
        <v>77</v>
      </c>
      <c r="C184" t="s">
        <v>44</v>
      </c>
      <c r="D184" t="s">
        <v>106</v>
      </c>
      <c r="E184" t="s">
        <v>46</v>
      </c>
      <c r="F184" t="s">
        <v>69</v>
      </c>
      <c r="G184" t="s">
        <v>184</v>
      </c>
      <c r="H184" t="s">
        <v>32</v>
      </c>
      <c r="I184" t="s">
        <v>33</v>
      </c>
      <c r="J184" t="s">
        <v>774</v>
      </c>
      <c r="K184" t="s">
        <v>775</v>
      </c>
      <c r="L184" t="s">
        <v>64</v>
      </c>
      <c r="M184" t="s">
        <v>187</v>
      </c>
      <c r="N184" t="s">
        <v>776</v>
      </c>
      <c r="O184" t="s">
        <v>64</v>
      </c>
      <c r="P184" t="s">
        <v>55</v>
      </c>
      <c r="Q184" t="s">
        <v>129</v>
      </c>
      <c r="R184">
        <v>119</v>
      </c>
      <c r="S184">
        <v>0</v>
      </c>
      <c r="T184" t="s">
        <v>56</v>
      </c>
      <c r="U184" t="s">
        <v>57</v>
      </c>
      <c r="V184">
        <v>1.82</v>
      </c>
      <c r="W184">
        <v>1.45</v>
      </c>
      <c r="X184">
        <v>3.4</v>
      </c>
      <c r="Y184">
        <v>7</v>
      </c>
      <c r="Z184">
        <v>12</v>
      </c>
    </row>
    <row r="185" spans="1:26" x14ac:dyDescent="0.45">
      <c r="A185" t="s">
        <v>777</v>
      </c>
      <c r="B185">
        <v>39</v>
      </c>
      <c r="C185" t="s">
        <v>44</v>
      </c>
      <c r="D185" t="s">
        <v>28</v>
      </c>
      <c r="E185" t="s">
        <v>29</v>
      </c>
      <c r="F185" t="s">
        <v>30</v>
      </c>
      <c r="G185" t="s">
        <v>246</v>
      </c>
      <c r="H185" t="s">
        <v>61</v>
      </c>
      <c r="I185" t="s">
        <v>33</v>
      </c>
      <c r="J185" t="s">
        <v>778</v>
      </c>
      <c r="K185" t="s">
        <v>779</v>
      </c>
      <c r="L185" t="s">
        <v>92</v>
      </c>
      <c r="M185" t="s">
        <v>378</v>
      </c>
      <c r="N185" t="s">
        <v>780</v>
      </c>
      <c r="O185" t="s">
        <v>92</v>
      </c>
      <c r="P185" t="s">
        <v>110</v>
      </c>
      <c r="Q185" t="s">
        <v>40</v>
      </c>
      <c r="R185">
        <v>91</v>
      </c>
      <c r="S185">
        <v>0</v>
      </c>
      <c r="T185" t="s">
        <v>85</v>
      </c>
      <c r="U185" t="s">
        <v>42</v>
      </c>
      <c r="V185">
        <v>4.75</v>
      </c>
      <c r="W185">
        <v>1.1599999999999999</v>
      </c>
      <c r="X185">
        <v>2.1</v>
      </c>
      <c r="Y185">
        <v>14.1</v>
      </c>
      <c r="Z185">
        <v>18.899999999999999</v>
      </c>
    </row>
    <row r="186" spans="1:26" x14ac:dyDescent="0.45">
      <c r="A186" t="s">
        <v>781</v>
      </c>
      <c r="B186">
        <v>38</v>
      </c>
      <c r="C186" t="s">
        <v>44</v>
      </c>
      <c r="D186" t="s">
        <v>95</v>
      </c>
      <c r="E186" t="s">
        <v>163</v>
      </c>
      <c r="F186" t="s">
        <v>69</v>
      </c>
      <c r="G186" t="s">
        <v>48</v>
      </c>
      <c r="H186" t="s">
        <v>81</v>
      </c>
      <c r="I186" t="s">
        <v>132</v>
      </c>
      <c r="J186" t="s">
        <v>782</v>
      </c>
      <c r="K186" t="s">
        <v>783</v>
      </c>
      <c r="L186" t="s">
        <v>92</v>
      </c>
      <c r="M186" t="s">
        <v>566</v>
      </c>
      <c r="N186" t="s">
        <v>784</v>
      </c>
      <c r="O186" t="s">
        <v>92</v>
      </c>
      <c r="P186" t="s">
        <v>110</v>
      </c>
      <c r="Q186" t="s">
        <v>40</v>
      </c>
      <c r="R186">
        <v>113</v>
      </c>
      <c r="S186">
        <v>0</v>
      </c>
      <c r="T186" t="s">
        <v>85</v>
      </c>
      <c r="U186" t="s">
        <v>42</v>
      </c>
      <c r="V186">
        <v>2.2599999999999998</v>
      </c>
      <c r="W186">
        <v>3.03</v>
      </c>
      <c r="X186">
        <v>1.4</v>
      </c>
      <c r="Y186">
        <v>8.6999999999999993</v>
      </c>
      <c r="Z186">
        <v>19.8</v>
      </c>
    </row>
    <row r="187" spans="1:26" x14ac:dyDescent="0.45">
      <c r="A187" t="s">
        <v>785</v>
      </c>
      <c r="B187">
        <v>74</v>
      </c>
      <c r="C187" t="s">
        <v>27</v>
      </c>
      <c r="D187" t="s">
        <v>28</v>
      </c>
      <c r="E187" t="s">
        <v>78</v>
      </c>
      <c r="F187" t="s">
        <v>88</v>
      </c>
      <c r="G187" t="s">
        <v>152</v>
      </c>
      <c r="H187" t="s">
        <v>81</v>
      </c>
      <c r="I187" t="s">
        <v>132</v>
      </c>
      <c r="J187" t="s">
        <v>786</v>
      </c>
      <c r="K187" t="s">
        <v>787</v>
      </c>
      <c r="L187" t="s">
        <v>92</v>
      </c>
      <c r="M187" t="s">
        <v>67</v>
      </c>
      <c r="N187" t="s">
        <v>788</v>
      </c>
      <c r="O187" t="s">
        <v>92</v>
      </c>
      <c r="P187" t="s">
        <v>110</v>
      </c>
      <c r="Q187" t="s">
        <v>129</v>
      </c>
      <c r="R187">
        <v>67</v>
      </c>
      <c r="S187">
        <v>0</v>
      </c>
      <c r="T187" t="s">
        <v>41</v>
      </c>
      <c r="U187" t="s">
        <v>57</v>
      </c>
      <c r="V187">
        <v>4.8600000000000003</v>
      </c>
      <c r="W187">
        <v>1.02</v>
      </c>
      <c r="X187">
        <v>9.6</v>
      </c>
      <c r="Y187">
        <v>17.5</v>
      </c>
      <c r="Z187">
        <v>17.8</v>
      </c>
    </row>
    <row r="188" spans="1:26" x14ac:dyDescent="0.45">
      <c r="A188" t="s">
        <v>789</v>
      </c>
      <c r="B188">
        <v>55</v>
      </c>
      <c r="C188" t="s">
        <v>44</v>
      </c>
      <c r="D188" t="s">
        <v>45</v>
      </c>
      <c r="E188" t="s">
        <v>29</v>
      </c>
      <c r="F188" t="s">
        <v>79</v>
      </c>
      <c r="G188" t="s">
        <v>31</v>
      </c>
      <c r="H188" t="s">
        <v>32</v>
      </c>
      <c r="I188" t="s">
        <v>132</v>
      </c>
      <c r="J188" t="s">
        <v>790</v>
      </c>
      <c r="K188" t="s">
        <v>569</v>
      </c>
      <c r="L188" t="s">
        <v>92</v>
      </c>
      <c r="M188" t="s">
        <v>566</v>
      </c>
      <c r="N188" t="s">
        <v>491</v>
      </c>
      <c r="O188" t="s">
        <v>92</v>
      </c>
      <c r="P188" t="s">
        <v>39</v>
      </c>
      <c r="Q188" t="s">
        <v>30</v>
      </c>
      <c r="R188">
        <v>170</v>
      </c>
      <c r="S188">
        <v>1</v>
      </c>
      <c r="T188" t="s">
        <v>123</v>
      </c>
      <c r="U188" t="s">
        <v>42</v>
      </c>
      <c r="V188">
        <v>2.82</v>
      </c>
      <c r="W188">
        <v>3.06</v>
      </c>
      <c r="X188">
        <v>5.4</v>
      </c>
      <c r="Y188">
        <v>18</v>
      </c>
      <c r="Z188">
        <v>5.4</v>
      </c>
    </row>
    <row r="189" spans="1:26" x14ac:dyDescent="0.45">
      <c r="A189" t="s">
        <v>791</v>
      </c>
      <c r="B189">
        <v>63</v>
      </c>
      <c r="C189" t="s">
        <v>27</v>
      </c>
      <c r="D189" t="s">
        <v>28</v>
      </c>
      <c r="E189" t="s">
        <v>163</v>
      </c>
      <c r="F189" t="s">
        <v>69</v>
      </c>
      <c r="G189" t="s">
        <v>131</v>
      </c>
      <c r="H189" t="s">
        <v>32</v>
      </c>
      <c r="I189" t="s">
        <v>33</v>
      </c>
      <c r="J189" t="s">
        <v>792</v>
      </c>
      <c r="K189" t="s">
        <v>793</v>
      </c>
      <c r="L189" t="s">
        <v>52</v>
      </c>
      <c r="M189" t="s">
        <v>266</v>
      </c>
      <c r="N189" t="s">
        <v>128</v>
      </c>
      <c r="O189" t="s">
        <v>52</v>
      </c>
      <c r="P189" t="s">
        <v>110</v>
      </c>
      <c r="Q189" t="s">
        <v>40</v>
      </c>
      <c r="R189">
        <v>122</v>
      </c>
      <c r="S189">
        <v>0</v>
      </c>
      <c r="T189" t="s">
        <v>56</v>
      </c>
      <c r="U189" t="s">
        <v>42</v>
      </c>
      <c r="V189">
        <v>1.1200000000000001</v>
      </c>
      <c r="W189">
        <v>2.23</v>
      </c>
      <c r="X189">
        <v>7.3</v>
      </c>
      <c r="Y189">
        <v>9.6</v>
      </c>
      <c r="Z189">
        <v>14.4</v>
      </c>
    </row>
    <row r="190" spans="1:26" x14ac:dyDescent="0.45">
      <c r="A190" t="s">
        <v>794</v>
      </c>
      <c r="B190">
        <v>54</v>
      </c>
      <c r="C190" t="s">
        <v>45</v>
      </c>
      <c r="D190" t="s">
        <v>106</v>
      </c>
      <c r="E190" t="s">
        <v>46</v>
      </c>
      <c r="F190" t="s">
        <v>88</v>
      </c>
      <c r="G190" t="s">
        <v>96</v>
      </c>
      <c r="H190" t="s">
        <v>81</v>
      </c>
      <c r="I190" t="s">
        <v>33</v>
      </c>
      <c r="J190" t="s">
        <v>795</v>
      </c>
      <c r="K190" t="s">
        <v>796</v>
      </c>
      <c r="L190" t="s">
        <v>36</v>
      </c>
      <c r="M190" t="s">
        <v>378</v>
      </c>
      <c r="N190" t="s">
        <v>797</v>
      </c>
      <c r="O190" t="s">
        <v>36</v>
      </c>
      <c r="P190" t="s">
        <v>39</v>
      </c>
      <c r="Q190" t="s">
        <v>40</v>
      </c>
      <c r="R190">
        <v>160</v>
      </c>
      <c r="S190">
        <v>1</v>
      </c>
      <c r="T190" t="s">
        <v>56</v>
      </c>
      <c r="U190" t="s">
        <v>57</v>
      </c>
      <c r="V190">
        <v>4.88</v>
      </c>
      <c r="W190">
        <v>1.38</v>
      </c>
      <c r="X190">
        <v>7.1</v>
      </c>
      <c r="Y190">
        <v>14</v>
      </c>
      <c r="Z190">
        <v>17.8</v>
      </c>
    </row>
    <row r="191" spans="1:26" x14ac:dyDescent="0.45">
      <c r="A191" t="s">
        <v>798</v>
      </c>
      <c r="B191">
        <v>67</v>
      </c>
      <c r="C191" t="s">
        <v>44</v>
      </c>
      <c r="D191" t="s">
        <v>106</v>
      </c>
      <c r="E191" t="s">
        <v>46</v>
      </c>
      <c r="F191" t="s">
        <v>88</v>
      </c>
      <c r="G191" t="s">
        <v>80</v>
      </c>
      <c r="H191" t="s">
        <v>81</v>
      </c>
      <c r="I191" t="s">
        <v>72</v>
      </c>
      <c r="J191" t="s">
        <v>642</v>
      </c>
      <c r="K191" t="s">
        <v>243</v>
      </c>
      <c r="L191" t="s">
        <v>64</v>
      </c>
      <c r="M191" t="s">
        <v>129</v>
      </c>
      <c r="N191" t="s">
        <v>799</v>
      </c>
      <c r="O191" t="s">
        <v>64</v>
      </c>
      <c r="P191" t="s">
        <v>55</v>
      </c>
      <c r="Q191" t="s">
        <v>30</v>
      </c>
      <c r="R191">
        <v>58</v>
      </c>
      <c r="S191">
        <v>0</v>
      </c>
      <c r="T191" t="s">
        <v>85</v>
      </c>
      <c r="U191" t="s">
        <v>57</v>
      </c>
      <c r="V191">
        <v>1.71</v>
      </c>
      <c r="W191">
        <v>3.77</v>
      </c>
      <c r="X191">
        <v>8.5</v>
      </c>
      <c r="Y191">
        <v>23</v>
      </c>
      <c r="Z191">
        <v>14.6</v>
      </c>
    </row>
    <row r="192" spans="1:26" x14ac:dyDescent="0.45">
      <c r="A192" t="s">
        <v>800</v>
      </c>
      <c r="B192">
        <v>28</v>
      </c>
      <c r="C192" t="s">
        <v>27</v>
      </c>
      <c r="D192" t="s">
        <v>45</v>
      </c>
      <c r="E192" t="s">
        <v>30</v>
      </c>
      <c r="F192" t="s">
        <v>88</v>
      </c>
      <c r="G192" t="s">
        <v>246</v>
      </c>
      <c r="H192" t="s">
        <v>61</v>
      </c>
      <c r="I192" t="s">
        <v>72</v>
      </c>
      <c r="J192" t="s">
        <v>801</v>
      </c>
      <c r="K192" t="s">
        <v>802</v>
      </c>
      <c r="L192" t="s">
        <v>92</v>
      </c>
      <c r="M192" t="s">
        <v>803</v>
      </c>
      <c r="N192" t="s">
        <v>804</v>
      </c>
      <c r="O192" t="s">
        <v>92</v>
      </c>
      <c r="P192" t="s">
        <v>55</v>
      </c>
      <c r="Q192" t="s">
        <v>75</v>
      </c>
      <c r="R192">
        <v>32</v>
      </c>
      <c r="S192">
        <v>0</v>
      </c>
      <c r="T192" t="s">
        <v>56</v>
      </c>
      <c r="U192" t="s">
        <v>57</v>
      </c>
      <c r="V192">
        <v>2.99</v>
      </c>
      <c r="W192">
        <v>3.47</v>
      </c>
      <c r="X192">
        <v>8.8000000000000007</v>
      </c>
      <c r="Y192">
        <v>16.3</v>
      </c>
      <c r="Z192">
        <v>3.5</v>
      </c>
    </row>
    <row r="193" spans="1:26" x14ac:dyDescent="0.45">
      <c r="A193" t="s">
        <v>805</v>
      </c>
      <c r="B193">
        <v>83</v>
      </c>
      <c r="C193" t="s">
        <v>44</v>
      </c>
      <c r="D193" t="s">
        <v>45</v>
      </c>
      <c r="E193" t="s">
        <v>30</v>
      </c>
      <c r="F193" t="s">
        <v>59</v>
      </c>
      <c r="G193" t="s">
        <v>276</v>
      </c>
      <c r="H193" t="s">
        <v>71</v>
      </c>
      <c r="I193" t="s">
        <v>49</v>
      </c>
      <c r="J193" t="s">
        <v>498</v>
      </c>
      <c r="K193" t="s">
        <v>499</v>
      </c>
      <c r="L193" t="s">
        <v>64</v>
      </c>
      <c r="M193" t="s">
        <v>40</v>
      </c>
      <c r="N193" t="s">
        <v>788</v>
      </c>
      <c r="O193" t="s">
        <v>64</v>
      </c>
      <c r="P193" t="s">
        <v>39</v>
      </c>
      <c r="Q193" t="s">
        <v>75</v>
      </c>
      <c r="R193">
        <v>43</v>
      </c>
      <c r="S193">
        <v>1</v>
      </c>
      <c r="T193" t="s">
        <v>137</v>
      </c>
      <c r="U193" t="s">
        <v>42</v>
      </c>
      <c r="V193">
        <v>4.72</v>
      </c>
      <c r="W193">
        <v>3.76</v>
      </c>
      <c r="X193">
        <v>7.1</v>
      </c>
      <c r="Y193">
        <v>9.9</v>
      </c>
      <c r="Z193">
        <v>14.2</v>
      </c>
    </row>
    <row r="194" spans="1:26" x14ac:dyDescent="0.45">
      <c r="A194" t="s">
        <v>806</v>
      </c>
      <c r="B194">
        <v>54</v>
      </c>
      <c r="C194" t="s">
        <v>44</v>
      </c>
      <c r="D194" t="s">
        <v>87</v>
      </c>
      <c r="E194" t="s">
        <v>46</v>
      </c>
      <c r="F194" t="s">
        <v>30</v>
      </c>
      <c r="G194" t="s">
        <v>184</v>
      </c>
      <c r="H194" t="s">
        <v>32</v>
      </c>
      <c r="I194" t="s">
        <v>72</v>
      </c>
      <c r="J194" t="s">
        <v>248</v>
      </c>
      <c r="K194" t="s">
        <v>462</v>
      </c>
      <c r="L194" t="s">
        <v>92</v>
      </c>
      <c r="M194" t="s">
        <v>807</v>
      </c>
      <c r="N194" t="s">
        <v>808</v>
      </c>
      <c r="O194" t="s">
        <v>92</v>
      </c>
      <c r="P194" t="s">
        <v>39</v>
      </c>
      <c r="Q194" t="s">
        <v>40</v>
      </c>
      <c r="R194">
        <v>124</v>
      </c>
      <c r="S194">
        <v>1</v>
      </c>
      <c r="T194" t="s">
        <v>41</v>
      </c>
      <c r="U194" t="s">
        <v>57</v>
      </c>
      <c r="V194">
        <v>2.58</v>
      </c>
      <c r="W194">
        <v>3.6</v>
      </c>
      <c r="X194">
        <v>2</v>
      </c>
      <c r="Y194">
        <v>17.8</v>
      </c>
      <c r="Z194">
        <v>20</v>
      </c>
    </row>
    <row r="195" spans="1:26" x14ac:dyDescent="0.45">
      <c r="A195" t="s">
        <v>809</v>
      </c>
      <c r="B195">
        <v>48</v>
      </c>
      <c r="C195" t="s">
        <v>44</v>
      </c>
      <c r="D195" t="s">
        <v>106</v>
      </c>
      <c r="E195" t="s">
        <v>29</v>
      </c>
      <c r="F195" t="s">
        <v>30</v>
      </c>
      <c r="G195" t="s">
        <v>31</v>
      </c>
      <c r="H195" t="s">
        <v>61</v>
      </c>
      <c r="I195" t="s">
        <v>72</v>
      </c>
      <c r="J195" t="s">
        <v>810</v>
      </c>
      <c r="K195" t="s">
        <v>811</v>
      </c>
      <c r="L195" t="s">
        <v>36</v>
      </c>
      <c r="M195" t="s">
        <v>469</v>
      </c>
      <c r="N195" t="s">
        <v>812</v>
      </c>
      <c r="O195" t="s">
        <v>36</v>
      </c>
      <c r="P195" t="s">
        <v>110</v>
      </c>
      <c r="Q195" t="s">
        <v>67</v>
      </c>
      <c r="R195">
        <v>83</v>
      </c>
      <c r="S195">
        <v>0</v>
      </c>
      <c r="T195" t="s">
        <v>85</v>
      </c>
      <c r="U195" t="s">
        <v>57</v>
      </c>
      <c r="V195">
        <v>1.19</v>
      </c>
      <c r="W195">
        <v>4.91</v>
      </c>
      <c r="X195">
        <v>4.7</v>
      </c>
      <c r="Y195">
        <v>21.7</v>
      </c>
      <c r="Z195">
        <v>16.3</v>
      </c>
    </row>
    <row r="196" spans="1:26" x14ac:dyDescent="0.45">
      <c r="A196" t="s">
        <v>813</v>
      </c>
      <c r="B196">
        <v>24</v>
      </c>
      <c r="C196" t="s">
        <v>45</v>
      </c>
      <c r="D196" t="s">
        <v>28</v>
      </c>
      <c r="E196" t="s">
        <v>163</v>
      </c>
      <c r="F196" t="s">
        <v>47</v>
      </c>
      <c r="G196" t="s">
        <v>131</v>
      </c>
      <c r="H196" t="s">
        <v>81</v>
      </c>
      <c r="I196" t="s">
        <v>132</v>
      </c>
      <c r="J196" t="s">
        <v>814</v>
      </c>
      <c r="K196" t="s">
        <v>815</v>
      </c>
      <c r="L196" t="s">
        <v>52</v>
      </c>
      <c r="M196" t="s">
        <v>500</v>
      </c>
      <c r="N196" t="s">
        <v>550</v>
      </c>
      <c r="O196" t="s">
        <v>52</v>
      </c>
      <c r="P196" t="s">
        <v>39</v>
      </c>
      <c r="Q196" t="s">
        <v>75</v>
      </c>
      <c r="R196">
        <v>141</v>
      </c>
      <c r="S196">
        <v>1</v>
      </c>
      <c r="T196" t="s">
        <v>123</v>
      </c>
      <c r="U196" t="s">
        <v>57</v>
      </c>
      <c r="V196">
        <v>3.27</v>
      </c>
      <c r="W196">
        <v>3.95</v>
      </c>
      <c r="X196">
        <v>8.9</v>
      </c>
      <c r="Y196">
        <v>13.3</v>
      </c>
      <c r="Z196">
        <v>8.6</v>
      </c>
    </row>
    <row r="197" spans="1:26" x14ac:dyDescent="0.45">
      <c r="A197" t="s">
        <v>816</v>
      </c>
      <c r="B197">
        <v>75</v>
      </c>
      <c r="C197" t="s">
        <v>44</v>
      </c>
      <c r="D197" t="s">
        <v>28</v>
      </c>
      <c r="E197" t="s">
        <v>29</v>
      </c>
      <c r="F197" t="s">
        <v>30</v>
      </c>
      <c r="G197" t="s">
        <v>118</v>
      </c>
      <c r="H197" t="s">
        <v>61</v>
      </c>
      <c r="I197" t="s">
        <v>132</v>
      </c>
      <c r="J197" t="s">
        <v>584</v>
      </c>
      <c r="K197" t="s">
        <v>817</v>
      </c>
      <c r="L197" t="s">
        <v>64</v>
      </c>
      <c r="M197" t="s">
        <v>697</v>
      </c>
      <c r="N197" t="s">
        <v>818</v>
      </c>
      <c r="O197" t="s">
        <v>64</v>
      </c>
      <c r="P197" t="s">
        <v>110</v>
      </c>
      <c r="Q197" t="s">
        <v>75</v>
      </c>
      <c r="R197">
        <v>130</v>
      </c>
      <c r="S197">
        <v>0</v>
      </c>
      <c r="T197" t="s">
        <v>56</v>
      </c>
      <c r="U197" t="s">
        <v>42</v>
      </c>
      <c r="V197">
        <v>3.67</v>
      </c>
      <c r="W197">
        <v>4.2300000000000004</v>
      </c>
      <c r="X197">
        <v>7.9</v>
      </c>
      <c r="Y197">
        <v>20.399999999999999</v>
      </c>
      <c r="Z197">
        <v>10.4</v>
      </c>
    </row>
    <row r="198" spans="1:26" x14ac:dyDescent="0.45">
      <c r="A198" t="s">
        <v>819</v>
      </c>
      <c r="B198">
        <v>42</v>
      </c>
      <c r="C198" t="s">
        <v>45</v>
      </c>
      <c r="D198" t="s">
        <v>28</v>
      </c>
      <c r="E198" t="s">
        <v>46</v>
      </c>
      <c r="F198" t="s">
        <v>88</v>
      </c>
      <c r="G198" t="s">
        <v>164</v>
      </c>
      <c r="H198" t="s">
        <v>61</v>
      </c>
      <c r="I198" t="s">
        <v>49</v>
      </c>
      <c r="J198" t="s">
        <v>820</v>
      </c>
      <c r="K198" t="s">
        <v>821</v>
      </c>
      <c r="L198" t="s">
        <v>36</v>
      </c>
      <c r="M198" t="s">
        <v>121</v>
      </c>
      <c r="N198" t="s">
        <v>822</v>
      </c>
      <c r="O198" t="s">
        <v>36</v>
      </c>
      <c r="P198" t="s">
        <v>39</v>
      </c>
      <c r="Q198" t="s">
        <v>129</v>
      </c>
      <c r="R198">
        <v>36</v>
      </c>
      <c r="S198">
        <v>1</v>
      </c>
      <c r="T198" t="s">
        <v>85</v>
      </c>
      <c r="U198" t="s">
        <v>42</v>
      </c>
      <c r="V198">
        <v>4.2699999999999996</v>
      </c>
      <c r="W198">
        <v>1.48</v>
      </c>
      <c r="X198">
        <v>5.9</v>
      </c>
      <c r="Y198">
        <v>6.1</v>
      </c>
      <c r="Z198">
        <v>8.5</v>
      </c>
    </row>
    <row r="199" spans="1:26" x14ac:dyDescent="0.45">
      <c r="A199" t="s">
        <v>823</v>
      </c>
      <c r="B199">
        <v>25</v>
      </c>
      <c r="C199" t="s">
        <v>45</v>
      </c>
      <c r="D199" t="s">
        <v>106</v>
      </c>
      <c r="E199" t="s">
        <v>29</v>
      </c>
      <c r="F199" t="s">
        <v>30</v>
      </c>
      <c r="G199" t="s">
        <v>102</v>
      </c>
      <c r="H199" t="s">
        <v>61</v>
      </c>
      <c r="I199" t="s">
        <v>72</v>
      </c>
      <c r="J199" t="s">
        <v>824</v>
      </c>
      <c r="K199" t="s">
        <v>825</v>
      </c>
      <c r="L199" t="s">
        <v>52</v>
      </c>
      <c r="M199" t="s">
        <v>67</v>
      </c>
      <c r="N199" t="s">
        <v>822</v>
      </c>
      <c r="O199" t="s">
        <v>52</v>
      </c>
      <c r="P199" t="s">
        <v>55</v>
      </c>
      <c r="Q199" t="s">
        <v>40</v>
      </c>
      <c r="R199">
        <v>49</v>
      </c>
      <c r="S199">
        <v>0</v>
      </c>
      <c r="T199" t="s">
        <v>56</v>
      </c>
      <c r="U199" t="s">
        <v>57</v>
      </c>
      <c r="V199">
        <v>2.4700000000000002</v>
      </c>
      <c r="W199">
        <v>2.58</v>
      </c>
      <c r="X199">
        <v>7.3</v>
      </c>
      <c r="Y199">
        <v>13</v>
      </c>
      <c r="Z199">
        <v>10.6</v>
      </c>
    </row>
    <row r="200" spans="1:26" x14ac:dyDescent="0.45">
      <c r="A200" t="s">
        <v>826</v>
      </c>
      <c r="B200">
        <v>72</v>
      </c>
      <c r="C200" t="s">
        <v>45</v>
      </c>
      <c r="D200" t="s">
        <v>28</v>
      </c>
      <c r="E200" t="s">
        <v>30</v>
      </c>
      <c r="F200" t="s">
        <v>88</v>
      </c>
      <c r="G200" t="s">
        <v>184</v>
      </c>
      <c r="H200" t="s">
        <v>61</v>
      </c>
      <c r="I200" t="s">
        <v>33</v>
      </c>
      <c r="J200" t="s">
        <v>827</v>
      </c>
      <c r="K200" t="s">
        <v>828</v>
      </c>
      <c r="L200" t="s">
        <v>64</v>
      </c>
      <c r="M200" t="s">
        <v>40</v>
      </c>
      <c r="N200" t="s">
        <v>742</v>
      </c>
      <c r="O200" t="s">
        <v>64</v>
      </c>
      <c r="P200" t="s">
        <v>55</v>
      </c>
      <c r="Q200" t="s">
        <v>67</v>
      </c>
      <c r="R200">
        <v>130</v>
      </c>
      <c r="S200">
        <v>0</v>
      </c>
      <c r="T200" t="s">
        <v>41</v>
      </c>
      <c r="U200" t="s">
        <v>57</v>
      </c>
      <c r="V200">
        <v>1.95</v>
      </c>
      <c r="W200">
        <v>2.4900000000000002</v>
      </c>
      <c r="X200">
        <v>3</v>
      </c>
      <c r="Y200">
        <v>7.3</v>
      </c>
      <c r="Z200">
        <v>13.3</v>
      </c>
    </row>
    <row r="201" spans="1:26" x14ac:dyDescent="0.45">
      <c r="A201" t="s">
        <v>829</v>
      </c>
      <c r="B201">
        <v>31</v>
      </c>
      <c r="C201" t="s">
        <v>27</v>
      </c>
      <c r="D201" t="s">
        <v>45</v>
      </c>
      <c r="E201" t="s">
        <v>78</v>
      </c>
      <c r="F201" t="s">
        <v>88</v>
      </c>
      <c r="G201" t="s">
        <v>440</v>
      </c>
      <c r="H201" t="s">
        <v>32</v>
      </c>
      <c r="I201" t="s">
        <v>49</v>
      </c>
      <c r="J201" t="s">
        <v>830</v>
      </c>
      <c r="K201" t="s">
        <v>831</v>
      </c>
      <c r="L201" t="s">
        <v>64</v>
      </c>
      <c r="M201" t="s">
        <v>135</v>
      </c>
      <c r="N201" t="s">
        <v>116</v>
      </c>
      <c r="O201" t="s">
        <v>64</v>
      </c>
      <c r="P201" t="s">
        <v>110</v>
      </c>
      <c r="Q201" t="s">
        <v>129</v>
      </c>
      <c r="R201">
        <v>39</v>
      </c>
      <c r="S201">
        <v>0</v>
      </c>
      <c r="T201" t="s">
        <v>56</v>
      </c>
      <c r="U201" t="s">
        <v>57</v>
      </c>
      <c r="V201">
        <v>3.67</v>
      </c>
      <c r="W201">
        <v>3.48</v>
      </c>
      <c r="X201">
        <v>5.2</v>
      </c>
      <c r="Y201">
        <v>12.8</v>
      </c>
      <c r="Z201">
        <v>17.7</v>
      </c>
    </row>
    <row r="202" spans="1:26" x14ac:dyDescent="0.45">
      <c r="A202" t="s">
        <v>832</v>
      </c>
      <c r="B202">
        <v>37</v>
      </c>
      <c r="C202" t="s">
        <v>45</v>
      </c>
      <c r="D202" t="s">
        <v>28</v>
      </c>
      <c r="E202" t="s">
        <v>78</v>
      </c>
      <c r="F202" t="s">
        <v>30</v>
      </c>
      <c r="G202" t="s">
        <v>246</v>
      </c>
      <c r="H202" t="s">
        <v>81</v>
      </c>
      <c r="I202" t="s">
        <v>33</v>
      </c>
      <c r="J202" t="s">
        <v>632</v>
      </c>
      <c r="K202" t="s">
        <v>833</v>
      </c>
      <c r="L202" t="s">
        <v>92</v>
      </c>
      <c r="M202" t="s">
        <v>834</v>
      </c>
      <c r="N202" t="s">
        <v>447</v>
      </c>
      <c r="O202" t="s">
        <v>92</v>
      </c>
      <c r="P202" t="s">
        <v>55</v>
      </c>
      <c r="Q202" t="s">
        <v>129</v>
      </c>
      <c r="R202">
        <v>175</v>
      </c>
      <c r="S202">
        <v>0</v>
      </c>
      <c r="T202" t="s">
        <v>85</v>
      </c>
      <c r="U202" t="s">
        <v>57</v>
      </c>
      <c r="V202">
        <v>3.08</v>
      </c>
      <c r="W202">
        <v>2.92</v>
      </c>
      <c r="X202">
        <v>1.2</v>
      </c>
      <c r="Y202">
        <v>12.1</v>
      </c>
      <c r="Z202">
        <v>9.5</v>
      </c>
    </row>
    <row r="203" spans="1:26" x14ac:dyDescent="0.45">
      <c r="A203" t="s">
        <v>835</v>
      </c>
      <c r="B203">
        <v>60</v>
      </c>
      <c r="C203" t="s">
        <v>45</v>
      </c>
      <c r="D203" t="s">
        <v>28</v>
      </c>
      <c r="E203" t="s">
        <v>78</v>
      </c>
      <c r="F203" t="s">
        <v>88</v>
      </c>
      <c r="G203" t="s">
        <v>194</v>
      </c>
      <c r="H203" t="s">
        <v>32</v>
      </c>
      <c r="I203" t="s">
        <v>49</v>
      </c>
      <c r="J203" t="s">
        <v>836</v>
      </c>
      <c r="K203" t="s">
        <v>837</v>
      </c>
      <c r="L203" t="s">
        <v>52</v>
      </c>
      <c r="M203" t="s">
        <v>239</v>
      </c>
      <c r="N203" t="s">
        <v>128</v>
      </c>
      <c r="O203" t="s">
        <v>52</v>
      </c>
      <c r="P203" t="s">
        <v>55</v>
      </c>
      <c r="Q203" t="s">
        <v>40</v>
      </c>
      <c r="R203">
        <v>57</v>
      </c>
      <c r="S203">
        <v>0</v>
      </c>
      <c r="T203" t="s">
        <v>137</v>
      </c>
      <c r="U203" t="s">
        <v>57</v>
      </c>
      <c r="V203">
        <v>2.6</v>
      </c>
      <c r="W203">
        <v>3.32</v>
      </c>
      <c r="X203">
        <v>5.8</v>
      </c>
      <c r="Y203">
        <v>16.899999999999999</v>
      </c>
      <c r="Z203">
        <v>16</v>
      </c>
    </row>
    <row r="204" spans="1:26" x14ac:dyDescent="0.45">
      <c r="A204" t="s">
        <v>838</v>
      </c>
      <c r="B204">
        <v>28</v>
      </c>
      <c r="C204" t="s">
        <v>45</v>
      </c>
      <c r="D204" t="s">
        <v>95</v>
      </c>
      <c r="E204" t="s">
        <v>46</v>
      </c>
      <c r="F204" t="s">
        <v>79</v>
      </c>
      <c r="G204" t="s">
        <v>164</v>
      </c>
      <c r="H204" t="s">
        <v>71</v>
      </c>
      <c r="I204" t="s">
        <v>33</v>
      </c>
      <c r="J204" t="s">
        <v>368</v>
      </c>
      <c r="K204" t="s">
        <v>839</v>
      </c>
      <c r="L204" t="s">
        <v>64</v>
      </c>
      <c r="M204" t="s">
        <v>378</v>
      </c>
      <c r="N204" t="s">
        <v>258</v>
      </c>
      <c r="O204" t="s">
        <v>64</v>
      </c>
      <c r="P204" t="s">
        <v>39</v>
      </c>
      <c r="Q204" t="s">
        <v>30</v>
      </c>
      <c r="R204">
        <v>44</v>
      </c>
      <c r="S204">
        <v>1</v>
      </c>
      <c r="T204" t="s">
        <v>137</v>
      </c>
      <c r="U204" t="s">
        <v>42</v>
      </c>
      <c r="V204">
        <v>4.25</v>
      </c>
      <c r="W204">
        <v>3.87</v>
      </c>
      <c r="X204">
        <v>9.6</v>
      </c>
      <c r="Y204">
        <v>6.3</v>
      </c>
      <c r="Z204">
        <v>6.3</v>
      </c>
    </row>
    <row r="205" spans="1:26" x14ac:dyDescent="0.45">
      <c r="A205" t="s">
        <v>840</v>
      </c>
      <c r="B205">
        <v>69</v>
      </c>
      <c r="C205" t="s">
        <v>27</v>
      </c>
      <c r="D205" t="s">
        <v>106</v>
      </c>
      <c r="E205" t="s">
        <v>29</v>
      </c>
      <c r="F205" t="s">
        <v>69</v>
      </c>
      <c r="G205" t="s">
        <v>96</v>
      </c>
      <c r="H205" t="s">
        <v>71</v>
      </c>
      <c r="I205" t="s">
        <v>49</v>
      </c>
      <c r="J205" t="s">
        <v>841</v>
      </c>
      <c r="K205" t="s">
        <v>842</v>
      </c>
      <c r="L205" t="s">
        <v>92</v>
      </c>
      <c r="M205" t="s">
        <v>536</v>
      </c>
      <c r="N205" t="s">
        <v>843</v>
      </c>
      <c r="O205" t="s">
        <v>92</v>
      </c>
      <c r="P205" t="s">
        <v>110</v>
      </c>
      <c r="Q205" t="s">
        <v>67</v>
      </c>
      <c r="R205">
        <v>33</v>
      </c>
      <c r="S205">
        <v>0</v>
      </c>
      <c r="T205" t="s">
        <v>41</v>
      </c>
      <c r="U205" t="s">
        <v>42</v>
      </c>
      <c r="V205">
        <v>1.03</v>
      </c>
      <c r="W205">
        <v>3.59</v>
      </c>
      <c r="X205">
        <v>9.1</v>
      </c>
      <c r="Y205">
        <v>10.4</v>
      </c>
      <c r="Z205">
        <v>18.8</v>
      </c>
    </row>
    <row r="206" spans="1:26" x14ac:dyDescent="0.45">
      <c r="A206" t="s">
        <v>844</v>
      </c>
      <c r="B206">
        <v>57</v>
      </c>
      <c r="C206" t="s">
        <v>27</v>
      </c>
      <c r="D206" t="s">
        <v>95</v>
      </c>
      <c r="E206" t="s">
        <v>29</v>
      </c>
      <c r="F206" t="s">
        <v>69</v>
      </c>
      <c r="G206" t="s">
        <v>125</v>
      </c>
      <c r="H206" t="s">
        <v>61</v>
      </c>
      <c r="I206" t="s">
        <v>49</v>
      </c>
      <c r="J206" t="s">
        <v>845</v>
      </c>
      <c r="K206" t="s">
        <v>846</v>
      </c>
      <c r="L206" t="s">
        <v>52</v>
      </c>
      <c r="M206" t="s">
        <v>67</v>
      </c>
      <c r="N206" t="s">
        <v>746</v>
      </c>
      <c r="O206" t="s">
        <v>52</v>
      </c>
      <c r="P206" t="s">
        <v>55</v>
      </c>
      <c r="Q206" t="s">
        <v>40</v>
      </c>
      <c r="R206">
        <v>113</v>
      </c>
      <c r="S206">
        <v>0</v>
      </c>
      <c r="T206" t="s">
        <v>123</v>
      </c>
      <c r="U206" t="s">
        <v>42</v>
      </c>
      <c r="V206">
        <v>1.24</v>
      </c>
      <c r="W206">
        <v>4.74</v>
      </c>
      <c r="X206">
        <v>4.2</v>
      </c>
      <c r="Y206">
        <v>7.8</v>
      </c>
      <c r="Z206">
        <v>11.3</v>
      </c>
    </row>
    <row r="207" spans="1:26" x14ac:dyDescent="0.45">
      <c r="A207" t="s">
        <v>847</v>
      </c>
      <c r="B207">
        <v>59</v>
      </c>
      <c r="C207" t="s">
        <v>27</v>
      </c>
      <c r="D207" t="s">
        <v>87</v>
      </c>
      <c r="E207" t="s">
        <v>29</v>
      </c>
      <c r="F207" t="s">
        <v>88</v>
      </c>
      <c r="G207" t="s">
        <v>102</v>
      </c>
      <c r="H207" t="s">
        <v>32</v>
      </c>
      <c r="I207" t="s">
        <v>72</v>
      </c>
      <c r="J207" t="s">
        <v>848</v>
      </c>
      <c r="K207" t="s">
        <v>849</v>
      </c>
      <c r="L207" t="s">
        <v>52</v>
      </c>
      <c r="M207" t="s">
        <v>37</v>
      </c>
      <c r="N207" t="s">
        <v>227</v>
      </c>
      <c r="O207" t="s">
        <v>52</v>
      </c>
      <c r="P207" t="s">
        <v>39</v>
      </c>
      <c r="Q207" t="s">
        <v>75</v>
      </c>
      <c r="R207">
        <v>126</v>
      </c>
      <c r="S207">
        <v>1</v>
      </c>
      <c r="T207" t="s">
        <v>41</v>
      </c>
      <c r="U207" t="s">
        <v>42</v>
      </c>
      <c r="V207">
        <v>2.0299999999999998</v>
      </c>
      <c r="W207">
        <v>2.14</v>
      </c>
      <c r="X207">
        <v>3.8</v>
      </c>
      <c r="Y207">
        <v>20.5</v>
      </c>
      <c r="Z207">
        <v>12.2</v>
      </c>
    </row>
    <row r="208" spans="1:26" x14ac:dyDescent="0.45">
      <c r="A208" t="s">
        <v>850</v>
      </c>
      <c r="B208">
        <v>80</v>
      </c>
      <c r="C208" t="s">
        <v>27</v>
      </c>
      <c r="D208" t="s">
        <v>87</v>
      </c>
      <c r="E208" t="s">
        <v>163</v>
      </c>
      <c r="F208" t="s">
        <v>88</v>
      </c>
      <c r="G208" t="s">
        <v>80</v>
      </c>
      <c r="H208" t="s">
        <v>32</v>
      </c>
      <c r="I208" t="s">
        <v>33</v>
      </c>
      <c r="J208" t="s">
        <v>851</v>
      </c>
      <c r="K208" t="s">
        <v>119</v>
      </c>
      <c r="L208" t="s">
        <v>52</v>
      </c>
      <c r="M208" t="s">
        <v>115</v>
      </c>
      <c r="N208" t="s">
        <v>852</v>
      </c>
      <c r="O208" t="s">
        <v>52</v>
      </c>
      <c r="P208" t="s">
        <v>39</v>
      </c>
      <c r="Q208" t="s">
        <v>75</v>
      </c>
      <c r="R208">
        <v>39</v>
      </c>
      <c r="S208">
        <v>1</v>
      </c>
      <c r="T208" t="s">
        <v>85</v>
      </c>
      <c r="U208" t="s">
        <v>42</v>
      </c>
      <c r="V208">
        <v>2.25</v>
      </c>
      <c r="W208">
        <v>3.44</v>
      </c>
      <c r="X208">
        <v>7.4</v>
      </c>
      <c r="Y208">
        <v>10.9</v>
      </c>
      <c r="Z208">
        <v>10</v>
      </c>
    </row>
    <row r="209" spans="1:26" x14ac:dyDescent="0.45">
      <c r="A209" t="s">
        <v>853</v>
      </c>
      <c r="B209">
        <v>81</v>
      </c>
      <c r="C209" t="s">
        <v>45</v>
      </c>
      <c r="D209" t="s">
        <v>87</v>
      </c>
      <c r="E209" t="s">
        <v>30</v>
      </c>
      <c r="F209" t="s">
        <v>88</v>
      </c>
      <c r="G209" t="s">
        <v>178</v>
      </c>
      <c r="H209" t="s">
        <v>71</v>
      </c>
      <c r="I209" t="s">
        <v>72</v>
      </c>
      <c r="J209" t="s">
        <v>854</v>
      </c>
      <c r="K209" t="s">
        <v>855</v>
      </c>
      <c r="L209" t="s">
        <v>64</v>
      </c>
      <c r="M209" t="s">
        <v>207</v>
      </c>
      <c r="N209" t="s">
        <v>323</v>
      </c>
      <c r="O209" t="s">
        <v>64</v>
      </c>
      <c r="P209" t="s">
        <v>110</v>
      </c>
      <c r="Q209" t="s">
        <v>67</v>
      </c>
      <c r="R209">
        <v>100</v>
      </c>
      <c r="S209">
        <v>0</v>
      </c>
      <c r="T209" t="s">
        <v>123</v>
      </c>
      <c r="U209" t="s">
        <v>42</v>
      </c>
      <c r="V209">
        <v>1.49</v>
      </c>
      <c r="W209">
        <v>1.72</v>
      </c>
      <c r="X209">
        <v>7.1</v>
      </c>
      <c r="Y209">
        <v>9.3000000000000007</v>
      </c>
      <c r="Z209">
        <v>11.9</v>
      </c>
    </row>
    <row r="210" spans="1:26" x14ac:dyDescent="0.45">
      <c r="A210" t="s">
        <v>856</v>
      </c>
      <c r="B210">
        <v>32</v>
      </c>
      <c r="C210" t="s">
        <v>27</v>
      </c>
      <c r="D210" t="s">
        <v>95</v>
      </c>
      <c r="E210" t="s">
        <v>78</v>
      </c>
      <c r="F210" t="s">
        <v>88</v>
      </c>
      <c r="G210" t="s">
        <v>118</v>
      </c>
      <c r="H210" t="s">
        <v>32</v>
      </c>
      <c r="I210" t="s">
        <v>132</v>
      </c>
      <c r="J210" t="s">
        <v>857</v>
      </c>
      <c r="K210" t="s">
        <v>858</v>
      </c>
      <c r="L210" t="s">
        <v>36</v>
      </c>
      <c r="M210" t="s">
        <v>129</v>
      </c>
      <c r="N210" t="s">
        <v>808</v>
      </c>
      <c r="O210" t="s">
        <v>36</v>
      </c>
      <c r="P210" t="s">
        <v>39</v>
      </c>
      <c r="Q210" t="s">
        <v>75</v>
      </c>
      <c r="R210">
        <v>75</v>
      </c>
      <c r="S210">
        <v>1</v>
      </c>
      <c r="T210" t="s">
        <v>41</v>
      </c>
      <c r="U210" t="s">
        <v>42</v>
      </c>
      <c r="V210">
        <v>3.84</v>
      </c>
      <c r="W210">
        <v>1.43</v>
      </c>
      <c r="X210">
        <v>6.1</v>
      </c>
      <c r="Y210">
        <v>10.6</v>
      </c>
      <c r="Z210">
        <v>19.399999999999999</v>
      </c>
    </row>
    <row r="211" spans="1:26" x14ac:dyDescent="0.45">
      <c r="A211" t="s">
        <v>859</v>
      </c>
      <c r="B211">
        <v>80</v>
      </c>
      <c r="C211" t="s">
        <v>45</v>
      </c>
      <c r="D211" t="s">
        <v>87</v>
      </c>
      <c r="E211" t="s">
        <v>163</v>
      </c>
      <c r="F211" t="s">
        <v>30</v>
      </c>
      <c r="G211" t="s">
        <v>440</v>
      </c>
      <c r="H211" t="s">
        <v>32</v>
      </c>
      <c r="I211" t="s">
        <v>33</v>
      </c>
      <c r="J211" t="s">
        <v>774</v>
      </c>
      <c r="K211" t="s">
        <v>775</v>
      </c>
      <c r="L211" t="s">
        <v>52</v>
      </c>
      <c r="M211" t="s">
        <v>30</v>
      </c>
      <c r="N211" t="s">
        <v>267</v>
      </c>
      <c r="O211" t="s">
        <v>52</v>
      </c>
      <c r="P211" t="s">
        <v>39</v>
      </c>
      <c r="Q211" t="s">
        <v>67</v>
      </c>
      <c r="R211">
        <v>135</v>
      </c>
      <c r="S211">
        <v>1</v>
      </c>
      <c r="T211" t="s">
        <v>41</v>
      </c>
      <c r="U211" t="s">
        <v>57</v>
      </c>
      <c r="V211">
        <v>2.93</v>
      </c>
      <c r="W211">
        <v>4.22</v>
      </c>
      <c r="X211">
        <v>6</v>
      </c>
      <c r="Y211">
        <v>6.8</v>
      </c>
      <c r="Z211">
        <v>13.8</v>
      </c>
    </row>
    <row r="212" spans="1:26" x14ac:dyDescent="0.45">
      <c r="A212" t="s">
        <v>860</v>
      </c>
      <c r="B212">
        <v>46</v>
      </c>
      <c r="C212" t="s">
        <v>27</v>
      </c>
      <c r="D212" t="s">
        <v>95</v>
      </c>
      <c r="E212" t="s">
        <v>29</v>
      </c>
      <c r="F212" t="s">
        <v>47</v>
      </c>
      <c r="G212" t="s">
        <v>96</v>
      </c>
      <c r="H212" t="s">
        <v>71</v>
      </c>
      <c r="I212" t="s">
        <v>33</v>
      </c>
      <c r="J212" t="s">
        <v>861</v>
      </c>
      <c r="K212" t="s">
        <v>862</v>
      </c>
      <c r="L212" t="s">
        <v>36</v>
      </c>
      <c r="M212" t="s">
        <v>863</v>
      </c>
      <c r="N212" t="s">
        <v>379</v>
      </c>
      <c r="O212" t="s">
        <v>36</v>
      </c>
      <c r="P212" t="s">
        <v>55</v>
      </c>
      <c r="Q212" t="s">
        <v>67</v>
      </c>
      <c r="R212">
        <v>38</v>
      </c>
      <c r="S212">
        <v>0</v>
      </c>
      <c r="T212" t="s">
        <v>85</v>
      </c>
      <c r="U212" t="s">
        <v>42</v>
      </c>
      <c r="V212">
        <v>4.8099999999999996</v>
      </c>
      <c r="W212">
        <v>3.41</v>
      </c>
      <c r="X212">
        <v>8.4</v>
      </c>
      <c r="Y212">
        <v>21.9</v>
      </c>
      <c r="Z212">
        <v>6.9</v>
      </c>
    </row>
    <row r="213" spans="1:26" x14ac:dyDescent="0.45">
      <c r="A213" t="s">
        <v>864</v>
      </c>
      <c r="B213">
        <v>53</v>
      </c>
      <c r="C213" t="s">
        <v>27</v>
      </c>
      <c r="D213" t="s">
        <v>87</v>
      </c>
      <c r="E213" t="s">
        <v>78</v>
      </c>
      <c r="F213" t="s">
        <v>79</v>
      </c>
      <c r="G213" t="s">
        <v>31</v>
      </c>
      <c r="H213" t="s">
        <v>71</v>
      </c>
      <c r="I213" t="s">
        <v>132</v>
      </c>
      <c r="J213" t="s">
        <v>865</v>
      </c>
      <c r="K213" t="s">
        <v>866</v>
      </c>
      <c r="L213" t="s">
        <v>52</v>
      </c>
      <c r="M213" t="s">
        <v>309</v>
      </c>
      <c r="N213" t="s">
        <v>562</v>
      </c>
      <c r="O213" t="s">
        <v>52</v>
      </c>
      <c r="P213" t="s">
        <v>110</v>
      </c>
      <c r="Q213" t="s">
        <v>40</v>
      </c>
      <c r="R213">
        <v>85</v>
      </c>
      <c r="S213">
        <v>0</v>
      </c>
      <c r="T213" t="s">
        <v>85</v>
      </c>
      <c r="U213" t="s">
        <v>57</v>
      </c>
      <c r="V213">
        <v>1.85</v>
      </c>
      <c r="W213">
        <v>3.44</v>
      </c>
      <c r="X213">
        <v>4.7</v>
      </c>
      <c r="Y213">
        <v>21.1</v>
      </c>
      <c r="Z213">
        <v>18.3</v>
      </c>
    </row>
    <row r="214" spans="1:26" x14ac:dyDescent="0.45">
      <c r="A214" t="s">
        <v>867</v>
      </c>
      <c r="B214">
        <v>77</v>
      </c>
      <c r="C214" t="s">
        <v>44</v>
      </c>
      <c r="D214" t="s">
        <v>87</v>
      </c>
      <c r="E214" t="s">
        <v>78</v>
      </c>
      <c r="F214" t="s">
        <v>30</v>
      </c>
      <c r="G214" t="s">
        <v>60</v>
      </c>
      <c r="H214" t="s">
        <v>71</v>
      </c>
      <c r="I214" t="s">
        <v>132</v>
      </c>
      <c r="J214" t="s">
        <v>556</v>
      </c>
      <c r="K214" t="s">
        <v>868</v>
      </c>
      <c r="L214" t="s">
        <v>52</v>
      </c>
      <c r="M214" t="s">
        <v>304</v>
      </c>
      <c r="N214" t="s">
        <v>459</v>
      </c>
      <c r="O214" t="s">
        <v>52</v>
      </c>
      <c r="P214" t="s">
        <v>55</v>
      </c>
      <c r="Q214" t="s">
        <v>75</v>
      </c>
      <c r="R214">
        <v>38</v>
      </c>
      <c r="S214">
        <v>0</v>
      </c>
      <c r="T214" t="s">
        <v>56</v>
      </c>
      <c r="U214" t="s">
        <v>57</v>
      </c>
      <c r="V214">
        <v>2.41</v>
      </c>
      <c r="W214">
        <v>1.95</v>
      </c>
      <c r="X214">
        <v>8</v>
      </c>
      <c r="Y214">
        <v>10.9</v>
      </c>
      <c r="Z214">
        <v>17</v>
      </c>
    </row>
    <row r="215" spans="1:26" x14ac:dyDescent="0.45">
      <c r="A215" t="s">
        <v>869</v>
      </c>
      <c r="B215">
        <v>79</v>
      </c>
      <c r="C215" t="s">
        <v>45</v>
      </c>
      <c r="D215" t="s">
        <v>87</v>
      </c>
      <c r="E215" t="s">
        <v>78</v>
      </c>
      <c r="F215" t="s">
        <v>88</v>
      </c>
      <c r="G215" t="s">
        <v>178</v>
      </c>
      <c r="H215" t="s">
        <v>61</v>
      </c>
      <c r="I215" t="s">
        <v>33</v>
      </c>
      <c r="J215" t="s">
        <v>870</v>
      </c>
      <c r="K215" t="s">
        <v>871</v>
      </c>
      <c r="L215" t="s">
        <v>52</v>
      </c>
      <c r="M215" t="s">
        <v>872</v>
      </c>
      <c r="N215" t="s">
        <v>532</v>
      </c>
      <c r="O215" t="s">
        <v>52</v>
      </c>
      <c r="P215" t="s">
        <v>55</v>
      </c>
      <c r="Q215" t="s">
        <v>67</v>
      </c>
      <c r="R215">
        <v>147</v>
      </c>
      <c r="S215">
        <v>0</v>
      </c>
      <c r="T215" t="s">
        <v>85</v>
      </c>
      <c r="U215" t="s">
        <v>42</v>
      </c>
      <c r="V215">
        <v>2.69</v>
      </c>
      <c r="W215">
        <v>3.67</v>
      </c>
      <c r="X215">
        <v>1.9</v>
      </c>
      <c r="Y215">
        <v>17.2</v>
      </c>
      <c r="Z215">
        <v>10.7</v>
      </c>
    </row>
    <row r="216" spans="1:26" x14ac:dyDescent="0.45">
      <c r="A216" t="s">
        <v>873</v>
      </c>
      <c r="B216">
        <v>76</v>
      </c>
      <c r="C216" t="s">
        <v>44</v>
      </c>
      <c r="D216" t="s">
        <v>106</v>
      </c>
      <c r="E216" t="s">
        <v>78</v>
      </c>
      <c r="F216" t="s">
        <v>59</v>
      </c>
      <c r="G216" t="s">
        <v>440</v>
      </c>
      <c r="H216" t="s">
        <v>61</v>
      </c>
      <c r="I216" t="s">
        <v>49</v>
      </c>
      <c r="J216" t="s">
        <v>874</v>
      </c>
      <c r="K216" t="s">
        <v>875</v>
      </c>
      <c r="L216" t="s">
        <v>92</v>
      </c>
      <c r="M216" t="s">
        <v>295</v>
      </c>
      <c r="N216" t="s">
        <v>156</v>
      </c>
      <c r="O216" t="s">
        <v>92</v>
      </c>
      <c r="P216" t="s">
        <v>110</v>
      </c>
      <c r="Q216" t="s">
        <v>75</v>
      </c>
      <c r="R216">
        <v>177</v>
      </c>
      <c r="S216">
        <v>0</v>
      </c>
      <c r="T216" t="s">
        <v>41</v>
      </c>
      <c r="U216" t="s">
        <v>42</v>
      </c>
      <c r="V216">
        <v>3.35</v>
      </c>
      <c r="W216">
        <v>1.67</v>
      </c>
      <c r="X216">
        <v>7.6</v>
      </c>
      <c r="Y216">
        <v>21.5</v>
      </c>
      <c r="Z216">
        <v>6.7</v>
      </c>
    </row>
    <row r="217" spans="1:26" x14ac:dyDescent="0.45">
      <c r="A217" t="s">
        <v>876</v>
      </c>
      <c r="B217">
        <v>60</v>
      </c>
      <c r="C217" t="s">
        <v>45</v>
      </c>
      <c r="D217" t="s">
        <v>87</v>
      </c>
      <c r="E217" t="s">
        <v>29</v>
      </c>
      <c r="F217" t="s">
        <v>30</v>
      </c>
      <c r="G217" t="s">
        <v>194</v>
      </c>
      <c r="H217" t="s">
        <v>61</v>
      </c>
      <c r="I217" t="s">
        <v>49</v>
      </c>
      <c r="J217" t="s">
        <v>414</v>
      </c>
      <c r="K217" t="s">
        <v>877</v>
      </c>
      <c r="L217" t="s">
        <v>92</v>
      </c>
      <c r="M217" t="s">
        <v>53</v>
      </c>
      <c r="N217" t="s">
        <v>122</v>
      </c>
      <c r="O217" t="s">
        <v>92</v>
      </c>
      <c r="P217" t="s">
        <v>110</v>
      </c>
      <c r="Q217" t="s">
        <v>129</v>
      </c>
      <c r="R217">
        <v>173</v>
      </c>
      <c r="S217">
        <v>0</v>
      </c>
      <c r="T217" t="s">
        <v>41</v>
      </c>
      <c r="U217" t="s">
        <v>42</v>
      </c>
      <c r="V217">
        <v>1.38</v>
      </c>
      <c r="W217">
        <v>1.0900000000000001</v>
      </c>
      <c r="X217">
        <v>6.8</v>
      </c>
      <c r="Y217">
        <v>16.899999999999999</v>
      </c>
      <c r="Z217">
        <v>12.3</v>
      </c>
    </row>
    <row r="218" spans="1:26" x14ac:dyDescent="0.45">
      <c r="A218" t="s">
        <v>878</v>
      </c>
      <c r="B218">
        <v>60</v>
      </c>
      <c r="C218" t="s">
        <v>27</v>
      </c>
      <c r="D218" t="s">
        <v>45</v>
      </c>
      <c r="E218" t="s">
        <v>163</v>
      </c>
      <c r="F218" t="s">
        <v>30</v>
      </c>
      <c r="G218" t="s">
        <v>80</v>
      </c>
      <c r="H218" t="s">
        <v>71</v>
      </c>
      <c r="I218" t="s">
        <v>72</v>
      </c>
      <c r="J218" t="s">
        <v>858</v>
      </c>
      <c r="K218" t="s">
        <v>879</v>
      </c>
      <c r="L218" t="s">
        <v>36</v>
      </c>
      <c r="M218" t="s">
        <v>451</v>
      </c>
      <c r="N218" t="s">
        <v>208</v>
      </c>
      <c r="O218" t="s">
        <v>36</v>
      </c>
      <c r="P218" t="s">
        <v>55</v>
      </c>
      <c r="Q218" t="s">
        <v>40</v>
      </c>
      <c r="R218">
        <v>154</v>
      </c>
      <c r="S218">
        <v>0</v>
      </c>
      <c r="T218" t="s">
        <v>85</v>
      </c>
      <c r="U218" t="s">
        <v>42</v>
      </c>
      <c r="V218">
        <v>1.93</v>
      </c>
      <c r="W218">
        <v>2.56</v>
      </c>
      <c r="X218">
        <v>6.4</v>
      </c>
      <c r="Y218">
        <v>14.9</v>
      </c>
      <c r="Z218">
        <v>19.8</v>
      </c>
    </row>
    <row r="219" spans="1:26" x14ac:dyDescent="0.45">
      <c r="A219" t="s">
        <v>880</v>
      </c>
      <c r="B219">
        <v>78</v>
      </c>
      <c r="C219" t="s">
        <v>45</v>
      </c>
      <c r="D219" t="s">
        <v>45</v>
      </c>
      <c r="E219" t="s">
        <v>29</v>
      </c>
      <c r="F219" t="s">
        <v>30</v>
      </c>
      <c r="G219" t="s">
        <v>440</v>
      </c>
      <c r="H219" t="s">
        <v>32</v>
      </c>
      <c r="I219" t="s">
        <v>49</v>
      </c>
      <c r="J219" t="s">
        <v>881</v>
      </c>
      <c r="K219" t="s">
        <v>325</v>
      </c>
      <c r="L219" t="s">
        <v>36</v>
      </c>
      <c r="M219" t="s">
        <v>30</v>
      </c>
      <c r="N219" t="s">
        <v>331</v>
      </c>
      <c r="O219" t="s">
        <v>36</v>
      </c>
      <c r="P219" t="s">
        <v>39</v>
      </c>
      <c r="Q219" t="s">
        <v>67</v>
      </c>
      <c r="R219">
        <v>100</v>
      </c>
      <c r="S219">
        <v>1</v>
      </c>
      <c r="T219" t="s">
        <v>123</v>
      </c>
      <c r="U219" t="s">
        <v>42</v>
      </c>
      <c r="V219">
        <v>1.55</v>
      </c>
      <c r="W219">
        <v>3.78</v>
      </c>
      <c r="X219">
        <v>4.5999999999999996</v>
      </c>
      <c r="Y219">
        <v>13.7</v>
      </c>
      <c r="Z219">
        <v>15.2</v>
      </c>
    </row>
    <row r="220" spans="1:26" x14ac:dyDescent="0.45">
      <c r="A220" t="s">
        <v>882</v>
      </c>
      <c r="B220">
        <v>81</v>
      </c>
      <c r="C220" t="s">
        <v>27</v>
      </c>
      <c r="D220" t="s">
        <v>106</v>
      </c>
      <c r="E220" t="s">
        <v>29</v>
      </c>
      <c r="F220" t="s">
        <v>30</v>
      </c>
      <c r="G220" t="s">
        <v>164</v>
      </c>
      <c r="H220" t="s">
        <v>32</v>
      </c>
      <c r="I220" t="s">
        <v>33</v>
      </c>
      <c r="J220" t="s">
        <v>883</v>
      </c>
      <c r="K220" t="s">
        <v>397</v>
      </c>
      <c r="L220" t="s">
        <v>36</v>
      </c>
      <c r="M220" t="s">
        <v>322</v>
      </c>
      <c r="N220" t="s">
        <v>128</v>
      </c>
      <c r="O220" t="s">
        <v>36</v>
      </c>
      <c r="P220" t="s">
        <v>39</v>
      </c>
      <c r="Q220" t="s">
        <v>129</v>
      </c>
      <c r="R220">
        <v>89</v>
      </c>
      <c r="S220">
        <v>1</v>
      </c>
      <c r="T220" t="s">
        <v>85</v>
      </c>
      <c r="U220" t="s">
        <v>57</v>
      </c>
      <c r="V220">
        <v>3.77</v>
      </c>
      <c r="W220">
        <v>4.97</v>
      </c>
      <c r="X220">
        <v>2.2000000000000002</v>
      </c>
      <c r="Y220">
        <v>7.9</v>
      </c>
      <c r="Z220">
        <v>15.3</v>
      </c>
    </row>
    <row r="221" spans="1:26" x14ac:dyDescent="0.45">
      <c r="A221" t="s">
        <v>884</v>
      </c>
      <c r="B221">
        <v>70</v>
      </c>
      <c r="C221" t="s">
        <v>45</v>
      </c>
      <c r="D221" t="s">
        <v>28</v>
      </c>
      <c r="E221" t="s">
        <v>30</v>
      </c>
      <c r="F221" t="s">
        <v>69</v>
      </c>
      <c r="G221" t="s">
        <v>178</v>
      </c>
      <c r="H221" t="s">
        <v>81</v>
      </c>
      <c r="I221" t="s">
        <v>33</v>
      </c>
      <c r="J221" t="s">
        <v>885</v>
      </c>
      <c r="K221" t="s">
        <v>660</v>
      </c>
      <c r="L221" t="s">
        <v>64</v>
      </c>
      <c r="M221" t="s">
        <v>30</v>
      </c>
      <c r="N221" t="s">
        <v>267</v>
      </c>
      <c r="O221" t="s">
        <v>64</v>
      </c>
      <c r="P221" t="s">
        <v>55</v>
      </c>
      <c r="Q221" t="s">
        <v>30</v>
      </c>
      <c r="R221">
        <v>103</v>
      </c>
      <c r="S221">
        <v>0</v>
      </c>
      <c r="T221" t="s">
        <v>123</v>
      </c>
      <c r="U221" t="s">
        <v>42</v>
      </c>
      <c r="V221">
        <v>3.31</v>
      </c>
      <c r="W221">
        <v>2.1</v>
      </c>
      <c r="X221">
        <v>1.7</v>
      </c>
      <c r="Y221">
        <v>7.5</v>
      </c>
      <c r="Z221">
        <v>18.2</v>
      </c>
    </row>
    <row r="222" spans="1:26" x14ac:dyDescent="0.45">
      <c r="A222" t="s">
        <v>886</v>
      </c>
      <c r="B222">
        <v>63</v>
      </c>
      <c r="C222" t="s">
        <v>44</v>
      </c>
      <c r="D222" t="s">
        <v>95</v>
      </c>
      <c r="E222" t="s">
        <v>46</v>
      </c>
      <c r="F222" t="s">
        <v>30</v>
      </c>
      <c r="G222" t="s">
        <v>112</v>
      </c>
      <c r="H222" t="s">
        <v>32</v>
      </c>
      <c r="I222" t="s">
        <v>72</v>
      </c>
      <c r="J222" t="s">
        <v>887</v>
      </c>
      <c r="K222" t="s">
        <v>888</v>
      </c>
      <c r="L222" t="s">
        <v>52</v>
      </c>
      <c r="M222" t="s">
        <v>67</v>
      </c>
      <c r="N222" t="s">
        <v>463</v>
      </c>
      <c r="O222" t="s">
        <v>52</v>
      </c>
      <c r="P222" t="s">
        <v>39</v>
      </c>
      <c r="Q222" t="s">
        <v>30</v>
      </c>
      <c r="R222">
        <v>177</v>
      </c>
      <c r="S222">
        <v>1</v>
      </c>
      <c r="T222" t="s">
        <v>41</v>
      </c>
      <c r="U222" t="s">
        <v>57</v>
      </c>
      <c r="V222">
        <v>1.77</v>
      </c>
      <c r="W222">
        <v>2.29</v>
      </c>
      <c r="X222">
        <v>3</v>
      </c>
      <c r="Y222">
        <v>12.4</v>
      </c>
      <c r="Z222">
        <v>4.2</v>
      </c>
    </row>
    <row r="223" spans="1:26" x14ac:dyDescent="0.45">
      <c r="A223" t="s">
        <v>889</v>
      </c>
      <c r="B223">
        <v>51</v>
      </c>
      <c r="C223" t="s">
        <v>44</v>
      </c>
      <c r="D223" t="s">
        <v>106</v>
      </c>
      <c r="E223" t="s">
        <v>46</v>
      </c>
      <c r="F223" t="s">
        <v>30</v>
      </c>
      <c r="G223" t="s">
        <v>118</v>
      </c>
      <c r="H223" t="s">
        <v>32</v>
      </c>
      <c r="I223" t="s">
        <v>132</v>
      </c>
      <c r="J223" t="s">
        <v>890</v>
      </c>
      <c r="K223" t="s">
        <v>891</v>
      </c>
      <c r="L223" t="s">
        <v>52</v>
      </c>
      <c r="M223" t="s">
        <v>892</v>
      </c>
      <c r="N223" t="s">
        <v>217</v>
      </c>
      <c r="O223" t="s">
        <v>52</v>
      </c>
      <c r="P223" t="s">
        <v>55</v>
      </c>
      <c r="Q223" t="s">
        <v>67</v>
      </c>
      <c r="R223">
        <v>147</v>
      </c>
      <c r="S223">
        <v>0</v>
      </c>
      <c r="T223" t="s">
        <v>137</v>
      </c>
      <c r="U223" t="s">
        <v>42</v>
      </c>
      <c r="V223">
        <v>3.08</v>
      </c>
      <c r="W223">
        <v>1.27</v>
      </c>
      <c r="X223">
        <v>8.1999999999999993</v>
      </c>
      <c r="Y223">
        <v>10.199999999999999</v>
      </c>
      <c r="Z223">
        <v>12.2</v>
      </c>
    </row>
    <row r="224" spans="1:26" x14ac:dyDescent="0.45">
      <c r="A224" t="s">
        <v>893</v>
      </c>
      <c r="B224">
        <v>18</v>
      </c>
      <c r="C224" t="s">
        <v>45</v>
      </c>
      <c r="D224" t="s">
        <v>45</v>
      </c>
      <c r="E224" t="s">
        <v>29</v>
      </c>
      <c r="F224" t="s">
        <v>59</v>
      </c>
      <c r="G224" t="s">
        <v>70</v>
      </c>
      <c r="H224" t="s">
        <v>32</v>
      </c>
      <c r="I224" t="s">
        <v>72</v>
      </c>
      <c r="J224" t="s">
        <v>894</v>
      </c>
      <c r="K224" t="s">
        <v>895</v>
      </c>
      <c r="L224" t="s">
        <v>92</v>
      </c>
      <c r="M224" t="s">
        <v>517</v>
      </c>
      <c r="N224" t="s">
        <v>327</v>
      </c>
      <c r="O224" t="s">
        <v>92</v>
      </c>
      <c r="P224" t="s">
        <v>110</v>
      </c>
      <c r="Q224" t="s">
        <v>129</v>
      </c>
      <c r="R224">
        <v>108</v>
      </c>
      <c r="S224">
        <v>0</v>
      </c>
      <c r="T224" t="s">
        <v>123</v>
      </c>
      <c r="U224" t="s">
        <v>57</v>
      </c>
      <c r="V224">
        <v>4.5199999999999996</v>
      </c>
      <c r="W224">
        <v>3.6</v>
      </c>
      <c r="X224">
        <v>5.8</v>
      </c>
      <c r="Y224">
        <v>11.8</v>
      </c>
      <c r="Z224">
        <v>8.6999999999999993</v>
      </c>
    </row>
    <row r="225" spans="1:26" x14ac:dyDescent="0.45">
      <c r="A225" t="s">
        <v>896</v>
      </c>
      <c r="B225">
        <v>46</v>
      </c>
      <c r="C225" t="s">
        <v>44</v>
      </c>
      <c r="D225" t="s">
        <v>28</v>
      </c>
      <c r="E225" t="s">
        <v>163</v>
      </c>
      <c r="F225" t="s">
        <v>69</v>
      </c>
      <c r="G225" t="s">
        <v>89</v>
      </c>
      <c r="H225" t="s">
        <v>71</v>
      </c>
      <c r="I225" t="s">
        <v>132</v>
      </c>
      <c r="J225" t="s">
        <v>897</v>
      </c>
      <c r="K225" t="s">
        <v>325</v>
      </c>
      <c r="L225" t="s">
        <v>36</v>
      </c>
      <c r="M225" t="s">
        <v>304</v>
      </c>
      <c r="N225" t="s">
        <v>408</v>
      </c>
      <c r="O225" t="s">
        <v>36</v>
      </c>
      <c r="P225" t="s">
        <v>55</v>
      </c>
      <c r="Q225" t="s">
        <v>75</v>
      </c>
      <c r="R225">
        <v>160</v>
      </c>
      <c r="S225">
        <v>0</v>
      </c>
      <c r="T225" t="s">
        <v>123</v>
      </c>
      <c r="U225" t="s">
        <v>57</v>
      </c>
      <c r="V225">
        <v>3.68</v>
      </c>
      <c r="W225">
        <v>4.9800000000000004</v>
      </c>
      <c r="X225">
        <v>7</v>
      </c>
      <c r="Y225">
        <v>16</v>
      </c>
      <c r="Z225">
        <v>15.4</v>
      </c>
    </row>
    <row r="226" spans="1:26" x14ac:dyDescent="0.45">
      <c r="A226" t="s">
        <v>898</v>
      </c>
      <c r="B226">
        <v>68</v>
      </c>
      <c r="C226" t="s">
        <v>27</v>
      </c>
      <c r="D226" t="s">
        <v>95</v>
      </c>
      <c r="E226" t="s">
        <v>30</v>
      </c>
      <c r="F226" t="s">
        <v>88</v>
      </c>
      <c r="G226" t="s">
        <v>276</v>
      </c>
      <c r="H226" t="s">
        <v>32</v>
      </c>
      <c r="I226" t="s">
        <v>132</v>
      </c>
      <c r="J226" t="s">
        <v>899</v>
      </c>
      <c r="K226" t="s">
        <v>900</v>
      </c>
      <c r="L226" t="s">
        <v>92</v>
      </c>
      <c r="M226" t="s">
        <v>40</v>
      </c>
      <c r="N226" t="s">
        <v>808</v>
      </c>
      <c r="O226" t="s">
        <v>92</v>
      </c>
      <c r="P226" t="s">
        <v>55</v>
      </c>
      <c r="Q226" t="s">
        <v>40</v>
      </c>
      <c r="R226">
        <v>103</v>
      </c>
      <c r="S226">
        <v>0</v>
      </c>
      <c r="T226" t="s">
        <v>41</v>
      </c>
      <c r="U226" t="s">
        <v>57</v>
      </c>
      <c r="V226">
        <v>2.86</v>
      </c>
      <c r="W226">
        <v>1.24</v>
      </c>
      <c r="X226">
        <v>6.1</v>
      </c>
      <c r="Y226">
        <v>23.2</v>
      </c>
      <c r="Z226">
        <v>6</v>
      </c>
    </row>
    <row r="227" spans="1:26" x14ac:dyDescent="0.45">
      <c r="A227" t="s">
        <v>901</v>
      </c>
      <c r="B227">
        <v>71</v>
      </c>
      <c r="C227" t="s">
        <v>27</v>
      </c>
      <c r="D227" t="s">
        <v>45</v>
      </c>
      <c r="E227" t="s">
        <v>29</v>
      </c>
      <c r="F227" t="s">
        <v>79</v>
      </c>
      <c r="G227" t="s">
        <v>276</v>
      </c>
      <c r="H227" t="s">
        <v>81</v>
      </c>
      <c r="I227" t="s">
        <v>132</v>
      </c>
      <c r="J227" t="s">
        <v>902</v>
      </c>
      <c r="K227" t="s">
        <v>903</v>
      </c>
      <c r="L227" t="s">
        <v>92</v>
      </c>
      <c r="M227" t="s">
        <v>40</v>
      </c>
      <c r="N227" t="s">
        <v>586</v>
      </c>
      <c r="O227" t="s">
        <v>92</v>
      </c>
      <c r="P227" t="s">
        <v>55</v>
      </c>
      <c r="Q227" t="s">
        <v>40</v>
      </c>
      <c r="R227">
        <v>74</v>
      </c>
      <c r="S227">
        <v>0</v>
      </c>
      <c r="T227" t="s">
        <v>85</v>
      </c>
      <c r="U227" t="s">
        <v>57</v>
      </c>
      <c r="V227">
        <v>3.76</v>
      </c>
      <c r="W227">
        <v>1.8</v>
      </c>
      <c r="X227">
        <v>5.8</v>
      </c>
      <c r="Y227">
        <v>7.7</v>
      </c>
      <c r="Z227">
        <v>10.7</v>
      </c>
    </row>
    <row r="228" spans="1:26" x14ac:dyDescent="0.45">
      <c r="A228" t="s">
        <v>904</v>
      </c>
      <c r="B228">
        <v>35</v>
      </c>
      <c r="C228" t="s">
        <v>27</v>
      </c>
      <c r="D228" t="s">
        <v>106</v>
      </c>
      <c r="E228" t="s">
        <v>78</v>
      </c>
      <c r="F228" t="s">
        <v>47</v>
      </c>
      <c r="G228" t="s">
        <v>118</v>
      </c>
      <c r="H228" t="s">
        <v>32</v>
      </c>
      <c r="I228" t="s">
        <v>132</v>
      </c>
      <c r="J228" t="s">
        <v>905</v>
      </c>
      <c r="K228" t="s">
        <v>906</v>
      </c>
      <c r="L228" t="s">
        <v>52</v>
      </c>
      <c r="M228" t="s">
        <v>129</v>
      </c>
      <c r="N228" t="s">
        <v>690</v>
      </c>
      <c r="O228" t="s">
        <v>52</v>
      </c>
      <c r="P228" t="s">
        <v>55</v>
      </c>
      <c r="Q228" t="s">
        <v>30</v>
      </c>
      <c r="R228">
        <v>150</v>
      </c>
      <c r="S228">
        <v>0</v>
      </c>
      <c r="T228" t="s">
        <v>123</v>
      </c>
      <c r="U228" t="s">
        <v>57</v>
      </c>
      <c r="V228">
        <v>4.0199999999999996</v>
      </c>
      <c r="W228">
        <v>2.39</v>
      </c>
      <c r="X228">
        <v>7</v>
      </c>
      <c r="Y228">
        <v>20.3</v>
      </c>
      <c r="Z228">
        <v>18.8</v>
      </c>
    </row>
    <row r="229" spans="1:26" x14ac:dyDescent="0.45">
      <c r="A229" t="s">
        <v>907</v>
      </c>
      <c r="B229">
        <v>71</v>
      </c>
      <c r="C229" t="s">
        <v>27</v>
      </c>
      <c r="D229" t="s">
        <v>95</v>
      </c>
      <c r="E229" t="s">
        <v>46</v>
      </c>
      <c r="F229" t="s">
        <v>59</v>
      </c>
      <c r="G229" t="s">
        <v>70</v>
      </c>
      <c r="H229" t="s">
        <v>61</v>
      </c>
      <c r="I229" t="s">
        <v>132</v>
      </c>
      <c r="J229" t="s">
        <v>200</v>
      </c>
      <c r="K229" t="s">
        <v>201</v>
      </c>
      <c r="L229" t="s">
        <v>64</v>
      </c>
      <c r="M229" t="s">
        <v>908</v>
      </c>
      <c r="N229" t="s">
        <v>909</v>
      </c>
      <c r="O229" t="s">
        <v>64</v>
      </c>
      <c r="P229" t="s">
        <v>110</v>
      </c>
      <c r="Q229" t="s">
        <v>75</v>
      </c>
      <c r="R229">
        <v>34</v>
      </c>
      <c r="S229">
        <v>0</v>
      </c>
      <c r="T229" t="s">
        <v>137</v>
      </c>
      <c r="U229" t="s">
        <v>42</v>
      </c>
      <c r="V229">
        <v>1.94</v>
      </c>
      <c r="W229">
        <v>2.6</v>
      </c>
      <c r="X229">
        <v>2.4</v>
      </c>
      <c r="Y229">
        <v>23.9</v>
      </c>
      <c r="Z229">
        <v>18.8</v>
      </c>
    </row>
    <row r="230" spans="1:26" x14ac:dyDescent="0.45">
      <c r="A230" t="s">
        <v>910</v>
      </c>
      <c r="B230">
        <v>25</v>
      </c>
      <c r="C230" t="s">
        <v>27</v>
      </c>
      <c r="D230" t="s">
        <v>28</v>
      </c>
      <c r="E230" t="s">
        <v>78</v>
      </c>
      <c r="F230" t="s">
        <v>30</v>
      </c>
      <c r="G230" t="s">
        <v>96</v>
      </c>
      <c r="H230" t="s">
        <v>32</v>
      </c>
      <c r="I230" t="s">
        <v>72</v>
      </c>
      <c r="J230" t="s">
        <v>911</v>
      </c>
      <c r="K230" t="s">
        <v>912</v>
      </c>
      <c r="L230" t="s">
        <v>64</v>
      </c>
      <c r="M230" t="s">
        <v>30</v>
      </c>
      <c r="N230" t="s">
        <v>198</v>
      </c>
      <c r="O230" t="s">
        <v>64</v>
      </c>
      <c r="P230" t="s">
        <v>110</v>
      </c>
      <c r="Q230" t="s">
        <v>129</v>
      </c>
      <c r="R230">
        <v>161</v>
      </c>
      <c r="S230">
        <v>0</v>
      </c>
      <c r="T230" t="s">
        <v>41</v>
      </c>
      <c r="U230" t="s">
        <v>42</v>
      </c>
      <c r="V230">
        <v>3.16</v>
      </c>
      <c r="W230">
        <v>4.37</v>
      </c>
      <c r="X230">
        <v>5.7</v>
      </c>
      <c r="Y230">
        <v>17.2</v>
      </c>
      <c r="Z230">
        <v>4.5</v>
      </c>
    </row>
    <row r="231" spans="1:26" x14ac:dyDescent="0.45">
      <c r="A231" t="s">
        <v>913</v>
      </c>
      <c r="B231">
        <v>30</v>
      </c>
      <c r="C231" t="s">
        <v>45</v>
      </c>
      <c r="D231" t="s">
        <v>106</v>
      </c>
      <c r="E231" t="s">
        <v>29</v>
      </c>
      <c r="F231" t="s">
        <v>59</v>
      </c>
      <c r="G231" t="s">
        <v>276</v>
      </c>
      <c r="H231" t="s">
        <v>32</v>
      </c>
      <c r="I231" t="s">
        <v>132</v>
      </c>
      <c r="J231" t="s">
        <v>914</v>
      </c>
      <c r="K231" t="s">
        <v>915</v>
      </c>
      <c r="L231" t="s">
        <v>52</v>
      </c>
      <c r="M231" t="s">
        <v>67</v>
      </c>
      <c r="N231" t="s">
        <v>682</v>
      </c>
      <c r="O231" t="s">
        <v>52</v>
      </c>
      <c r="P231" t="s">
        <v>55</v>
      </c>
      <c r="Q231" t="s">
        <v>30</v>
      </c>
      <c r="R231">
        <v>154</v>
      </c>
      <c r="S231">
        <v>0</v>
      </c>
      <c r="T231" t="s">
        <v>56</v>
      </c>
      <c r="U231" t="s">
        <v>57</v>
      </c>
      <c r="V231">
        <v>4.0199999999999996</v>
      </c>
      <c r="W231">
        <v>1.51</v>
      </c>
      <c r="X231">
        <v>8.4</v>
      </c>
      <c r="Y231">
        <v>20.100000000000001</v>
      </c>
      <c r="Z231">
        <v>15</v>
      </c>
    </row>
    <row r="232" spans="1:26" x14ac:dyDescent="0.45">
      <c r="A232" t="s">
        <v>916</v>
      </c>
      <c r="B232">
        <v>38</v>
      </c>
      <c r="C232" t="s">
        <v>27</v>
      </c>
      <c r="D232" t="s">
        <v>106</v>
      </c>
      <c r="E232" t="s">
        <v>46</v>
      </c>
      <c r="F232" t="s">
        <v>30</v>
      </c>
      <c r="G232" t="s">
        <v>89</v>
      </c>
      <c r="H232" t="s">
        <v>61</v>
      </c>
      <c r="I232" t="s">
        <v>33</v>
      </c>
      <c r="J232" t="s">
        <v>917</v>
      </c>
      <c r="K232" t="s">
        <v>918</v>
      </c>
      <c r="L232" t="s">
        <v>92</v>
      </c>
      <c r="M232" t="s">
        <v>427</v>
      </c>
      <c r="N232" t="s">
        <v>447</v>
      </c>
      <c r="O232" t="s">
        <v>92</v>
      </c>
      <c r="P232" t="s">
        <v>55</v>
      </c>
      <c r="Q232" t="s">
        <v>67</v>
      </c>
      <c r="R232">
        <v>143</v>
      </c>
      <c r="S232">
        <v>0</v>
      </c>
      <c r="T232" t="s">
        <v>85</v>
      </c>
      <c r="U232" t="s">
        <v>57</v>
      </c>
      <c r="V232">
        <v>1.1399999999999999</v>
      </c>
      <c r="W232">
        <v>2.21</v>
      </c>
      <c r="X232">
        <v>3.4</v>
      </c>
      <c r="Y232">
        <v>12.5</v>
      </c>
      <c r="Z232">
        <v>4.5</v>
      </c>
    </row>
    <row r="233" spans="1:26" x14ac:dyDescent="0.45">
      <c r="A233" t="s">
        <v>919</v>
      </c>
      <c r="B233">
        <v>40</v>
      </c>
      <c r="C233" t="s">
        <v>45</v>
      </c>
      <c r="D233" t="s">
        <v>28</v>
      </c>
      <c r="E233" t="s">
        <v>163</v>
      </c>
      <c r="F233" t="s">
        <v>30</v>
      </c>
      <c r="G233" t="s">
        <v>102</v>
      </c>
      <c r="H233" t="s">
        <v>71</v>
      </c>
      <c r="I233" t="s">
        <v>72</v>
      </c>
      <c r="J233" t="s">
        <v>920</v>
      </c>
      <c r="K233" t="s">
        <v>921</v>
      </c>
      <c r="L233" t="s">
        <v>52</v>
      </c>
      <c r="M233" t="s">
        <v>67</v>
      </c>
      <c r="N233" t="s">
        <v>922</v>
      </c>
      <c r="O233" t="s">
        <v>52</v>
      </c>
      <c r="P233" t="s">
        <v>55</v>
      </c>
      <c r="Q233" t="s">
        <v>129</v>
      </c>
      <c r="R233">
        <v>49</v>
      </c>
      <c r="S233">
        <v>0</v>
      </c>
      <c r="T233" t="s">
        <v>123</v>
      </c>
      <c r="U233" t="s">
        <v>57</v>
      </c>
      <c r="V233">
        <v>4.75</v>
      </c>
      <c r="W233">
        <v>3.22</v>
      </c>
      <c r="X233">
        <v>3.7</v>
      </c>
      <c r="Y233">
        <v>13.1</v>
      </c>
      <c r="Z233">
        <v>10.6</v>
      </c>
    </row>
    <row r="234" spans="1:26" x14ac:dyDescent="0.45">
      <c r="A234" t="s">
        <v>923</v>
      </c>
      <c r="B234">
        <v>73</v>
      </c>
      <c r="C234" t="s">
        <v>27</v>
      </c>
      <c r="D234" t="s">
        <v>106</v>
      </c>
      <c r="E234" t="s">
        <v>163</v>
      </c>
      <c r="F234" t="s">
        <v>69</v>
      </c>
      <c r="G234" t="s">
        <v>80</v>
      </c>
      <c r="H234" t="s">
        <v>61</v>
      </c>
      <c r="I234" t="s">
        <v>33</v>
      </c>
      <c r="J234" t="s">
        <v>924</v>
      </c>
      <c r="K234" t="s">
        <v>925</v>
      </c>
      <c r="L234" t="s">
        <v>64</v>
      </c>
      <c r="M234" t="s">
        <v>446</v>
      </c>
      <c r="N234" t="s">
        <v>926</v>
      </c>
      <c r="O234" t="s">
        <v>64</v>
      </c>
      <c r="P234" t="s">
        <v>39</v>
      </c>
      <c r="Q234" t="s">
        <v>75</v>
      </c>
      <c r="R234">
        <v>81</v>
      </c>
      <c r="S234">
        <v>1</v>
      </c>
      <c r="T234" t="s">
        <v>41</v>
      </c>
      <c r="U234" t="s">
        <v>57</v>
      </c>
      <c r="V234">
        <v>3.4</v>
      </c>
      <c r="W234">
        <v>3.06</v>
      </c>
      <c r="X234">
        <v>9.3000000000000007</v>
      </c>
      <c r="Y234">
        <v>14.9</v>
      </c>
      <c r="Z234">
        <v>19.899999999999999</v>
      </c>
    </row>
    <row r="235" spans="1:26" x14ac:dyDescent="0.45">
      <c r="A235" t="s">
        <v>927</v>
      </c>
      <c r="B235">
        <v>21</v>
      </c>
      <c r="C235" t="s">
        <v>27</v>
      </c>
      <c r="D235" t="s">
        <v>106</v>
      </c>
      <c r="E235" t="s">
        <v>30</v>
      </c>
      <c r="F235" t="s">
        <v>30</v>
      </c>
      <c r="G235" t="s">
        <v>194</v>
      </c>
      <c r="H235" t="s">
        <v>32</v>
      </c>
      <c r="I235" t="s">
        <v>72</v>
      </c>
      <c r="J235" t="s">
        <v>928</v>
      </c>
      <c r="K235" t="s">
        <v>929</v>
      </c>
      <c r="L235" t="s">
        <v>92</v>
      </c>
      <c r="M235" t="s">
        <v>75</v>
      </c>
      <c r="N235" t="s">
        <v>930</v>
      </c>
      <c r="O235" t="s">
        <v>92</v>
      </c>
      <c r="P235" t="s">
        <v>39</v>
      </c>
      <c r="Q235" t="s">
        <v>75</v>
      </c>
      <c r="R235">
        <v>85</v>
      </c>
      <c r="S235">
        <v>1</v>
      </c>
      <c r="T235" t="s">
        <v>41</v>
      </c>
      <c r="U235" t="s">
        <v>57</v>
      </c>
      <c r="V235">
        <v>4.41</v>
      </c>
      <c r="W235">
        <v>1.83</v>
      </c>
      <c r="X235">
        <v>9.4</v>
      </c>
      <c r="Y235">
        <v>8.1</v>
      </c>
      <c r="Z235">
        <v>16.899999999999999</v>
      </c>
    </row>
    <row r="236" spans="1:26" x14ac:dyDescent="0.45">
      <c r="A236" t="s">
        <v>931</v>
      </c>
      <c r="B236">
        <v>39</v>
      </c>
      <c r="C236" t="s">
        <v>45</v>
      </c>
      <c r="D236" t="s">
        <v>87</v>
      </c>
      <c r="E236" t="s">
        <v>163</v>
      </c>
      <c r="F236" t="s">
        <v>30</v>
      </c>
      <c r="G236" t="s">
        <v>246</v>
      </c>
      <c r="H236" t="s">
        <v>81</v>
      </c>
      <c r="I236" t="s">
        <v>132</v>
      </c>
      <c r="J236" t="s">
        <v>932</v>
      </c>
      <c r="K236" t="s">
        <v>933</v>
      </c>
      <c r="L236" t="s">
        <v>92</v>
      </c>
      <c r="M236" t="s">
        <v>30</v>
      </c>
      <c r="N236" t="s">
        <v>466</v>
      </c>
      <c r="O236" t="s">
        <v>92</v>
      </c>
      <c r="P236" t="s">
        <v>55</v>
      </c>
      <c r="Q236" t="s">
        <v>67</v>
      </c>
      <c r="R236">
        <v>161</v>
      </c>
      <c r="S236">
        <v>0</v>
      </c>
      <c r="T236" t="s">
        <v>41</v>
      </c>
      <c r="U236" t="s">
        <v>57</v>
      </c>
      <c r="V236">
        <v>2.52</v>
      </c>
      <c r="W236">
        <v>4.51</v>
      </c>
      <c r="X236">
        <v>8.8000000000000007</v>
      </c>
      <c r="Y236">
        <v>20.5</v>
      </c>
      <c r="Z236">
        <v>16.399999999999999</v>
      </c>
    </row>
    <row r="237" spans="1:26" x14ac:dyDescent="0.45">
      <c r="A237" t="s">
        <v>934</v>
      </c>
      <c r="B237">
        <v>32</v>
      </c>
      <c r="C237" t="s">
        <v>44</v>
      </c>
      <c r="D237" t="s">
        <v>87</v>
      </c>
      <c r="E237" t="s">
        <v>78</v>
      </c>
      <c r="F237" t="s">
        <v>79</v>
      </c>
      <c r="G237" t="s">
        <v>70</v>
      </c>
      <c r="H237" t="s">
        <v>32</v>
      </c>
      <c r="I237" t="s">
        <v>132</v>
      </c>
      <c r="J237" t="s">
        <v>935</v>
      </c>
      <c r="K237" t="s">
        <v>303</v>
      </c>
      <c r="L237" t="s">
        <v>64</v>
      </c>
      <c r="M237" t="s">
        <v>135</v>
      </c>
      <c r="N237" t="s">
        <v>452</v>
      </c>
      <c r="O237" t="s">
        <v>64</v>
      </c>
      <c r="P237" t="s">
        <v>55</v>
      </c>
      <c r="Q237" t="s">
        <v>75</v>
      </c>
      <c r="R237">
        <v>109</v>
      </c>
      <c r="S237">
        <v>0</v>
      </c>
      <c r="T237" t="s">
        <v>56</v>
      </c>
      <c r="U237" t="s">
        <v>42</v>
      </c>
      <c r="V237">
        <v>2.2200000000000002</v>
      </c>
      <c r="W237">
        <v>1.32</v>
      </c>
      <c r="X237">
        <v>4.5999999999999996</v>
      </c>
      <c r="Y237">
        <v>9.1</v>
      </c>
      <c r="Z237">
        <v>14.8</v>
      </c>
    </row>
    <row r="238" spans="1:26" x14ac:dyDescent="0.45">
      <c r="A238" t="s">
        <v>936</v>
      </c>
      <c r="B238">
        <v>70</v>
      </c>
      <c r="C238" t="s">
        <v>44</v>
      </c>
      <c r="D238" t="s">
        <v>95</v>
      </c>
      <c r="E238" t="s">
        <v>46</v>
      </c>
      <c r="F238" t="s">
        <v>30</v>
      </c>
      <c r="G238" t="s">
        <v>70</v>
      </c>
      <c r="H238" t="s">
        <v>32</v>
      </c>
      <c r="I238" t="s">
        <v>72</v>
      </c>
      <c r="J238" t="s">
        <v>937</v>
      </c>
      <c r="K238" t="s">
        <v>615</v>
      </c>
      <c r="L238" t="s">
        <v>92</v>
      </c>
      <c r="M238" t="s">
        <v>187</v>
      </c>
      <c r="N238" t="s">
        <v>602</v>
      </c>
      <c r="O238" t="s">
        <v>92</v>
      </c>
      <c r="P238" t="s">
        <v>39</v>
      </c>
      <c r="Q238" t="s">
        <v>40</v>
      </c>
      <c r="R238">
        <v>132</v>
      </c>
      <c r="S238">
        <v>1</v>
      </c>
      <c r="T238" t="s">
        <v>85</v>
      </c>
      <c r="U238" t="s">
        <v>42</v>
      </c>
      <c r="V238">
        <v>2.38</v>
      </c>
      <c r="W238">
        <v>4.9000000000000004</v>
      </c>
      <c r="X238">
        <v>6.8</v>
      </c>
      <c r="Y238">
        <v>20.8</v>
      </c>
      <c r="Z238">
        <v>5.3</v>
      </c>
    </row>
    <row r="239" spans="1:26" x14ac:dyDescent="0.45">
      <c r="A239" t="s">
        <v>938</v>
      </c>
      <c r="B239">
        <v>39</v>
      </c>
      <c r="C239" t="s">
        <v>27</v>
      </c>
      <c r="D239" t="s">
        <v>28</v>
      </c>
      <c r="E239" t="s">
        <v>46</v>
      </c>
      <c r="F239" t="s">
        <v>69</v>
      </c>
      <c r="G239" t="s">
        <v>131</v>
      </c>
      <c r="H239" t="s">
        <v>61</v>
      </c>
      <c r="I239" t="s">
        <v>72</v>
      </c>
      <c r="J239" t="s">
        <v>939</v>
      </c>
      <c r="K239" t="s">
        <v>940</v>
      </c>
      <c r="L239" t="s">
        <v>64</v>
      </c>
      <c r="M239" t="s">
        <v>167</v>
      </c>
      <c r="N239" t="s">
        <v>254</v>
      </c>
      <c r="O239" t="s">
        <v>64</v>
      </c>
      <c r="P239" t="s">
        <v>110</v>
      </c>
      <c r="Q239" t="s">
        <v>40</v>
      </c>
      <c r="R239">
        <v>154</v>
      </c>
      <c r="S239">
        <v>0</v>
      </c>
      <c r="T239" t="s">
        <v>85</v>
      </c>
      <c r="U239" t="s">
        <v>57</v>
      </c>
      <c r="V239">
        <v>4.45</v>
      </c>
      <c r="W239">
        <v>4.6900000000000004</v>
      </c>
      <c r="X239">
        <v>5.4</v>
      </c>
      <c r="Y239">
        <v>16.899999999999999</v>
      </c>
      <c r="Z239">
        <v>16</v>
      </c>
    </row>
    <row r="240" spans="1:26" x14ac:dyDescent="0.45">
      <c r="A240" t="s">
        <v>941</v>
      </c>
      <c r="B240">
        <v>36</v>
      </c>
      <c r="C240" t="s">
        <v>44</v>
      </c>
      <c r="D240" t="s">
        <v>87</v>
      </c>
      <c r="E240" t="s">
        <v>163</v>
      </c>
      <c r="F240" t="s">
        <v>47</v>
      </c>
      <c r="G240" t="s">
        <v>60</v>
      </c>
      <c r="H240" t="s">
        <v>71</v>
      </c>
      <c r="I240" t="s">
        <v>49</v>
      </c>
      <c r="J240" t="s">
        <v>925</v>
      </c>
      <c r="K240" t="s">
        <v>942</v>
      </c>
      <c r="L240" t="s">
        <v>36</v>
      </c>
      <c r="M240" t="s">
        <v>221</v>
      </c>
      <c r="N240" t="s">
        <v>926</v>
      </c>
      <c r="O240" t="s">
        <v>36</v>
      </c>
      <c r="P240" t="s">
        <v>110</v>
      </c>
      <c r="Q240" t="s">
        <v>30</v>
      </c>
      <c r="R240">
        <v>69</v>
      </c>
      <c r="S240">
        <v>0</v>
      </c>
      <c r="T240" t="s">
        <v>137</v>
      </c>
      <c r="U240" t="s">
        <v>42</v>
      </c>
      <c r="V240">
        <v>1.7</v>
      </c>
      <c r="W240">
        <v>3.01</v>
      </c>
      <c r="X240">
        <v>4.5999999999999996</v>
      </c>
      <c r="Y240">
        <v>8.6</v>
      </c>
      <c r="Z240">
        <v>9.1999999999999993</v>
      </c>
    </row>
    <row r="241" spans="1:26" x14ac:dyDescent="0.45">
      <c r="A241" t="s">
        <v>943</v>
      </c>
      <c r="B241">
        <v>27</v>
      </c>
      <c r="C241" t="s">
        <v>45</v>
      </c>
      <c r="D241" t="s">
        <v>45</v>
      </c>
      <c r="E241" t="s">
        <v>78</v>
      </c>
      <c r="F241" t="s">
        <v>30</v>
      </c>
      <c r="G241" t="s">
        <v>89</v>
      </c>
      <c r="H241" t="s">
        <v>32</v>
      </c>
      <c r="I241" t="s">
        <v>33</v>
      </c>
      <c r="J241" t="s">
        <v>944</v>
      </c>
      <c r="K241" t="s">
        <v>945</v>
      </c>
      <c r="L241" t="s">
        <v>64</v>
      </c>
      <c r="M241" t="s">
        <v>581</v>
      </c>
      <c r="N241" t="s">
        <v>946</v>
      </c>
      <c r="O241" t="s">
        <v>64</v>
      </c>
      <c r="P241" t="s">
        <v>39</v>
      </c>
      <c r="Q241" t="s">
        <v>40</v>
      </c>
      <c r="R241">
        <v>145</v>
      </c>
      <c r="S241">
        <v>1</v>
      </c>
      <c r="T241" t="s">
        <v>137</v>
      </c>
      <c r="U241" t="s">
        <v>57</v>
      </c>
      <c r="V241">
        <v>1.27</v>
      </c>
      <c r="W241">
        <v>1.1000000000000001</v>
      </c>
      <c r="X241">
        <v>2.2000000000000002</v>
      </c>
      <c r="Y241">
        <v>23.3</v>
      </c>
      <c r="Z241">
        <v>12.3</v>
      </c>
    </row>
    <row r="242" spans="1:26" x14ac:dyDescent="0.45">
      <c r="A242" t="s">
        <v>947</v>
      </c>
      <c r="B242">
        <v>74</v>
      </c>
      <c r="C242" t="s">
        <v>44</v>
      </c>
      <c r="D242" t="s">
        <v>87</v>
      </c>
      <c r="E242" t="s">
        <v>163</v>
      </c>
      <c r="F242" t="s">
        <v>59</v>
      </c>
      <c r="G242" t="s">
        <v>112</v>
      </c>
      <c r="H242" t="s">
        <v>81</v>
      </c>
      <c r="I242" t="s">
        <v>33</v>
      </c>
      <c r="J242" t="s">
        <v>948</v>
      </c>
      <c r="K242" t="s">
        <v>949</v>
      </c>
      <c r="L242" t="s">
        <v>36</v>
      </c>
      <c r="M242" t="s">
        <v>75</v>
      </c>
      <c r="N242" t="s">
        <v>950</v>
      </c>
      <c r="O242" t="s">
        <v>36</v>
      </c>
      <c r="P242" t="s">
        <v>55</v>
      </c>
      <c r="Q242" t="s">
        <v>75</v>
      </c>
      <c r="R242">
        <v>168</v>
      </c>
      <c r="S242">
        <v>0</v>
      </c>
      <c r="T242" t="s">
        <v>85</v>
      </c>
      <c r="U242" t="s">
        <v>57</v>
      </c>
      <c r="V242">
        <v>4.8600000000000003</v>
      </c>
      <c r="W242">
        <v>2.73</v>
      </c>
      <c r="X242">
        <v>3.8</v>
      </c>
      <c r="Y242">
        <v>15.1</v>
      </c>
      <c r="Z242">
        <v>10.5</v>
      </c>
    </row>
    <row r="243" spans="1:26" x14ac:dyDescent="0.45">
      <c r="A243" t="s">
        <v>951</v>
      </c>
      <c r="B243">
        <v>78</v>
      </c>
      <c r="C243" t="s">
        <v>45</v>
      </c>
      <c r="D243" t="s">
        <v>106</v>
      </c>
      <c r="E243" t="s">
        <v>29</v>
      </c>
      <c r="F243" t="s">
        <v>59</v>
      </c>
      <c r="G243" t="s">
        <v>70</v>
      </c>
      <c r="H243" t="s">
        <v>81</v>
      </c>
      <c r="I243" t="s">
        <v>132</v>
      </c>
      <c r="J243" t="s">
        <v>952</v>
      </c>
      <c r="K243" t="s">
        <v>953</v>
      </c>
      <c r="L243" t="s">
        <v>92</v>
      </c>
      <c r="M243" t="s">
        <v>30</v>
      </c>
      <c r="N243" t="s">
        <v>954</v>
      </c>
      <c r="O243" t="s">
        <v>92</v>
      </c>
      <c r="P243" t="s">
        <v>110</v>
      </c>
      <c r="Q243" t="s">
        <v>75</v>
      </c>
      <c r="R243">
        <v>36</v>
      </c>
      <c r="S243">
        <v>0</v>
      </c>
      <c r="T243" t="s">
        <v>137</v>
      </c>
      <c r="U243" t="s">
        <v>57</v>
      </c>
      <c r="V243">
        <v>1.42</v>
      </c>
      <c r="W243">
        <v>3.56</v>
      </c>
      <c r="X243">
        <v>2.9</v>
      </c>
      <c r="Y243">
        <v>17.2</v>
      </c>
      <c r="Z243">
        <v>14.1</v>
      </c>
    </row>
    <row r="244" spans="1:26" x14ac:dyDescent="0.45">
      <c r="A244" t="s">
        <v>955</v>
      </c>
      <c r="B244">
        <v>30</v>
      </c>
      <c r="C244" t="s">
        <v>44</v>
      </c>
      <c r="D244" t="s">
        <v>28</v>
      </c>
      <c r="E244" t="s">
        <v>30</v>
      </c>
      <c r="F244" t="s">
        <v>88</v>
      </c>
      <c r="G244" t="s">
        <v>60</v>
      </c>
      <c r="H244" t="s">
        <v>71</v>
      </c>
      <c r="I244" t="s">
        <v>72</v>
      </c>
      <c r="J244" t="s">
        <v>956</v>
      </c>
      <c r="K244" t="s">
        <v>957</v>
      </c>
      <c r="L244" t="s">
        <v>92</v>
      </c>
      <c r="M244" t="s">
        <v>322</v>
      </c>
      <c r="N244" t="s">
        <v>958</v>
      </c>
      <c r="O244" t="s">
        <v>92</v>
      </c>
      <c r="P244" t="s">
        <v>39</v>
      </c>
      <c r="Q244" t="s">
        <v>75</v>
      </c>
      <c r="R244">
        <v>113</v>
      </c>
      <c r="S244">
        <v>1</v>
      </c>
      <c r="T244" t="s">
        <v>123</v>
      </c>
      <c r="U244" t="s">
        <v>57</v>
      </c>
      <c r="V244">
        <v>1.61</v>
      </c>
      <c r="W244">
        <v>1.25</v>
      </c>
      <c r="X244">
        <v>8</v>
      </c>
      <c r="Y244">
        <v>14.3</v>
      </c>
      <c r="Z244">
        <v>4</v>
      </c>
    </row>
    <row r="245" spans="1:26" x14ac:dyDescent="0.45">
      <c r="A245" t="s">
        <v>959</v>
      </c>
      <c r="B245">
        <v>72</v>
      </c>
      <c r="C245" t="s">
        <v>45</v>
      </c>
      <c r="D245" t="s">
        <v>45</v>
      </c>
      <c r="E245" t="s">
        <v>78</v>
      </c>
      <c r="F245" t="s">
        <v>47</v>
      </c>
      <c r="G245" t="s">
        <v>80</v>
      </c>
      <c r="H245" t="s">
        <v>61</v>
      </c>
      <c r="I245" t="s">
        <v>132</v>
      </c>
      <c r="J245" t="s">
        <v>960</v>
      </c>
      <c r="K245" t="s">
        <v>961</v>
      </c>
      <c r="L245" t="s">
        <v>92</v>
      </c>
      <c r="M245" t="s">
        <v>274</v>
      </c>
      <c r="N245" t="s">
        <v>962</v>
      </c>
      <c r="O245" t="s">
        <v>92</v>
      </c>
      <c r="P245" t="s">
        <v>55</v>
      </c>
      <c r="Q245" t="s">
        <v>75</v>
      </c>
      <c r="R245">
        <v>116</v>
      </c>
      <c r="S245">
        <v>0</v>
      </c>
      <c r="T245" t="s">
        <v>41</v>
      </c>
      <c r="U245" t="s">
        <v>57</v>
      </c>
      <c r="V245">
        <v>4.9800000000000004</v>
      </c>
      <c r="W245">
        <v>1.23</v>
      </c>
      <c r="X245">
        <v>7.3</v>
      </c>
      <c r="Y245">
        <v>23.7</v>
      </c>
      <c r="Z245">
        <v>7.1</v>
      </c>
    </row>
    <row r="246" spans="1:26" x14ac:dyDescent="0.45">
      <c r="A246" t="s">
        <v>963</v>
      </c>
      <c r="B246">
        <v>64</v>
      </c>
      <c r="C246" t="s">
        <v>44</v>
      </c>
      <c r="D246" t="s">
        <v>106</v>
      </c>
      <c r="E246" t="s">
        <v>78</v>
      </c>
      <c r="F246" t="s">
        <v>30</v>
      </c>
      <c r="G246" t="s">
        <v>125</v>
      </c>
      <c r="H246" t="s">
        <v>71</v>
      </c>
      <c r="I246" t="s">
        <v>132</v>
      </c>
      <c r="J246" t="s">
        <v>964</v>
      </c>
      <c r="K246" t="s">
        <v>965</v>
      </c>
      <c r="L246" t="s">
        <v>36</v>
      </c>
      <c r="M246" t="s">
        <v>75</v>
      </c>
      <c r="N246" t="s">
        <v>754</v>
      </c>
      <c r="O246" t="s">
        <v>36</v>
      </c>
      <c r="P246" t="s">
        <v>39</v>
      </c>
      <c r="Q246" t="s">
        <v>75</v>
      </c>
      <c r="R246">
        <v>54</v>
      </c>
      <c r="S246">
        <v>1</v>
      </c>
      <c r="T246" t="s">
        <v>85</v>
      </c>
      <c r="U246" t="s">
        <v>57</v>
      </c>
      <c r="V246">
        <v>1.57</v>
      </c>
      <c r="W246">
        <v>1.49</v>
      </c>
      <c r="X246">
        <v>3.7</v>
      </c>
      <c r="Y246">
        <v>7.8</v>
      </c>
      <c r="Z246">
        <v>14.8</v>
      </c>
    </row>
    <row r="247" spans="1:26" x14ac:dyDescent="0.45">
      <c r="A247" t="s">
        <v>966</v>
      </c>
      <c r="B247">
        <v>52</v>
      </c>
      <c r="C247" t="s">
        <v>27</v>
      </c>
      <c r="D247" t="s">
        <v>45</v>
      </c>
      <c r="E247" t="s">
        <v>29</v>
      </c>
      <c r="F247" t="s">
        <v>79</v>
      </c>
      <c r="G247" t="s">
        <v>194</v>
      </c>
      <c r="H247" t="s">
        <v>61</v>
      </c>
      <c r="I247" t="s">
        <v>132</v>
      </c>
      <c r="J247" t="s">
        <v>642</v>
      </c>
      <c r="K247" t="s">
        <v>967</v>
      </c>
      <c r="L247" t="s">
        <v>64</v>
      </c>
      <c r="M247" t="s">
        <v>40</v>
      </c>
      <c r="N247" t="s">
        <v>780</v>
      </c>
      <c r="O247" t="s">
        <v>64</v>
      </c>
      <c r="P247" t="s">
        <v>55</v>
      </c>
      <c r="Q247" t="s">
        <v>75</v>
      </c>
      <c r="R247">
        <v>161</v>
      </c>
      <c r="S247">
        <v>0</v>
      </c>
      <c r="T247" t="s">
        <v>56</v>
      </c>
      <c r="U247" t="s">
        <v>42</v>
      </c>
      <c r="V247">
        <v>1.25</v>
      </c>
      <c r="W247">
        <v>3.04</v>
      </c>
      <c r="X247">
        <v>10</v>
      </c>
      <c r="Y247">
        <v>20.7</v>
      </c>
      <c r="Z247">
        <v>13.5</v>
      </c>
    </row>
    <row r="248" spans="1:26" x14ac:dyDescent="0.45">
      <c r="A248" t="s">
        <v>968</v>
      </c>
      <c r="B248">
        <v>20</v>
      </c>
      <c r="C248" t="s">
        <v>45</v>
      </c>
      <c r="D248" t="s">
        <v>45</v>
      </c>
      <c r="E248" t="s">
        <v>46</v>
      </c>
      <c r="F248" t="s">
        <v>30</v>
      </c>
      <c r="G248" t="s">
        <v>89</v>
      </c>
      <c r="H248" t="s">
        <v>81</v>
      </c>
      <c r="I248" t="s">
        <v>132</v>
      </c>
      <c r="J248" t="s">
        <v>969</v>
      </c>
      <c r="K248" t="s">
        <v>970</v>
      </c>
      <c r="L248" t="s">
        <v>36</v>
      </c>
      <c r="M248" t="s">
        <v>221</v>
      </c>
      <c r="N248" t="s">
        <v>971</v>
      </c>
      <c r="O248" t="s">
        <v>36</v>
      </c>
      <c r="P248" t="s">
        <v>39</v>
      </c>
      <c r="Q248" t="s">
        <v>67</v>
      </c>
      <c r="R248">
        <v>68</v>
      </c>
      <c r="S248">
        <v>1</v>
      </c>
      <c r="T248" t="s">
        <v>137</v>
      </c>
      <c r="U248" t="s">
        <v>57</v>
      </c>
      <c r="V248">
        <v>2.23</v>
      </c>
      <c r="W248">
        <v>3.5</v>
      </c>
      <c r="X248">
        <v>5.7</v>
      </c>
      <c r="Y248">
        <v>13.7</v>
      </c>
      <c r="Z248">
        <v>5.2</v>
      </c>
    </row>
    <row r="249" spans="1:26" x14ac:dyDescent="0.45">
      <c r="A249" t="s">
        <v>972</v>
      </c>
      <c r="B249">
        <v>70</v>
      </c>
      <c r="C249" t="s">
        <v>44</v>
      </c>
      <c r="D249" t="s">
        <v>87</v>
      </c>
      <c r="E249" t="s">
        <v>46</v>
      </c>
      <c r="F249" t="s">
        <v>30</v>
      </c>
      <c r="G249" t="s">
        <v>184</v>
      </c>
      <c r="H249" t="s">
        <v>32</v>
      </c>
      <c r="I249" t="s">
        <v>72</v>
      </c>
      <c r="J249" t="s">
        <v>973</v>
      </c>
      <c r="K249" t="s">
        <v>974</v>
      </c>
      <c r="L249" t="s">
        <v>36</v>
      </c>
      <c r="M249" t="s">
        <v>129</v>
      </c>
      <c r="N249" t="s">
        <v>116</v>
      </c>
      <c r="O249" t="s">
        <v>36</v>
      </c>
      <c r="P249" t="s">
        <v>39</v>
      </c>
      <c r="Q249" t="s">
        <v>129</v>
      </c>
      <c r="R249">
        <v>92</v>
      </c>
      <c r="S249">
        <v>1</v>
      </c>
      <c r="T249" t="s">
        <v>137</v>
      </c>
      <c r="U249" t="s">
        <v>57</v>
      </c>
      <c r="V249">
        <v>4.55</v>
      </c>
      <c r="W249">
        <v>2.8</v>
      </c>
      <c r="X249">
        <v>2.8</v>
      </c>
      <c r="Y249">
        <v>12.6</v>
      </c>
      <c r="Z249">
        <v>10</v>
      </c>
    </row>
    <row r="250" spans="1:26" x14ac:dyDescent="0.45">
      <c r="A250" t="s">
        <v>975</v>
      </c>
      <c r="B250">
        <v>80</v>
      </c>
      <c r="C250" t="s">
        <v>45</v>
      </c>
      <c r="D250" t="s">
        <v>95</v>
      </c>
      <c r="E250" t="s">
        <v>78</v>
      </c>
      <c r="F250" t="s">
        <v>30</v>
      </c>
      <c r="G250" t="s">
        <v>118</v>
      </c>
      <c r="H250" t="s">
        <v>71</v>
      </c>
      <c r="I250" t="s">
        <v>72</v>
      </c>
      <c r="J250" t="s">
        <v>976</v>
      </c>
      <c r="K250" t="s">
        <v>977</v>
      </c>
      <c r="L250" t="s">
        <v>64</v>
      </c>
      <c r="M250" t="s">
        <v>978</v>
      </c>
      <c r="N250" t="s">
        <v>459</v>
      </c>
      <c r="O250" t="s">
        <v>64</v>
      </c>
      <c r="P250" t="s">
        <v>110</v>
      </c>
      <c r="Q250" t="s">
        <v>40</v>
      </c>
      <c r="R250">
        <v>35</v>
      </c>
      <c r="S250">
        <v>0</v>
      </c>
      <c r="T250" t="s">
        <v>123</v>
      </c>
      <c r="U250" t="s">
        <v>42</v>
      </c>
      <c r="V250">
        <v>4.3099999999999996</v>
      </c>
      <c r="W250">
        <v>3.93</v>
      </c>
      <c r="X250">
        <v>7.9</v>
      </c>
      <c r="Y250">
        <v>6.2</v>
      </c>
      <c r="Z250">
        <v>10.1</v>
      </c>
    </row>
    <row r="251" spans="1:26" x14ac:dyDescent="0.45">
      <c r="A251" t="s">
        <v>979</v>
      </c>
      <c r="B251">
        <v>58</v>
      </c>
      <c r="C251" t="s">
        <v>45</v>
      </c>
      <c r="D251" t="s">
        <v>28</v>
      </c>
      <c r="E251" t="s">
        <v>163</v>
      </c>
      <c r="F251" t="s">
        <v>30</v>
      </c>
      <c r="G251" t="s">
        <v>48</v>
      </c>
      <c r="H251" t="s">
        <v>32</v>
      </c>
      <c r="I251" t="s">
        <v>49</v>
      </c>
      <c r="J251" t="s">
        <v>980</v>
      </c>
      <c r="K251" t="s">
        <v>145</v>
      </c>
      <c r="L251" t="s">
        <v>52</v>
      </c>
      <c r="M251" t="s">
        <v>75</v>
      </c>
      <c r="N251" t="s">
        <v>504</v>
      </c>
      <c r="O251" t="s">
        <v>52</v>
      </c>
      <c r="P251" t="s">
        <v>110</v>
      </c>
      <c r="Q251" t="s">
        <v>129</v>
      </c>
      <c r="R251">
        <v>163</v>
      </c>
      <c r="S251">
        <v>0</v>
      </c>
      <c r="T251" t="s">
        <v>85</v>
      </c>
      <c r="U251" t="s">
        <v>57</v>
      </c>
      <c r="V251">
        <v>2.93</v>
      </c>
      <c r="W251">
        <v>1.08</v>
      </c>
      <c r="X251">
        <v>3.3</v>
      </c>
      <c r="Y251">
        <v>19.7</v>
      </c>
      <c r="Z251">
        <v>5.3</v>
      </c>
    </row>
    <row r="252" spans="1:26" x14ac:dyDescent="0.45">
      <c r="A252" t="s">
        <v>981</v>
      </c>
      <c r="B252">
        <v>81</v>
      </c>
      <c r="C252" t="s">
        <v>27</v>
      </c>
      <c r="D252" t="s">
        <v>106</v>
      </c>
      <c r="E252" t="s">
        <v>29</v>
      </c>
      <c r="F252" t="s">
        <v>59</v>
      </c>
      <c r="G252" t="s">
        <v>31</v>
      </c>
      <c r="H252" t="s">
        <v>81</v>
      </c>
      <c r="I252" t="s">
        <v>72</v>
      </c>
      <c r="J252" t="s">
        <v>982</v>
      </c>
      <c r="K252" t="s">
        <v>315</v>
      </c>
      <c r="L252" t="s">
        <v>52</v>
      </c>
      <c r="M252" t="s">
        <v>30</v>
      </c>
      <c r="N252" t="s">
        <v>366</v>
      </c>
      <c r="O252" t="s">
        <v>52</v>
      </c>
      <c r="P252" t="s">
        <v>55</v>
      </c>
      <c r="Q252" t="s">
        <v>30</v>
      </c>
      <c r="R252">
        <v>180</v>
      </c>
      <c r="S252">
        <v>0</v>
      </c>
      <c r="T252" t="s">
        <v>123</v>
      </c>
      <c r="U252" t="s">
        <v>57</v>
      </c>
      <c r="V252">
        <v>3.14</v>
      </c>
      <c r="W252">
        <v>1.86</v>
      </c>
      <c r="X252">
        <v>1.1000000000000001</v>
      </c>
      <c r="Y252">
        <v>10.3</v>
      </c>
      <c r="Z252">
        <v>19.600000000000001</v>
      </c>
    </row>
    <row r="253" spans="1:26" x14ac:dyDescent="0.45">
      <c r="A253" t="s">
        <v>983</v>
      </c>
      <c r="B253">
        <v>65</v>
      </c>
      <c r="C253" t="s">
        <v>45</v>
      </c>
      <c r="D253" t="s">
        <v>87</v>
      </c>
      <c r="E253" t="s">
        <v>30</v>
      </c>
      <c r="F253" t="s">
        <v>30</v>
      </c>
      <c r="G253" t="s">
        <v>70</v>
      </c>
      <c r="H253" t="s">
        <v>71</v>
      </c>
      <c r="I253" t="s">
        <v>132</v>
      </c>
      <c r="J253" t="s">
        <v>441</v>
      </c>
      <c r="K253" t="s">
        <v>984</v>
      </c>
      <c r="L253" t="s">
        <v>64</v>
      </c>
      <c r="M253" t="s">
        <v>451</v>
      </c>
      <c r="N253" t="s">
        <v>808</v>
      </c>
      <c r="O253" t="s">
        <v>64</v>
      </c>
      <c r="P253" t="s">
        <v>110</v>
      </c>
      <c r="Q253" t="s">
        <v>129</v>
      </c>
      <c r="R253">
        <v>91</v>
      </c>
      <c r="S253">
        <v>0</v>
      </c>
      <c r="T253" t="s">
        <v>137</v>
      </c>
      <c r="U253" t="s">
        <v>57</v>
      </c>
      <c r="V253">
        <v>4.21</v>
      </c>
      <c r="W253">
        <v>4.84</v>
      </c>
      <c r="X253">
        <v>5.4</v>
      </c>
      <c r="Y253">
        <v>8</v>
      </c>
      <c r="Z253">
        <v>12.3</v>
      </c>
    </row>
    <row r="254" spans="1:26" x14ac:dyDescent="0.45">
      <c r="A254" t="s">
        <v>985</v>
      </c>
      <c r="B254">
        <v>57</v>
      </c>
      <c r="C254" t="s">
        <v>45</v>
      </c>
      <c r="D254" t="s">
        <v>28</v>
      </c>
      <c r="E254" t="s">
        <v>163</v>
      </c>
      <c r="F254" t="s">
        <v>30</v>
      </c>
      <c r="G254" t="s">
        <v>60</v>
      </c>
      <c r="H254" t="s">
        <v>81</v>
      </c>
      <c r="I254" t="s">
        <v>33</v>
      </c>
      <c r="J254" t="s">
        <v>986</v>
      </c>
      <c r="K254" t="s">
        <v>765</v>
      </c>
      <c r="L254" t="s">
        <v>92</v>
      </c>
      <c r="M254" t="s">
        <v>30</v>
      </c>
      <c r="N254" t="s">
        <v>987</v>
      </c>
      <c r="O254" t="s">
        <v>92</v>
      </c>
      <c r="P254" t="s">
        <v>39</v>
      </c>
      <c r="Q254" t="s">
        <v>40</v>
      </c>
      <c r="R254">
        <v>111</v>
      </c>
      <c r="S254">
        <v>1</v>
      </c>
      <c r="T254" t="s">
        <v>56</v>
      </c>
      <c r="U254" t="s">
        <v>42</v>
      </c>
      <c r="V254">
        <v>2.82</v>
      </c>
      <c r="W254">
        <v>4.38</v>
      </c>
      <c r="X254">
        <v>1.9</v>
      </c>
      <c r="Y254">
        <v>14.8</v>
      </c>
      <c r="Z254">
        <v>5.6</v>
      </c>
    </row>
    <row r="255" spans="1:26" x14ac:dyDescent="0.45">
      <c r="A255" t="s">
        <v>988</v>
      </c>
      <c r="B255">
        <v>53</v>
      </c>
      <c r="C255" t="s">
        <v>27</v>
      </c>
      <c r="D255" t="s">
        <v>95</v>
      </c>
      <c r="E255" t="s">
        <v>78</v>
      </c>
      <c r="F255" t="s">
        <v>30</v>
      </c>
      <c r="G255" t="s">
        <v>31</v>
      </c>
      <c r="H255" t="s">
        <v>81</v>
      </c>
      <c r="I255" t="s">
        <v>49</v>
      </c>
      <c r="J255" t="s">
        <v>989</v>
      </c>
      <c r="K255" t="s">
        <v>990</v>
      </c>
      <c r="L255" t="s">
        <v>92</v>
      </c>
      <c r="M255" t="s">
        <v>295</v>
      </c>
      <c r="N255" t="s">
        <v>991</v>
      </c>
      <c r="O255" t="s">
        <v>92</v>
      </c>
      <c r="P255" t="s">
        <v>110</v>
      </c>
      <c r="Q255" t="s">
        <v>129</v>
      </c>
      <c r="R255">
        <v>43</v>
      </c>
      <c r="S255">
        <v>0</v>
      </c>
      <c r="T255" t="s">
        <v>41</v>
      </c>
      <c r="U255" t="s">
        <v>57</v>
      </c>
      <c r="V255">
        <v>2.2999999999999998</v>
      </c>
      <c r="W255">
        <v>3.95</v>
      </c>
      <c r="X255">
        <v>5.3</v>
      </c>
      <c r="Y255">
        <v>12.8</v>
      </c>
      <c r="Z255">
        <v>9.6999999999999993</v>
      </c>
    </row>
    <row r="256" spans="1:26" x14ac:dyDescent="0.45">
      <c r="A256" t="s">
        <v>992</v>
      </c>
      <c r="B256">
        <v>35</v>
      </c>
      <c r="C256" t="s">
        <v>27</v>
      </c>
      <c r="D256" t="s">
        <v>95</v>
      </c>
      <c r="E256" t="s">
        <v>46</v>
      </c>
      <c r="F256" t="s">
        <v>30</v>
      </c>
      <c r="G256" t="s">
        <v>31</v>
      </c>
      <c r="H256" t="s">
        <v>61</v>
      </c>
      <c r="I256" t="s">
        <v>49</v>
      </c>
      <c r="J256" t="s">
        <v>993</v>
      </c>
      <c r="K256" t="s">
        <v>468</v>
      </c>
      <c r="L256" t="s">
        <v>52</v>
      </c>
      <c r="M256" t="s">
        <v>167</v>
      </c>
      <c r="N256" t="s">
        <v>192</v>
      </c>
      <c r="O256" t="s">
        <v>52</v>
      </c>
      <c r="P256" t="s">
        <v>110</v>
      </c>
      <c r="Q256" t="s">
        <v>67</v>
      </c>
      <c r="R256">
        <v>96</v>
      </c>
      <c r="S256">
        <v>0</v>
      </c>
      <c r="T256" t="s">
        <v>41</v>
      </c>
      <c r="U256" t="s">
        <v>57</v>
      </c>
      <c r="V256">
        <v>2.84</v>
      </c>
      <c r="W256">
        <v>4.1399999999999997</v>
      </c>
      <c r="X256">
        <v>9</v>
      </c>
      <c r="Y256">
        <v>23.2</v>
      </c>
      <c r="Z256">
        <v>16.399999999999999</v>
      </c>
    </row>
    <row r="257" spans="1:26" x14ac:dyDescent="0.45">
      <c r="A257" t="s">
        <v>994</v>
      </c>
      <c r="B257">
        <v>54</v>
      </c>
      <c r="C257" t="s">
        <v>27</v>
      </c>
      <c r="D257" t="s">
        <v>87</v>
      </c>
      <c r="E257" t="s">
        <v>78</v>
      </c>
      <c r="F257" t="s">
        <v>47</v>
      </c>
      <c r="G257" t="s">
        <v>131</v>
      </c>
      <c r="H257" t="s">
        <v>71</v>
      </c>
      <c r="I257" t="s">
        <v>49</v>
      </c>
      <c r="J257" t="s">
        <v>995</v>
      </c>
      <c r="K257" t="s">
        <v>996</v>
      </c>
      <c r="L257" t="s">
        <v>52</v>
      </c>
      <c r="M257" t="s">
        <v>40</v>
      </c>
      <c r="N257" t="s">
        <v>997</v>
      </c>
      <c r="O257" t="s">
        <v>52</v>
      </c>
      <c r="P257" t="s">
        <v>55</v>
      </c>
      <c r="Q257" t="s">
        <v>67</v>
      </c>
      <c r="R257">
        <v>42</v>
      </c>
      <c r="S257">
        <v>0</v>
      </c>
      <c r="T257" t="s">
        <v>56</v>
      </c>
      <c r="U257" t="s">
        <v>57</v>
      </c>
      <c r="V257">
        <v>2.2599999999999998</v>
      </c>
      <c r="W257">
        <v>3.75</v>
      </c>
      <c r="X257">
        <v>4.9000000000000004</v>
      </c>
      <c r="Y257">
        <v>10.6</v>
      </c>
      <c r="Z257">
        <v>17.3</v>
      </c>
    </row>
    <row r="258" spans="1:26" x14ac:dyDescent="0.45">
      <c r="A258" t="s">
        <v>998</v>
      </c>
      <c r="B258">
        <v>51</v>
      </c>
      <c r="C258" t="s">
        <v>27</v>
      </c>
      <c r="D258" t="s">
        <v>87</v>
      </c>
      <c r="E258" t="s">
        <v>30</v>
      </c>
      <c r="F258" t="s">
        <v>69</v>
      </c>
      <c r="G258" t="s">
        <v>102</v>
      </c>
      <c r="H258" t="s">
        <v>61</v>
      </c>
      <c r="I258" t="s">
        <v>33</v>
      </c>
      <c r="J258" t="s">
        <v>396</v>
      </c>
      <c r="K258" t="s">
        <v>999</v>
      </c>
      <c r="L258" t="s">
        <v>52</v>
      </c>
      <c r="M258" t="s">
        <v>352</v>
      </c>
      <c r="N258" t="s">
        <v>1000</v>
      </c>
      <c r="O258" t="s">
        <v>52</v>
      </c>
      <c r="P258" t="s">
        <v>110</v>
      </c>
      <c r="Q258" t="s">
        <v>40</v>
      </c>
      <c r="R258">
        <v>127</v>
      </c>
      <c r="S258">
        <v>0</v>
      </c>
      <c r="T258" t="s">
        <v>41</v>
      </c>
      <c r="U258" t="s">
        <v>57</v>
      </c>
      <c r="V258">
        <v>1.1499999999999999</v>
      </c>
      <c r="W258">
        <v>4.6100000000000003</v>
      </c>
      <c r="X258">
        <v>5.2</v>
      </c>
      <c r="Y258">
        <v>17.5</v>
      </c>
      <c r="Z258">
        <v>14.2</v>
      </c>
    </row>
    <row r="259" spans="1:26" x14ac:dyDescent="0.45">
      <c r="A259" t="s">
        <v>1001</v>
      </c>
      <c r="B259">
        <v>44</v>
      </c>
      <c r="C259" t="s">
        <v>45</v>
      </c>
      <c r="D259" t="s">
        <v>106</v>
      </c>
      <c r="E259" t="s">
        <v>30</v>
      </c>
      <c r="F259" t="s">
        <v>30</v>
      </c>
      <c r="G259" t="s">
        <v>89</v>
      </c>
      <c r="H259" t="s">
        <v>81</v>
      </c>
      <c r="I259" t="s">
        <v>72</v>
      </c>
      <c r="J259" t="s">
        <v>1002</v>
      </c>
      <c r="K259" t="s">
        <v>1003</v>
      </c>
      <c r="L259" t="s">
        <v>64</v>
      </c>
      <c r="M259" t="s">
        <v>75</v>
      </c>
      <c r="N259" t="s">
        <v>1004</v>
      </c>
      <c r="O259" t="s">
        <v>64</v>
      </c>
      <c r="P259" t="s">
        <v>39</v>
      </c>
      <c r="Q259" t="s">
        <v>30</v>
      </c>
      <c r="R259">
        <v>179</v>
      </c>
      <c r="S259">
        <v>1</v>
      </c>
      <c r="T259" t="s">
        <v>56</v>
      </c>
      <c r="U259" t="s">
        <v>42</v>
      </c>
      <c r="V259">
        <v>4.58</v>
      </c>
      <c r="W259">
        <v>3.55</v>
      </c>
      <c r="X259">
        <v>6.5</v>
      </c>
      <c r="Y259">
        <v>7.2</v>
      </c>
      <c r="Z259">
        <v>11.8</v>
      </c>
    </row>
    <row r="260" spans="1:26" x14ac:dyDescent="0.45">
      <c r="A260" t="s">
        <v>1005</v>
      </c>
      <c r="B260">
        <v>19</v>
      </c>
      <c r="C260" t="s">
        <v>44</v>
      </c>
      <c r="D260" t="s">
        <v>106</v>
      </c>
      <c r="E260" t="s">
        <v>30</v>
      </c>
      <c r="F260" t="s">
        <v>30</v>
      </c>
      <c r="G260" t="s">
        <v>131</v>
      </c>
      <c r="H260" t="s">
        <v>71</v>
      </c>
      <c r="I260" t="s">
        <v>33</v>
      </c>
      <c r="J260" t="s">
        <v>1006</v>
      </c>
      <c r="K260" t="s">
        <v>1007</v>
      </c>
      <c r="L260" t="s">
        <v>92</v>
      </c>
      <c r="M260" t="s">
        <v>75</v>
      </c>
      <c r="N260" t="s">
        <v>244</v>
      </c>
      <c r="O260" t="s">
        <v>92</v>
      </c>
      <c r="P260" t="s">
        <v>39</v>
      </c>
      <c r="Q260" t="s">
        <v>30</v>
      </c>
      <c r="R260">
        <v>90</v>
      </c>
      <c r="S260">
        <v>1</v>
      </c>
      <c r="T260" t="s">
        <v>56</v>
      </c>
      <c r="U260" t="s">
        <v>57</v>
      </c>
      <c r="V260">
        <v>1.6</v>
      </c>
      <c r="W260">
        <v>3.95</v>
      </c>
      <c r="X260">
        <v>5.6</v>
      </c>
      <c r="Y260">
        <v>18.2</v>
      </c>
      <c r="Z260">
        <v>3.7</v>
      </c>
    </row>
    <row r="261" spans="1:26" x14ac:dyDescent="0.45">
      <c r="A261" t="s">
        <v>1008</v>
      </c>
      <c r="B261">
        <v>23</v>
      </c>
      <c r="C261" t="s">
        <v>27</v>
      </c>
      <c r="D261" t="s">
        <v>28</v>
      </c>
      <c r="E261" t="s">
        <v>29</v>
      </c>
      <c r="F261" t="s">
        <v>30</v>
      </c>
      <c r="G261" t="s">
        <v>276</v>
      </c>
      <c r="H261" t="s">
        <v>81</v>
      </c>
      <c r="I261" t="s">
        <v>132</v>
      </c>
      <c r="J261" t="s">
        <v>1009</v>
      </c>
      <c r="K261" t="s">
        <v>953</v>
      </c>
      <c r="L261" t="s">
        <v>52</v>
      </c>
      <c r="M261" t="s">
        <v>469</v>
      </c>
      <c r="N261" t="s">
        <v>962</v>
      </c>
      <c r="O261" t="s">
        <v>52</v>
      </c>
      <c r="P261" t="s">
        <v>55</v>
      </c>
      <c r="Q261" t="s">
        <v>67</v>
      </c>
      <c r="R261">
        <v>52</v>
      </c>
      <c r="S261">
        <v>0</v>
      </c>
      <c r="T261" t="s">
        <v>137</v>
      </c>
      <c r="U261" t="s">
        <v>57</v>
      </c>
      <c r="V261">
        <v>1.34</v>
      </c>
      <c r="W261">
        <v>3.87</v>
      </c>
      <c r="X261">
        <v>1.6</v>
      </c>
      <c r="Y261">
        <v>7.3</v>
      </c>
      <c r="Z261">
        <v>3.2</v>
      </c>
    </row>
    <row r="262" spans="1:26" x14ac:dyDescent="0.45">
      <c r="A262" t="s">
        <v>1010</v>
      </c>
      <c r="B262">
        <v>36</v>
      </c>
      <c r="C262" t="s">
        <v>44</v>
      </c>
      <c r="D262" t="s">
        <v>87</v>
      </c>
      <c r="E262" t="s">
        <v>30</v>
      </c>
      <c r="F262" t="s">
        <v>79</v>
      </c>
      <c r="G262" t="s">
        <v>70</v>
      </c>
      <c r="H262" t="s">
        <v>32</v>
      </c>
      <c r="I262" t="s">
        <v>132</v>
      </c>
      <c r="J262" t="s">
        <v>457</v>
      </c>
      <c r="K262" t="s">
        <v>1011</v>
      </c>
      <c r="L262" t="s">
        <v>64</v>
      </c>
      <c r="M262" t="s">
        <v>431</v>
      </c>
      <c r="N262" t="s">
        <v>521</v>
      </c>
      <c r="O262" t="s">
        <v>64</v>
      </c>
      <c r="P262" t="s">
        <v>110</v>
      </c>
      <c r="Q262" t="s">
        <v>40</v>
      </c>
      <c r="R262">
        <v>68</v>
      </c>
      <c r="S262">
        <v>0</v>
      </c>
      <c r="T262" t="s">
        <v>85</v>
      </c>
      <c r="U262" t="s">
        <v>57</v>
      </c>
      <c r="V262">
        <v>4.83</v>
      </c>
      <c r="W262">
        <v>3.95</v>
      </c>
      <c r="X262">
        <v>4.2</v>
      </c>
      <c r="Y262">
        <v>11.3</v>
      </c>
      <c r="Z262">
        <v>8.9</v>
      </c>
    </row>
    <row r="263" spans="1:26" x14ac:dyDescent="0.45">
      <c r="A263" t="s">
        <v>1012</v>
      </c>
      <c r="B263">
        <v>24</v>
      </c>
      <c r="C263" t="s">
        <v>27</v>
      </c>
      <c r="D263" t="s">
        <v>106</v>
      </c>
      <c r="E263" t="s">
        <v>163</v>
      </c>
      <c r="F263" t="s">
        <v>88</v>
      </c>
      <c r="G263" t="s">
        <v>70</v>
      </c>
      <c r="H263" t="s">
        <v>32</v>
      </c>
      <c r="I263" t="s">
        <v>72</v>
      </c>
      <c r="J263" t="s">
        <v>277</v>
      </c>
      <c r="K263" t="s">
        <v>1013</v>
      </c>
      <c r="L263" t="s">
        <v>92</v>
      </c>
      <c r="M263" t="s">
        <v>317</v>
      </c>
      <c r="N263" t="s">
        <v>1014</v>
      </c>
      <c r="O263" t="s">
        <v>92</v>
      </c>
      <c r="P263" t="s">
        <v>55</v>
      </c>
      <c r="Q263" t="s">
        <v>129</v>
      </c>
      <c r="R263">
        <v>67</v>
      </c>
      <c r="S263">
        <v>0</v>
      </c>
      <c r="T263" t="s">
        <v>123</v>
      </c>
      <c r="U263" t="s">
        <v>57</v>
      </c>
      <c r="V263">
        <v>4.0999999999999996</v>
      </c>
      <c r="W263">
        <v>3.65</v>
      </c>
      <c r="X263">
        <v>2.7</v>
      </c>
      <c r="Y263">
        <v>9.1</v>
      </c>
      <c r="Z263">
        <v>4.7</v>
      </c>
    </row>
    <row r="264" spans="1:26" x14ac:dyDescent="0.45">
      <c r="A264" t="s">
        <v>1015</v>
      </c>
      <c r="B264">
        <v>29</v>
      </c>
      <c r="C264" t="s">
        <v>27</v>
      </c>
      <c r="D264" t="s">
        <v>28</v>
      </c>
      <c r="E264" t="s">
        <v>46</v>
      </c>
      <c r="F264" t="s">
        <v>30</v>
      </c>
      <c r="G264" t="s">
        <v>246</v>
      </c>
      <c r="H264" t="s">
        <v>32</v>
      </c>
      <c r="I264" t="s">
        <v>72</v>
      </c>
      <c r="J264" t="s">
        <v>1016</v>
      </c>
      <c r="K264" t="s">
        <v>1017</v>
      </c>
      <c r="L264" t="s">
        <v>52</v>
      </c>
      <c r="M264" t="s">
        <v>274</v>
      </c>
      <c r="N264" t="s">
        <v>571</v>
      </c>
      <c r="O264" t="s">
        <v>52</v>
      </c>
      <c r="P264" t="s">
        <v>55</v>
      </c>
      <c r="Q264" t="s">
        <v>129</v>
      </c>
      <c r="R264">
        <v>114</v>
      </c>
      <c r="S264">
        <v>0</v>
      </c>
      <c r="T264" t="s">
        <v>123</v>
      </c>
      <c r="U264" t="s">
        <v>57</v>
      </c>
      <c r="V264">
        <v>3.64</v>
      </c>
      <c r="W264">
        <v>4.0599999999999996</v>
      </c>
      <c r="X264">
        <v>3.4</v>
      </c>
      <c r="Y264">
        <v>6.4</v>
      </c>
      <c r="Z264">
        <v>4.4000000000000004</v>
      </c>
    </row>
    <row r="265" spans="1:26" x14ac:dyDescent="0.45">
      <c r="A265" t="s">
        <v>1018</v>
      </c>
      <c r="B265">
        <v>33</v>
      </c>
      <c r="C265" t="s">
        <v>44</v>
      </c>
      <c r="D265" t="s">
        <v>28</v>
      </c>
      <c r="E265" t="s">
        <v>29</v>
      </c>
      <c r="F265" t="s">
        <v>30</v>
      </c>
      <c r="G265" t="s">
        <v>102</v>
      </c>
      <c r="H265" t="s">
        <v>32</v>
      </c>
      <c r="I265" t="s">
        <v>72</v>
      </c>
      <c r="J265" t="s">
        <v>1019</v>
      </c>
      <c r="K265" t="s">
        <v>561</v>
      </c>
      <c r="L265" t="s">
        <v>36</v>
      </c>
      <c r="M265" t="s">
        <v>697</v>
      </c>
      <c r="N265" t="s">
        <v>38</v>
      </c>
      <c r="O265" t="s">
        <v>36</v>
      </c>
      <c r="P265" t="s">
        <v>39</v>
      </c>
      <c r="Q265" t="s">
        <v>75</v>
      </c>
      <c r="R265">
        <v>145</v>
      </c>
      <c r="S265">
        <v>1</v>
      </c>
      <c r="T265" t="s">
        <v>137</v>
      </c>
      <c r="U265" t="s">
        <v>42</v>
      </c>
      <c r="V265">
        <v>4.87</v>
      </c>
      <c r="W265">
        <v>2.1800000000000002</v>
      </c>
      <c r="X265">
        <v>7.9</v>
      </c>
      <c r="Y265">
        <v>17.2</v>
      </c>
      <c r="Z265">
        <v>9.5</v>
      </c>
    </row>
    <row r="266" spans="1:26" x14ac:dyDescent="0.45">
      <c r="A266" t="s">
        <v>1020</v>
      </c>
      <c r="B266">
        <v>45</v>
      </c>
      <c r="C266" t="s">
        <v>27</v>
      </c>
      <c r="D266" t="s">
        <v>28</v>
      </c>
      <c r="E266" t="s">
        <v>30</v>
      </c>
      <c r="F266" t="s">
        <v>30</v>
      </c>
      <c r="G266" t="s">
        <v>125</v>
      </c>
      <c r="H266" t="s">
        <v>81</v>
      </c>
      <c r="I266" t="s">
        <v>49</v>
      </c>
      <c r="J266" t="s">
        <v>62</v>
      </c>
      <c r="K266" t="s">
        <v>1021</v>
      </c>
      <c r="L266" t="s">
        <v>36</v>
      </c>
      <c r="M266" t="s">
        <v>129</v>
      </c>
      <c r="N266" t="s">
        <v>987</v>
      </c>
      <c r="O266" t="s">
        <v>36</v>
      </c>
      <c r="P266" t="s">
        <v>39</v>
      </c>
      <c r="Q266" t="s">
        <v>40</v>
      </c>
      <c r="R266">
        <v>133</v>
      </c>
      <c r="S266">
        <v>1</v>
      </c>
      <c r="T266" t="s">
        <v>137</v>
      </c>
      <c r="U266" t="s">
        <v>42</v>
      </c>
      <c r="V266">
        <v>1.82</v>
      </c>
      <c r="W266">
        <v>1.49</v>
      </c>
      <c r="X266">
        <v>6.5</v>
      </c>
      <c r="Y266">
        <v>19.899999999999999</v>
      </c>
      <c r="Z266">
        <v>13.9</v>
      </c>
    </row>
    <row r="267" spans="1:26" x14ac:dyDescent="0.45">
      <c r="A267" t="s">
        <v>1022</v>
      </c>
      <c r="B267">
        <v>33</v>
      </c>
      <c r="C267" t="s">
        <v>44</v>
      </c>
      <c r="D267" t="s">
        <v>95</v>
      </c>
      <c r="E267" t="s">
        <v>78</v>
      </c>
      <c r="F267" t="s">
        <v>30</v>
      </c>
      <c r="G267" t="s">
        <v>276</v>
      </c>
      <c r="H267" t="s">
        <v>71</v>
      </c>
      <c r="I267" t="s">
        <v>132</v>
      </c>
      <c r="J267" t="s">
        <v>1023</v>
      </c>
      <c r="K267" t="s">
        <v>1024</v>
      </c>
      <c r="L267" t="s">
        <v>36</v>
      </c>
      <c r="M267" t="s">
        <v>500</v>
      </c>
      <c r="N267" t="s">
        <v>1025</v>
      </c>
      <c r="O267" t="s">
        <v>36</v>
      </c>
      <c r="P267" t="s">
        <v>110</v>
      </c>
      <c r="Q267" t="s">
        <v>75</v>
      </c>
      <c r="R267">
        <v>138</v>
      </c>
      <c r="S267">
        <v>0</v>
      </c>
      <c r="T267" t="s">
        <v>123</v>
      </c>
      <c r="U267" t="s">
        <v>57</v>
      </c>
      <c r="V267">
        <v>3.12</v>
      </c>
      <c r="W267">
        <v>1.17</v>
      </c>
      <c r="X267">
        <v>9.6999999999999993</v>
      </c>
      <c r="Y267">
        <v>20.399999999999999</v>
      </c>
      <c r="Z267">
        <v>8</v>
      </c>
    </row>
    <row r="268" spans="1:26" x14ac:dyDescent="0.45">
      <c r="A268" t="s">
        <v>1026</v>
      </c>
      <c r="B268">
        <v>65</v>
      </c>
      <c r="C268" t="s">
        <v>45</v>
      </c>
      <c r="D268" t="s">
        <v>106</v>
      </c>
      <c r="E268" t="s">
        <v>78</v>
      </c>
      <c r="F268" t="s">
        <v>30</v>
      </c>
      <c r="G268" t="s">
        <v>125</v>
      </c>
      <c r="H268" t="s">
        <v>61</v>
      </c>
      <c r="I268" t="s">
        <v>132</v>
      </c>
      <c r="J268" t="s">
        <v>1027</v>
      </c>
      <c r="K268" t="s">
        <v>1028</v>
      </c>
      <c r="L268" t="s">
        <v>52</v>
      </c>
      <c r="M268" t="s">
        <v>536</v>
      </c>
      <c r="N268" t="s">
        <v>198</v>
      </c>
      <c r="O268" t="s">
        <v>52</v>
      </c>
      <c r="P268" t="s">
        <v>55</v>
      </c>
      <c r="Q268" t="s">
        <v>40</v>
      </c>
      <c r="R268">
        <v>50</v>
      </c>
      <c r="S268">
        <v>0</v>
      </c>
      <c r="T268" t="s">
        <v>56</v>
      </c>
      <c r="U268" t="s">
        <v>57</v>
      </c>
      <c r="V268">
        <v>4.92</v>
      </c>
      <c r="W268">
        <v>3.41</v>
      </c>
      <c r="X268">
        <v>6.2</v>
      </c>
      <c r="Y268">
        <v>19.5</v>
      </c>
      <c r="Z268">
        <v>16.8</v>
      </c>
    </row>
    <row r="269" spans="1:26" x14ac:dyDescent="0.45">
      <c r="A269" t="s">
        <v>1029</v>
      </c>
      <c r="B269">
        <v>37</v>
      </c>
      <c r="C269" t="s">
        <v>27</v>
      </c>
      <c r="D269" t="s">
        <v>28</v>
      </c>
      <c r="E269" t="s">
        <v>46</v>
      </c>
      <c r="F269" t="s">
        <v>30</v>
      </c>
      <c r="G269" t="s">
        <v>276</v>
      </c>
      <c r="H269" t="s">
        <v>61</v>
      </c>
      <c r="I269" t="s">
        <v>49</v>
      </c>
      <c r="J269" t="s">
        <v>854</v>
      </c>
      <c r="K269" t="s">
        <v>1030</v>
      </c>
      <c r="L269" t="s">
        <v>36</v>
      </c>
      <c r="M269" t="s">
        <v>135</v>
      </c>
      <c r="N269" t="s">
        <v>1031</v>
      </c>
      <c r="O269" t="s">
        <v>36</v>
      </c>
      <c r="P269" t="s">
        <v>110</v>
      </c>
      <c r="Q269" t="s">
        <v>75</v>
      </c>
      <c r="R269">
        <v>94</v>
      </c>
      <c r="S269">
        <v>0</v>
      </c>
      <c r="T269" t="s">
        <v>137</v>
      </c>
      <c r="U269" t="s">
        <v>57</v>
      </c>
      <c r="V269">
        <v>3.63</v>
      </c>
      <c r="W269">
        <v>1.51</v>
      </c>
      <c r="X269">
        <v>4</v>
      </c>
      <c r="Y269">
        <v>22.7</v>
      </c>
      <c r="Z269">
        <v>6.8</v>
      </c>
    </row>
    <row r="270" spans="1:26" x14ac:dyDescent="0.45">
      <c r="A270" t="s">
        <v>1032</v>
      </c>
      <c r="B270">
        <v>28</v>
      </c>
      <c r="C270" t="s">
        <v>45</v>
      </c>
      <c r="D270" t="s">
        <v>87</v>
      </c>
      <c r="E270" t="s">
        <v>163</v>
      </c>
      <c r="F270" t="s">
        <v>30</v>
      </c>
      <c r="G270" t="s">
        <v>440</v>
      </c>
      <c r="H270" t="s">
        <v>71</v>
      </c>
      <c r="I270" t="s">
        <v>72</v>
      </c>
      <c r="J270" t="s">
        <v>1033</v>
      </c>
      <c r="K270" t="s">
        <v>1034</v>
      </c>
      <c r="L270" t="s">
        <v>64</v>
      </c>
      <c r="M270" t="s">
        <v>378</v>
      </c>
      <c r="N270" t="s">
        <v>168</v>
      </c>
      <c r="O270" t="s">
        <v>64</v>
      </c>
      <c r="P270" t="s">
        <v>110</v>
      </c>
      <c r="Q270" t="s">
        <v>40</v>
      </c>
      <c r="R270">
        <v>97</v>
      </c>
      <c r="S270">
        <v>0</v>
      </c>
      <c r="T270" t="s">
        <v>137</v>
      </c>
      <c r="U270" t="s">
        <v>42</v>
      </c>
      <c r="V270">
        <v>2.4900000000000002</v>
      </c>
      <c r="W270">
        <v>2.73</v>
      </c>
      <c r="X270">
        <v>5</v>
      </c>
      <c r="Y270">
        <v>17</v>
      </c>
      <c r="Z270">
        <v>19</v>
      </c>
    </row>
    <row r="271" spans="1:26" x14ac:dyDescent="0.45">
      <c r="A271" t="s">
        <v>1035</v>
      </c>
      <c r="B271">
        <v>45</v>
      </c>
      <c r="C271" t="s">
        <v>27</v>
      </c>
      <c r="D271" t="s">
        <v>87</v>
      </c>
      <c r="E271" t="s">
        <v>29</v>
      </c>
      <c r="F271" t="s">
        <v>88</v>
      </c>
      <c r="G271" t="s">
        <v>48</v>
      </c>
      <c r="H271" t="s">
        <v>61</v>
      </c>
      <c r="I271" t="s">
        <v>49</v>
      </c>
      <c r="J271" t="s">
        <v>1036</v>
      </c>
      <c r="K271" t="s">
        <v>1037</v>
      </c>
      <c r="L271" t="s">
        <v>36</v>
      </c>
      <c r="M271" t="s">
        <v>500</v>
      </c>
      <c r="N271" t="s">
        <v>1038</v>
      </c>
      <c r="O271" t="s">
        <v>36</v>
      </c>
      <c r="P271" t="s">
        <v>110</v>
      </c>
      <c r="Q271" t="s">
        <v>75</v>
      </c>
      <c r="R271">
        <v>122</v>
      </c>
      <c r="S271">
        <v>0</v>
      </c>
      <c r="T271" t="s">
        <v>56</v>
      </c>
      <c r="U271" t="s">
        <v>57</v>
      </c>
      <c r="V271">
        <v>1.96</v>
      </c>
      <c r="W271">
        <v>1.49</v>
      </c>
      <c r="X271">
        <v>2.8</v>
      </c>
      <c r="Y271">
        <v>22</v>
      </c>
      <c r="Z271">
        <v>14</v>
      </c>
    </row>
    <row r="272" spans="1:26" x14ac:dyDescent="0.45">
      <c r="A272" t="s">
        <v>1039</v>
      </c>
      <c r="B272">
        <v>29</v>
      </c>
      <c r="C272" t="s">
        <v>27</v>
      </c>
      <c r="D272" t="s">
        <v>106</v>
      </c>
      <c r="E272" t="s">
        <v>163</v>
      </c>
      <c r="F272" t="s">
        <v>88</v>
      </c>
      <c r="G272" t="s">
        <v>89</v>
      </c>
      <c r="H272" t="s">
        <v>61</v>
      </c>
      <c r="I272" t="s">
        <v>72</v>
      </c>
      <c r="J272" t="s">
        <v>315</v>
      </c>
      <c r="K272" t="s">
        <v>1040</v>
      </c>
      <c r="L272" t="s">
        <v>52</v>
      </c>
      <c r="M272" t="s">
        <v>155</v>
      </c>
      <c r="N272" t="s">
        <v>1041</v>
      </c>
      <c r="O272" t="s">
        <v>52</v>
      </c>
      <c r="P272" t="s">
        <v>55</v>
      </c>
      <c r="Q272" t="s">
        <v>40</v>
      </c>
      <c r="R272">
        <v>67</v>
      </c>
      <c r="S272">
        <v>0</v>
      </c>
      <c r="T272" t="s">
        <v>56</v>
      </c>
      <c r="U272" t="s">
        <v>57</v>
      </c>
      <c r="V272">
        <v>2.14</v>
      </c>
      <c r="W272">
        <v>4.26</v>
      </c>
      <c r="X272">
        <v>8.8000000000000007</v>
      </c>
      <c r="Y272">
        <v>21.2</v>
      </c>
      <c r="Z272">
        <v>18.600000000000001</v>
      </c>
    </row>
    <row r="273" spans="1:26" x14ac:dyDescent="0.45">
      <c r="A273" t="s">
        <v>1042</v>
      </c>
      <c r="B273">
        <v>20</v>
      </c>
      <c r="C273" t="s">
        <v>27</v>
      </c>
      <c r="D273" t="s">
        <v>106</v>
      </c>
      <c r="E273" t="s">
        <v>46</v>
      </c>
      <c r="F273" t="s">
        <v>30</v>
      </c>
      <c r="G273" t="s">
        <v>440</v>
      </c>
      <c r="H273" t="s">
        <v>81</v>
      </c>
      <c r="I273" t="s">
        <v>33</v>
      </c>
      <c r="J273" t="s">
        <v>1043</v>
      </c>
      <c r="K273" t="s">
        <v>1044</v>
      </c>
      <c r="L273" t="s">
        <v>52</v>
      </c>
      <c r="M273" t="s">
        <v>378</v>
      </c>
      <c r="N273" t="s">
        <v>804</v>
      </c>
      <c r="O273" t="s">
        <v>52</v>
      </c>
      <c r="P273" t="s">
        <v>55</v>
      </c>
      <c r="Q273" t="s">
        <v>129</v>
      </c>
      <c r="R273">
        <v>56</v>
      </c>
      <c r="S273">
        <v>0</v>
      </c>
      <c r="T273" t="s">
        <v>56</v>
      </c>
      <c r="U273" t="s">
        <v>57</v>
      </c>
      <c r="V273">
        <v>2.0099999999999998</v>
      </c>
      <c r="W273">
        <v>4.0199999999999996</v>
      </c>
      <c r="X273">
        <v>5.0999999999999996</v>
      </c>
      <c r="Y273">
        <v>21.2</v>
      </c>
      <c r="Z273">
        <v>15.4</v>
      </c>
    </row>
    <row r="274" spans="1:26" x14ac:dyDescent="0.45">
      <c r="A274" t="s">
        <v>1045</v>
      </c>
      <c r="B274">
        <v>81</v>
      </c>
      <c r="C274" t="s">
        <v>45</v>
      </c>
      <c r="D274" t="s">
        <v>45</v>
      </c>
      <c r="E274" t="s">
        <v>29</v>
      </c>
      <c r="F274" t="s">
        <v>30</v>
      </c>
      <c r="G274" t="s">
        <v>276</v>
      </c>
      <c r="H274" t="s">
        <v>61</v>
      </c>
      <c r="I274" t="s">
        <v>33</v>
      </c>
      <c r="J274" t="s">
        <v>1046</v>
      </c>
      <c r="K274" t="s">
        <v>1047</v>
      </c>
      <c r="L274" t="s">
        <v>36</v>
      </c>
      <c r="M274" t="s">
        <v>129</v>
      </c>
      <c r="N274" t="s">
        <v>344</v>
      </c>
      <c r="O274" t="s">
        <v>36</v>
      </c>
      <c r="P274" t="s">
        <v>39</v>
      </c>
      <c r="Q274" t="s">
        <v>40</v>
      </c>
      <c r="R274">
        <v>177</v>
      </c>
      <c r="S274">
        <v>1</v>
      </c>
      <c r="T274" t="s">
        <v>137</v>
      </c>
      <c r="U274" t="s">
        <v>42</v>
      </c>
      <c r="V274">
        <v>4.1100000000000003</v>
      </c>
      <c r="W274">
        <v>3.62</v>
      </c>
      <c r="X274">
        <v>2.6</v>
      </c>
      <c r="Y274">
        <v>15.8</v>
      </c>
      <c r="Z274">
        <v>19.7</v>
      </c>
    </row>
    <row r="275" spans="1:26" x14ac:dyDescent="0.45">
      <c r="A275" t="s">
        <v>1048</v>
      </c>
      <c r="B275">
        <v>52</v>
      </c>
      <c r="C275" t="s">
        <v>45</v>
      </c>
      <c r="D275" t="s">
        <v>95</v>
      </c>
      <c r="E275" t="s">
        <v>78</v>
      </c>
      <c r="F275" t="s">
        <v>69</v>
      </c>
      <c r="G275" t="s">
        <v>194</v>
      </c>
      <c r="H275" t="s">
        <v>81</v>
      </c>
      <c r="I275" t="s">
        <v>33</v>
      </c>
      <c r="J275" t="s">
        <v>1049</v>
      </c>
      <c r="K275" t="s">
        <v>1050</v>
      </c>
      <c r="L275" t="s">
        <v>52</v>
      </c>
      <c r="M275" t="s">
        <v>317</v>
      </c>
      <c r="N275" t="s">
        <v>661</v>
      </c>
      <c r="O275" t="s">
        <v>52</v>
      </c>
      <c r="P275" t="s">
        <v>110</v>
      </c>
      <c r="Q275" t="s">
        <v>67</v>
      </c>
      <c r="R275">
        <v>180</v>
      </c>
      <c r="S275">
        <v>0</v>
      </c>
      <c r="T275" t="s">
        <v>137</v>
      </c>
      <c r="U275" t="s">
        <v>57</v>
      </c>
      <c r="V275">
        <v>4.75</v>
      </c>
      <c r="W275">
        <v>1.17</v>
      </c>
      <c r="X275">
        <v>2.5</v>
      </c>
      <c r="Y275">
        <v>8.4</v>
      </c>
      <c r="Z275">
        <v>15.3</v>
      </c>
    </row>
    <row r="276" spans="1:26" x14ac:dyDescent="0.45">
      <c r="A276" t="s">
        <v>1051</v>
      </c>
      <c r="B276">
        <v>34</v>
      </c>
      <c r="C276" t="s">
        <v>44</v>
      </c>
      <c r="D276" t="s">
        <v>95</v>
      </c>
      <c r="E276" t="s">
        <v>78</v>
      </c>
      <c r="F276" t="s">
        <v>30</v>
      </c>
      <c r="G276" t="s">
        <v>194</v>
      </c>
      <c r="H276" t="s">
        <v>81</v>
      </c>
      <c r="I276" t="s">
        <v>72</v>
      </c>
      <c r="J276" t="s">
        <v>1052</v>
      </c>
      <c r="K276" t="s">
        <v>1053</v>
      </c>
      <c r="L276" t="s">
        <v>92</v>
      </c>
      <c r="M276" t="s">
        <v>676</v>
      </c>
      <c r="N276" t="s">
        <v>379</v>
      </c>
      <c r="O276" t="s">
        <v>92</v>
      </c>
      <c r="P276" t="s">
        <v>39</v>
      </c>
      <c r="Q276" t="s">
        <v>75</v>
      </c>
      <c r="R276">
        <v>155</v>
      </c>
      <c r="S276">
        <v>1</v>
      </c>
      <c r="T276" t="s">
        <v>123</v>
      </c>
      <c r="U276" t="s">
        <v>57</v>
      </c>
      <c r="V276">
        <v>4.2699999999999996</v>
      </c>
      <c r="W276">
        <v>1.85</v>
      </c>
      <c r="X276">
        <v>5.6</v>
      </c>
      <c r="Y276">
        <v>21.1</v>
      </c>
      <c r="Z276">
        <v>15.5</v>
      </c>
    </row>
    <row r="277" spans="1:26" x14ac:dyDescent="0.45">
      <c r="A277" t="s">
        <v>1054</v>
      </c>
      <c r="B277">
        <v>81</v>
      </c>
      <c r="C277" t="s">
        <v>44</v>
      </c>
      <c r="D277" t="s">
        <v>106</v>
      </c>
      <c r="E277" t="s">
        <v>46</v>
      </c>
      <c r="F277" t="s">
        <v>30</v>
      </c>
      <c r="G277" t="s">
        <v>164</v>
      </c>
      <c r="H277" t="s">
        <v>32</v>
      </c>
      <c r="I277" t="s">
        <v>132</v>
      </c>
      <c r="J277" t="s">
        <v>1055</v>
      </c>
      <c r="K277" t="s">
        <v>1056</v>
      </c>
      <c r="L277" t="s">
        <v>92</v>
      </c>
      <c r="M277" t="s">
        <v>30</v>
      </c>
      <c r="N277" t="s">
        <v>946</v>
      </c>
      <c r="O277" t="s">
        <v>92</v>
      </c>
      <c r="P277" t="s">
        <v>39</v>
      </c>
      <c r="Q277" t="s">
        <v>75</v>
      </c>
      <c r="R277">
        <v>88</v>
      </c>
      <c r="S277">
        <v>1</v>
      </c>
      <c r="T277" t="s">
        <v>123</v>
      </c>
      <c r="U277" t="s">
        <v>42</v>
      </c>
      <c r="V277">
        <v>3.17</v>
      </c>
      <c r="W277">
        <v>3.36</v>
      </c>
      <c r="X277">
        <v>5.6</v>
      </c>
      <c r="Y277">
        <v>11.4</v>
      </c>
      <c r="Z277">
        <v>12.6</v>
      </c>
    </row>
    <row r="278" spans="1:26" x14ac:dyDescent="0.45">
      <c r="A278" t="s">
        <v>1057</v>
      </c>
      <c r="B278">
        <v>80</v>
      </c>
      <c r="C278" t="s">
        <v>44</v>
      </c>
      <c r="D278" t="s">
        <v>28</v>
      </c>
      <c r="E278" t="s">
        <v>30</v>
      </c>
      <c r="F278" t="s">
        <v>30</v>
      </c>
      <c r="G278" t="s">
        <v>178</v>
      </c>
      <c r="H278" t="s">
        <v>32</v>
      </c>
      <c r="I278" t="s">
        <v>72</v>
      </c>
      <c r="J278" t="s">
        <v>1058</v>
      </c>
      <c r="K278" t="s">
        <v>1059</v>
      </c>
      <c r="L278" t="s">
        <v>92</v>
      </c>
      <c r="M278" t="s">
        <v>187</v>
      </c>
      <c r="N278" t="s">
        <v>176</v>
      </c>
      <c r="O278" t="s">
        <v>92</v>
      </c>
      <c r="P278" t="s">
        <v>110</v>
      </c>
      <c r="Q278" t="s">
        <v>75</v>
      </c>
      <c r="R278">
        <v>56</v>
      </c>
      <c r="S278">
        <v>0</v>
      </c>
      <c r="T278" t="s">
        <v>85</v>
      </c>
      <c r="U278" t="s">
        <v>42</v>
      </c>
      <c r="V278">
        <v>3.76</v>
      </c>
      <c r="W278">
        <v>4.49</v>
      </c>
      <c r="X278">
        <v>6.7</v>
      </c>
      <c r="Y278">
        <v>19.7</v>
      </c>
      <c r="Z278">
        <v>5.7</v>
      </c>
    </row>
    <row r="279" spans="1:26" x14ac:dyDescent="0.45">
      <c r="A279" t="s">
        <v>1060</v>
      </c>
      <c r="B279">
        <v>82</v>
      </c>
      <c r="C279" t="s">
        <v>27</v>
      </c>
      <c r="D279" t="s">
        <v>106</v>
      </c>
      <c r="E279" t="s">
        <v>163</v>
      </c>
      <c r="F279" t="s">
        <v>30</v>
      </c>
      <c r="G279" t="s">
        <v>194</v>
      </c>
      <c r="H279" t="s">
        <v>71</v>
      </c>
      <c r="I279" t="s">
        <v>132</v>
      </c>
      <c r="J279" t="s">
        <v>1061</v>
      </c>
      <c r="K279" t="s">
        <v>397</v>
      </c>
      <c r="L279" t="s">
        <v>92</v>
      </c>
      <c r="M279" t="s">
        <v>30</v>
      </c>
      <c r="N279" t="s">
        <v>1062</v>
      </c>
      <c r="O279" t="s">
        <v>92</v>
      </c>
      <c r="P279" t="s">
        <v>39</v>
      </c>
      <c r="Q279" t="s">
        <v>129</v>
      </c>
      <c r="R279">
        <v>81</v>
      </c>
      <c r="S279">
        <v>1</v>
      </c>
      <c r="T279" t="s">
        <v>56</v>
      </c>
      <c r="U279" t="s">
        <v>57</v>
      </c>
      <c r="V279">
        <v>2.85</v>
      </c>
      <c r="W279">
        <v>1.04</v>
      </c>
      <c r="X279">
        <v>3.2</v>
      </c>
      <c r="Y279">
        <v>19.100000000000001</v>
      </c>
      <c r="Z279">
        <v>19.899999999999999</v>
      </c>
    </row>
    <row r="280" spans="1:26" x14ac:dyDescent="0.45">
      <c r="A280" t="s">
        <v>1063</v>
      </c>
      <c r="B280">
        <v>18</v>
      </c>
      <c r="C280" t="s">
        <v>27</v>
      </c>
      <c r="D280" t="s">
        <v>95</v>
      </c>
      <c r="E280" t="s">
        <v>30</v>
      </c>
      <c r="F280" t="s">
        <v>79</v>
      </c>
      <c r="G280" t="s">
        <v>125</v>
      </c>
      <c r="H280" t="s">
        <v>32</v>
      </c>
      <c r="I280" t="s">
        <v>132</v>
      </c>
      <c r="J280" t="s">
        <v>1064</v>
      </c>
      <c r="K280" t="s">
        <v>1065</v>
      </c>
      <c r="L280" t="s">
        <v>52</v>
      </c>
      <c r="M280" t="s">
        <v>75</v>
      </c>
      <c r="N280" t="s">
        <v>1066</v>
      </c>
      <c r="O280" t="s">
        <v>52</v>
      </c>
      <c r="P280" t="s">
        <v>39</v>
      </c>
      <c r="Q280" t="s">
        <v>67</v>
      </c>
      <c r="R280">
        <v>139</v>
      </c>
      <c r="S280">
        <v>1</v>
      </c>
      <c r="T280" t="s">
        <v>56</v>
      </c>
      <c r="U280" t="s">
        <v>57</v>
      </c>
      <c r="V280">
        <v>1.4</v>
      </c>
      <c r="W280">
        <v>2.61</v>
      </c>
      <c r="X280">
        <v>8.1999999999999993</v>
      </c>
      <c r="Y280">
        <v>9.6999999999999993</v>
      </c>
      <c r="Z280">
        <v>12.4</v>
      </c>
    </row>
    <row r="281" spans="1:26" x14ac:dyDescent="0.45">
      <c r="A281" t="s">
        <v>1067</v>
      </c>
      <c r="B281">
        <v>76</v>
      </c>
      <c r="C281" t="s">
        <v>45</v>
      </c>
      <c r="D281" t="s">
        <v>28</v>
      </c>
      <c r="E281" t="s">
        <v>163</v>
      </c>
      <c r="F281" t="s">
        <v>88</v>
      </c>
      <c r="G281" t="s">
        <v>246</v>
      </c>
      <c r="H281" t="s">
        <v>61</v>
      </c>
      <c r="I281" t="s">
        <v>49</v>
      </c>
      <c r="J281" t="s">
        <v>1068</v>
      </c>
      <c r="K281" t="s">
        <v>1069</v>
      </c>
      <c r="L281" t="s">
        <v>52</v>
      </c>
      <c r="M281" t="s">
        <v>135</v>
      </c>
      <c r="N281" t="s">
        <v>136</v>
      </c>
      <c r="O281" t="s">
        <v>52</v>
      </c>
      <c r="P281" t="s">
        <v>39</v>
      </c>
      <c r="Q281" t="s">
        <v>67</v>
      </c>
      <c r="R281">
        <v>177</v>
      </c>
      <c r="S281">
        <v>1</v>
      </c>
      <c r="T281" t="s">
        <v>123</v>
      </c>
      <c r="U281" t="s">
        <v>57</v>
      </c>
      <c r="V281">
        <v>3.93</v>
      </c>
      <c r="W281">
        <v>3.46</v>
      </c>
      <c r="X281">
        <v>2.7</v>
      </c>
      <c r="Y281">
        <v>12.4</v>
      </c>
      <c r="Z281">
        <v>16.3</v>
      </c>
    </row>
    <row r="282" spans="1:26" x14ac:dyDescent="0.45">
      <c r="A282" t="s">
        <v>1070</v>
      </c>
      <c r="B282">
        <v>71</v>
      </c>
      <c r="C282" t="s">
        <v>44</v>
      </c>
      <c r="D282" t="s">
        <v>45</v>
      </c>
      <c r="E282" t="s">
        <v>30</v>
      </c>
      <c r="F282" t="s">
        <v>30</v>
      </c>
      <c r="G282" t="s">
        <v>31</v>
      </c>
      <c r="H282" t="s">
        <v>32</v>
      </c>
      <c r="I282" t="s">
        <v>49</v>
      </c>
      <c r="J282" t="s">
        <v>1071</v>
      </c>
      <c r="K282" t="s">
        <v>638</v>
      </c>
      <c r="L282" t="s">
        <v>36</v>
      </c>
      <c r="M282" t="s">
        <v>469</v>
      </c>
      <c r="N282" t="s">
        <v>156</v>
      </c>
      <c r="O282" t="s">
        <v>36</v>
      </c>
      <c r="P282" t="s">
        <v>55</v>
      </c>
      <c r="Q282" t="s">
        <v>40</v>
      </c>
      <c r="R282">
        <v>80</v>
      </c>
      <c r="S282">
        <v>0</v>
      </c>
      <c r="T282" t="s">
        <v>137</v>
      </c>
      <c r="U282" t="s">
        <v>42</v>
      </c>
      <c r="V282">
        <v>3.22</v>
      </c>
      <c r="W282">
        <v>1.02</v>
      </c>
      <c r="X282">
        <v>7.8</v>
      </c>
      <c r="Y282">
        <v>6.6</v>
      </c>
      <c r="Z282">
        <v>15.7</v>
      </c>
    </row>
    <row r="283" spans="1:26" x14ac:dyDescent="0.45">
      <c r="A283" t="s">
        <v>1072</v>
      </c>
      <c r="B283">
        <v>22</v>
      </c>
      <c r="C283" t="s">
        <v>45</v>
      </c>
      <c r="D283" t="s">
        <v>28</v>
      </c>
      <c r="E283" t="s">
        <v>78</v>
      </c>
      <c r="F283" t="s">
        <v>30</v>
      </c>
      <c r="G283" t="s">
        <v>96</v>
      </c>
      <c r="H283" t="s">
        <v>32</v>
      </c>
      <c r="I283" t="s">
        <v>72</v>
      </c>
      <c r="J283" t="s">
        <v>148</v>
      </c>
      <c r="K283" t="s">
        <v>1073</v>
      </c>
      <c r="L283" t="s">
        <v>64</v>
      </c>
      <c r="M283" t="s">
        <v>99</v>
      </c>
      <c r="N283" t="s">
        <v>1074</v>
      </c>
      <c r="O283" t="s">
        <v>64</v>
      </c>
      <c r="P283" t="s">
        <v>110</v>
      </c>
      <c r="Q283" t="s">
        <v>30</v>
      </c>
      <c r="R283">
        <v>91</v>
      </c>
      <c r="S283">
        <v>0</v>
      </c>
      <c r="T283" t="s">
        <v>137</v>
      </c>
      <c r="U283" t="s">
        <v>57</v>
      </c>
      <c r="V283">
        <v>1.81</v>
      </c>
      <c r="W283">
        <v>4.83</v>
      </c>
      <c r="X283">
        <v>4.3</v>
      </c>
      <c r="Y283">
        <v>11.9</v>
      </c>
      <c r="Z283">
        <v>5.5</v>
      </c>
    </row>
    <row r="284" spans="1:26" x14ac:dyDescent="0.45">
      <c r="A284" t="s">
        <v>1075</v>
      </c>
      <c r="B284">
        <v>82</v>
      </c>
      <c r="C284" t="s">
        <v>27</v>
      </c>
      <c r="D284" t="s">
        <v>87</v>
      </c>
      <c r="E284" t="s">
        <v>30</v>
      </c>
      <c r="F284" t="s">
        <v>69</v>
      </c>
      <c r="G284" t="s">
        <v>194</v>
      </c>
      <c r="H284" t="s">
        <v>61</v>
      </c>
      <c r="I284" t="s">
        <v>49</v>
      </c>
      <c r="J284" t="s">
        <v>1076</v>
      </c>
      <c r="K284" t="s">
        <v>1077</v>
      </c>
      <c r="L284" t="s">
        <v>92</v>
      </c>
      <c r="M284" t="s">
        <v>53</v>
      </c>
      <c r="N284" t="s">
        <v>754</v>
      </c>
      <c r="O284" t="s">
        <v>92</v>
      </c>
      <c r="P284" t="s">
        <v>110</v>
      </c>
      <c r="Q284" t="s">
        <v>75</v>
      </c>
      <c r="R284">
        <v>166</v>
      </c>
      <c r="S284">
        <v>0</v>
      </c>
      <c r="T284" t="s">
        <v>85</v>
      </c>
      <c r="U284" t="s">
        <v>42</v>
      </c>
      <c r="V284">
        <v>2.2200000000000002</v>
      </c>
      <c r="W284">
        <v>4.51</v>
      </c>
      <c r="X284">
        <v>10</v>
      </c>
      <c r="Y284">
        <v>12.6</v>
      </c>
      <c r="Z284">
        <v>10.6</v>
      </c>
    </row>
    <row r="285" spans="1:26" x14ac:dyDescent="0.45">
      <c r="A285" t="s">
        <v>1078</v>
      </c>
      <c r="B285">
        <v>62</v>
      </c>
      <c r="C285" t="s">
        <v>44</v>
      </c>
      <c r="D285" t="s">
        <v>28</v>
      </c>
      <c r="E285" t="s">
        <v>29</v>
      </c>
      <c r="F285" t="s">
        <v>30</v>
      </c>
      <c r="G285" t="s">
        <v>131</v>
      </c>
      <c r="H285" t="s">
        <v>71</v>
      </c>
      <c r="I285" t="s">
        <v>49</v>
      </c>
      <c r="J285" t="s">
        <v>1079</v>
      </c>
      <c r="K285" t="s">
        <v>1080</v>
      </c>
      <c r="L285" t="s">
        <v>64</v>
      </c>
      <c r="M285" t="s">
        <v>274</v>
      </c>
      <c r="N285" t="s">
        <v>250</v>
      </c>
      <c r="O285" t="s">
        <v>64</v>
      </c>
      <c r="P285" t="s">
        <v>55</v>
      </c>
      <c r="Q285" t="s">
        <v>40</v>
      </c>
      <c r="R285">
        <v>50</v>
      </c>
      <c r="S285">
        <v>0</v>
      </c>
      <c r="T285" t="s">
        <v>123</v>
      </c>
      <c r="U285" t="s">
        <v>42</v>
      </c>
      <c r="V285">
        <v>3.89</v>
      </c>
      <c r="W285">
        <v>4.54</v>
      </c>
      <c r="X285">
        <v>6.3</v>
      </c>
      <c r="Y285">
        <v>13</v>
      </c>
      <c r="Z285">
        <v>10</v>
      </c>
    </row>
    <row r="286" spans="1:26" x14ac:dyDescent="0.45">
      <c r="A286" t="s">
        <v>1081</v>
      </c>
      <c r="B286">
        <v>72</v>
      </c>
      <c r="C286" t="s">
        <v>27</v>
      </c>
      <c r="D286" t="s">
        <v>95</v>
      </c>
      <c r="E286" t="s">
        <v>46</v>
      </c>
      <c r="F286" t="s">
        <v>59</v>
      </c>
      <c r="G286" t="s">
        <v>246</v>
      </c>
      <c r="H286" t="s">
        <v>81</v>
      </c>
      <c r="I286" t="s">
        <v>33</v>
      </c>
      <c r="J286" t="s">
        <v>307</v>
      </c>
      <c r="K286" t="s">
        <v>1082</v>
      </c>
      <c r="L286" t="s">
        <v>36</v>
      </c>
      <c r="M286" t="s">
        <v>500</v>
      </c>
      <c r="N286" t="s">
        <v>1083</v>
      </c>
      <c r="O286" t="s">
        <v>36</v>
      </c>
      <c r="P286" t="s">
        <v>39</v>
      </c>
      <c r="Q286" t="s">
        <v>75</v>
      </c>
      <c r="R286">
        <v>62</v>
      </c>
      <c r="S286">
        <v>1</v>
      </c>
      <c r="T286" t="s">
        <v>56</v>
      </c>
      <c r="U286" t="s">
        <v>57</v>
      </c>
      <c r="V286">
        <v>3.78</v>
      </c>
      <c r="W286">
        <v>1.01</v>
      </c>
      <c r="X286">
        <v>6.6</v>
      </c>
      <c r="Y286">
        <v>12.4</v>
      </c>
      <c r="Z286">
        <v>16.5</v>
      </c>
    </row>
    <row r="287" spans="1:26" x14ac:dyDescent="0.45">
      <c r="A287" t="s">
        <v>1084</v>
      </c>
      <c r="B287">
        <v>34</v>
      </c>
      <c r="C287" t="s">
        <v>45</v>
      </c>
      <c r="D287" t="s">
        <v>45</v>
      </c>
      <c r="E287" t="s">
        <v>29</v>
      </c>
      <c r="F287" t="s">
        <v>79</v>
      </c>
      <c r="G287" t="s">
        <v>440</v>
      </c>
      <c r="H287" t="s">
        <v>81</v>
      </c>
      <c r="I287" t="s">
        <v>49</v>
      </c>
      <c r="J287" t="s">
        <v>1085</v>
      </c>
      <c r="K287" t="s">
        <v>1086</v>
      </c>
      <c r="L287" t="s">
        <v>36</v>
      </c>
      <c r="M287" t="s">
        <v>129</v>
      </c>
      <c r="N287" t="s">
        <v>1087</v>
      </c>
      <c r="O287" t="s">
        <v>36</v>
      </c>
      <c r="P287" t="s">
        <v>110</v>
      </c>
      <c r="Q287" t="s">
        <v>30</v>
      </c>
      <c r="R287">
        <v>40</v>
      </c>
      <c r="S287">
        <v>0</v>
      </c>
      <c r="T287" t="s">
        <v>85</v>
      </c>
      <c r="U287" t="s">
        <v>42</v>
      </c>
      <c r="V287">
        <v>1.37</v>
      </c>
      <c r="W287">
        <v>3.35</v>
      </c>
      <c r="X287">
        <v>5.3</v>
      </c>
      <c r="Y287">
        <v>17.600000000000001</v>
      </c>
      <c r="Z287">
        <v>4.0999999999999996</v>
      </c>
    </row>
    <row r="288" spans="1:26" x14ac:dyDescent="0.45">
      <c r="A288" t="s">
        <v>1088</v>
      </c>
      <c r="B288">
        <v>33</v>
      </c>
      <c r="C288" t="s">
        <v>44</v>
      </c>
      <c r="D288" t="s">
        <v>28</v>
      </c>
      <c r="E288" t="s">
        <v>30</v>
      </c>
      <c r="F288" t="s">
        <v>47</v>
      </c>
      <c r="G288" t="s">
        <v>164</v>
      </c>
      <c r="H288" t="s">
        <v>71</v>
      </c>
      <c r="I288" t="s">
        <v>72</v>
      </c>
      <c r="J288" t="s">
        <v>1089</v>
      </c>
      <c r="K288" t="s">
        <v>1090</v>
      </c>
      <c r="L288" t="s">
        <v>64</v>
      </c>
      <c r="M288" t="s">
        <v>67</v>
      </c>
      <c r="N288" t="s">
        <v>808</v>
      </c>
      <c r="O288" t="s">
        <v>64</v>
      </c>
      <c r="P288" t="s">
        <v>55</v>
      </c>
      <c r="Q288" t="s">
        <v>129</v>
      </c>
      <c r="R288">
        <v>61</v>
      </c>
      <c r="S288">
        <v>0</v>
      </c>
      <c r="T288" t="s">
        <v>85</v>
      </c>
      <c r="U288" t="s">
        <v>57</v>
      </c>
      <c r="V288">
        <v>3.32</v>
      </c>
      <c r="W288">
        <v>3.25</v>
      </c>
      <c r="X288">
        <v>6</v>
      </c>
      <c r="Y288">
        <v>16.899999999999999</v>
      </c>
      <c r="Z288">
        <v>14.5</v>
      </c>
    </row>
    <row r="289" spans="1:26" x14ac:dyDescent="0.45">
      <c r="A289" t="s">
        <v>1091</v>
      </c>
      <c r="B289">
        <v>26</v>
      </c>
      <c r="C289" t="s">
        <v>27</v>
      </c>
      <c r="D289" t="s">
        <v>95</v>
      </c>
      <c r="E289" t="s">
        <v>78</v>
      </c>
      <c r="F289" t="s">
        <v>30</v>
      </c>
      <c r="G289" t="s">
        <v>80</v>
      </c>
      <c r="H289" t="s">
        <v>81</v>
      </c>
      <c r="I289" t="s">
        <v>132</v>
      </c>
      <c r="J289" t="s">
        <v>1092</v>
      </c>
      <c r="K289" t="s">
        <v>1093</v>
      </c>
      <c r="L289" t="s">
        <v>52</v>
      </c>
      <c r="M289" t="s">
        <v>75</v>
      </c>
      <c r="N289" t="s">
        <v>287</v>
      </c>
      <c r="O289" t="s">
        <v>52</v>
      </c>
      <c r="P289" t="s">
        <v>55</v>
      </c>
      <c r="Q289" t="s">
        <v>40</v>
      </c>
      <c r="R289">
        <v>144</v>
      </c>
      <c r="S289">
        <v>0</v>
      </c>
      <c r="T289" t="s">
        <v>41</v>
      </c>
      <c r="U289" t="s">
        <v>57</v>
      </c>
      <c r="V289">
        <v>4.22</v>
      </c>
      <c r="W289">
        <v>2.08</v>
      </c>
      <c r="X289">
        <v>8.4</v>
      </c>
      <c r="Y289">
        <v>15</v>
      </c>
      <c r="Z289">
        <v>4.3</v>
      </c>
    </row>
    <row r="290" spans="1:26" x14ac:dyDescent="0.45">
      <c r="A290" t="s">
        <v>1094</v>
      </c>
      <c r="B290">
        <v>29</v>
      </c>
      <c r="C290" t="s">
        <v>45</v>
      </c>
      <c r="D290" t="s">
        <v>45</v>
      </c>
      <c r="E290" t="s">
        <v>78</v>
      </c>
      <c r="F290" t="s">
        <v>47</v>
      </c>
      <c r="G290" t="s">
        <v>31</v>
      </c>
      <c r="H290" t="s">
        <v>61</v>
      </c>
      <c r="I290" t="s">
        <v>33</v>
      </c>
      <c r="J290" t="s">
        <v>1095</v>
      </c>
      <c r="K290" t="s">
        <v>294</v>
      </c>
      <c r="L290" t="s">
        <v>92</v>
      </c>
      <c r="M290" t="s">
        <v>348</v>
      </c>
      <c r="N290" t="s">
        <v>578</v>
      </c>
      <c r="O290" t="s">
        <v>92</v>
      </c>
      <c r="P290" t="s">
        <v>39</v>
      </c>
      <c r="Q290" t="s">
        <v>67</v>
      </c>
      <c r="R290">
        <v>168</v>
      </c>
      <c r="S290">
        <v>1</v>
      </c>
      <c r="T290" t="s">
        <v>85</v>
      </c>
      <c r="U290" t="s">
        <v>42</v>
      </c>
      <c r="V290">
        <v>1.23</v>
      </c>
      <c r="W290">
        <v>2.34</v>
      </c>
      <c r="X290">
        <v>8.1</v>
      </c>
      <c r="Y290">
        <v>18.7</v>
      </c>
      <c r="Z290">
        <v>16.399999999999999</v>
      </c>
    </row>
    <row r="291" spans="1:26" x14ac:dyDescent="0.45">
      <c r="A291" t="s">
        <v>1096</v>
      </c>
      <c r="B291">
        <v>84</v>
      </c>
      <c r="C291" t="s">
        <v>27</v>
      </c>
      <c r="D291" t="s">
        <v>95</v>
      </c>
      <c r="E291" t="s">
        <v>29</v>
      </c>
      <c r="F291" t="s">
        <v>30</v>
      </c>
      <c r="G291" t="s">
        <v>102</v>
      </c>
      <c r="H291" t="s">
        <v>71</v>
      </c>
      <c r="I291" t="s">
        <v>49</v>
      </c>
      <c r="J291" t="s">
        <v>1097</v>
      </c>
      <c r="K291" t="s">
        <v>1098</v>
      </c>
      <c r="L291" t="s">
        <v>36</v>
      </c>
      <c r="M291" t="s">
        <v>75</v>
      </c>
      <c r="N291" t="s">
        <v>567</v>
      </c>
      <c r="O291" t="s">
        <v>36</v>
      </c>
      <c r="P291" t="s">
        <v>55</v>
      </c>
      <c r="Q291" t="s">
        <v>40</v>
      </c>
      <c r="R291">
        <v>180</v>
      </c>
      <c r="S291">
        <v>0</v>
      </c>
      <c r="T291" t="s">
        <v>123</v>
      </c>
      <c r="U291" t="s">
        <v>57</v>
      </c>
      <c r="V291">
        <v>3.07</v>
      </c>
      <c r="W291">
        <v>2.76</v>
      </c>
      <c r="X291">
        <v>2.2999999999999998</v>
      </c>
      <c r="Y291">
        <v>11.9</v>
      </c>
      <c r="Z291">
        <v>10.4</v>
      </c>
    </row>
    <row r="292" spans="1:26" x14ac:dyDescent="0.45">
      <c r="A292" t="s">
        <v>1099</v>
      </c>
      <c r="B292">
        <v>20</v>
      </c>
      <c r="C292" t="s">
        <v>44</v>
      </c>
      <c r="D292" t="s">
        <v>95</v>
      </c>
      <c r="E292" t="s">
        <v>46</v>
      </c>
      <c r="F292" t="s">
        <v>69</v>
      </c>
      <c r="G292" t="s">
        <v>31</v>
      </c>
      <c r="H292" t="s">
        <v>81</v>
      </c>
      <c r="I292" t="s">
        <v>132</v>
      </c>
      <c r="J292" t="s">
        <v>1100</v>
      </c>
      <c r="K292" t="s">
        <v>1101</v>
      </c>
      <c r="L292" t="s">
        <v>52</v>
      </c>
      <c r="M292" t="s">
        <v>339</v>
      </c>
      <c r="N292" t="s">
        <v>818</v>
      </c>
      <c r="O292" t="s">
        <v>52</v>
      </c>
      <c r="P292" t="s">
        <v>39</v>
      </c>
      <c r="Q292" t="s">
        <v>67</v>
      </c>
      <c r="R292">
        <v>108</v>
      </c>
      <c r="S292">
        <v>1</v>
      </c>
      <c r="T292" t="s">
        <v>56</v>
      </c>
      <c r="U292" t="s">
        <v>42</v>
      </c>
      <c r="V292">
        <v>1.35</v>
      </c>
      <c r="W292">
        <v>1.88</v>
      </c>
      <c r="X292">
        <v>6.4</v>
      </c>
      <c r="Y292">
        <v>19.2</v>
      </c>
      <c r="Z292">
        <v>20</v>
      </c>
    </row>
    <row r="293" spans="1:26" x14ac:dyDescent="0.45">
      <c r="A293" t="s">
        <v>1102</v>
      </c>
      <c r="B293">
        <v>25</v>
      </c>
      <c r="C293" t="s">
        <v>45</v>
      </c>
      <c r="D293" t="s">
        <v>28</v>
      </c>
      <c r="E293" t="s">
        <v>46</v>
      </c>
      <c r="F293" t="s">
        <v>88</v>
      </c>
      <c r="G293" t="s">
        <v>276</v>
      </c>
      <c r="H293" t="s">
        <v>81</v>
      </c>
      <c r="I293" t="s">
        <v>49</v>
      </c>
      <c r="J293" t="s">
        <v>1103</v>
      </c>
      <c r="K293" t="s">
        <v>1104</v>
      </c>
      <c r="L293" t="s">
        <v>64</v>
      </c>
      <c r="M293" t="s">
        <v>451</v>
      </c>
      <c r="N293" t="s">
        <v>379</v>
      </c>
      <c r="O293" t="s">
        <v>64</v>
      </c>
      <c r="P293" t="s">
        <v>39</v>
      </c>
      <c r="Q293" t="s">
        <v>75</v>
      </c>
      <c r="R293">
        <v>180</v>
      </c>
      <c r="S293">
        <v>1</v>
      </c>
      <c r="T293" t="s">
        <v>41</v>
      </c>
      <c r="U293" t="s">
        <v>57</v>
      </c>
      <c r="V293">
        <v>4.7300000000000004</v>
      </c>
      <c r="W293">
        <v>3.57</v>
      </c>
      <c r="X293">
        <v>4.8</v>
      </c>
      <c r="Y293">
        <v>17.5</v>
      </c>
      <c r="Z293">
        <v>16.399999999999999</v>
      </c>
    </row>
    <row r="294" spans="1:26" x14ac:dyDescent="0.45">
      <c r="A294" t="s">
        <v>1105</v>
      </c>
      <c r="B294">
        <v>83</v>
      </c>
      <c r="C294" t="s">
        <v>45</v>
      </c>
      <c r="D294" t="s">
        <v>95</v>
      </c>
      <c r="E294" t="s">
        <v>163</v>
      </c>
      <c r="F294" t="s">
        <v>59</v>
      </c>
      <c r="G294" t="s">
        <v>440</v>
      </c>
      <c r="H294" t="s">
        <v>81</v>
      </c>
      <c r="I294" t="s">
        <v>49</v>
      </c>
      <c r="J294" t="s">
        <v>1106</v>
      </c>
      <c r="K294" t="s">
        <v>642</v>
      </c>
      <c r="L294" t="s">
        <v>52</v>
      </c>
      <c r="M294" t="s">
        <v>30</v>
      </c>
      <c r="N294" t="s">
        <v>172</v>
      </c>
      <c r="O294" t="s">
        <v>52</v>
      </c>
      <c r="P294" t="s">
        <v>110</v>
      </c>
      <c r="Q294" t="s">
        <v>129</v>
      </c>
      <c r="R294">
        <v>93</v>
      </c>
      <c r="S294">
        <v>0</v>
      </c>
      <c r="T294" t="s">
        <v>85</v>
      </c>
      <c r="U294" t="s">
        <v>42</v>
      </c>
      <c r="V294">
        <v>1.47</v>
      </c>
      <c r="W294">
        <v>2.64</v>
      </c>
      <c r="X294">
        <v>8.6</v>
      </c>
      <c r="Y294">
        <v>12.9</v>
      </c>
      <c r="Z294">
        <v>12.7</v>
      </c>
    </row>
    <row r="295" spans="1:26" x14ac:dyDescent="0.45">
      <c r="A295" t="s">
        <v>1107</v>
      </c>
      <c r="B295">
        <v>56</v>
      </c>
      <c r="C295" t="s">
        <v>45</v>
      </c>
      <c r="D295" t="s">
        <v>95</v>
      </c>
      <c r="E295" t="s">
        <v>78</v>
      </c>
      <c r="F295" t="s">
        <v>69</v>
      </c>
      <c r="G295" t="s">
        <v>89</v>
      </c>
      <c r="H295" t="s">
        <v>71</v>
      </c>
      <c r="I295" t="s">
        <v>132</v>
      </c>
      <c r="J295" t="s">
        <v>865</v>
      </c>
      <c r="K295" t="s">
        <v>1108</v>
      </c>
      <c r="L295" t="s">
        <v>36</v>
      </c>
      <c r="M295" t="s">
        <v>517</v>
      </c>
      <c r="N295" t="s">
        <v>971</v>
      </c>
      <c r="O295" t="s">
        <v>36</v>
      </c>
      <c r="P295" t="s">
        <v>110</v>
      </c>
      <c r="Q295" t="s">
        <v>30</v>
      </c>
      <c r="R295">
        <v>72</v>
      </c>
      <c r="S295">
        <v>0</v>
      </c>
      <c r="T295" t="s">
        <v>123</v>
      </c>
      <c r="U295" t="s">
        <v>42</v>
      </c>
      <c r="V295">
        <v>3.35</v>
      </c>
      <c r="W295">
        <v>1.74</v>
      </c>
      <c r="X295">
        <v>4.3</v>
      </c>
      <c r="Y295">
        <v>12</v>
      </c>
      <c r="Z295">
        <v>3.4</v>
      </c>
    </row>
    <row r="296" spans="1:26" x14ac:dyDescent="0.45">
      <c r="A296" t="s">
        <v>1109</v>
      </c>
      <c r="B296">
        <v>79</v>
      </c>
      <c r="C296" t="s">
        <v>44</v>
      </c>
      <c r="D296" t="s">
        <v>45</v>
      </c>
      <c r="E296" t="s">
        <v>30</v>
      </c>
      <c r="F296" t="s">
        <v>30</v>
      </c>
      <c r="G296" t="s">
        <v>131</v>
      </c>
      <c r="H296" t="s">
        <v>32</v>
      </c>
      <c r="I296" t="s">
        <v>72</v>
      </c>
      <c r="J296" t="s">
        <v>1110</v>
      </c>
      <c r="K296" t="s">
        <v>1111</v>
      </c>
      <c r="L296" t="s">
        <v>52</v>
      </c>
      <c r="M296" t="s">
        <v>362</v>
      </c>
      <c r="N296" t="s">
        <v>1041</v>
      </c>
      <c r="O296" t="s">
        <v>52</v>
      </c>
      <c r="P296" t="s">
        <v>55</v>
      </c>
      <c r="Q296" t="s">
        <v>129</v>
      </c>
      <c r="R296">
        <v>65</v>
      </c>
      <c r="S296">
        <v>0</v>
      </c>
      <c r="T296" t="s">
        <v>85</v>
      </c>
      <c r="U296" t="s">
        <v>57</v>
      </c>
      <c r="V296">
        <v>1.1000000000000001</v>
      </c>
      <c r="W296">
        <v>4.33</v>
      </c>
      <c r="X296">
        <v>3.5</v>
      </c>
      <c r="Y296">
        <v>15.3</v>
      </c>
      <c r="Z296">
        <v>8.1</v>
      </c>
    </row>
    <row r="297" spans="1:26" x14ac:dyDescent="0.45">
      <c r="A297" t="s">
        <v>1112</v>
      </c>
      <c r="B297">
        <v>73</v>
      </c>
      <c r="C297" t="s">
        <v>27</v>
      </c>
      <c r="D297" t="s">
        <v>45</v>
      </c>
      <c r="E297" t="s">
        <v>29</v>
      </c>
      <c r="F297" t="s">
        <v>30</v>
      </c>
      <c r="G297" t="s">
        <v>31</v>
      </c>
      <c r="H297" t="s">
        <v>32</v>
      </c>
      <c r="I297" t="s">
        <v>132</v>
      </c>
      <c r="J297" t="s">
        <v>1113</v>
      </c>
      <c r="K297" t="s">
        <v>1114</v>
      </c>
      <c r="L297" t="s">
        <v>64</v>
      </c>
      <c r="M297" t="s">
        <v>469</v>
      </c>
      <c r="N297" t="s">
        <v>1115</v>
      </c>
      <c r="O297" t="s">
        <v>64</v>
      </c>
      <c r="P297" t="s">
        <v>55</v>
      </c>
      <c r="Q297" t="s">
        <v>129</v>
      </c>
      <c r="R297">
        <v>64</v>
      </c>
      <c r="S297">
        <v>0</v>
      </c>
      <c r="T297" t="s">
        <v>123</v>
      </c>
      <c r="U297" t="s">
        <v>57</v>
      </c>
      <c r="V297">
        <v>4.76</v>
      </c>
      <c r="W297">
        <v>2.04</v>
      </c>
      <c r="X297">
        <v>4.9000000000000004</v>
      </c>
      <c r="Y297">
        <v>21.7</v>
      </c>
      <c r="Z297">
        <v>17.3</v>
      </c>
    </row>
    <row r="298" spans="1:26" x14ac:dyDescent="0.45">
      <c r="A298" t="s">
        <v>1116</v>
      </c>
      <c r="B298">
        <v>18</v>
      </c>
      <c r="C298" t="s">
        <v>27</v>
      </c>
      <c r="D298" t="s">
        <v>106</v>
      </c>
      <c r="E298" t="s">
        <v>78</v>
      </c>
      <c r="F298" t="s">
        <v>30</v>
      </c>
      <c r="G298" t="s">
        <v>70</v>
      </c>
      <c r="H298" t="s">
        <v>81</v>
      </c>
      <c r="I298" t="s">
        <v>49</v>
      </c>
      <c r="J298" t="s">
        <v>1117</v>
      </c>
      <c r="K298" t="s">
        <v>1118</v>
      </c>
      <c r="L298" t="s">
        <v>36</v>
      </c>
      <c r="M298" t="s">
        <v>65</v>
      </c>
      <c r="N298" t="s">
        <v>1115</v>
      </c>
      <c r="O298" t="s">
        <v>36</v>
      </c>
      <c r="P298" t="s">
        <v>55</v>
      </c>
      <c r="Q298" t="s">
        <v>40</v>
      </c>
      <c r="R298">
        <v>75</v>
      </c>
      <c r="S298">
        <v>0</v>
      </c>
      <c r="T298" t="s">
        <v>123</v>
      </c>
      <c r="U298" t="s">
        <v>42</v>
      </c>
      <c r="V298">
        <v>1.74</v>
      </c>
      <c r="W298">
        <v>4.21</v>
      </c>
      <c r="X298">
        <v>5.0999999999999996</v>
      </c>
      <c r="Y298">
        <v>14.7</v>
      </c>
      <c r="Z298">
        <v>5.3</v>
      </c>
    </row>
    <row r="299" spans="1:26" x14ac:dyDescent="0.45">
      <c r="A299" t="s">
        <v>1119</v>
      </c>
      <c r="B299">
        <v>77</v>
      </c>
      <c r="C299" t="s">
        <v>44</v>
      </c>
      <c r="D299" t="s">
        <v>106</v>
      </c>
      <c r="E299" t="s">
        <v>78</v>
      </c>
      <c r="F299" t="s">
        <v>88</v>
      </c>
      <c r="G299" t="s">
        <v>184</v>
      </c>
      <c r="H299" t="s">
        <v>32</v>
      </c>
      <c r="I299" t="s">
        <v>72</v>
      </c>
      <c r="J299" t="s">
        <v>1120</v>
      </c>
      <c r="K299" t="s">
        <v>229</v>
      </c>
      <c r="L299" t="s">
        <v>52</v>
      </c>
      <c r="M299" t="s">
        <v>40</v>
      </c>
      <c r="N299" t="s">
        <v>188</v>
      </c>
      <c r="O299" t="s">
        <v>52</v>
      </c>
      <c r="P299" t="s">
        <v>39</v>
      </c>
      <c r="Q299" t="s">
        <v>30</v>
      </c>
      <c r="R299">
        <v>156</v>
      </c>
      <c r="S299">
        <v>1</v>
      </c>
      <c r="T299" t="s">
        <v>85</v>
      </c>
      <c r="U299" t="s">
        <v>42</v>
      </c>
      <c r="V299">
        <v>1.32</v>
      </c>
      <c r="W299">
        <v>3.91</v>
      </c>
      <c r="X299">
        <v>5.5</v>
      </c>
      <c r="Y299">
        <v>13.9</v>
      </c>
      <c r="Z299">
        <v>15.4</v>
      </c>
    </row>
    <row r="300" spans="1:26" x14ac:dyDescent="0.45">
      <c r="A300" t="s">
        <v>1121</v>
      </c>
      <c r="B300">
        <v>18</v>
      </c>
      <c r="C300" t="s">
        <v>27</v>
      </c>
      <c r="D300" t="s">
        <v>95</v>
      </c>
      <c r="E300" t="s">
        <v>163</v>
      </c>
      <c r="F300" t="s">
        <v>30</v>
      </c>
      <c r="G300" t="s">
        <v>80</v>
      </c>
      <c r="H300" t="s">
        <v>81</v>
      </c>
      <c r="I300" t="s">
        <v>72</v>
      </c>
      <c r="J300" t="s">
        <v>1122</v>
      </c>
      <c r="K300" t="s">
        <v>1123</v>
      </c>
      <c r="L300" t="s">
        <v>52</v>
      </c>
      <c r="M300" t="s">
        <v>75</v>
      </c>
      <c r="N300" t="s">
        <v>1124</v>
      </c>
      <c r="O300" t="s">
        <v>52</v>
      </c>
      <c r="P300" t="s">
        <v>110</v>
      </c>
      <c r="Q300" t="s">
        <v>129</v>
      </c>
      <c r="R300">
        <v>62</v>
      </c>
      <c r="S300">
        <v>0</v>
      </c>
      <c r="T300" t="s">
        <v>137</v>
      </c>
      <c r="U300" t="s">
        <v>42</v>
      </c>
      <c r="V300">
        <v>4.0599999999999996</v>
      </c>
      <c r="W300">
        <v>1.64</v>
      </c>
      <c r="X300">
        <v>6.5</v>
      </c>
      <c r="Y300">
        <v>8.4</v>
      </c>
      <c r="Z300">
        <v>15.8</v>
      </c>
    </row>
    <row r="301" spans="1:26" x14ac:dyDescent="0.45">
      <c r="A301" t="s">
        <v>1125</v>
      </c>
      <c r="B301">
        <v>84</v>
      </c>
      <c r="C301" t="s">
        <v>45</v>
      </c>
      <c r="D301" t="s">
        <v>28</v>
      </c>
      <c r="E301" t="s">
        <v>46</v>
      </c>
      <c r="F301" t="s">
        <v>30</v>
      </c>
      <c r="G301" t="s">
        <v>164</v>
      </c>
      <c r="H301" t="s">
        <v>32</v>
      </c>
      <c r="I301" t="s">
        <v>33</v>
      </c>
      <c r="J301" t="s">
        <v>372</v>
      </c>
      <c r="K301" t="s">
        <v>534</v>
      </c>
      <c r="L301" t="s">
        <v>92</v>
      </c>
      <c r="M301" t="s">
        <v>500</v>
      </c>
      <c r="N301" t="s">
        <v>398</v>
      </c>
      <c r="O301" t="s">
        <v>92</v>
      </c>
      <c r="P301" t="s">
        <v>39</v>
      </c>
      <c r="Q301" t="s">
        <v>75</v>
      </c>
      <c r="R301">
        <v>149</v>
      </c>
      <c r="S301">
        <v>1</v>
      </c>
      <c r="T301" t="s">
        <v>56</v>
      </c>
      <c r="U301" t="s">
        <v>57</v>
      </c>
      <c r="V301">
        <v>3.63</v>
      </c>
      <c r="W301">
        <v>4.83</v>
      </c>
      <c r="X301">
        <v>1.6</v>
      </c>
      <c r="Y301">
        <v>7</v>
      </c>
      <c r="Z301">
        <v>7.8</v>
      </c>
    </row>
    <row r="302" spans="1:26" x14ac:dyDescent="0.45">
      <c r="A302" t="s">
        <v>1126</v>
      </c>
      <c r="B302">
        <v>84</v>
      </c>
      <c r="C302" t="s">
        <v>27</v>
      </c>
      <c r="D302" t="s">
        <v>106</v>
      </c>
      <c r="E302" t="s">
        <v>163</v>
      </c>
      <c r="F302" t="s">
        <v>47</v>
      </c>
      <c r="G302" t="s">
        <v>178</v>
      </c>
      <c r="H302" t="s">
        <v>81</v>
      </c>
      <c r="I302" t="s">
        <v>132</v>
      </c>
      <c r="J302" t="s">
        <v>1127</v>
      </c>
      <c r="K302" t="s">
        <v>1128</v>
      </c>
      <c r="L302" t="s">
        <v>92</v>
      </c>
      <c r="M302" t="s">
        <v>807</v>
      </c>
      <c r="N302" t="s">
        <v>391</v>
      </c>
      <c r="O302" t="s">
        <v>92</v>
      </c>
      <c r="P302" t="s">
        <v>39</v>
      </c>
      <c r="Q302" t="s">
        <v>67</v>
      </c>
      <c r="R302">
        <v>80</v>
      </c>
      <c r="S302">
        <v>1</v>
      </c>
      <c r="T302" t="s">
        <v>41</v>
      </c>
      <c r="U302" t="s">
        <v>57</v>
      </c>
      <c r="V302">
        <v>2.0499999999999998</v>
      </c>
      <c r="W302">
        <v>1.99</v>
      </c>
      <c r="X302">
        <v>9.1999999999999993</v>
      </c>
      <c r="Y302">
        <v>10.5</v>
      </c>
      <c r="Z302">
        <v>7.6</v>
      </c>
    </row>
    <row r="303" spans="1:26" x14ac:dyDescent="0.45">
      <c r="A303" t="s">
        <v>1129</v>
      </c>
      <c r="B303">
        <v>57</v>
      </c>
      <c r="C303" t="s">
        <v>27</v>
      </c>
      <c r="D303" t="s">
        <v>87</v>
      </c>
      <c r="E303" t="s">
        <v>163</v>
      </c>
      <c r="F303" t="s">
        <v>88</v>
      </c>
      <c r="G303" t="s">
        <v>80</v>
      </c>
      <c r="H303" t="s">
        <v>32</v>
      </c>
      <c r="I303" t="s">
        <v>132</v>
      </c>
      <c r="J303" t="s">
        <v>1130</v>
      </c>
      <c r="K303" t="s">
        <v>1131</v>
      </c>
      <c r="L303" t="s">
        <v>64</v>
      </c>
      <c r="M303" t="s">
        <v>30</v>
      </c>
      <c r="N303" t="s">
        <v>1132</v>
      </c>
      <c r="O303" t="s">
        <v>64</v>
      </c>
      <c r="P303" t="s">
        <v>39</v>
      </c>
      <c r="Q303" t="s">
        <v>129</v>
      </c>
      <c r="R303">
        <v>142</v>
      </c>
      <c r="S303">
        <v>1</v>
      </c>
      <c r="T303" t="s">
        <v>123</v>
      </c>
      <c r="U303" t="s">
        <v>57</v>
      </c>
      <c r="V303">
        <v>4.04</v>
      </c>
      <c r="W303">
        <v>2.8</v>
      </c>
      <c r="X303">
        <v>8</v>
      </c>
      <c r="Y303">
        <v>7.2</v>
      </c>
      <c r="Z303">
        <v>11.3</v>
      </c>
    </row>
    <row r="304" spans="1:26" x14ac:dyDescent="0.45">
      <c r="A304" t="s">
        <v>1133</v>
      </c>
      <c r="B304">
        <v>33</v>
      </c>
      <c r="C304" t="s">
        <v>27</v>
      </c>
      <c r="D304" t="s">
        <v>87</v>
      </c>
      <c r="E304" t="s">
        <v>163</v>
      </c>
      <c r="F304" t="s">
        <v>88</v>
      </c>
      <c r="G304" t="s">
        <v>96</v>
      </c>
      <c r="H304" t="s">
        <v>61</v>
      </c>
      <c r="I304" t="s">
        <v>33</v>
      </c>
      <c r="J304" t="s">
        <v>767</v>
      </c>
      <c r="K304" t="s">
        <v>1134</v>
      </c>
      <c r="L304" t="s">
        <v>36</v>
      </c>
      <c r="M304" t="s">
        <v>129</v>
      </c>
      <c r="N304" t="s">
        <v>327</v>
      </c>
      <c r="O304" t="s">
        <v>36</v>
      </c>
      <c r="P304" t="s">
        <v>39</v>
      </c>
      <c r="Q304" t="s">
        <v>75</v>
      </c>
      <c r="R304">
        <v>43</v>
      </c>
      <c r="S304">
        <v>1</v>
      </c>
      <c r="T304" t="s">
        <v>137</v>
      </c>
      <c r="U304" t="s">
        <v>57</v>
      </c>
      <c r="V304">
        <v>1.1299999999999999</v>
      </c>
      <c r="W304">
        <v>1.25</v>
      </c>
      <c r="X304">
        <v>9.1999999999999993</v>
      </c>
      <c r="Y304">
        <v>8.5</v>
      </c>
      <c r="Z304">
        <v>12.1</v>
      </c>
    </row>
    <row r="305" spans="1:26" x14ac:dyDescent="0.45">
      <c r="A305" t="s">
        <v>1135</v>
      </c>
      <c r="B305">
        <v>69</v>
      </c>
      <c r="C305" t="s">
        <v>27</v>
      </c>
      <c r="D305" t="s">
        <v>45</v>
      </c>
      <c r="E305" t="s">
        <v>78</v>
      </c>
      <c r="F305" t="s">
        <v>69</v>
      </c>
      <c r="G305" t="s">
        <v>152</v>
      </c>
      <c r="H305" t="s">
        <v>61</v>
      </c>
      <c r="I305" t="s">
        <v>33</v>
      </c>
      <c r="J305" t="s">
        <v>369</v>
      </c>
      <c r="K305" t="s">
        <v>82</v>
      </c>
      <c r="L305" t="s">
        <v>92</v>
      </c>
      <c r="M305" t="s">
        <v>135</v>
      </c>
      <c r="N305" t="s">
        <v>682</v>
      </c>
      <c r="O305" t="s">
        <v>92</v>
      </c>
      <c r="P305" t="s">
        <v>55</v>
      </c>
      <c r="Q305" t="s">
        <v>75</v>
      </c>
      <c r="R305">
        <v>79</v>
      </c>
      <c r="S305">
        <v>0</v>
      </c>
      <c r="T305" t="s">
        <v>123</v>
      </c>
      <c r="U305" t="s">
        <v>42</v>
      </c>
      <c r="V305">
        <v>2.64</v>
      </c>
      <c r="W305">
        <v>2.39</v>
      </c>
      <c r="X305">
        <v>9.1</v>
      </c>
      <c r="Y305">
        <v>6.4</v>
      </c>
      <c r="Z305">
        <v>14.3</v>
      </c>
    </row>
    <row r="306" spans="1:26" x14ac:dyDescent="0.45">
      <c r="A306" t="s">
        <v>1136</v>
      </c>
      <c r="B306">
        <v>19</v>
      </c>
      <c r="C306" t="s">
        <v>45</v>
      </c>
      <c r="D306" t="s">
        <v>87</v>
      </c>
      <c r="E306" t="s">
        <v>29</v>
      </c>
      <c r="F306" t="s">
        <v>30</v>
      </c>
      <c r="G306" t="s">
        <v>89</v>
      </c>
      <c r="H306" t="s">
        <v>71</v>
      </c>
      <c r="I306" t="s">
        <v>132</v>
      </c>
      <c r="J306" t="s">
        <v>1137</v>
      </c>
      <c r="K306" t="s">
        <v>939</v>
      </c>
      <c r="L306" t="s">
        <v>36</v>
      </c>
      <c r="M306" t="s">
        <v>67</v>
      </c>
      <c r="N306" t="s">
        <v>146</v>
      </c>
      <c r="O306" t="s">
        <v>36</v>
      </c>
      <c r="P306" t="s">
        <v>39</v>
      </c>
      <c r="Q306" t="s">
        <v>129</v>
      </c>
      <c r="R306">
        <v>62</v>
      </c>
      <c r="S306">
        <v>1</v>
      </c>
      <c r="T306" t="s">
        <v>137</v>
      </c>
      <c r="U306" t="s">
        <v>57</v>
      </c>
      <c r="V306">
        <v>4.8499999999999996</v>
      </c>
      <c r="W306">
        <v>3.24</v>
      </c>
      <c r="X306">
        <v>9.4</v>
      </c>
      <c r="Y306">
        <v>6.9</v>
      </c>
      <c r="Z306">
        <v>10.1</v>
      </c>
    </row>
    <row r="307" spans="1:26" x14ac:dyDescent="0.45">
      <c r="A307" t="s">
        <v>1138</v>
      </c>
      <c r="B307">
        <v>83</v>
      </c>
      <c r="C307" t="s">
        <v>45</v>
      </c>
      <c r="D307" t="s">
        <v>28</v>
      </c>
      <c r="E307" t="s">
        <v>30</v>
      </c>
      <c r="F307" t="s">
        <v>30</v>
      </c>
      <c r="G307" t="s">
        <v>178</v>
      </c>
      <c r="H307" t="s">
        <v>71</v>
      </c>
      <c r="I307" t="s">
        <v>72</v>
      </c>
      <c r="J307" t="s">
        <v>638</v>
      </c>
      <c r="K307" t="s">
        <v>1139</v>
      </c>
      <c r="L307" t="s">
        <v>64</v>
      </c>
      <c r="M307" t="s">
        <v>274</v>
      </c>
      <c r="N307" t="s">
        <v>296</v>
      </c>
      <c r="O307" t="s">
        <v>64</v>
      </c>
      <c r="P307" t="s">
        <v>39</v>
      </c>
      <c r="Q307" t="s">
        <v>75</v>
      </c>
      <c r="R307">
        <v>173</v>
      </c>
      <c r="S307">
        <v>1</v>
      </c>
      <c r="T307" t="s">
        <v>123</v>
      </c>
      <c r="U307" t="s">
        <v>57</v>
      </c>
      <c r="V307">
        <v>2.04</v>
      </c>
      <c r="W307">
        <v>3.92</v>
      </c>
      <c r="X307">
        <v>9.8000000000000007</v>
      </c>
      <c r="Y307">
        <v>10.6</v>
      </c>
      <c r="Z307">
        <v>14.1</v>
      </c>
    </row>
    <row r="308" spans="1:26" x14ac:dyDescent="0.45">
      <c r="A308" t="s">
        <v>1140</v>
      </c>
      <c r="B308">
        <v>62</v>
      </c>
      <c r="C308" t="s">
        <v>27</v>
      </c>
      <c r="D308" t="s">
        <v>106</v>
      </c>
      <c r="E308" t="s">
        <v>46</v>
      </c>
      <c r="F308" t="s">
        <v>30</v>
      </c>
      <c r="G308" t="s">
        <v>31</v>
      </c>
      <c r="H308" t="s">
        <v>71</v>
      </c>
      <c r="I308" t="s">
        <v>33</v>
      </c>
      <c r="J308" t="s">
        <v>489</v>
      </c>
      <c r="K308" t="s">
        <v>1141</v>
      </c>
      <c r="L308" t="s">
        <v>64</v>
      </c>
      <c r="M308" t="s">
        <v>115</v>
      </c>
      <c r="N308" t="s">
        <v>1083</v>
      </c>
      <c r="O308" t="s">
        <v>64</v>
      </c>
      <c r="P308" t="s">
        <v>39</v>
      </c>
      <c r="Q308" t="s">
        <v>40</v>
      </c>
      <c r="R308">
        <v>40</v>
      </c>
      <c r="S308">
        <v>1</v>
      </c>
      <c r="T308" t="s">
        <v>56</v>
      </c>
      <c r="U308" t="s">
        <v>42</v>
      </c>
      <c r="V308">
        <v>1.79</v>
      </c>
      <c r="W308">
        <v>3.26</v>
      </c>
      <c r="X308">
        <v>5.2</v>
      </c>
      <c r="Y308">
        <v>23.5</v>
      </c>
      <c r="Z308">
        <v>13.3</v>
      </c>
    </row>
    <row r="309" spans="1:26" x14ac:dyDescent="0.45">
      <c r="A309" t="s">
        <v>1142</v>
      </c>
      <c r="B309">
        <v>18</v>
      </c>
      <c r="C309" t="s">
        <v>45</v>
      </c>
      <c r="D309" t="s">
        <v>106</v>
      </c>
      <c r="E309" t="s">
        <v>46</v>
      </c>
      <c r="F309" t="s">
        <v>79</v>
      </c>
      <c r="G309" t="s">
        <v>60</v>
      </c>
      <c r="H309" t="s">
        <v>81</v>
      </c>
      <c r="I309" t="s">
        <v>132</v>
      </c>
      <c r="J309" t="s">
        <v>1143</v>
      </c>
      <c r="K309" t="s">
        <v>1069</v>
      </c>
      <c r="L309" t="s">
        <v>92</v>
      </c>
      <c r="M309" t="s">
        <v>451</v>
      </c>
      <c r="N309" t="s">
        <v>1144</v>
      </c>
      <c r="O309" t="s">
        <v>92</v>
      </c>
      <c r="P309" t="s">
        <v>39</v>
      </c>
      <c r="Q309" t="s">
        <v>75</v>
      </c>
      <c r="R309">
        <v>59</v>
      </c>
      <c r="S309">
        <v>1</v>
      </c>
      <c r="T309" t="s">
        <v>41</v>
      </c>
      <c r="U309" t="s">
        <v>57</v>
      </c>
      <c r="V309">
        <v>2.4</v>
      </c>
      <c r="W309">
        <v>1.46</v>
      </c>
      <c r="X309">
        <v>2.4</v>
      </c>
      <c r="Y309">
        <v>10.1</v>
      </c>
      <c r="Z309">
        <v>7.3</v>
      </c>
    </row>
    <row r="310" spans="1:26" x14ac:dyDescent="0.45">
      <c r="A310" t="s">
        <v>1145</v>
      </c>
      <c r="B310">
        <v>74</v>
      </c>
      <c r="C310" t="s">
        <v>27</v>
      </c>
      <c r="D310" t="s">
        <v>45</v>
      </c>
      <c r="E310" t="s">
        <v>30</v>
      </c>
      <c r="F310" t="s">
        <v>88</v>
      </c>
      <c r="G310" t="s">
        <v>89</v>
      </c>
      <c r="H310" t="s">
        <v>71</v>
      </c>
      <c r="I310" t="s">
        <v>132</v>
      </c>
      <c r="J310" t="s">
        <v>1146</v>
      </c>
      <c r="K310" t="s">
        <v>1147</v>
      </c>
      <c r="L310" t="s">
        <v>52</v>
      </c>
      <c r="M310" t="s">
        <v>155</v>
      </c>
      <c r="N310" t="s">
        <v>598</v>
      </c>
      <c r="O310" t="s">
        <v>52</v>
      </c>
      <c r="P310" t="s">
        <v>39</v>
      </c>
      <c r="Q310" t="s">
        <v>129</v>
      </c>
      <c r="R310">
        <v>75</v>
      </c>
      <c r="S310">
        <v>1</v>
      </c>
      <c r="T310" t="s">
        <v>137</v>
      </c>
      <c r="U310" t="s">
        <v>42</v>
      </c>
      <c r="V310">
        <v>4.4000000000000004</v>
      </c>
      <c r="W310">
        <v>3.24</v>
      </c>
      <c r="X310">
        <v>5.7</v>
      </c>
      <c r="Y310">
        <v>8.1</v>
      </c>
      <c r="Z310">
        <v>17.600000000000001</v>
      </c>
    </row>
    <row r="311" spans="1:26" x14ac:dyDescent="0.45">
      <c r="A311" t="s">
        <v>1148</v>
      </c>
      <c r="B311">
        <v>20</v>
      </c>
      <c r="C311" t="s">
        <v>45</v>
      </c>
      <c r="D311" t="s">
        <v>106</v>
      </c>
      <c r="E311" t="s">
        <v>78</v>
      </c>
      <c r="F311" t="s">
        <v>30</v>
      </c>
      <c r="G311" t="s">
        <v>102</v>
      </c>
      <c r="H311" t="s">
        <v>32</v>
      </c>
      <c r="I311" t="s">
        <v>72</v>
      </c>
      <c r="J311" t="s">
        <v>1149</v>
      </c>
      <c r="K311" t="s">
        <v>549</v>
      </c>
      <c r="L311" t="s">
        <v>64</v>
      </c>
      <c r="M311" t="s">
        <v>141</v>
      </c>
      <c r="N311" t="s">
        <v>776</v>
      </c>
      <c r="O311" t="s">
        <v>64</v>
      </c>
      <c r="P311" t="s">
        <v>39</v>
      </c>
      <c r="Q311" t="s">
        <v>67</v>
      </c>
      <c r="R311">
        <v>63</v>
      </c>
      <c r="S311">
        <v>1</v>
      </c>
      <c r="T311" t="s">
        <v>41</v>
      </c>
      <c r="U311" t="s">
        <v>42</v>
      </c>
      <c r="V311">
        <v>3.89</v>
      </c>
      <c r="W311">
        <v>1.27</v>
      </c>
      <c r="X311">
        <v>7.4</v>
      </c>
      <c r="Y311">
        <v>15.8</v>
      </c>
      <c r="Z311">
        <v>4.4000000000000004</v>
      </c>
    </row>
    <row r="312" spans="1:26" x14ac:dyDescent="0.45">
      <c r="A312" t="s">
        <v>1150</v>
      </c>
      <c r="B312">
        <v>66</v>
      </c>
      <c r="C312" t="s">
        <v>45</v>
      </c>
      <c r="D312" t="s">
        <v>28</v>
      </c>
      <c r="E312" t="s">
        <v>30</v>
      </c>
      <c r="F312" t="s">
        <v>30</v>
      </c>
      <c r="G312" t="s">
        <v>60</v>
      </c>
      <c r="H312" t="s">
        <v>61</v>
      </c>
      <c r="I312" t="s">
        <v>72</v>
      </c>
      <c r="J312" t="s">
        <v>1151</v>
      </c>
      <c r="K312" t="s">
        <v>846</v>
      </c>
      <c r="L312" t="s">
        <v>64</v>
      </c>
      <c r="M312" t="s">
        <v>129</v>
      </c>
      <c r="N312" t="s">
        <v>340</v>
      </c>
      <c r="O312" t="s">
        <v>64</v>
      </c>
      <c r="P312" t="s">
        <v>55</v>
      </c>
      <c r="Q312" t="s">
        <v>67</v>
      </c>
      <c r="R312">
        <v>160</v>
      </c>
      <c r="S312">
        <v>0</v>
      </c>
      <c r="T312" t="s">
        <v>85</v>
      </c>
      <c r="U312" t="s">
        <v>57</v>
      </c>
      <c r="V312">
        <v>2.83</v>
      </c>
      <c r="W312">
        <v>2.94</v>
      </c>
      <c r="X312">
        <v>2.5</v>
      </c>
      <c r="Y312">
        <v>23</v>
      </c>
      <c r="Z312">
        <v>17.399999999999999</v>
      </c>
    </row>
    <row r="313" spans="1:26" x14ac:dyDescent="0.45">
      <c r="A313" t="s">
        <v>1152</v>
      </c>
      <c r="B313">
        <v>44</v>
      </c>
      <c r="C313" t="s">
        <v>45</v>
      </c>
      <c r="D313" t="s">
        <v>87</v>
      </c>
      <c r="E313" t="s">
        <v>78</v>
      </c>
      <c r="F313" t="s">
        <v>30</v>
      </c>
      <c r="G313" t="s">
        <v>152</v>
      </c>
      <c r="H313" t="s">
        <v>61</v>
      </c>
      <c r="I313" t="s">
        <v>72</v>
      </c>
      <c r="J313" t="s">
        <v>1153</v>
      </c>
      <c r="K313" t="s">
        <v>1154</v>
      </c>
      <c r="L313" t="s">
        <v>64</v>
      </c>
      <c r="M313" t="s">
        <v>378</v>
      </c>
      <c r="N313" t="s">
        <v>598</v>
      </c>
      <c r="O313" t="s">
        <v>64</v>
      </c>
      <c r="P313" t="s">
        <v>55</v>
      </c>
      <c r="Q313" t="s">
        <v>30</v>
      </c>
      <c r="R313">
        <v>164</v>
      </c>
      <c r="S313">
        <v>0</v>
      </c>
      <c r="T313" t="s">
        <v>56</v>
      </c>
      <c r="U313" t="s">
        <v>57</v>
      </c>
      <c r="V313">
        <v>3.68</v>
      </c>
      <c r="W313">
        <v>2.85</v>
      </c>
      <c r="X313">
        <v>4.7</v>
      </c>
      <c r="Y313">
        <v>17.7</v>
      </c>
      <c r="Z313">
        <v>12.3</v>
      </c>
    </row>
    <row r="314" spans="1:26" x14ac:dyDescent="0.45">
      <c r="A314" t="s">
        <v>1155</v>
      </c>
      <c r="B314">
        <v>78</v>
      </c>
      <c r="C314" t="s">
        <v>44</v>
      </c>
      <c r="D314" t="s">
        <v>45</v>
      </c>
      <c r="E314" t="s">
        <v>78</v>
      </c>
      <c r="F314" t="s">
        <v>30</v>
      </c>
      <c r="G314" t="s">
        <v>80</v>
      </c>
      <c r="H314" t="s">
        <v>61</v>
      </c>
      <c r="I314" t="s">
        <v>72</v>
      </c>
      <c r="J314" t="s">
        <v>321</v>
      </c>
      <c r="K314" t="s">
        <v>1156</v>
      </c>
      <c r="L314" t="s">
        <v>36</v>
      </c>
      <c r="M314" t="s">
        <v>30</v>
      </c>
      <c r="N314" t="s">
        <v>391</v>
      </c>
      <c r="O314" t="s">
        <v>36</v>
      </c>
      <c r="P314" t="s">
        <v>55</v>
      </c>
      <c r="Q314" t="s">
        <v>75</v>
      </c>
      <c r="R314">
        <v>70</v>
      </c>
      <c r="S314">
        <v>0</v>
      </c>
      <c r="T314" t="s">
        <v>137</v>
      </c>
      <c r="U314" t="s">
        <v>57</v>
      </c>
      <c r="V314">
        <v>1.25</v>
      </c>
      <c r="W314">
        <v>3.05</v>
      </c>
      <c r="X314">
        <v>8.3000000000000007</v>
      </c>
      <c r="Y314">
        <v>14.3</v>
      </c>
      <c r="Z314">
        <v>3.9</v>
      </c>
    </row>
    <row r="315" spans="1:26" x14ac:dyDescent="0.45">
      <c r="A315" t="s">
        <v>1157</v>
      </c>
      <c r="B315">
        <v>28</v>
      </c>
      <c r="C315" t="s">
        <v>27</v>
      </c>
      <c r="D315" t="s">
        <v>87</v>
      </c>
      <c r="E315" t="s">
        <v>30</v>
      </c>
      <c r="F315" t="s">
        <v>59</v>
      </c>
      <c r="G315" t="s">
        <v>60</v>
      </c>
      <c r="H315" t="s">
        <v>61</v>
      </c>
      <c r="I315" t="s">
        <v>33</v>
      </c>
      <c r="J315" t="s">
        <v>1158</v>
      </c>
      <c r="K315" t="s">
        <v>1159</v>
      </c>
      <c r="L315" t="s">
        <v>36</v>
      </c>
      <c r="M315" t="s">
        <v>500</v>
      </c>
      <c r="N315" t="s">
        <v>1087</v>
      </c>
      <c r="O315" t="s">
        <v>36</v>
      </c>
      <c r="P315" t="s">
        <v>55</v>
      </c>
      <c r="Q315" t="s">
        <v>30</v>
      </c>
      <c r="R315">
        <v>99</v>
      </c>
      <c r="S315">
        <v>0</v>
      </c>
      <c r="T315" t="s">
        <v>56</v>
      </c>
      <c r="U315" t="s">
        <v>42</v>
      </c>
      <c r="V315">
        <v>4.1500000000000004</v>
      </c>
      <c r="W315">
        <v>1.81</v>
      </c>
      <c r="X315">
        <v>3.3</v>
      </c>
      <c r="Y315">
        <v>9</v>
      </c>
      <c r="Z315">
        <v>8.6</v>
      </c>
    </row>
    <row r="316" spans="1:26" x14ac:dyDescent="0.45">
      <c r="A316" t="s">
        <v>1160</v>
      </c>
      <c r="B316">
        <v>40</v>
      </c>
      <c r="C316" t="s">
        <v>44</v>
      </c>
      <c r="D316" t="s">
        <v>106</v>
      </c>
      <c r="E316" t="s">
        <v>30</v>
      </c>
      <c r="F316" t="s">
        <v>30</v>
      </c>
      <c r="G316" t="s">
        <v>194</v>
      </c>
      <c r="H316" t="s">
        <v>61</v>
      </c>
      <c r="I316" t="s">
        <v>132</v>
      </c>
      <c r="J316" t="s">
        <v>1161</v>
      </c>
      <c r="K316" t="s">
        <v>1162</v>
      </c>
      <c r="L316" t="s">
        <v>92</v>
      </c>
      <c r="M316" t="s">
        <v>37</v>
      </c>
      <c r="N316" t="s">
        <v>602</v>
      </c>
      <c r="O316" t="s">
        <v>92</v>
      </c>
      <c r="P316" t="s">
        <v>39</v>
      </c>
      <c r="Q316" t="s">
        <v>30</v>
      </c>
      <c r="R316">
        <v>39</v>
      </c>
      <c r="S316">
        <v>1</v>
      </c>
      <c r="T316" t="s">
        <v>85</v>
      </c>
      <c r="U316" t="s">
        <v>42</v>
      </c>
      <c r="V316">
        <v>4.03</v>
      </c>
      <c r="W316">
        <v>3.08</v>
      </c>
      <c r="X316">
        <v>2.8</v>
      </c>
      <c r="Y316">
        <v>21.8</v>
      </c>
      <c r="Z316">
        <v>18</v>
      </c>
    </row>
    <row r="317" spans="1:26" x14ac:dyDescent="0.45">
      <c r="A317" t="s">
        <v>1163</v>
      </c>
      <c r="B317">
        <v>60</v>
      </c>
      <c r="C317" t="s">
        <v>27</v>
      </c>
      <c r="D317" t="s">
        <v>28</v>
      </c>
      <c r="E317" t="s">
        <v>30</v>
      </c>
      <c r="F317" t="s">
        <v>59</v>
      </c>
      <c r="G317" t="s">
        <v>89</v>
      </c>
      <c r="H317" t="s">
        <v>71</v>
      </c>
      <c r="I317" t="s">
        <v>132</v>
      </c>
      <c r="J317" t="s">
        <v>1164</v>
      </c>
      <c r="K317" t="s">
        <v>1165</v>
      </c>
      <c r="L317" t="s">
        <v>36</v>
      </c>
      <c r="M317" t="s">
        <v>536</v>
      </c>
      <c r="N317" t="s">
        <v>650</v>
      </c>
      <c r="O317" t="s">
        <v>36</v>
      </c>
      <c r="P317" t="s">
        <v>110</v>
      </c>
      <c r="Q317" t="s">
        <v>75</v>
      </c>
      <c r="R317">
        <v>68</v>
      </c>
      <c r="S317">
        <v>0</v>
      </c>
      <c r="T317" t="s">
        <v>56</v>
      </c>
      <c r="U317" t="s">
        <v>42</v>
      </c>
      <c r="V317">
        <v>4.4800000000000004</v>
      </c>
      <c r="W317">
        <v>1.96</v>
      </c>
      <c r="X317">
        <v>5.0999999999999996</v>
      </c>
      <c r="Y317">
        <v>23.7</v>
      </c>
      <c r="Z317">
        <v>16.100000000000001</v>
      </c>
    </row>
    <row r="318" spans="1:26" x14ac:dyDescent="0.45">
      <c r="A318" t="s">
        <v>1166</v>
      </c>
      <c r="B318">
        <v>47</v>
      </c>
      <c r="C318" t="s">
        <v>45</v>
      </c>
      <c r="D318" t="s">
        <v>106</v>
      </c>
      <c r="E318" t="s">
        <v>78</v>
      </c>
      <c r="F318" t="s">
        <v>69</v>
      </c>
      <c r="G318" t="s">
        <v>178</v>
      </c>
      <c r="H318" t="s">
        <v>81</v>
      </c>
      <c r="I318" t="s">
        <v>33</v>
      </c>
      <c r="J318" t="s">
        <v>1167</v>
      </c>
      <c r="K318" t="s">
        <v>1168</v>
      </c>
      <c r="L318" t="s">
        <v>36</v>
      </c>
      <c r="M318" t="s">
        <v>197</v>
      </c>
      <c r="N318" t="s">
        <v>1004</v>
      </c>
      <c r="O318" t="s">
        <v>36</v>
      </c>
      <c r="P318" t="s">
        <v>110</v>
      </c>
      <c r="Q318" t="s">
        <v>129</v>
      </c>
      <c r="R318">
        <v>125</v>
      </c>
      <c r="S318">
        <v>0</v>
      </c>
      <c r="T318" t="s">
        <v>41</v>
      </c>
      <c r="U318" t="s">
        <v>42</v>
      </c>
      <c r="V318">
        <v>1.1100000000000001</v>
      </c>
      <c r="W318">
        <v>1.26</v>
      </c>
      <c r="X318">
        <v>5.2</v>
      </c>
      <c r="Y318">
        <v>22.4</v>
      </c>
      <c r="Z318">
        <v>12.2</v>
      </c>
    </row>
    <row r="319" spans="1:26" x14ac:dyDescent="0.45">
      <c r="A319" t="s">
        <v>1169</v>
      </c>
      <c r="B319">
        <v>57</v>
      </c>
      <c r="C319" t="s">
        <v>45</v>
      </c>
      <c r="D319" t="s">
        <v>87</v>
      </c>
      <c r="E319" t="s">
        <v>78</v>
      </c>
      <c r="F319" t="s">
        <v>30</v>
      </c>
      <c r="G319" t="s">
        <v>194</v>
      </c>
      <c r="H319" t="s">
        <v>32</v>
      </c>
      <c r="I319" t="s">
        <v>72</v>
      </c>
      <c r="J319" t="s">
        <v>1170</v>
      </c>
      <c r="K319" t="s">
        <v>1171</v>
      </c>
      <c r="L319" t="s">
        <v>36</v>
      </c>
      <c r="M319" t="s">
        <v>181</v>
      </c>
      <c r="N319" t="s">
        <v>595</v>
      </c>
      <c r="O319" t="s">
        <v>36</v>
      </c>
      <c r="P319" t="s">
        <v>39</v>
      </c>
      <c r="Q319" t="s">
        <v>75</v>
      </c>
      <c r="R319">
        <v>38</v>
      </c>
      <c r="S319">
        <v>1</v>
      </c>
      <c r="T319" t="s">
        <v>41</v>
      </c>
      <c r="U319" t="s">
        <v>42</v>
      </c>
      <c r="V319">
        <v>2.99</v>
      </c>
      <c r="W319">
        <v>1.42</v>
      </c>
      <c r="X319">
        <v>6.9</v>
      </c>
      <c r="Y319">
        <v>20.8</v>
      </c>
      <c r="Z319">
        <v>9.5</v>
      </c>
    </row>
    <row r="320" spans="1:26" x14ac:dyDescent="0.45">
      <c r="A320" t="s">
        <v>1172</v>
      </c>
      <c r="B320">
        <v>60</v>
      </c>
      <c r="C320" t="s">
        <v>45</v>
      </c>
      <c r="D320" t="s">
        <v>45</v>
      </c>
      <c r="E320" t="s">
        <v>29</v>
      </c>
      <c r="F320" t="s">
        <v>30</v>
      </c>
      <c r="G320" t="s">
        <v>131</v>
      </c>
      <c r="H320" t="s">
        <v>81</v>
      </c>
      <c r="I320" t="s">
        <v>72</v>
      </c>
      <c r="J320" t="s">
        <v>493</v>
      </c>
      <c r="K320" t="s">
        <v>1173</v>
      </c>
      <c r="L320" t="s">
        <v>52</v>
      </c>
      <c r="M320" t="s">
        <v>322</v>
      </c>
      <c r="N320" t="s">
        <v>799</v>
      </c>
      <c r="O320" t="s">
        <v>52</v>
      </c>
      <c r="P320" t="s">
        <v>55</v>
      </c>
      <c r="Q320" t="s">
        <v>30</v>
      </c>
      <c r="R320">
        <v>53</v>
      </c>
      <c r="S320">
        <v>0</v>
      </c>
      <c r="T320" t="s">
        <v>41</v>
      </c>
      <c r="U320" t="s">
        <v>42</v>
      </c>
      <c r="V320">
        <v>4.0999999999999996</v>
      </c>
      <c r="W320">
        <v>4.8600000000000003</v>
      </c>
      <c r="X320">
        <v>2.8</v>
      </c>
      <c r="Y320">
        <v>15.4</v>
      </c>
      <c r="Z320">
        <v>7.9</v>
      </c>
    </row>
    <row r="321" spans="1:26" x14ac:dyDescent="0.45">
      <c r="A321" t="s">
        <v>1174</v>
      </c>
      <c r="B321">
        <v>40</v>
      </c>
      <c r="C321" t="s">
        <v>27</v>
      </c>
      <c r="D321" t="s">
        <v>45</v>
      </c>
      <c r="E321" t="s">
        <v>78</v>
      </c>
      <c r="F321" t="s">
        <v>79</v>
      </c>
      <c r="G321" t="s">
        <v>125</v>
      </c>
      <c r="H321" t="s">
        <v>81</v>
      </c>
      <c r="I321" t="s">
        <v>132</v>
      </c>
      <c r="J321" t="s">
        <v>1165</v>
      </c>
      <c r="K321" t="s">
        <v>1175</v>
      </c>
      <c r="L321" t="s">
        <v>92</v>
      </c>
      <c r="M321" t="s">
        <v>322</v>
      </c>
      <c r="N321" t="s">
        <v>682</v>
      </c>
      <c r="O321" t="s">
        <v>92</v>
      </c>
      <c r="P321" t="s">
        <v>39</v>
      </c>
      <c r="Q321" t="s">
        <v>67</v>
      </c>
      <c r="R321">
        <v>113</v>
      </c>
      <c r="S321">
        <v>1</v>
      </c>
      <c r="T321" t="s">
        <v>56</v>
      </c>
      <c r="U321" t="s">
        <v>57</v>
      </c>
      <c r="V321">
        <v>4.17</v>
      </c>
      <c r="W321">
        <v>3.31</v>
      </c>
      <c r="X321">
        <v>6.7</v>
      </c>
      <c r="Y321">
        <v>20.399999999999999</v>
      </c>
      <c r="Z321">
        <v>9.6999999999999993</v>
      </c>
    </row>
    <row r="322" spans="1:26" x14ac:dyDescent="0.45">
      <c r="A322" t="s">
        <v>1176</v>
      </c>
      <c r="B322">
        <v>38</v>
      </c>
      <c r="C322" t="s">
        <v>27</v>
      </c>
      <c r="D322" t="s">
        <v>106</v>
      </c>
      <c r="E322" t="s">
        <v>29</v>
      </c>
      <c r="F322" t="s">
        <v>88</v>
      </c>
      <c r="G322" t="s">
        <v>131</v>
      </c>
      <c r="H322" t="s">
        <v>71</v>
      </c>
      <c r="I322" t="s">
        <v>72</v>
      </c>
      <c r="J322" t="s">
        <v>1177</v>
      </c>
      <c r="K322" t="s">
        <v>1178</v>
      </c>
      <c r="L322" t="s">
        <v>36</v>
      </c>
      <c r="M322" t="s">
        <v>75</v>
      </c>
      <c r="N322" t="s">
        <v>612</v>
      </c>
      <c r="O322" t="s">
        <v>36</v>
      </c>
      <c r="P322" t="s">
        <v>55</v>
      </c>
      <c r="Q322" t="s">
        <v>75</v>
      </c>
      <c r="R322">
        <v>81</v>
      </c>
      <c r="S322">
        <v>0</v>
      </c>
      <c r="T322" t="s">
        <v>85</v>
      </c>
      <c r="U322" t="s">
        <v>57</v>
      </c>
      <c r="V322">
        <v>4.66</v>
      </c>
      <c r="W322">
        <v>3.13</v>
      </c>
      <c r="X322">
        <v>2.4</v>
      </c>
      <c r="Y322">
        <v>18.5</v>
      </c>
      <c r="Z322">
        <v>16.5</v>
      </c>
    </row>
    <row r="323" spans="1:26" x14ac:dyDescent="0.45">
      <c r="A323" t="s">
        <v>1179</v>
      </c>
      <c r="B323">
        <v>53</v>
      </c>
      <c r="C323" t="s">
        <v>27</v>
      </c>
      <c r="D323" t="s">
        <v>87</v>
      </c>
      <c r="E323" t="s">
        <v>46</v>
      </c>
      <c r="F323" t="s">
        <v>47</v>
      </c>
      <c r="G323" t="s">
        <v>152</v>
      </c>
      <c r="H323" t="s">
        <v>71</v>
      </c>
      <c r="I323" t="s">
        <v>132</v>
      </c>
      <c r="J323" t="s">
        <v>1180</v>
      </c>
      <c r="K323" t="s">
        <v>1181</v>
      </c>
      <c r="L323" t="s">
        <v>92</v>
      </c>
      <c r="M323" t="s">
        <v>202</v>
      </c>
      <c r="N323" t="s">
        <v>991</v>
      </c>
      <c r="O323" t="s">
        <v>92</v>
      </c>
      <c r="P323" t="s">
        <v>55</v>
      </c>
      <c r="Q323" t="s">
        <v>30</v>
      </c>
      <c r="R323">
        <v>130</v>
      </c>
      <c r="S323">
        <v>0</v>
      </c>
      <c r="T323" t="s">
        <v>85</v>
      </c>
      <c r="U323" t="s">
        <v>42</v>
      </c>
      <c r="V323">
        <v>2.27</v>
      </c>
      <c r="W323">
        <v>4.43</v>
      </c>
      <c r="X323">
        <v>9.1999999999999993</v>
      </c>
      <c r="Y323">
        <v>11</v>
      </c>
      <c r="Z323">
        <v>19.7</v>
      </c>
    </row>
    <row r="324" spans="1:26" x14ac:dyDescent="0.45">
      <c r="A324" t="s">
        <v>1182</v>
      </c>
      <c r="B324">
        <v>71</v>
      </c>
      <c r="C324" t="s">
        <v>27</v>
      </c>
      <c r="D324" t="s">
        <v>106</v>
      </c>
      <c r="E324" t="s">
        <v>29</v>
      </c>
      <c r="F324" t="s">
        <v>30</v>
      </c>
      <c r="G324" t="s">
        <v>440</v>
      </c>
      <c r="H324" t="s">
        <v>81</v>
      </c>
      <c r="I324" t="s">
        <v>72</v>
      </c>
      <c r="J324" t="s">
        <v>681</v>
      </c>
      <c r="K324" t="s">
        <v>1183</v>
      </c>
      <c r="L324" t="s">
        <v>92</v>
      </c>
      <c r="M324" t="s">
        <v>67</v>
      </c>
      <c r="N324" t="s">
        <v>398</v>
      </c>
      <c r="O324" t="s">
        <v>92</v>
      </c>
      <c r="P324" t="s">
        <v>110</v>
      </c>
      <c r="Q324" t="s">
        <v>75</v>
      </c>
      <c r="R324">
        <v>104</v>
      </c>
      <c r="S324">
        <v>0</v>
      </c>
      <c r="T324" t="s">
        <v>123</v>
      </c>
      <c r="U324" t="s">
        <v>42</v>
      </c>
      <c r="V324">
        <v>1.56</v>
      </c>
      <c r="W324">
        <v>1.81</v>
      </c>
      <c r="X324">
        <v>2.7</v>
      </c>
      <c r="Y324">
        <v>22.1</v>
      </c>
      <c r="Z324">
        <v>14.1</v>
      </c>
    </row>
    <row r="325" spans="1:26" x14ac:dyDescent="0.45">
      <c r="A325" t="s">
        <v>1184</v>
      </c>
      <c r="B325">
        <v>81</v>
      </c>
      <c r="C325" t="s">
        <v>44</v>
      </c>
      <c r="D325" t="s">
        <v>45</v>
      </c>
      <c r="E325" t="s">
        <v>163</v>
      </c>
      <c r="F325" t="s">
        <v>30</v>
      </c>
      <c r="G325" t="s">
        <v>125</v>
      </c>
      <c r="H325" t="s">
        <v>61</v>
      </c>
      <c r="I325" t="s">
        <v>132</v>
      </c>
      <c r="J325" t="s">
        <v>1185</v>
      </c>
      <c r="K325" t="s">
        <v>1186</v>
      </c>
      <c r="L325" t="s">
        <v>52</v>
      </c>
      <c r="M325" t="s">
        <v>304</v>
      </c>
      <c r="N325" t="s">
        <v>622</v>
      </c>
      <c r="O325" t="s">
        <v>52</v>
      </c>
      <c r="P325" t="s">
        <v>110</v>
      </c>
      <c r="Q325" t="s">
        <v>40</v>
      </c>
      <c r="R325">
        <v>127</v>
      </c>
      <c r="S325">
        <v>0</v>
      </c>
      <c r="T325" t="s">
        <v>137</v>
      </c>
      <c r="U325" t="s">
        <v>57</v>
      </c>
      <c r="V325">
        <v>1.61</v>
      </c>
      <c r="W325">
        <v>2.76</v>
      </c>
      <c r="X325">
        <v>6.5</v>
      </c>
      <c r="Y325">
        <v>7.5</v>
      </c>
      <c r="Z325">
        <v>18</v>
      </c>
    </row>
    <row r="326" spans="1:26" x14ac:dyDescent="0.45">
      <c r="A326" t="s">
        <v>1187</v>
      </c>
      <c r="B326">
        <v>42</v>
      </c>
      <c r="C326" t="s">
        <v>44</v>
      </c>
      <c r="D326" t="s">
        <v>87</v>
      </c>
      <c r="E326" t="s">
        <v>163</v>
      </c>
      <c r="F326" t="s">
        <v>79</v>
      </c>
      <c r="G326" t="s">
        <v>31</v>
      </c>
      <c r="H326" t="s">
        <v>81</v>
      </c>
      <c r="I326" t="s">
        <v>33</v>
      </c>
      <c r="J326" t="s">
        <v>1188</v>
      </c>
      <c r="K326" t="s">
        <v>1189</v>
      </c>
      <c r="L326" t="s">
        <v>52</v>
      </c>
      <c r="M326" t="s">
        <v>197</v>
      </c>
      <c r="N326" t="s">
        <v>1190</v>
      </c>
      <c r="O326" t="s">
        <v>52</v>
      </c>
      <c r="P326" t="s">
        <v>39</v>
      </c>
      <c r="Q326" t="s">
        <v>67</v>
      </c>
      <c r="R326">
        <v>34</v>
      </c>
      <c r="S326">
        <v>1</v>
      </c>
      <c r="T326" t="s">
        <v>85</v>
      </c>
      <c r="U326" t="s">
        <v>42</v>
      </c>
      <c r="V326">
        <v>4.21</v>
      </c>
      <c r="W326">
        <v>3.02</v>
      </c>
      <c r="X326">
        <v>9.6999999999999993</v>
      </c>
      <c r="Y326">
        <v>13.5</v>
      </c>
      <c r="Z326">
        <v>19.7</v>
      </c>
    </row>
    <row r="327" spans="1:26" x14ac:dyDescent="0.45">
      <c r="A327" t="s">
        <v>1191</v>
      </c>
      <c r="B327">
        <v>40</v>
      </c>
      <c r="C327" t="s">
        <v>44</v>
      </c>
      <c r="D327" t="s">
        <v>87</v>
      </c>
      <c r="E327" t="s">
        <v>29</v>
      </c>
      <c r="F327" t="s">
        <v>30</v>
      </c>
      <c r="G327" t="s">
        <v>112</v>
      </c>
      <c r="H327" t="s">
        <v>61</v>
      </c>
      <c r="I327" t="s">
        <v>49</v>
      </c>
      <c r="J327" t="s">
        <v>1192</v>
      </c>
      <c r="K327" t="s">
        <v>1193</v>
      </c>
      <c r="L327" t="s">
        <v>52</v>
      </c>
      <c r="M327" t="s">
        <v>129</v>
      </c>
      <c r="N327" t="s">
        <v>950</v>
      </c>
      <c r="O327" t="s">
        <v>52</v>
      </c>
      <c r="P327" t="s">
        <v>110</v>
      </c>
      <c r="Q327" t="s">
        <v>67</v>
      </c>
      <c r="R327">
        <v>143</v>
      </c>
      <c r="S327">
        <v>0</v>
      </c>
      <c r="T327" t="s">
        <v>123</v>
      </c>
      <c r="U327" t="s">
        <v>42</v>
      </c>
      <c r="V327">
        <v>3.67</v>
      </c>
      <c r="W327">
        <v>3.54</v>
      </c>
      <c r="X327">
        <v>2.5</v>
      </c>
      <c r="Y327">
        <v>21.9</v>
      </c>
      <c r="Z327">
        <v>10.3</v>
      </c>
    </row>
    <row r="328" spans="1:26" x14ac:dyDescent="0.45">
      <c r="A328" t="s">
        <v>1194</v>
      </c>
      <c r="B328">
        <v>67</v>
      </c>
      <c r="C328" t="s">
        <v>45</v>
      </c>
      <c r="D328" t="s">
        <v>28</v>
      </c>
      <c r="E328" t="s">
        <v>78</v>
      </c>
      <c r="F328" t="s">
        <v>88</v>
      </c>
      <c r="G328" t="s">
        <v>118</v>
      </c>
      <c r="H328" t="s">
        <v>81</v>
      </c>
      <c r="I328" t="s">
        <v>72</v>
      </c>
      <c r="J328" t="s">
        <v>425</v>
      </c>
      <c r="K328" t="s">
        <v>1195</v>
      </c>
      <c r="L328" t="s">
        <v>92</v>
      </c>
      <c r="M328" t="s">
        <v>40</v>
      </c>
      <c r="N328" t="s">
        <v>769</v>
      </c>
      <c r="O328" t="s">
        <v>92</v>
      </c>
      <c r="P328" t="s">
        <v>39</v>
      </c>
      <c r="Q328" t="s">
        <v>30</v>
      </c>
      <c r="R328">
        <v>79</v>
      </c>
      <c r="S328">
        <v>1</v>
      </c>
      <c r="T328" t="s">
        <v>123</v>
      </c>
      <c r="U328" t="s">
        <v>42</v>
      </c>
      <c r="V328">
        <v>1.65</v>
      </c>
      <c r="W328">
        <v>1.05</v>
      </c>
      <c r="X328">
        <v>6</v>
      </c>
      <c r="Y328">
        <v>15.5</v>
      </c>
      <c r="Z328">
        <v>15.2</v>
      </c>
    </row>
    <row r="329" spans="1:26" x14ac:dyDescent="0.45">
      <c r="A329" t="s">
        <v>1196</v>
      </c>
      <c r="B329">
        <v>30</v>
      </c>
      <c r="C329" t="s">
        <v>45</v>
      </c>
      <c r="D329" t="s">
        <v>106</v>
      </c>
      <c r="E329" t="s">
        <v>46</v>
      </c>
      <c r="F329" t="s">
        <v>69</v>
      </c>
      <c r="G329" t="s">
        <v>102</v>
      </c>
      <c r="H329" t="s">
        <v>32</v>
      </c>
      <c r="I329" t="s">
        <v>132</v>
      </c>
      <c r="J329" t="s">
        <v>434</v>
      </c>
      <c r="K329" t="s">
        <v>1197</v>
      </c>
      <c r="L329" t="s">
        <v>52</v>
      </c>
      <c r="M329" t="s">
        <v>216</v>
      </c>
      <c r="N329" t="s">
        <v>661</v>
      </c>
      <c r="O329" t="s">
        <v>52</v>
      </c>
      <c r="P329" t="s">
        <v>39</v>
      </c>
      <c r="Q329" t="s">
        <v>129</v>
      </c>
      <c r="R329">
        <v>121</v>
      </c>
      <c r="S329">
        <v>1</v>
      </c>
      <c r="T329" t="s">
        <v>137</v>
      </c>
      <c r="U329" t="s">
        <v>42</v>
      </c>
      <c r="V329">
        <v>4.5599999999999996</v>
      </c>
      <c r="W329">
        <v>1.32</v>
      </c>
      <c r="X329">
        <v>7.6</v>
      </c>
      <c r="Y329">
        <v>9.4</v>
      </c>
      <c r="Z329">
        <v>17.600000000000001</v>
      </c>
    </row>
    <row r="330" spans="1:26" x14ac:dyDescent="0.45">
      <c r="A330" t="s">
        <v>1198</v>
      </c>
      <c r="B330">
        <v>19</v>
      </c>
      <c r="C330" t="s">
        <v>44</v>
      </c>
      <c r="D330" t="s">
        <v>28</v>
      </c>
      <c r="E330" t="s">
        <v>163</v>
      </c>
      <c r="F330" t="s">
        <v>47</v>
      </c>
      <c r="G330" t="s">
        <v>60</v>
      </c>
      <c r="H330" t="s">
        <v>61</v>
      </c>
      <c r="I330" t="s">
        <v>132</v>
      </c>
      <c r="J330" t="s">
        <v>740</v>
      </c>
      <c r="K330" t="s">
        <v>741</v>
      </c>
      <c r="L330" t="s">
        <v>52</v>
      </c>
      <c r="M330" t="s">
        <v>317</v>
      </c>
      <c r="N330" t="s">
        <v>1199</v>
      </c>
      <c r="O330" t="s">
        <v>52</v>
      </c>
      <c r="P330" t="s">
        <v>110</v>
      </c>
      <c r="Q330" t="s">
        <v>75</v>
      </c>
      <c r="R330">
        <v>175</v>
      </c>
      <c r="S330">
        <v>0</v>
      </c>
      <c r="T330" t="s">
        <v>41</v>
      </c>
      <c r="U330" t="s">
        <v>57</v>
      </c>
      <c r="V330">
        <v>4.28</v>
      </c>
      <c r="W330">
        <v>3.16</v>
      </c>
      <c r="X330">
        <v>7.4</v>
      </c>
      <c r="Y330">
        <v>11.7</v>
      </c>
      <c r="Z330">
        <v>11</v>
      </c>
    </row>
    <row r="331" spans="1:26" x14ac:dyDescent="0.45">
      <c r="A331" t="s">
        <v>1200</v>
      </c>
      <c r="B331">
        <v>30</v>
      </c>
      <c r="C331" t="s">
        <v>45</v>
      </c>
      <c r="D331" t="s">
        <v>28</v>
      </c>
      <c r="E331" t="s">
        <v>78</v>
      </c>
      <c r="F331" t="s">
        <v>30</v>
      </c>
      <c r="G331" t="s">
        <v>96</v>
      </c>
      <c r="H331" t="s">
        <v>32</v>
      </c>
      <c r="I331" t="s">
        <v>72</v>
      </c>
      <c r="J331" t="s">
        <v>984</v>
      </c>
      <c r="K331" t="s">
        <v>1201</v>
      </c>
      <c r="L331" t="s">
        <v>64</v>
      </c>
      <c r="M331" t="s">
        <v>75</v>
      </c>
      <c r="N331" t="s">
        <v>416</v>
      </c>
      <c r="O331" t="s">
        <v>64</v>
      </c>
      <c r="P331" t="s">
        <v>55</v>
      </c>
      <c r="Q331" t="s">
        <v>40</v>
      </c>
      <c r="R331">
        <v>160</v>
      </c>
      <c r="S331">
        <v>0</v>
      </c>
      <c r="T331" t="s">
        <v>41</v>
      </c>
      <c r="U331" t="s">
        <v>42</v>
      </c>
      <c r="V331">
        <v>4.29</v>
      </c>
      <c r="W331">
        <v>2.84</v>
      </c>
      <c r="X331">
        <v>4.2</v>
      </c>
      <c r="Y331">
        <v>14.9</v>
      </c>
      <c r="Z331">
        <v>17.100000000000001</v>
      </c>
    </row>
    <row r="332" spans="1:26" x14ac:dyDescent="0.45">
      <c r="A332" t="s">
        <v>1202</v>
      </c>
      <c r="B332">
        <v>47</v>
      </c>
      <c r="C332" t="s">
        <v>27</v>
      </c>
      <c r="D332" t="s">
        <v>45</v>
      </c>
      <c r="E332" t="s">
        <v>163</v>
      </c>
      <c r="F332" t="s">
        <v>47</v>
      </c>
      <c r="G332" t="s">
        <v>60</v>
      </c>
      <c r="H332" t="s">
        <v>61</v>
      </c>
      <c r="I332" t="s">
        <v>49</v>
      </c>
      <c r="J332" t="s">
        <v>441</v>
      </c>
      <c r="K332" t="s">
        <v>1203</v>
      </c>
      <c r="L332" t="s">
        <v>52</v>
      </c>
      <c r="M332" t="s">
        <v>40</v>
      </c>
      <c r="N332" t="s">
        <v>1204</v>
      </c>
      <c r="O332" t="s">
        <v>52</v>
      </c>
      <c r="P332" t="s">
        <v>110</v>
      </c>
      <c r="Q332" t="s">
        <v>129</v>
      </c>
      <c r="R332">
        <v>90</v>
      </c>
      <c r="S332">
        <v>0</v>
      </c>
      <c r="T332" t="s">
        <v>85</v>
      </c>
      <c r="U332" t="s">
        <v>57</v>
      </c>
      <c r="V332">
        <v>2.34</v>
      </c>
      <c r="W332">
        <v>1.7</v>
      </c>
      <c r="X332">
        <v>7.4</v>
      </c>
      <c r="Y332">
        <v>20.9</v>
      </c>
      <c r="Z332">
        <v>4.7</v>
      </c>
    </row>
    <row r="333" spans="1:26" x14ac:dyDescent="0.45">
      <c r="A333" t="s">
        <v>1205</v>
      </c>
      <c r="B333">
        <v>60</v>
      </c>
      <c r="C333" t="s">
        <v>27</v>
      </c>
      <c r="D333" t="s">
        <v>28</v>
      </c>
      <c r="E333" t="s">
        <v>30</v>
      </c>
      <c r="F333" t="s">
        <v>30</v>
      </c>
      <c r="G333" t="s">
        <v>118</v>
      </c>
      <c r="H333" t="s">
        <v>81</v>
      </c>
      <c r="I333" t="s">
        <v>132</v>
      </c>
      <c r="J333" t="s">
        <v>1206</v>
      </c>
      <c r="K333" t="s">
        <v>1207</v>
      </c>
      <c r="L333" t="s">
        <v>64</v>
      </c>
      <c r="M333" t="s">
        <v>339</v>
      </c>
      <c r="N333" t="s">
        <v>1074</v>
      </c>
      <c r="O333" t="s">
        <v>64</v>
      </c>
      <c r="P333" t="s">
        <v>39</v>
      </c>
      <c r="Q333" t="s">
        <v>67</v>
      </c>
      <c r="R333">
        <v>86</v>
      </c>
      <c r="S333">
        <v>1</v>
      </c>
      <c r="T333" t="s">
        <v>85</v>
      </c>
      <c r="U333" t="s">
        <v>57</v>
      </c>
      <c r="V333">
        <v>1.96</v>
      </c>
      <c r="W333">
        <v>1.57</v>
      </c>
      <c r="X333">
        <v>4.0999999999999996</v>
      </c>
      <c r="Y333">
        <v>14.1</v>
      </c>
      <c r="Z333">
        <v>15.7</v>
      </c>
    </row>
    <row r="334" spans="1:26" x14ac:dyDescent="0.45">
      <c r="A334" t="s">
        <v>1208</v>
      </c>
      <c r="B334">
        <v>84</v>
      </c>
      <c r="C334" t="s">
        <v>44</v>
      </c>
      <c r="D334" t="s">
        <v>106</v>
      </c>
      <c r="E334" t="s">
        <v>78</v>
      </c>
      <c r="F334" t="s">
        <v>30</v>
      </c>
      <c r="G334" t="s">
        <v>125</v>
      </c>
      <c r="H334" t="s">
        <v>81</v>
      </c>
      <c r="I334" t="s">
        <v>49</v>
      </c>
      <c r="J334" t="s">
        <v>1209</v>
      </c>
      <c r="K334" t="s">
        <v>1210</v>
      </c>
      <c r="L334" t="s">
        <v>52</v>
      </c>
      <c r="M334" t="s">
        <v>129</v>
      </c>
      <c r="N334" t="s">
        <v>1211</v>
      </c>
      <c r="O334" t="s">
        <v>52</v>
      </c>
      <c r="P334" t="s">
        <v>110</v>
      </c>
      <c r="Q334" t="s">
        <v>75</v>
      </c>
      <c r="R334">
        <v>82</v>
      </c>
      <c r="S334">
        <v>0</v>
      </c>
      <c r="T334" t="s">
        <v>41</v>
      </c>
      <c r="U334" t="s">
        <v>42</v>
      </c>
      <c r="V334">
        <v>3.6</v>
      </c>
      <c r="W334">
        <v>3.48</v>
      </c>
      <c r="X334">
        <v>4.2</v>
      </c>
      <c r="Y334">
        <v>21.1</v>
      </c>
      <c r="Z334">
        <v>11</v>
      </c>
    </row>
    <row r="335" spans="1:26" x14ac:dyDescent="0.45">
      <c r="A335" t="s">
        <v>1212</v>
      </c>
      <c r="B335">
        <v>72</v>
      </c>
      <c r="C335" t="s">
        <v>45</v>
      </c>
      <c r="D335" t="s">
        <v>95</v>
      </c>
      <c r="E335" t="s">
        <v>30</v>
      </c>
      <c r="F335" t="s">
        <v>79</v>
      </c>
      <c r="G335" t="s">
        <v>60</v>
      </c>
      <c r="H335" t="s">
        <v>81</v>
      </c>
      <c r="I335" t="s">
        <v>72</v>
      </c>
      <c r="J335" t="s">
        <v>1052</v>
      </c>
      <c r="K335" t="s">
        <v>1213</v>
      </c>
      <c r="L335" t="s">
        <v>36</v>
      </c>
      <c r="M335" t="s">
        <v>863</v>
      </c>
      <c r="N335" t="s">
        <v>922</v>
      </c>
      <c r="O335" t="s">
        <v>36</v>
      </c>
      <c r="P335" t="s">
        <v>55</v>
      </c>
      <c r="Q335" t="s">
        <v>40</v>
      </c>
      <c r="R335">
        <v>126</v>
      </c>
      <c r="S335">
        <v>0</v>
      </c>
      <c r="T335" t="s">
        <v>41</v>
      </c>
      <c r="U335" t="s">
        <v>57</v>
      </c>
      <c r="V335">
        <v>4.92</v>
      </c>
      <c r="W335">
        <v>3.54</v>
      </c>
      <c r="X335">
        <v>2.1</v>
      </c>
      <c r="Y335">
        <v>18.2</v>
      </c>
      <c r="Z335">
        <v>8.5</v>
      </c>
    </row>
    <row r="336" spans="1:26" x14ac:dyDescent="0.45">
      <c r="A336" t="s">
        <v>1214</v>
      </c>
      <c r="B336">
        <v>74</v>
      </c>
      <c r="C336" t="s">
        <v>44</v>
      </c>
      <c r="D336" t="s">
        <v>45</v>
      </c>
      <c r="E336" t="s">
        <v>29</v>
      </c>
      <c r="F336" t="s">
        <v>30</v>
      </c>
      <c r="G336" t="s">
        <v>96</v>
      </c>
      <c r="H336" t="s">
        <v>81</v>
      </c>
      <c r="I336" t="s">
        <v>49</v>
      </c>
      <c r="J336" t="s">
        <v>632</v>
      </c>
      <c r="K336" t="s">
        <v>429</v>
      </c>
      <c r="L336" t="s">
        <v>64</v>
      </c>
      <c r="M336" t="s">
        <v>978</v>
      </c>
      <c r="N336" t="s">
        <v>1215</v>
      </c>
      <c r="O336" t="s">
        <v>64</v>
      </c>
      <c r="P336" t="s">
        <v>39</v>
      </c>
      <c r="Q336" t="s">
        <v>30</v>
      </c>
      <c r="R336">
        <v>127</v>
      </c>
      <c r="S336">
        <v>1</v>
      </c>
      <c r="T336" t="s">
        <v>56</v>
      </c>
      <c r="U336" t="s">
        <v>57</v>
      </c>
      <c r="V336">
        <v>3.75</v>
      </c>
      <c r="W336">
        <v>1.28</v>
      </c>
      <c r="X336">
        <v>2.6</v>
      </c>
      <c r="Y336">
        <v>21.4</v>
      </c>
      <c r="Z336">
        <v>6.9</v>
      </c>
    </row>
    <row r="337" spans="1:26" x14ac:dyDescent="0.45">
      <c r="A337" t="s">
        <v>1216</v>
      </c>
      <c r="B337">
        <v>76</v>
      </c>
      <c r="C337" t="s">
        <v>44</v>
      </c>
      <c r="D337" t="s">
        <v>95</v>
      </c>
      <c r="E337" t="s">
        <v>29</v>
      </c>
      <c r="F337" t="s">
        <v>30</v>
      </c>
      <c r="G337" t="s">
        <v>125</v>
      </c>
      <c r="H337" t="s">
        <v>32</v>
      </c>
      <c r="I337" t="s">
        <v>72</v>
      </c>
      <c r="J337" t="s">
        <v>982</v>
      </c>
      <c r="K337" t="s">
        <v>1217</v>
      </c>
      <c r="L337" t="s">
        <v>92</v>
      </c>
      <c r="M337" t="s">
        <v>75</v>
      </c>
      <c r="N337" t="s">
        <v>1215</v>
      </c>
      <c r="O337" t="s">
        <v>92</v>
      </c>
      <c r="P337" t="s">
        <v>110</v>
      </c>
      <c r="Q337" t="s">
        <v>30</v>
      </c>
      <c r="R337">
        <v>155</v>
      </c>
      <c r="S337">
        <v>0</v>
      </c>
      <c r="T337" t="s">
        <v>56</v>
      </c>
      <c r="U337" t="s">
        <v>57</v>
      </c>
      <c r="V337">
        <v>4.3499999999999996</v>
      </c>
      <c r="W337">
        <v>2.12</v>
      </c>
      <c r="X337">
        <v>6.8</v>
      </c>
      <c r="Y337">
        <v>18.5</v>
      </c>
      <c r="Z337">
        <v>11.7</v>
      </c>
    </row>
    <row r="338" spans="1:26" x14ac:dyDescent="0.45">
      <c r="A338" t="s">
        <v>1218</v>
      </c>
      <c r="B338">
        <v>68</v>
      </c>
      <c r="C338" t="s">
        <v>45</v>
      </c>
      <c r="D338" t="s">
        <v>28</v>
      </c>
      <c r="E338" t="s">
        <v>78</v>
      </c>
      <c r="F338" t="s">
        <v>69</v>
      </c>
      <c r="G338" t="s">
        <v>125</v>
      </c>
      <c r="H338" t="s">
        <v>81</v>
      </c>
      <c r="I338" t="s">
        <v>49</v>
      </c>
      <c r="J338" t="s">
        <v>702</v>
      </c>
      <c r="K338" t="s">
        <v>1219</v>
      </c>
      <c r="L338" t="s">
        <v>52</v>
      </c>
      <c r="M338" t="s">
        <v>427</v>
      </c>
      <c r="N338" t="s">
        <v>1220</v>
      </c>
      <c r="O338" t="s">
        <v>52</v>
      </c>
      <c r="P338" t="s">
        <v>110</v>
      </c>
      <c r="Q338" t="s">
        <v>40</v>
      </c>
      <c r="R338">
        <v>124</v>
      </c>
      <c r="S338">
        <v>0</v>
      </c>
      <c r="T338" t="s">
        <v>123</v>
      </c>
      <c r="U338" t="s">
        <v>57</v>
      </c>
      <c r="V338">
        <v>2.2200000000000002</v>
      </c>
      <c r="W338">
        <v>1.85</v>
      </c>
      <c r="X338">
        <v>1.3</v>
      </c>
      <c r="Y338">
        <v>11.5</v>
      </c>
      <c r="Z338">
        <v>14.1</v>
      </c>
    </row>
    <row r="339" spans="1:26" x14ac:dyDescent="0.45">
      <c r="A339" t="s">
        <v>1221</v>
      </c>
      <c r="B339">
        <v>72</v>
      </c>
      <c r="C339" t="s">
        <v>45</v>
      </c>
      <c r="D339" t="s">
        <v>106</v>
      </c>
      <c r="E339" t="s">
        <v>46</v>
      </c>
      <c r="F339" t="s">
        <v>59</v>
      </c>
      <c r="G339" t="s">
        <v>164</v>
      </c>
      <c r="H339" t="s">
        <v>71</v>
      </c>
      <c r="I339" t="s">
        <v>132</v>
      </c>
      <c r="J339" t="s">
        <v>1222</v>
      </c>
      <c r="K339" t="s">
        <v>1223</v>
      </c>
      <c r="L339" t="s">
        <v>64</v>
      </c>
      <c r="M339" t="s">
        <v>75</v>
      </c>
      <c r="N339" t="s">
        <v>788</v>
      </c>
      <c r="O339" t="s">
        <v>64</v>
      </c>
      <c r="P339" t="s">
        <v>110</v>
      </c>
      <c r="Q339" t="s">
        <v>67</v>
      </c>
      <c r="R339">
        <v>33</v>
      </c>
      <c r="S339">
        <v>0</v>
      </c>
      <c r="T339" t="s">
        <v>123</v>
      </c>
      <c r="U339" t="s">
        <v>42</v>
      </c>
      <c r="V339">
        <v>4.75</v>
      </c>
      <c r="W339">
        <v>4.4800000000000004</v>
      </c>
      <c r="X339">
        <v>7.9</v>
      </c>
      <c r="Y339">
        <v>20.2</v>
      </c>
      <c r="Z339">
        <v>14.3</v>
      </c>
    </row>
    <row r="340" spans="1:26" x14ac:dyDescent="0.45">
      <c r="A340" t="s">
        <v>1224</v>
      </c>
      <c r="B340">
        <v>67</v>
      </c>
      <c r="C340" t="s">
        <v>44</v>
      </c>
      <c r="D340" t="s">
        <v>45</v>
      </c>
      <c r="E340" t="s">
        <v>163</v>
      </c>
      <c r="F340" t="s">
        <v>30</v>
      </c>
      <c r="G340" t="s">
        <v>89</v>
      </c>
      <c r="H340" t="s">
        <v>81</v>
      </c>
      <c r="I340" t="s">
        <v>72</v>
      </c>
      <c r="J340" t="s">
        <v>1225</v>
      </c>
      <c r="K340" t="s">
        <v>1226</v>
      </c>
      <c r="L340" t="s">
        <v>36</v>
      </c>
      <c r="M340" t="s">
        <v>286</v>
      </c>
      <c r="N340" t="s">
        <v>1041</v>
      </c>
      <c r="O340" t="s">
        <v>36</v>
      </c>
      <c r="P340" t="s">
        <v>39</v>
      </c>
      <c r="Q340" t="s">
        <v>75</v>
      </c>
      <c r="R340">
        <v>118</v>
      </c>
      <c r="S340">
        <v>1</v>
      </c>
      <c r="T340" t="s">
        <v>41</v>
      </c>
      <c r="U340" t="s">
        <v>57</v>
      </c>
      <c r="V340">
        <v>2.04</v>
      </c>
      <c r="W340">
        <v>4.63</v>
      </c>
      <c r="X340">
        <v>7</v>
      </c>
      <c r="Y340">
        <v>16.100000000000001</v>
      </c>
      <c r="Z340">
        <v>4.9000000000000004</v>
      </c>
    </row>
    <row r="341" spans="1:26" x14ac:dyDescent="0.45">
      <c r="A341" t="s">
        <v>1227</v>
      </c>
      <c r="B341">
        <v>44</v>
      </c>
      <c r="C341" t="s">
        <v>45</v>
      </c>
      <c r="D341" t="s">
        <v>95</v>
      </c>
      <c r="E341" t="s">
        <v>30</v>
      </c>
      <c r="F341" t="s">
        <v>79</v>
      </c>
      <c r="G341" t="s">
        <v>70</v>
      </c>
      <c r="H341" t="s">
        <v>61</v>
      </c>
      <c r="I341" t="s">
        <v>49</v>
      </c>
      <c r="J341" t="s">
        <v>1228</v>
      </c>
      <c r="K341" t="s">
        <v>1229</v>
      </c>
      <c r="L341" t="s">
        <v>36</v>
      </c>
      <c r="M341" t="s">
        <v>431</v>
      </c>
      <c r="N341" t="s">
        <v>598</v>
      </c>
      <c r="O341" t="s">
        <v>36</v>
      </c>
      <c r="P341" t="s">
        <v>55</v>
      </c>
      <c r="Q341" t="s">
        <v>67</v>
      </c>
      <c r="R341">
        <v>64</v>
      </c>
      <c r="S341">
        <v>0</v>
      </c>
      <c r="T341" t="s">
        <v>41</v>
      </c>
      <c r="U341" t="s">
        <v>57</v>
      </c>
      <c r="V341">
        <v>2.79</v>
      </c>
      <c r="W341">
        <v>2.84</v>
      </c>
      <c r="X341">
        <v>8.8000000000000007</v>
      </c>
      <c r="Y341">
        <v>15.8</v>
      </c>
      <c r="Z341">
        <v>9.5</v>
      </c>
    </row>
    <row r="342" spans="1:26" x14ac:dyDescent="0.45">
      <c r="A342" t="s">
        <v>1230</v>
      </c>
      <c r="B342">
        <v>41</v>
      </c>
      <c r="C342" t="s">
        <v>45</v>
      </c>
      <c r="D342" t="s">
        <v>87</v>
      </c>
      <c r="E342" t="s">
        <v>78</v>
      </c>
      <c r="F342" t="s">
        <v>30</v>
      </c>
      <c r="G342" t="s">
        <v>89</v>
      </c>
      <c r="H342" t="s">
        <v>71</v>
      </c>
      <c r="I342" t="s">
        <v>72</v>
      </c>
      <c r="J342" t="s">
        <v>1231</v>
      </c>
      <c r="K342" t="s">
        <v>1232</v>
      </c>
      <c r="L342" t="s">
        <v>52</v>
      </c>
      <c r="M342" t="s">
        <v>500</v>
      </c>
      <c r="N342" t="s">
        <v>262</v>
      </c>
      <c r="O342" t="s">
        <v>52</v>
      </c>
      <c r="P342" t="s">
        <v>110</v>
      </c>
      <c r="Q342" t="s">
        <v>129</v>
      </c>
      <c r="R342">
        <v>72</v>
      </c>
      <c r="S342">
        <v>0</v>
      </c>
      <c r="T342" t="s">
        <v>123</v>
      </c>
      <c r="U342" t="s">
        <v>57</v>
      </c>
      <c r="V342">
        <v>4.91</v>
      </c>
      <c r="W342">
        <v>1.44</v>
      </c>
      <c r="X342">
        <v>4.8</v>
      </c>
      <c r="Y342">
        <v>6.8</v>
      </c>
      <c r="Z342">
        <v>15.6</v>
      </c>
    </row>
    <row r="343" spans="1:26" x14ac:dyDescent="0.45">
      <c r="A343" t="s">
        <v>1233</v>
      </c>
      <c r="B343">
        <v>28</v>
      </c>
      <c r="C343" t="s">
        <v>44</v>
      </c>
      <c r="D343" t="s">
        <v>87</v>
      </c>
      <c r="E343" t="s">
        <v>30</v>
      </c>
      <c r="F343" t="s">
        <v>88</v>
      </c>
      <c r="G343" t="s">
        <v>80</v>
      </c>
      <c r="H343" t="s">
        <v>71</v>
      </c>
      <c r="I343" t="s">
        <v>33</v>
      </c>
      <c r="J343" t="s">
        <v>824</v>
      </c>
      <c r="K343" t="s">
        <v>1234</v>
      </c>
      <c r="L343" t="s">
        <v>92</v>
      </c>
      <c r="M343" t="s">
        <v>30</v>
      </c>
      <c r="N343" t="s">
        <v>1235</v>
      </c>
      <c r="O343" t="s">
        <v>92</v>
      </c>
      <c r="P343" t="s">
        <v>39</v>
      </c>
      <c r="Q343" t="s">
        <v>75</v>
      </c>
      <c r="R343">
        <v>40</v>
      </c>
      <c r="S343">
        <v>1</v>
      </c>
      <c r="T343" t="s">
        <v>123</v>
      </c>
      <c r="U343" t="s">
        <v>42</v>
      </c>
      <c r="V343">
        <v>4.67</v>
      </c>
      <c r="W343">
        <v>2.12</v>
      </c>
      <c r="X343">
        <v>8.6999999999999993</v>
      </c>
      <c r="Y343">
        <v>11.3</v>
      </c>
      <c r="Z343">
        <v>18.5</v>
      </c>
    </row>
    <row r="344" spans="1:26" x14ac:dyDescent="0.45">
      <c r="A344" t="s">
        <v>1236</v>
      </c>
      <c r="B344">
        <v>84</v>
      </c>
      <c r="C344" t="s">
        <v>27</v>
      </c>
      <c r="D344" t="s">
        <v>95</v>
      </c>
      <c r="E344" t="s">
        <v>29</v>
      </c>
      <c r="F344" t="s">
        <v>30</v>
      </c>
      <c r="G344" t="s">
        <v>184</v>
      </c>
      <c r="H344" t="s">
        <v>81</v>
      </c>
      <c r="I344" t="s">
        <v>33</v>
      </c>
      <c r="J344" t="s">
        <v>1178</v>
      </c>
      <c r="K344" t="s">
        <v>1237</v>
      </c>
      <c r="L344" t="s">
        <v>64</v>
      </c>
      <c r="M344" t="s">
        <v>422</v>
      </c>
      <c r="N344" t="s">
        <v>188</v>
      </c>
      <c r="O344" t="s">
        <v>64</v>
      </c>
      <c r="P344" t="s">
        <v>110</v>
      </c>
      <c r="Q344" t="s">
        <v>40</v>
      </c>
      <c r="R344">
        <v>126</v>
      </c>
      <c r="S344">
        <v>0</v>
      </c>
      <c r="T344" t="s">
        <v>85</v>
      </c>
      <c r="U344" t="s">
        <v>42</v>
      </c>
      <c r="V344">
        <v>4.0199999999999996</v>
      </c>
      <c r="W344">
        <v>4.22</v>
      </c>
      <c r="X344">
        <v>1.2</v>
      </c>
      <c r="Y344">
        <v>23.3</v>
      </c>
      <c r="Z344">
        <v>15.4</v>
      </c>
    </row>
    <row r="345" spans="1:26" x14ac:dyDescent="0.45">
      <c r="A345" t="s">
        <v>1238</v>
      </c>
      <c r="B345">
        <v>63</v>
      </c>
      <c r="C345" t="s">
        <v>44</v>
      </c>
      <c r="D345" t="s">
        <v>87</v>
      </c>
      <c r="E345" t="s">
        <v>163</v>
      </c>
      <c r="F345" t="s">
        <v>47</v>
      </c>
      <c r="G345" t="s">
        <v>96</v>
      </c>
      <c r="H345" t="s">
        <v>61</v>
      </c>
      <c r="I345" t="s">
        <v>49</v>
      </c>
      <c r="J345" t="s">
        <v>1239</v>
      </c>
      <c r="K345" t="s">
        <v>1240</v>
      </c>
      <c r="L345" t="s">
        <v>52</v>
      </c>
      <c r="M345" t="s">
        <v>500</v>
      </c>
      <c r="N345" t="s">
        <v>909</v>
      </c>
      <c r="O345" t="s">
        <v>52</v>
      </c>
      <c r="P345" t="s">
        <v>55</v>
      </c>
      <c r="Q345" t="s">
        <v>67</v>
      </c>
      <c r="R345">
        <v>30</v>
      </c>
      <c r="S345">
        <v>0</v>
      </c>
      <c r="T345" t="s">
        <v>137</v>
      </c>
      <c r="U345" t="s">
        <v>42</v>
      </c>
      <c r="V345">
        <v>2.2200000000000002</v>
      </c>
      <c r="W345">
        <v>4.32</v>
      </c>
      <c r="X345">
        <v>3.5</v>
      </c>
      <c r="Y345">
        <v>21.7</v>
      </c>
      <c r="Z345">
        <v>4.9000000000000004</v>
      </c>
    </row>
    <row r="346" spans="1:26" x14ac:dyDescent="0.45">
      <c r="A346" t="s">
        <v>1241</v>
      </c>
      <c r="B346">
        <v>64</v>
      </c>
      <c r="C346" t="s">
        <v>27</v>
      </c>
      <c r="D346" t="s">
        <v>28</v>
      </c>
      <c r="E346" t="s">
        <v>78</v>
      </c>
      <c r="F346" t="s">
        <v>47</v>
      </c>
      <c r="G346" t="s">
        <v>131</v>
      </c>
      <c r="H346" t="s">
        <v>61</v>
      </c>
      <c r="I346" t="s">
        <v>132</v>
      </c>
      <c r="J346" t="s">
        <v>1242</v>
      </c>
      <c r="K346" t="s">
        <v>1171</v>
      </c>
      <c r="L346" t="s">
        <v>92</v>
      </c>
      <c r="M346" t="s">
        <v>554</v>
      </c>
      <c r="N346" t="s">
        <v>537</v>
      </c>
      <c r="O346" t="s">
        <v>92</v>
      </c>
      <c r="P346" t="s">
        <v>110</v>
      </c>
      <c r="Q346" t="s">
        <v>67</v>
      </c>
      <c r="R346">
        <v>163</v>
      </c>
      <c r="S346">
        <v>0</v>
      </c>
      <c r="T346" t="s">
        <v>85</v>
      </c>
      <c r="U346" t="s">
        <v>42</v>
      </c>
      <c r="V346">
        <v>3.81</v>
      </c>
      <c r="W346">
        <v>3.16</v>
      </c>
      <c r="X346">
        <v>1.9</v>
      </c>
      <c r="Y346">
        <v>10.4</v>
      </c>
      <c r="Z346">
        <v>3.2</v>
      </c>
    </row>
    <row r="347" spans="1:26" x14ac:dyDescent="0.45">
      <c r="A347" t="s">
        <v>1243</v>
      </c>
      <c r="B347">
        <v>34</v>
      </c>
      <c r="C347" t="s">
        <v>44</v>
      </c>
      <c r="D347" t="s">
        <v>87</v>
      </c>
      <c r="E347" t="s">
        <v>30</v>
      </c>
      <c r="F347" t="s">
        <v>30</v>
      </c>
      <c r="G347" t="s">
        <v>178</v>
      </c>
      <c r="H347" t="s">
        <v>81</v>
      </c>
      <c r="I347" t="s">
        <v>72</v>
      </c>
      <c r="J347" t="s">
        <v>1244</v>
      </c>
      <c r="K347" t="s">
        <v>999</v>
      </c>
      <c r="L347" t="s">
        <v>52</v>
      </c>
      <c r="M347" t="s">
        <v>67</v>
      </c>
      <c r="N347" t="s">
        <v>958</v>
      </c>
      <c r="O347" t="s">
        <v>52</v>
      </c>
      <c r="P347" t="s">
        <v>110</v>
      </c>
      <c r="Q347" t="s">
        <v>129</v>
      </c>
      <c r="R347">
        <v>57</v>
      </c>
      <c r="S347">
        <v>0</v>
      </c>
      <c r="T347" t="s">
        <v>56</v>
      </c>
      <c r="U347" t="s">
        <v>42</v>
      </c>
      <c r="V347">
        <v>2.88</v>
      </c>
      <c r="W347">
        <v>2.21</v>
      </c>
      <c r="X347">
        <v>6.4</v>
      </c>
      <c r="Y347">
        <v>11.4</v>
      </c>
      <c r="Z347">
        <v>8.1</v>
      </c>
    </row>
    <row r="348" spans="1:26" x14ac:dyDescent="0.45">
      <c r="A348" t="s">
        <v>1245</v>
      </c>
      <c r="B348">
        <v>38</v>
      </c>
      <c r="C348" t="s">
        <v>44</v>
      </c>
      <c r="D348" t="s">
        <v>95</v>
      </c>
      <c r="E348" t="s">
        <v>30</v>
      </c>
      <c r="F348" t="s">
        <v>59</v>
      </c>
      <c r="G348" t="s">
        <v>70</v>
      </c>
      <c r="H348" t="s">
        <v>61</v>
      </c>
      <c r="I348" t="s">
        <v>72</v>
      </c>
      <c r="J348" t="s">
        <v>1246</v>
      </c>
      <c r="K348" t="s">
        <v>1247</v>
      </c>
      <c r="L348" t="s">
        <v>92</v>
      </c>
      <c r="M348" t="s">
        <v>1248</v>
      </c>
      <c r="N348" t="s">
        <v>571</v>
      </c>
      <c r="O348" t="s">
        <v>92</v>
      </c>
      <c r="P348" t="s">
        <v>110</v>
      </c>
      <c r="Q348" t="s">
        <v>129</v>
      </c>
      <c r="R348">
        <v>117</v>
      </c>
      <c r="S348">
        <v>0</v>
      </c>
      <c r="T348" t="s">
        <v>56</v>
      </c>
      <c r="U348" t="s">
        <v>57</v>
      </c>
      <c r="V348">
        <v>3.97</v>
      </c>
      <c r="W348">
        <v>1.19</v>
      </c>
      <c r="X348">
        <v>9.1</v>
      </c>
      <c r="Y348">
        <v>21.3</v>
      </c>
      <c r="Z348">
        <v>14.4</v>
      </c>
    </row>
    <row r="349" spans="1:26" x14ac:dyDescent="0.45">
      <c r="A349" t="s">
        <v>1249</v>
      </c>
      <c r="B349">
        <v>73</v>
      </c>
      <c r="C349" t="s">
        <v>27</v>
      </c>
      <c r="D349" t="s">
        <v>106</v>
      </c>
      <c r="E349" t="s">
        <v>30</v>
      </c>
      <c r="F349" t="s">
        <v>88</v>
      </c>
      <c r="G349" t="s">
        <v>102</v>
      </c>
      <c r="H349" t="s">
        <v>61</v>
      </c>
      <c r="I349" t="s">
        <v>132</v>
      </c>
      <c r="J349" t="s">
        <v>1250</v>
      </c>
      <c r="K349" t="s">
        <v>1246</v>
      </c>
      <c r="L349" t="s">
        <v>64</v>
      </c>
      <c r="M349" t="s">
        <v>30</v>
      </c>
      <c r="N349" t="s">
        <v>466</v>
      </c>
      <c r="O349" t="s">
        <v>64</v>
      </c>
      <c r="P349" t="s">
        <v>110</v>
      </c>
      <c r="Q349" t="s">
        <v>129</v>
      </c>
      <c r="R349">
        <v>109</v>
      </c>
      <c r="S349">
        <v>0</v>
      </c>
      <c r="T349" t="s">
        <v>123</v>
      </c>
      <c r="U349" t="s">
        <v>42</v>
      </c>
      <c r="V349">
        <v>3.37</v>
      </c>
      <c r="W349">
        <v>4.57</v>
      </c>
      <c r="X349">
        <v>2.7</v>
      </c>
      <c r="Y349">
        <v>7.4</v>
      </c>
      <c r="Z349">
        <v>7.1</v>
      </c>
    </row>
    <row r="350" spans="1:26" x14ac:dyDescent="0.45">
      <c r="A350" t="s">
        <v>1251</v>
      </c>
      <c r="B350">
        <v>67</v>
      </c>
      <c r="C350" t="s">
        <v>44</v>
      </c>
      <c r="D350" t="s">
        <v>28</v>
      </c>
      <c r="E350" t="s">
        <v>30</v>
      </c>
      <c r="F350" t="s">
        <v>30</v>
      </c>
      <c r="G350" t="s">
        <v>96</v>
      </c>
      <c r="H350" t="s">
        <v>71</v>
      </c>
      <c r="I350" t="s">
        <v>49</v>
      </c>
      <c r="J350" t="s">
        <v>1252</v>
      </c>
      <c r="K350" t="s">
        <v>1173</v>
      </c>
      <c r="L350" t="s">
        <v>64</v>
      </c>
      <c r="M350" t="s">
        <v>30</v>
      </c>
      <c r="N350" t="s">
        <v>1253</v>
      </c>
      <c r="O350" t="s">
        <v>64</v>
      </c>
      <c r="P350" t="s">
        <v>55</v>
      </c>
      <c r="Q350" t="s">
        <v>40</v>
      </c>
      <c r="R350">
        <v>67</v>
      </c>
      <c r="S350">
        <v>0</v>
      </c>
      <c r="T350" t="s">
        <v>85</v>
      </c>
      <c r="U350" t="s">
        <v>57</v>
      </c>
      <c r="V350">
        <v>4.18</v>
      </c>
      <c r="W350">
        <v>1.1399999999999999</v>
      </c>
      <c r="X350">
        <v>6.2</v>
      </c>
      <c r="Y350">
        <v>23.9</v>
      </c>
      <c r="Z350">
        <v>17.5</v>
      </c>
    </row>
    <row r="351" spans="1:26" x14ac:dyDescent="0.45">
      <c r="A351" t="s">
        <v>1254</v>
      </c>
      <c r="B351">
        <v>36</v>
      </c>
      <c r="C351" t="s">
        <v>45</v>
      </c>
      <c r="D351" t="s">
        <v>87</v>
      </c>
      <c r="E351" t="s">
        <v>29</v>
      </c>
      <c r="F351" t="s">
        <v>69</v>
      </c>
      <c r="G351" t="s">
        <v>102</v>
      </c>
      <c r="H351" t="s">
        <v>32</v>
      </c>
      <c r="I351" t="s">
        <v>33</v>
      </c>
      <c r="J351" t="s">
        <v>1050</v>
      </c>
      <c r="K351" t="s">
        <v>1255</v>
      </c>
      <c r="L351" t="s">
        <v>36</v>
      </c>
      <c r="M351" t="s">
        <v>30</v>
      </c>
      <c r="N351" t="s">
        <v>690</v>
      </c>
      <c r="O351" t="s">
        <v>36</v>
      </c>
      <c r="P351" t="s">
        <v>110</v>
      </c>
      <c r="Q351" t="s">
        <v>67</v>
      </c>
      <c r="R351">
        <v>87</v>
      </c>
      <c r="S351">
        <v>0</v>
      </c>
      <c r="T351" t="s">
        <v>123</v>
      </c>
      <c r="U351" t="s">
        <v>42</v>
      </c>
      <c r="V351">
        <v>3.09</v>
      </c>
      <c r="W351">
        <v>1.25</v>
      </c>
      <c r="X351">
        <v>8.5</v>
      </c>
      <c r="Y351">
        <v>16.8</v>
      </c>
      <c r="Z351">
        <v>5</v>
      </c>
    </row>
    <row r="352" spans="1:26" x14ac:dyDescent="0.45">
      <c r="A352" t="s">
        <v>1256</v>
      </c>
      <c r="B352">
        <v>80</v>
      </c>
      <c r="C352" t="s">
        <v>45</v>
      </c>
      <c r="D352" t="s">
        <v>95</v>
      </c>
      <c r="E352" t="s">
        <v>30</v>
      </c>
      <c r="F352" t="s">
        <v>30</v>
      </c>
      <c r="G352" t="s">
        <v>112</v>
      </c>
      <c r="H352" t="s">
        <v>61</v>
      </c>
      <c r="I352" t="s">
        <v>33</v>
      </c>
      <c r="J352" t="s">
        <v>1257</v>
      </c>
      <c r="K352" t="s">
        <v>1242</v>
      </c>
      <c r="L352" t="s">
        <v>64</v>
      </c>
      <c r="M352" t="s">
        <v>187</v>
      </c>
      <c r="N352" t="s">
        <v>344</v>
      </c>
      <c r="O352" t="s">
        <v>64</v>
      </c>
      <c r="P352" t="s">
        <v>110</v>
      </c>
      <c r="Q352" t="s">
        <v>30</v>
      </c>
      <c r="R352">
        <v>102</v>
      </c>
      <c r="S352">
        <v>0</v>
      </c>
      <c r="T352" t="s">
        <v>41</v>
      </c>
      <c r="U352" t="s">
        <v>57</v>
      </c>
      <c r="V352">
        <v>1.38</v>
      </c>
      <c r="W352">
        <v>4.6399999999999997</v>
      </c>
      <c r="X352">
        <v>7</v>
      </c>
      <c r="Y352">
        <v>20.9</v>
      </c>
      <c r="Z352">
        <v>17.899999999999999</v>
      </c>
    </row>
    <row r="353" spans="1:26" x14ac:dyDescent="0.45">
      <c r="A353" t="s">
        <v>1258</v>
      </c>
      <c r="B353">
        <v>30</v>
      </c>
      <c r="C353" t="s">
        <v>27</v>
      </c>
      <c r="D353" t="s">
        <v>28</v>
      </c>
      <c r="E353" t="s">
        <v>29</v>
      </c>
      <c r="F353" t="s">
        <v>30</v>
      </c>
      <c r="G353" t="s">
        <v>118</v>
      </c>
      <c r="H353" t="s">
        <v>32</v>
      </c>
      <c r="I353" t="s">
        <v>33</v>
      </c>
      <c r="J353" t="s">
        <v>1259</v>
      </c>
      <c r="K353" t="s">
        <v>659</v>
      </c>
      <c r="L353" t="s">
        <v>36</v>
      </c>
      <c r="M353" t="s">
        <v>339</v>
      </c>
      <c r="N353" t="s">
        <v>240</v>
      </c>
      <c r="O353" t="s">
        <v>36</v>
      </c>
      <c r="P353" t="s">
        <v>110</v>
      </c>
      <c r="Q353" t="s">
        <v>67</v>
      </c>
      <c r="R353">
        <v>32</v>
      </c>
      <c r="S353">
        <v>0</v>
      </c>
      <c r="T353" t="s">
        <v>137</v>
      </c>
      <c r="U353" t="s">
        <v>42</v>
      </c>
      <c r="V353">
        <v>3.29</v>
      </c>
      <c r="W353">
        <v>3.07</v>
      </c>
      <c r="X353">
        <v>4.9000000000000004</v>
      </c>
      <c r="Y353">
        <v>11.7</v>
      </c>
      <c r="Z353">
        <v>10.4</v>
      </c>
    </row>
    <row r="354" spans="1:26" x14ac:dyDescent="0.45">
      <c r="A354" t="s">
        <v>1260</v>
      </c>
      <c r="B354">
        <v>36</v>
      </c>
      <c r="C354" t="s">
        <v>44</v>
      </c>
      <c r="D354" t="s">
        <v>95</v>
      </c>
      <c r="E354" t="s">
        <v>46</v>
      </c>
      <c r="F354" t="s">
        <v>30</v>
      </c>
      <c r="G354" t="s">
        <v>102</v>
      </c>
      <c r="H354" t="s">
        <v>32</v>
      </c>
      <c r="I354" t="s">
        <v>33</v>
      </c>
      <c r="J354" t="s">
        <v>1261</v>
      </c>
      <c r="K354" t="s">
        <v>1262</v>
      </c>
      <c r="L354" t="s">
        <v>64</v>
      </c>
      <c r="M354" t="s">
        <v>1263</v>
      </c>
      <c r="N354" t="s">
        <v>150</v>
      </c>
      <c r="O354" t="s">
        <v>64</v>
      </c>
      <c r="P354" t="s">
        <v>55</v>
      </c>
      <c r="Q354" t="s">
        <v>67</v>
      </c>
      <c r="R354">
        <v>38</v>
      </c>
      <c r="S354">
        <v>0</v>
      </c>
      <c r="T354" t="s">
        <v>123</v>
      </c>
      <c r="U354" t="s">
        <v>42</v>
      </c>
      <c r="V354">
        <v>4.0999999999999996</v>
      </c>
      <c r="W354">
        <v>3.41</v>
      </c>
      <c r="X354">
        <v>9</v>
      </c>
      <c r="Y354">
        <v>14</v>
      </c>
      <c r="Z354">
        <v>13.3</v>
      </c>
    </row>
    <row r="355" spans="1:26" x14ac:dyDescent="0.45">
      <c r="A355" t="s">
        <v>1264</v>
      </c>
      <c r="B355">
        <v>68</v>
      </c>
      <c r="C355" t="s">
        <v>44</v>
      </c>
      <c r="D355" t="s">
        <v>28</v>
      </c>
      <c r="E355" t="s">
        <v>29</v>
      </c>
      <c r="F355" t="s">
        <v>30</v>
      </c>
      <c r="G355" t="s">
        <v>131</v>
      </c>
      <c r="H355" t="s">
        <v>61</v>
      </c>
      <c r="I355" t="s">
        <v>33</v>
      </c>
      <c r="J355" t="s">
        <v>836</v>
      </c>
      <c r="K355" t="s">
        <v>1265</v>
      </c>
      <c r="L355" t="s">
        <v>36</v>
      </c>
      <c r="M355" t="s">
        <v>451</v>
      </c>
      <c r="N355" t="s">
        <v>463</v>
      </c>
      <c r="O355" t="s">
        <v>36</v>
      </c>
      <c r="P355" t="s">
        <v>39</v>
      </c>
      <c r="Q355" t="s">
        <v>129</v>
      </c>
      <c r="R355">
        <v>155</v>
      </c>
      <c r="S355">
        <v>1</v>
      </c>
      <c r="T355" t="s">
        <v>85</v>
      </c>
      <c r="U355" t="s">
        <v>42</v>
      </c>
      <c r="V355">
        <v>3.53</v>
      </c>
      <c r="W355">
        <v>3.37</v>
      </c>
      <c r="X355">
        <v>7.3</v>
      </c>
      <c r="Y355">
        <v>10.3</v>
      </c>
      <c r="Z355">
        <v>11.7</v>
      </c>
    </row>
    <row r="356" spans="1:26" x14ac:dyDescent="0.45">
      <c r="A356" t="s">
        <v>1266</v>
      </c>
      <c r="B356">
        <v>20</v>
      </c>
      <c r="C356" t="s">
        <v>45</v>
      </c>
      <c r="D356" t="s">
        <v>45</v>
      </c>
      <c r="E356" t="s">
        <v>29</v>
      </c>
      <c r="F356" t="s">
        <v>88</v>
      </c>
      <c r="G356" t="s">
        <v>80</v>
      </c>
      <c r="H356" t="s">
        <v>71</v>
      </c>
      <c r="I356" t="s">
        <v>33</v>
      </c>
      <c r="J356" t="s">
        <v>1267</v>
      </c>
      <c r="K356" t="s">
        <v>1268</v>
      </c>
      <c r="L356" t="s">
        <v>64</v>
      </c>
      <c r="M356" t="s">
        <v>834</v>
      </c>
      <c r="N356" t="s">
        <v>776</v>
      </c>
      <c r="O356" t="s">
        <v>64</v>
      </c>
      <c r="P356" t="s">
        <v>110</v>
      </c>
      <c r="Q356" t="s">
        <v>75</v>
      </c>
      <c r="R356">
        <v>77</v>
      </c>
      <c r="S356">
        <v>0</v>
      </c>
      <c r="T356" t="s">
        <v>56</v>
      </c>
      <c r="U356" t="s">
        <v>42</v>
      </c>
      <c r="V356">
        <v>1.42</v>
      </c>
      <c r="W356">
        <v>2.54</v>
      </c>
      <c r="X356">
        <v>5.4</v>
      </c>
      <c r="Y356">
        <v>17.7</v>
      </c>
      <c r="Z356">
        <v>19.2</v>
      </c>
    </row>
    <row r="357" spans="1:26" x14ac:dyDescent="0.45">
      <c r="A357" t="s">
        <v>1269</v>
      </c>
      <c r="B357">
        <v>68</v>
      </c>
      <c r="C357" t="s">
        <v>45</v>
      </c>
      <c r="D357" t="s">
        <v>45</v>
      </c>
      <c r="E357" t="s">
        <v>29</v>
      </c>
      <c r="F357" t="s">
        <v>69</v>
      </c>
      <c r="G357" t="s">
        <v>80</v>
      </c>
      <c r="H357" t="s">
        <v>61</v>
      </c>
      <c r="I357" t="s">
        <v>72</v>
      </c>
      <c r="J357" t="s">
        <v>1270</v>
      </c>
      <c r="K357" t="s">
        <v>1271</v>
      </c>
      <c r="L357" t="s">
        <v>52</v>
      </c>
      <c r="M357" t="s">
        <v>75</v>
      </c>
      <c r="N357" t="s">
        <v>711</v>
      </c>
      <c r="O357" t="s">
        <v>52</v>
      </c>
      <c r="P357" t="s">
        <v>55</v>
      </c>
      <c r="Q357" t="s">
        <v>129</v>
      </c>
      <c r="R357">
        <v>40</v>
      </c>
      <c r="S357">
        <v>0</v>
      </c>
      <c r="T357" t="s">
        <v>41</v>
      </c>
      <c r="U357" t="s">
        <v>42</v>
      </c>
      <c r="V357">
        <v>3.4</v>
      </c>
      <c r="W357">
        <v>3.97</v>
      </c>
      <c r="X357">
        <v>5.6</v>
      </c>
      <c r="Y357">
        <v>17.399999999999999</v>
      </c>
      <c r="Z357">
        <v>4.2</v>
      </c>
    </row>
    <row r="358" spans="1:26" x14ac:dyDescent="0.45">
      <c r="A358" t="s">
        <v>1272</v>
      </c>
      <c r="B358">
        <v>38</v>
      </c>
      <c r="C358" t="s">
        <v>27</v>
      </c>
      <c r="D358" t="s">
        <v>45</v>
      </c>
      <c r="E358" t="s">
        <v>30</v>
      </c>
      <c r="F358" t="s">
        <v>30</v>
      </c>
      <c r="G358" t="s">
        <v>118</v>
      </c>
      <c r="H358" t="s">
        <v>61</v>
      </c>
      <c r="I358" t="s">
        <v>49</v>
      </c>
      <c r="J358" t="s">
        <v>635</v>
      </c>
      <c r="K358" t="s">
        <v>1273</v>
      </c>
      <c r="L358" t="s">
        <v>52</v>
      </c>
      <c r="M358" t="s">
        <v>274</v>
      </c>
      <c r="N358" t="s">
        <v>100</v>
      </c>
      <c r="O358" t="s">
        <v>52</v>
      </c>
      <c r="P358" t="s">
        <v>39</v>
      </c>
      <c r="Q358" t="s">
        <v>75</v>
      </c>
      <c r="R358">
        <v>105</v>
      </c>
      <c r="S358">
        <v>1</v>
      </c>
      <c r="T358" t="s">
        <v>85</v>
      </c>
      <c r="U358" t="s">
        <v>57</v>
      </c>
      <c r="V358">
        <v>2.02</v>
      </c>
      <c r="W358">
        <v>2.4500000000000002</v>
      </c>
      <c r="X358">
        <v>5.3</v>
      </c>
      <c r="Y358">
        <v>6.8</v>
      </c>
      <c r="Z358">
        <v>5.4</v>
      </c>
    </row>
    <row r="359" spans="1:26" x14ac:dyDescent="0.45">
      <c r="A359" t="s">
        <v>1274</v>
      </c>
      <c r="B359">
        <v>35</v>
      </c>
      <c r="C359" t="s">
        <v>45</v>
      </c>
      <c r="D359" t="s">
        <v>95</v>
      </c>
      <c r="E359" t="s">
        <v>30</v>
      </c>
      <c r="F359" t="s">
        <v>30</v>
      </c>
      <c r="G359" t="s">
        <v>194</v>
      </c>
      <c r="H359" t="s">
        <v>71</v>
      </c>
      <c r="I359" t="s">
        <v>49</v>
      </c>
      <c r="J359" t="s">
        <v>1275</v>
      </c>
      <c r="K359" t="s">
        <v>1276</v>
      </c>
      <c r="L359" t="s">
        <v>52</v>
      </c>
      <c r="M359" t="s">
        <v>339</v>
      </c>
      <c r="N359" t="s">
        <v>926</v>
      </c>
      <c r="O359" t="s">
        <v>52</v>
      </c>
      <c r="P359" t="s">
        <v>110</v>
      </c>
      <c r="Q359" t="s">
        <v>67</v>
      </c>
      <c r="R359">
        <v>121</v>
      </c>
      <c r="S359">
        <v>0</v>
      </c>
      <c r="T359" t="s">
        <v>137</v>
      </c>
      <c r="U359" t="s">
        <v>42</v>
      </c>
      <c r="V359">
        <v>2.11</v>
      </c>
      <c r="W359">
        <v>4.8899999999999997</v>
      </c>
      <c r="X359">
        <v>4</v>
      </c>
      <c r="Y359">
        <v>14.7</v>
      </c>
      <c r="Z359">
        <v>6.3</v>
      </c>
    </row>
    <row r="360" spans="1:26" x14ac:dyDescent="0.45">
      <c r="A360" t="s">
        <v>1277</v>
      </c>
      <c r="B360">
        <v>72</v>
      </c>
      <c r="C360" t="s">
        <v>27</v>
      </c>
      <c r="D360" t="s">
        <v>45</v>
      </c>
      <c r="E360" t="s">
        <v>30</v>
      </c>
      <c r="F360" t="s">
        <v>79</v>
      </c>
      <c r="G360" t="s">
        <v>131</v>
      </c>
      <c r="H360" t="s">
        <v>81</v>
      </c>
      <c r="I360" t="s">
        <v>49</v>
      </c>
      <c r="J360" t="s">
        <v>1278</v>
      </c>
      <c r="K360" t="s">
        <v>311</v>
      </c>
      <c r="L360" t="s">
        <v>52</v>
      </c>
      <c r="M360" t="s">
        <v>1279</v>
      </c>
      <c r="N360" t="s">
        <v>1280</v>
      </c>
      <c r="O360" t="s">
        <v>52</v>
      </c>
      <c r="P360" t="s">
        <v>55</v>
      </c>
      <c r="Q360" t="s">
        <v>67</v>
      </c>
      <c r="R360">
        <v>125</v>
      </c>
      <c r="S360">
        <v>0</v>
      </c>
      <c r="T360" t="s">
        <v>85</v>
      </c>
      <c r="U360" t="s">
        <v>42</v>
      </c>
      <c r="V360">
        <v>3.44</v>
      </c>
      <c r="W360">
        <v>2.12</v>
      </c>
      <c r="X360">
        <v>2.9</v>
      </c>
      <c r="Y360">
        <v>15.3</v>
      </c>
      <c r="Z360">
        <v>3.1</v>
      </c>
    </row>
    <row r="361" spans="1:26" x14ac:dyDescent="0.45">
      <c r="A361" t="s">
        <v>1281</v>
      </c>
      <c r="B361">
        <v>71</v>
      </c>
      <c r="C361" t="s">
        <v>27</v>
      </c>
      <c r="D361" t="s">
        <v>28</v>
      </c>
      <c r="E361" t="s">
        <v>78</v>
      </c>
      <c r="F361" t="s">
        <v>69</v>
      </c>
      <c r="G361" t="s">
        <v>60</v>
      </c>
      <c r="H361" t="s">
        <v>61</v>
      </c>
      <c r="I361" t="s">
        <v>132</v>
      </c>
      <c r="J361" t="s">
        <v>854</v>
      </c>
      <c r="K361" t="s">
        <v>1282</v>
      </c>
      <c r="L361" t="s">
        <v>36</v>
      </c>
      <c r="M361" t="s">
        <v>30</v>
      </c>
      <c r="N361" t="s">
        <v>586</v>
      </c>
      <c r="O361" t="s">
        <v>36</v>
      </c>
      <c r="P361" t="s">
        <v>39</v>
      </c>
      <c r="Q361" t="s">
        <v>30</v>
      </c>
      <c r="R361">
        <v>115</v>
      </c>
      <c r="S361">
        <v>1</v>
      </c>
      <c r="T361" t="s">
        <v>137</v>
      </c>
      <c r="U361" t="s">
        <v>42</v>
      </c>
      <c r="V361">
        <v>1.03</v>
      </c>
      <c r="W361">
        <v>1.88</v>
      </c>
      <c r="X361">
        <v>1.3</v>
      </c>
      <c r="Y361">
        <v>7.9</v>
      </c>
      <c r="Z361">
        <v>8.8000000000000007</v>
      </c>
    </row>
    <row r="362" spans="1:26" x14ac:dyDescent="0.45">
      <c r="A362" t="s">
        <v>1283</v>
      </c>
      <c r="B362">
        <v>46</v>
      </c>
      <c r="C362" t="s">
        <v>44</v>
      </c>
      <c r="D362" t="s">
        <v>87</v>
      </c>
      <c r="E362" t="s">
        <v>163</v>
      </c>
      <c r="F362" t="s">
        <v>79</v>
      </c>
      <c r="G362" t="s">
        <v>131</v>
      </c>
      <c r="H362" t="s">
        <v>61</v>
      </c>
      <c r="I362" t="s">
        <v>49</v>
      </c>
      <c r="J362" t="s">
        <v>1284</v>
      </c>
      <c r="K362" t="s">
        <v>1285</v>
      </c>
      <c r="L362" t="s">
        <v>36</v>
      </c>
      <c r="M362" t="s">
        <v>75</v>
      </c>
      <c r="N362" t="s">
        <v>954</v>
      </c>
      <c r="O362" t="s">
        <v>36</v>
      </c>
      <c r="P362" t="s">
        <v>110</v>
      </c>
      <c r="Q362" t="s">
        <v>75</v>
      </c>
      <c r="R362">
        <v>102</v>
      </c>
      <c r="S362">
        <v>0</v>
      </c>
      <c r="T362" t="s">
        <v>85</v>
      </c>
      <c r="U362" t="s">
        <v>57</v>
      </c>
      <c r="V362">
        <v>4.21</v>
      </c>
      <c r="W362">
        <v>3.29</v>
      </c>
      <c r="X362">
        <v>5.6</v>
      </c>
      <c r="Y362">
        <v>11.3</v>
      </c>
      <c r="Z362">
        <v>18.8</v>
      </c>
    </row>
    <row r="363" spans="1:26" x14ac:dyDescent="0.45">
      <c r="A363" t="s">
        <v>1286</v>
      </c>
      <c r="B363">
        <v>30</v>
      </c>
      <c r="C363" t="s">
        <v>27</v>
      </c>
      <c r="D363" t="s">
        <v>106</v>
      </c>
      <c r="E363" t="s">
        <v>30</v>
      </c>
      <c r="F363" t="s">
        <v>30</v>
      </c>
      <c r="G363" t="s">
        <v>131</v>
      </c>
      <c r="H363" t="s">
        <v>71</v>
      </c>
      <c r="I363" t="s">
        <v>132</v>
      </c>
      <c r="J363" t="s">
        <v>1287</v>
      </c>
      <c r="K363" t="s">
        <v>929</v>
      </c>
      <c r="L363" t="s">
        <v>36</v>
      </c>
      <c r="M363" t="s">
        <v>1288</v>
      </c>
      <c r="N363" t="s">
        <v>501</v>
      </c>
      <c r="O363" t="s">
        <v>36</v>
      </c>
      <c r="P363" t="s">
        <v>110</v>
      </c>
      <c r="Q363" t="s">
        <v>67</v>
      </c>
      <c r="R363">
        <v>62</v>
      </c>
      <c r="S363">
        <v>0</v>
      </c>
      <c r="T363" t="s">
        <v>41</v>
      </c>
      <c r="U363" t="s">
        <v>57</v>
      </c>
      <c r="V363">
        <v>2.59</v>
      </c>
      <c r="W363">
        <v>1.35</v>
      </c>
      <c r="X363">
        <v>6.6</v>
      </c>
      <c r="Y363">
        <v>8</v>
      </c>
      <c r="Z363">
        <v>8.9</v>
      </c>
    </row>
    <row r="364" spans="1:26" x14ac:dyDescent="0.45">
      <c r="A364" t="s">
        <v>1289</v>
      </c>
      <c r="B364">
        <v>52</v>
      </c>
      <c r="C364" t="s">
        <v>27</v>
      </c>
      <c r="D364" t="s">
        <v>28</v>
      </c>
      <c r="E364" t="s">
        <v>46</v>
      </c>
      <c r="F364" t="s">
        <v>30</v>
      </c>
      <c r="G364" t="s">
        <v>48</v>
      </c>
      <c r="H364" t="s">
        <v>81</v>
      </c>
      <c r="I364" t="s">
        <v>72</v>
      </c>
      <c r="J364" t="s">
        <v>272</v>
      </c>
      <c r="K364" t="s">
        <v>1290</v>
      </c>
      <c r="L364" t="s">
        <v>64</v>
      </c>
      <c r="M364" t="s">
        <v>1291</v>
      </c>
      <c r="N364" t="s">
        <v>1292</v>
      </c>
      <c r="O364" t="s">
        <v>64</v>
      </c>
      <c r="P364" t="s">
        <v>110</v>
      </c>
      <c r="Q364" t="s">
        <v>129</v>
      </c>
      <c r="R364">
        <v>108</v>
      </c>
      <c r="S364">
        <v>0</v>
      </c>
      <c r="T364" t="s">
        <v>56</v>
      </c>
      <c r="U364" t="s">
        <v>57</v>
      </c>
      <c r="V364">
        <v>3.03</v>
      </c>
      <c r="W364">
        <v>4.5</v>
      </c>
      <c r="X364">
        <v>5.4</v>
      </c>
      <c r="Y364">
        <v>18.600000000000001</v>
      </c>
      <c r="Z364">
        <v>19.899999999999999</v>
      </c>
    </row>
    <row r="365" spans="1:26" x14ac:dyDescent="0.45">
      <c r="A365" t="s">
        <v>1293</v>
      </c>
      <c r="B365">
        <v>29</v>
      </c>
      <c r="C365" t="s">
        <v>45</v>
      </c>
      <c r="D365" t="s">
        <v>87</v>
      </c>
      <c r="E365" t="s">
        <v>163</v>
      </c>
      <c r="F365" t="s">
        <v>30</v>
      </c>
      <c r="G365" t="s">
        <v>125</v>
      </c>
      <c r="H365" t="s">
        <v>71</v>
      </c>
      <c r="I365" t="s">
        <v>49</v>
      </c>
      <c r="J365" t="s">
        <v>1294</v>
      </c>
      <c r="K365" t="s">
        <v>1295</v>
      </c>
      <c r="L365" t="s">
        <v>36</v>
      </c>
      <c r="M365" t="s">
        <v>40</v>
      </c>
      <c r="N365" t="s">
        <v>327</v>
      </c>
      <c r="O365" t="s">
        <v>36</v>
      </c>
      <c r="P365" t="s">
        <v>110</v>
      </c>
      <c r="Q365" t="s">
        <v>67</v>
      </c>
      <c r="R365">
        <v>152</v>
      </c>
      <c r="S365">
        <v>0</v>
      </c>
      <c r="T365" t="s">
        <v>56</v>
      </c>
      <c r="U365" t="s">
        <v>42</v>
      </c>
      <c r="V365">
        <v>1.53</v>
      </c>
      <c r="W365">
        <v>2.1</v>
      </c>
      <c r="X365">
        <v>4.5999999999999996</v>
      </c>
      <c r="Y365">
        <v>13.6</v>
      </c>
      <c r="Z365">
        <v>10</v>
      </c>
    </row>
    <row r="366" spans="1:26" x14ac:dyDescent="0.45">
      <c r="A366" t="s">
        <v>1296</v>
      </c>
      <c r="B366">
        <v>69</v>
      </c>
      <c r="C366" t="s">
        <v>27</v>
      </c>
      <c r="D366" t="s">
        <v>45</v>
      </c>
      <c r="E366" t="s">
        <v>46</v>
      </c>
      <c r="F366" t="s">
        <v>30</v>
      </c>
      <c r="G366" t="s">
        <v>164</v>
      </c>
      <c r="H366" t="s">
        <v>81</v>
      </c>
      <c r="I366" t="s">
        <v>132</v>
      </c>
      <c r="J366" t="s">
        <v>774</v>
      </c>
      <c r="K366" t="s">
        <v>1297</v>
      </c>
      <c r="L366" t="s">
        <v>92</v>
      </c>
      <c r="M366" t="s">
        <v>1263</v>
      </c>
      <c r="N366" t="s">
        <v>930</v>
      </c>
      <c r="O366" t="s">
        <v>92</v>
      </c>
      <c r="P366" t="s">
        <v>110</v>
      </c>
      <c r="Q366" t="s">
        <v>67</v>
      </c>
      <c r="R366">
        <v>74</v>
      </c>
      <c r="S366">
        <v>0</v>
      </c>
      <c r="T366" t="s">
        <v>123</v>
      </c>
      <c r="U366" t="s">
        <v>57</v>
      </c>
      <c r="V366">
        <v>4.63</v>
      </c>
      <c r="W366">
        <v>3.86</v>
      </c>
      <c r="X366">
        <v>6.5</v>
      </c>
      <c r="Y366">
        <v>11.6</v>
      </c>
      <c r="Z366">
        <v>17</v>
      </c>
    </row>
    <row r="367" spans="1:26" x14ac:dyDescent="0.45">
      <c r="A367" t="s">
        <v>1298</v>
      </c>
      <c r="B367">
        <v>35</v>
      </c>
      <c r="C367" t="s">
        <v>45</v>
      </c>
      <c r="D367" t="s">
        <v>28</v>
      </c>
      <c r="E367" t="s">
        <v>163</v>
      </c>
      <c r="F367" t="s">
        <v>47</v>
      </c>
      <c r="G367" t="s">
        <v>112</v>
      </c>
      <c r="H367" t="s">
        <v>32</v>
      </c>
      <c r="I367" t="s">
        <v>49</v>
      </c>
      <c r="J367" t="s">
        <v>426</v>
      </c>
      <c r="K367" t="s">
        <v>103</v>
      </c>
      <c r="L367" t="s">
        <v>92</v>
      </c>
      <c r="M367" t="s">
        <v>317</v>
      </c>
      <c r="N367" t="s">
        <v>491</v>
      </c>
      <c r="O367" t="s">
        <v>92</v>
      </c>
      <c r="P367" t="s">
        <v>55</v>
      </c>
      <c r="Q367" t="s">
        <v>67</v>
      </c>
      <c r="R367">
        <v>30</v>
      </c>
      <c r="S367">
        <v>0</v>
      </c>
      <c r="T367" t="s">
        <v>85</v>
      </c>
      <c r="U367" t="s">
        <v>57</v>
      </c>
      <c r="V367">
        <v>4.82</v>
      </c>
      <c r="W367">
        <v>4.28</v>
      </c>
      <c r="X367">
        <v>1</v>
      </c>
      <c r="Y367">
        <v>17.5</v>
      </c>
      <c r="Z367">
        <v>3.9</v>
      </c>
    </row>
    <row r="368" spans="1:26" x14ac:dyDescent="0.45">
      <c r="A368" t="s">
        <v>1299</v>
      </c>
      <c r="B368">
        <v>45</v>
      </c>
      <c r="C368" t="s">
        <v>44</v>
      </c>
      <c r="D368" t="s">
        <v>45</v>
      </c>
      <c r="E368" t="s">
        <v>163</v>
      </c>
      <c r="F368" t="s">
        <v>30</v>
      </c>
      <c r="G368" t="s">
        <v>152</v>
      </c>
      <c r="H368" t="s">
        <v>81</v>
      </c>
      <c r="I368" t="s">
        <v>49</v>
      </c>
      <c r="J368" t="s">
        <v>1300</v>
      </c>
      <c r="K368" t="s">
        <v>1301</v>
      </c>
      <c r="L368" t="s">
        <v>64</v>
      </c>
      <c r="M368" t="s">
        <v>697</v>
      </c>
      <c r="N368" t="s">
        <v>54</v>
      </c>
      <c r="O368" t="s">
        <v>64</v>
      </c>
      <c r="P368" t="s">
        <v>55</v>
      </c>
      <c r="Q368" t="s">
        <v>67</v>
      </c>
      <c r="R368">
        <v>132</v>
      </c>
      <c r="S368">
        <v>0</v>
      </c>
      <c r="T368" t="s">
        <v>137</v>
      </c>
      <c r="U368" t="s">
        <v>42</v>
      </c>
      <c r="V368">
        <v>2.0299999999999998</v>
      </c>
      <c r="W368">
        <v>1.24</v>
      </c>
      <c r="X368">
        <v>6.4</v>
      </c>
      <c r="Y368">
        <v>18.399999999999999</v>
      </c>
      <c r="Z368">
        <v>4.9000000000000004</v>
      </c>
    </row>
    <row r="369" spans="1:26" x14ac:dyDescent="0.45">
      <c r="A369" t="s">
        <v>1302</v>
      </c>
      <c r="B369">
        <v>30</v>
      </c>
      <c r="C369" t="s">
        <v>44</v>
      </c>
      <c r="D369" t="s">
        <v>95</v>
      </c>
      <c r="E369" t="s">
        <v>46</v>
      </c>
      <c r="F369" t="s">
        <v>69</v>
      </c>
      <c r="G369" t="s">
        <v>96</v>
      </c>
      <c r="H369" t="s">
        <v>81</v>
      </c>
      <c r="I369" t="s">
        <v>49</v>
      </c>
      <c r="J369" t="s">
        <v>1303</v>
      </c>
      <c r="K369" t="s">
        <v>621</v>
      </c>
      <c r="L369" t="s">
        <v>64</v>
      </c>
      <c r="M369" t="s">
        <v>40</v>
      </c>
      <c r="N369" t="s">
        <v>525</v>
      </c>
      <c r="O369" t="s">
        <v>64</v>
      </c>
      <c r="P369" t="s">
        <v>55</v>
      </c>
      <c r="Q369" t="s">
        <v>30</v>
      </c>
      <c r="R369">
        <v>123</v>
      </c>
      <c r="S369">
        <v>0</v>
      </c>
      <c r="T369" t="s">
        <v>56</v>
      </c>
      <c r="U369" t="s">
        <v>42</v>
      </c>
      <c r="V369">
        <v>2.54</v>
      </c>
      <c r="W369">
        <v>2.82</v>
      </c>
      <c r="X369">
        <v>4.3</v>
      </c>
      <c r="Y369">
        <v>8.1999999999999993</v>
      </c>
      <c r="Z369">
        <v>10.1</v>
      </c>
    </row>
    <row r="370" spans="1:26" x14ac:dyDescent="0.45">
      <c r="A370" t="s">
        <v>1304</v>
      </c>
      <c r="B370">
        <v>52</v>
      </c>
      <c r="C370" t="s">
        <v>27</v>
      </c>
      <c r="D370" t="s">
        <v>95</v>
      </c>
      <c r="E370" t="s">
        <v>78</v>
      </c>
      <c r="F370" t="s">
        <v>59</v>
      </c>
      <c r="G370" t="s">
        <v>48</v>
      </c>
      <c r="H370" t="s">
        <v>61</v>
      </c>
      <c r="I370" t="s">
        <v>132</v>
      </c>
      <c r="J370" t="s">
        <v>1305</v>
      </c>
      <c r="K370" t="s">
        <v>1306</v>
      </c>
      <c r="L370" t="s">
        <v>92</v>
      </c>
      <c r="M370" t="s">
        <v>40</v>
      </c>
      <c r="N370" t="s">
        <v>1066</v>
      </c>
      <c r="O370" t="s">
        <v>92</v>
      </c>
      <c r="P370" t="s">
        <v>110</v>
      </c>
      <c r="Q370" t="s">
        <v>30</v>
      </c>
      <c r="R370">
        <v>38</v>
      </c>
      <c r="S370">
        <v>0</v>
      </c>
      <c r="T370" t="s">
        <v>41</v>
      </c>
      <c r="U370" t="s">
        <v>42</v>
      </c>
      <c r="V370">
        <v>4</v>
      </c>
      <c r="W370">
        <v>1.28</v>
      </c>
      <c r="X370">
        <v>1.7</v>
      </c>
      <c r="Y370">
        <v>12.4</v>
      </c>
      <c r="Z370">
        <v>19</v>
      </c>
    </row>
    <row r="371" spans="1:26" x14ac:dyDescent="0.45">
      <c r="A371" t="s">
        <v>1307</v>
      </c>
      <c r="B371">
        <v>79</v>
      </c>
      <c r="C371" t="s">
        <v>45</v>
      </c>
      <c r="D371" t="s">
        <v>28</v>
      </c>
      <c r="E371" t="s">
        <v>163</v>
      </c>
      <c r="F371" t="s">
        <v>69</v>
      </c>
      <c r="G371" t="s">
        <v>70</v>
      </c>
      <c r="H371" t="s">
        <v>71</v>
      </c>
      <c r="I371" t="s">
        <v>132</v>
      </c>
      <c r="J371" t="s">
        <v>905</v>
      </c>
      <c r="K371" t="s">
        <v>1308</v>
      </c>
      <c r="L371" t="s">
        <v>36</v>
      </c>
      <c r="M371" t="s">
        <v>129</v>
      </c>
      <c r="N371" t="s">
        <v>176</v>
      </c>
      <c r="O371" t="s">
        <v>36</v>
      </c>
      <c r="P371" t="s">
        <v>39</v>
      </c>
      <c r="Q371" t="s">
        <v>67</v>
      </c>
      <c r="R371">
        <v>69</v>
      </c>
      <c r="S371">
        <v>1</v>
      </c>
      <c r="T371" t="s">
        <v>137</v>
      </c>
      <c r="U371" t="s">
        <v>42</v>
      </c>
      <c r="V371">
        <v>3.67</v>
      </c>
      <c r="W371">
        <v>3.71</v>
      </c>
      <c r="X371">
        <v>4.3</v>
      </c>
      <c r="Y371">
        <v>16.7</v>
      </c>
      <c r="Z371">
        <v>3.2</v>
      </c>
    </row>
    <row r="372" spans="1:26" x14ac:dyDescent="0.45">
      <c r="A372" t="s">
        <v>1309</v>
      </c>
      <c r="B372">
        <v>48</v>
      </c>
      <c r="C372" t="s">
        <v>27</v>
      </c>
      <c r="D372" t="s">
        <v>28</v>
      </c>
      <c r="E372" t="s">
        <v>78</v>
      </c>
      <c r="F372" t="s">
        <v>30</v>
      </c>
      <c r="G372" t="s">
        <v>164</v>
      </c>
      <c r="H372" t="s">
        <v>81</v>
      </c>
      <c r="I372" t="s">
        <v>33</v>
      </c>
      <c r="J372" t="s">
        <v>442</v>
      </c>
      <c r="K372" t="s">
        <v>1310</v>
      </c>
      <c r="L372" t="s">
        <v>36</v>
      </c>
      <c r="M372" t="s">
        <v>75</v>
      </c>
      <c r="N372" t="s">
        <v>690</v>
      </c>
      <c r="O372" t="s">
        <v>36</v>
      </c>
      <c r="P372" t="s">
        <v>110</v>
      </c>
      <c r="Q372" t="s">
        <v>75</v>
      </c>
      <c r="R372">
        <v>77</v>
      </c>
      <c r="S372">
        <v>0</v>
      </c>
      <c r="T372" t="s">
        <v>41</v>
      </c>
      <c r="U372" t="s">
        <v>57</v>
      </c>
      <c r="V372">
        <v>3.54</v>
      </c>
      <c r="W372">
        <v>4.6500000000000004</v>
      </c>
      <c r="X372">
        <v>6.5</v>
      </c>
      <c r="Y372">
        <v>21.7</v>
      </c>
      <c r="Z372">
        <v>15.3</v>
      </c>
    </row>
    <row r="373" spans="1:26" x14ac:dyDescent="0.45">
      <c r="A373" t="s">
        <v>1311</v>
      </c>
      <c r="B373">
        <v>32</v>
      </c>
      <c r="C373" t="s">
        <v>44</v>
      </c>
      <c r="D373" t="s">
        <v>106</v>
      </c>
      <c r="E373" t="s">
        <v>78</v>
      </c>
      <c r="F373" t="s">
        <v>88</v>
      </c>
      <c r="G373" t="s">
        <v>246</v>
      </c>
      <c r="H373" t="s">
        <v>71</v>
      </c>
      <c r="I373" t="s">
        <v>72</v>
      </c>
      <c r="J373" t="s">
        <v>1312</v>
      </c>
      <c r="K373" t="s">
        <v>1313</v>
      </c>
      <c r="L373" t="s">
        <v>52</v>
      </c>
      <c r="M373" t="s">
        <v>67</v>
      </c>
      <c r="N373" t="s">
        <v>780</v>
      </c>
      <c r="O373" t="s">
        <v>52</v>
      </c>
      <c r="P373" t="s">
        <v>39</v>
      </c>
      <c r="Q373" t="s">
        <v>30</v>
      </c>
      <c r="R373">
        <v>79</v>
      </c>
      <c r="S373">
        <v>1</v>
      </c>
      <c r="T373" t="s">
        <v>41</v>
      </c>
      <c r="U373" t="s">
        <v>57</v>
      </c>
      <c r="V373">
        <v>1.48</v>
      </c>
      <c r="W373">
        <v>4.6100000000000003</v>
      </c>
      <c r="X373">
        <v>1.6</v>
      </c>
      <c r="Y373">
        <v>15.6</v>
      </c>
      <c r="Z373">
        <v>5.4</v>
      </c>
    </row>
    <row r="374" spans="1:26" x14ac:dyDescent="0.45">
      <c r="A374" t="s">
        <v>1314</v>
      </c>
      <c r="B374">
        <v>20</v>
      </c>
      <c r="C374" t="s">
        <v>45</v>
      </c>
      <c r="D374" t="s">
        <v>106</v>
      </c>
      <c r="E374" t="s">
        <v>163</v>
      </c>
      <c r="F374" t="s">
        <v>30</v>
      </c>
      <c r="G374" t="s">
        <v>131</v>
      </c>
      <c r="H374" t="s">
        <v>81</v>
      </c>
      <c r="I374" t="s">
        <v>132</v>
      </c>
      <c r="J374" t="s">
        <v>139</v>
      </c>
      <c r="K374" t="s">
        <v>1315</v>
      </c>
      <c r="L374" t="s">
        <v>36</v>
      </c>
      <c r="M374" t="s">
        <v>75</v>
      </c>
      <c r="N374" t="s">
        <v>746</v>
      </c>
      <c r="O374" t="s">
        <v>36</v>
      </c>
      <c r="P374" t="s">
        <v>110</v>
      </c>
      <c r="Q374" t="s">
        <v>129</v>
      </c>
      <c r="R374">
        <v>107</v>
      </c>
      <c r="S374">
        <v>0</v>
      </c>
      <c r="T374" t="s">
        <v>123</v>
      </c>
      <c r="U374" t="s">
        <v>57</v>
      </c>
      <c r="V374">
        <v>1.05</v>
      </c>
      <c r="W374">
        <v>2.69</v>
      </c>
      <c r="X374">
        <v>3.7</v>
      </c>
      <c r="Y374">
        <v>14.7</v>
      </c>
      <c r="Z374">
        <v>12.8</v>
      </c>
    </row>
    <row r="375" spans="1:26" x14ac:dyDescent="0.45">
      <c r="A375" t="s">
        <v>1316</v>
      </c>
      <c r="B375">
        <v>64</v>
      </c>
      <c r="C375" t="s">
        <v>44</v>
      </c>
      <c r="D375" t="s">
        <v>28</v>
      </c>
      <c r="E375" t="s">
        <v>78</v>
      </c>
      <c r="F375" t="s">
        <v>88</v>
      </c>
      <c r="G375" t="s">
        <v>112</v>
      </c>
      <c r="H375" t="s">
        <v>61</v>
      </c>
      <c r="I375" t="s">
        <v>49</v>
      </c>
      <c r="J375" t="s">
        <v>1317</v>
      </c>
      <c r="K375" t="s">
        <v>1318</v>
      </c>
      <c r="L375" t="s">
        <v>52</v>
      </c>
      <c r="M375" t="s">
        <v>295</v>
      </c>
      <c r="N375" t="s">
        <v>567</v>
      </c>
      <c r="O375" t="s">
        <v>52</v>
      </c>
      <c r="P375" t="s">
        <v>39</v>
      </c>
      <c r="Q375" t="s">
        <v>40</v>
      </c>
      <c r="R375">
        <v>77</v>
      </c>
      <c r="S375">
        <v>1</v>
      </c>
      <c r="T375" t="s">
        <v>137</v>
      </c>
      <c r="U375" t="s">
        <v>57</v>
      </c>
      <c r="V375">
        <v>1.17</v>
      </c>
      <c r="W375">
        <v>1.49</v>
      </c>
      <c r="X375">
        <v>6</v>
      </c>
      <c r="Y375">
        <v>12.2</v>
      </c>
      <c r="Z375">
        <v>15.4</v>
      </c>
    </row>
    <row r="376" spans="1:26" x14ac:dyDescent="0.45">
      <c r="A376" t="s">
        <v>1319</v>
      </c>
      <c r="B376">
        <v>64</v>
      </c>
      <c r="C376" t="s">
        <v>44</v>
      </c>
      <c r="D376" t="s">
        <v>28</v>
      </c>
      <c r="E376" t="s">
        <v>163</v>
      </c>
      <c r="F376" t="s">
        <v>88</v>
      </c>
      <c r="G376" t="s">
        <v>178</v>
      </c>
      <c r="H376" t="s">
        <v>71</v>
      </c>
      <c r="I376" t="s">
        <v>132</v>
      </c>
      <c r="J376" t="s">
        <v>365</v>
      </c>
      <c r="K376" t="s">
        <v>158</v>
      </c>
      <c r="L376" t="s">
        <v>64</v>
      </c>
      <c r="M376" t="s">
        <v>30</v>
      </c>
      <c r="N376" t="s">
        <v>987</v>
      </c>
      <c r="O376" t="s">
        <v>64</v>
      </c>
      <c r="P376" t="s">
        <v>110</v>
      </c>
      <c r="Q376" t="s">
        <v>40</v>
      </c>
      <c r="R376">
        <v>52</v>
      </c>
      <c r="S376">
        <v>0</v>
      </c>
      <c r="T376" t="s">
        <v>123</v>
      </c>
      <c r="U376" t="s">
        <v>42</v>
      </c>
      <c r="V376">
        <v>3.61</v>
      </c>
      <c r="W376">
        <v>4.38</v>
      </c>
      <c r="X376">
        <v>7.2</v>
      </c>
      <c r="Y376">
        <v>13.7</v>
      </c>
      <c r="Z376">
        <v>14.4</v>
      </c>
    </row>
    <row r="377" spans="1:26" x14ac:dyDescent="0.45">
      <c r="A377" t="s">
        <v>1320</v>
      </c>
      <c r="B377">
        <v>33</v>
      </c>
      <c r="C377" t="s">
        <v>27</v>
      </c>
      <c r="D377" t="s">
        <v>45</v>
      </c>
      <c r="E377" t="s">
        <v>46</v>
      </c>
      <c r="F377" t="s">
        <v>47</v>
      </c>
      <c r="G377" t="s">
        <v>102</v>
      </c>
      <c r="H377" t="s">
        <v>61</v>
      </c>
      <c r="I377" t="s">
        <v>132</v>
      </c>
      <c r="J377" t="s">
        <v>1310</v>
      </c>
      <c r="K377" t="s">
        <v>999</v>
      </c>
      <c r="L377" t="s">
        <v>52</v>
      </c>
      <c r="M377" t="s">
        <v>99</v>
      </c>
      <c r="N377" t="s">
        <v>537</v>
      </c>
      <c r="O377" t="s">
        <v>52</v>
      </c>
      <c r="P377" t="s">
        <v>55</v>
      </c>
      <c r="Q377" t="s">
        <v>75</v>
      </c>
      <c r="R377">
        <v>94</v>
      </c>
      <c r="S377">
        <v>0</v>
      </c>
      <c r="T377" t="s">
        <v>85</v>
      </c>
      <c r="U377" t="s">
        <v>57</v>
      </c>
      <c r="V377">
        <v>2.1</v>
      </c>
      <c r="W377">
        <v>2.23</v>
      </c>
      <c r="X377">
        <v>8.1</v>
      </c>
      <c r="Y377">
        <v>14</v>
      </c>
      <c r="Z377">
        <v>16.600000000000001</v>
      </c>
    </row>
    <row r="378" spans="1:26" x14ac:dyDescent="0.45">
      <c r="A378" t="s">
        <v>1321</v>
      </c>
      <c r="B378">
        <v>64</v>
      </c>
      <c r="C378" t="s">
        <v>44</v>
      </c>
      <c r="D378" t="s">
        <v>87</v>
      </c>
      <c r="E378" t="s">
        <v>78</v>
      </c>
      <c r="F378" t="s">
        <v>47</v>
      </c>
      <c r="G378" t="s">
        <v>246</v>
      </c>
      <c r="H378" t="s">
        <v>61</v>
      </c>
      <c r="I378" t="s">
        <v>72</v>
      </c>
      <c r="J378" t="s">
        <v>1239</v>
      </c>
      <c r="K378" t="s">
        <v>1322</v>
      </c>
      <c r="L378" t="s">
        <v>64</v>
      </c>
      <c r="M378" t="s">
        <v>75</v>
      </c>
      <c r="N378" t="s">
        <v>244</v>
      </c>
      <c r="O378" t="s">
        <v>64</v>
      </c>
      <c r="P378" t="s">
        <v>110</v>
      </c>
      <c r="Q378" t="s">
        <v>67</v>
      </c>
      <c r="R378">
        <v>131</v>
      </c>
      <c r="S378">
        <v>0</v>
      </c>
      <c r="T378" t="s">
        <v>56</v>
      </c>
      <c r="U378" t="s">
        <v>42</v>
      </c>
      <c r="V378">
        <v>4.29</v>
      </c>
      <c r="W378">
        <v>4.43</v>
      </c>
      <c r="X378">
        <v>9.1999999999999993</v>
      </c>
      <c r="Y378">
        <v>13.8</v>
      </c>
      <c r="Z378">
        <v>8.4</v>
      </c>
    </row>
    <row r="379" spans="1:26" x14ac:dyDescent="0.45">
      <c r="A379" t="s">
        <v>1323</v>
      </c>
      <c r="B379">
        <v>39</v>
      </c>
      <c r="C379" t="s">
        <v>44</v>
      </c>
      <c r="D379" t="s">
        <v>45</v>
      </c>
      <c r="E379" t="s">
        <v>78</v>
      </c>
      <c r="F379" t="s">
        <v>30</v>
      </c>
      <c r="G379" t="s">
        <v>131</v>
      </c>
      <c r="H379" t="s">
        <v>81</v>
      </c>
      <c r="I379" t="s">
        <v>132</v>
      </c>
      <c r="J379" t="s">
        <v>1324</v>
      </c>
      <c r="K379" t="s">
        <v>1325</v>
      </c>
      <c r="L379" t="s">
        <v>52</v>
      </c>
      <c r="M379" t="s">
        <v>239</v>
      </c>
      <c r="N379" t="s">
        <v>1326</v>
      </c>
      <c r="O379" t="s">
        <v>52</v>
      </c>
      <c r="P379" t="s">
        <v>110</v>
      </c>
      <c r="Q379" t="s">
        <v>75</v>
      </c>
      <c r="R379">
        <v>96</v>
      </c>
      <c r="S379">
        <v>0</v>
      </c>
      <c r="T379" t="s">
        <v>137</v>
      </c>
      <c r="U379" t="s">
        <v>42</v>
      </c>
      <c r="V379">
        <v>3.33</v>
      </c>
      <c r="W379">
        <v>2.48</v>
      </c>
      <c r="X379">
        <v>6.4</v>
      </c>
      <c r="Y379">
        <v>18.7</v>
      </c>
      <c r="Z379">
        <v>14.7</v>
      </c>
    </row>
    <row r="380" spans="1:26" x14ac:dyDescent="0.45">
      <c r="A380" t="s">
        <v>1327</v>
      </c>
      <c r="B380">
        <v>55</v>
      </c>
      <c r="C380" t="s">
        <v>45</v>
      </c>
      <c r="D380" t="s">
        <v>28</v>
      </c>
      <c r="E380" t="s">
        <v>29</v>
      </c>
      <c r="F380" t="s">
        <v>79</v>
      </c>
      <c r="G380" t="s">
        <v>118</v>
      </c>
      <c r="H380" t="s">
        <v>71</v>
      </c>
      <c r="I380" t="s">
        <v>132</v>
      </c>
      <c r="J380" t="s">
        <v>1328</v>
      </c>
      <c r="K380" t="s">
        <v>1329</v>
      </c>
      <c r="L380" t="s">
        <v>52</v>
      </c>
      <c r="M380" t="s">
        <v>274</v>
      </c>
      <c r="N380" t="s">
        <v>987</v>
      </c>
      <c r="O380" t="s">
        <v>52</v>
      </c>
      <c r="P380" t="s">
        <v>110</v>
      </c>
      <c r="Q380" t="s">
        <v>129</v>
      </c>
      <c r="R380">
        <v>30</v>
      </c>
      <c r="S380">
        <v>0</v>
      </c>
      <c r="T380" t="s">
        <v>137</v>
      </c>
      <c r="U380" t="s">
        <v>57</v>
      </c>
      <c r="V380">
        <v>2.5</v>
      </c>
      <c r="W380">
        <v>1.67</v>
      </c>
      <c r="X380">
        <v>4.9000000000000004</v>
      </c>
      <c r="Y380">
        <v>8.6</v>
      </c>
      <c r="Z380">
        <v>18.100000000000001</v>
      </c>
    </row>
    <row r="381" spans="1:26" x14ac:dyDescent="0.45">
      <c r="A381" t="s">
        <v>1330</v>
      </c>
      <c r="B381">
        <v>59</v>
      </c>
      <c r="C381" t="s">
        <v>27</v>
      </c>
      <c r="D381" t="s">
        <v>45</v>
      </c>
      <c r="E381" t="s">
        <v>30</v>
      </c>
      <c r="F381" t="s">
        <v>30</v>
      </c>
      <c r="G381" t="s">
        <v>48</v>
      </c>
      <c r="H381" t="s">
        <v>32</v>
      </c>
      <c r="I381" t="s">
        <v>132</v>
      </c>
      <c r="J381" t="s">
        <v>1331</v>
      </c>
      <c r="K381" t="s">
        <v>1332</v>
      </c>
      <c r="L381" t="s">
        <v>64</v>
      </c>
      <c r="M381" t="s">
        <v>30</v>
      </c>
      <c r="N381" t="s">
        <v>598</v>
      </c>
      <c r="O381" t="s">
        <v>64</v>
      </c>
      <c r="P381" t="s">
        <v>55</v>
      </c>
      <c r="Q381" t="s">
        <v>129</v>
      </c>
      <c r="R381">
        <v>167</v>
      </c>
      <c r="S381">
        <v>0</v>
      </c>
      <c r="T381" t="s">
        <v>85</v>
      </c>
      <c r="U381" t="s">
        <v>42</v>
      </c>
      <c r="V381">
        <v>2.38</v>
      </c>
      <c r="W381">
        <v>1.62</v>
      </c>
      <c r="X381">
        <v>1.2</v>
      </c>
      <c r="Y381">
        <v>17.600000000000001</v>
      </c>
      <c r="Z381">
        <v>13.8</v>
      </c>
    </row>
    <row r="382" spans="1:26" x14ac:dyDescent="0.45">
      <c r="A382" t="s">
        <v>1333</v>
      </c>
      <c r="B382">
        <v>66</v>
      </c>
      <c r="C382" t="s">
        <v>45</v>
      </c>
      <c r="D382" t="s">
        <v>28</v>
      </c>
      <c r="E382" t="s">
        <v>29</v>
      </c>
      <c r="F382" t="s">
        <v>30</v>
      </c>
      <c r="G382" t="s">
        <v>440</v>
      </c>
      <c r="H382" t="s">
        <v>71</v>
      </c>
      <c r="I382" t="s">
        <v>132</v>
      </c>
      <c r="J382" t="s">
        <v>1334</v>
      </c>
      <c r="K382" t="s">
        <v>1335</v>
      </c>
      <c r="L382" t="s">
        <v>36</v>
      </c>
      <c r="M382" t="s">
        <v>40</v>
      </c>
      <c r="N382" t="s">
        <v>661</v>
      </c>
      <c r="O382" t="s">
        <v>36</v>
      </c>
      <c r="P382" t="s">
        <v>110</v>
      </c>
      <c r="Q382" t="s">
        <v>40</v>
      </c>
      <c r="R382">
        <v>124</v>
      </c>
      <c r="S382">
        <v>0</v>
      </c>
      <c r="T382" t="s">
        <v>41</v>
      </c>
      <c r="U382" t="s">
        <v>57</v>
      </c>
      <c r="V382">
        <v>2.36</v>
      </c>
      <c r="W382">
        <v>1.29</v>
      </c>
      <c r="X382">
        <v>4.7</v>
      </c>
      <c r="Y382">
        <v>11.6</v>
      </c>
      <c r="Z382">
        <v>14.5</v>
      </c>
    </row>
    <row r="383" spans="1:26" x14ac:dyDescent="0.45">
      <c r="A383" t="s">
        <v>1336</v>
      </c>
      <c r="B383">
        <v>29</v>
      </c>
      <c r="C383" t="s">
        <v>44</v>
      </c>
      <c r="D383" t="s">
        <v>106</v>
      </c>
      <c r="E383" t="s">
        <v>78</v>
      </c>
      <c r="F383" t="s">
        <v>79</v>
      </c>
      <c r="G383" t="s">
        <v>89</v>
      </c>
      <c r="H383" t="s">
        <v>81</v>
      </c>
      <c r="I383" t="s">
        <v>72</v>
      </c>
      <c r="J383" t="s">
        <v>964</v>
      </c>
      <c r="K383" t="s">
        <v>1337</v>
      </c>
      <c r="L383" t="s">
        <v>52</v>
      </c>
      <c r="M383" t="s">
        <v>155</v>
      </c>
      <c r="N383" t="s">
        <v>742</v>
      </c>
      <c r="O383" t="s">
        <v>52</v>
      </c>
      <c r="P383" t="s">
        <v>39</v>
      </c>
      <c r="Q383" t="s">
        <v>129</v>
      </c>
      <c r="R383">
        <v>139</v>
      </c>
      <c r="S383">
        <v>1</v>
      </c>
      <c r="T383" t="s">
        <v>41</v>
      </c>
      <c r="U383" t="s">
        <v>57</v>
      </c>
      <c r="V383">
        <v>3.42</v>
      </c>
      <c r="W383">
        <v>2.46</v>
      </c>
      <c r="X383">
        <v>3</v>
      </c>
      <c r="Y383">
        <v>23.8</v>
      </c>
      <c r="Z383">
        <v>10.7</v>
      </c>
    </row>
    <row r="384" spans="1:26" x14ac:dyDescent="0.45">
      <c r="A384" t="s">
        <v>1338</v>
      </c>
      <c r="B384">
        <v>69</v>
      </c>
      <c r="C384" t="s">
        <v>27</v>
      </c>
      <c r="D384" t="s">
        <v>45</v>
      </c>
      <c r="E384" t="s">
        <v>46</v>
      </c>
      <c r="F384" t="s">
        <v>30</v>
      </c>
      <c r="G384" t="s">
        <v>164</v>
      </c>
      <c r="H384" t="s">
        <v>61</v>
      </c>
      <c r="I384" t="s">
        <v>33</v>
      </c>
      <c r="J384" t="s">
        <v>1339</v>
      </c>
      <c r="K384" t="s">
        <v>277</v>
      </c>
      <c r="L384" t="s">
        <v>92</v>
      </c>
      <c r="M384" t="s">
        <v>67</v>
      </c>
      <c r="N384" t="s">
        <v>323</v>
      </c>
      <c r="O384" t="s">
        <v>92</v>
      </c>
      <c r="P384" t="s">
        <v>39</v>
      </c>
      <c r="Q384" t="s">
        <v>30</v>
      </c>
      <c r="R384">
        <v>66</v>
      </c>
      <c r="S384">
        <v>1</v>
      </c>
      <c r="T384" t="s">
        <v>85</v>
      </c>
      <c r="U384" t="s">
        <v>42</v>
      </c>
      <c r="V384">
        <v>3.75</v>
      </c>
      <c r="W384">
        <v>1.56</v>
      </c>
      <c r="X384">
        <v>5.4</v>
      </c>
      <c r="Y384">
        <v>6.5</v>
      </c>
      <c r="Z384">
        <v>11.6</v>
      </c>
    </row>
    <row r="385" spans="1:26" x14ac:dyDescent="0.45">
      <c r="A385" t="s">
        <v>1340</v>
      </c>
      <c r="B385">
        <v>19</v>
      </c>
      <c r="C385" t="s">
        <v>27</v>
      </c>
      <c r="D385" t="s">
        <v>45</v>
      </c>
      <c r="E385" t="s">
        <v>30</v>
      </c>
      <c r="F385" t="s">
        <v>30</v>
      </c>
      <c r="G385" t="s">
        <v>125</v>
      </c>
      <c r="H385" t="s">
        <v>71</v>
      </c>
      <c r="I385" t="s">
        <v>72</v>
      </c>
      <c r="J385" t="s">
        <v>1341</v>
      </c>
      <c r="K385" t="s">
        <v>1342</v>
      </c>
      <c r="L385" t="s">
        <v>64</v>
      </c>
      <c r="M385" t="s">
        <v>1291</v>
      </c>
      <c r="N385" t="s">
        <v>843</v>
      </c>
      <c r="O385" t="s">
        <v>64</v>
      </c>
      <c r="P385" t="s">
        <v>39</v>
      </c>
      <c r="Q385" t="s">
        <v>75</v>
      </c>
      <c r="R385">
        <v>98</v>
      </c>
      <c r="S385">
        <v>1</v>
      </c>
      <c r="T385" t="s">
        <v>85</v>
      </c>
      <c r="U385" t="s">
        <v>42</v>
      </c>
      <c r="V385">
        <v>4.8600000000000003</v>
      </c>
      <c r="W385">
        <v>2.54</v>
      </c>
      <c r="X385">
        <v>1.4</v>
      </c>
      <c r="Y385">
        <v>6.6</v>
      </c>
      <c r="Z385">
        <v>9.6</v>
      </c>
    </row>
    <row r="386" spans="1:26" x14ac:dyDescent="0.45">
      <c r="A386" t="s">
        <v>1343</v>
      </c>
      <c r="B386">
        <v>20</v>
      </c>
      <c r="C386" t="s">
        <v>27</v>
      </c>
      <c r="D386" t="s">
        <v>87</v>
      </c>
      <c r="E386" t="s">
        <v>29</v>
      </c>
      <c r="F386" t="s">
        <v>69</v>
      </c>
      <c r="G386" t="s">
        <v>48</v>
      </c>
      <c r="H386" t="s">
        <v>71</v>
      </c>
      <c r="I386" t="s">
        <v>49</v>
      </c>
      <c r="J386" t="s">
        <v>1344</v>
      </c>
      <c r="K386" t="s">
        <v>548</v>
      </c>
      <c r="L386" t="s">
        <v>36</v>
      </c>
      <c r="M386" t="s">
        <v>30</v>
      </c>
      <c r="N386" t="s">
        <v>142</v>
      </c>
      <c r="O386" t="s">
        <v>36</v>
      </c>
      <c r="P386" t="s">
        <v>55</v>
      </c>
      <c r="Q386" t="s">
        <v>67</v>
      </c>
      <c r="R386">
        <v>128</v>
      </c>
      <c r="S386">
        <v>0</v>
      </c>
      <c r="T386" t="s">
        <v>123</v>
      </c>
      <c r="U386" t="s">
        <v>57</v>
      </c>
      <c r="V386">
        <v>1.64</v>
      </c>
      <c r="W386">
        <v>1.0900000000000001</v>
      </c>
      <c r="X386">
        <v>7.8</v>
      </c>
      <c r="Y386">
        <v>14.3</v>
      </c>
      <c r="Z386">
        <v>7.9</v>
      </c>
    </row>
    <row r="387" spans="1:26" x14ac:dyDescent="0.45">
      <c r="A387" t="s">
        <v>1345</v>
      </c>
      <c r="B387">
        <v>39</v>
      </c>
      <c r="C387" t="s">
        <v>27</v>
      </c>
      <c r="D387" t="s">
        <v>106</v>
      </c>
      <c r="E387" t="s">
        <v>163</v>
      </c>
      <c r="F387" t="s">
        <v>30</v>
      </c>
      <c r="G387" t="s">
        <v>276</v>
      </c>
      <c r="H387" t="s">
        <v>32</v>
      </c>
      <c r="I387" t="s">
        <v>49</v>
      </c>
      <c r="J387" t="s">
        <v>1346</v>
      </c>
      <c r="K387" t="s">
        <v>1347</v>
      </c>
      <c r="L387" t="s">
        <v>92</v>
      </c>
      <c r="M387" t="s">
        <v>75</v>
      </c>
      <c r="N387" t="s">
        <v>116</v>
      </c>
      <c r="O387" t="s">
        <v>92</v>
      </c>
      <c r="P387" t="s">
        <v>39</v>
      </c>
      <c r="Q387" t="s">
        <v>40</v>
      </c>
      <c r="R387">
        <v>165</v>
      </c>
      <c r="S387">
        <v>1</v>
      </c>
      <c r="T387" t="s">
        <v>137</v>
      </c>
      <c r="U387" t="s">
        <v>42</v>
      </c>
      <c r="V387">
        <v>4.5999999999999996</v>
      </c>
      <c r="W387">
        <v>1.46</v>
      </c>
      <c r="X387">
        <v>9.6</v>
      </c>
      <c r="Y387">
        <v>11.7</v>
      </c>
      <c r="Z387">
        <v>18.100000000000001</v>
      </c>
    </row>
    <row r="388" spans="1:26" x14ac:dyDescent="0.45">
      <c r="A388" t="s">
        <v>1348</v>
      </c>
      <c r="B388">
        <v>72</v>
      </c>
      <c r="C388" t="s">
        <v>27</v>
      </c>
      <c r="D388" t="s">
        <v>28</v>
      </c>
      <c r="E388" t="s">
        <v>29</v>
      </c>
      <c r="F388" t="s">
        <v>30</v>
      </c>
      <c r="G388" t="s">
        <v>194</v>
      </c>
      <c r="H388" t="s">
        <v>61</v>
      </c>
      <c r="I388" t="s">
        <v>132</v>
      </c>
      <c r="J388" t="s">
        <v>1349</v>
      </c>
      <c r="K388" t="s">
        <v>1350</v>
      </c>
      <c r="L388" t="s">
        <v>92</v>
      </c>
      <c r="M388" t="s">
        <v>67</v>
      </c>
      <c r="N388" t="s">
        <v>412</v>
      </c>
      <c r="O388" t="s">
        <v>92</v>
      </c>
      <c r="P388" t="s">
        <v>110</v>
      </c>
      <c r="Q388" t="s">
        <v>67</v>
      </c>
      <c r="R388">
        <v>111</v>
      </c>
      <c r="S388">
        <v>0</v>
      </c>
      <c r="T388" t="s">
        <v>41</v>
      </c>
      <c r="U388" t="s">
        <v>57</v>
      </c>
      <c r="V388">
        <v>3.41</v>
      </c>
      <c r="W388">
        <v>4.3099999999999996</v>
      </c>
      <c r="X388">
        <v>9.9</v>
      </c>
      <c r="Y388">
        <v>11.2</v>
      </c>
      <c r="Z388">
        <v>19.3</v>
      </c>
    </row>
    <row r="389" spans="1:26" x14ac:dyDescent="0.45">
      <c r="A389" t="s">
        <v>1351</v>
      </c>
      <c r="B389">
        <v>75</v>
      </c>
      <c r="C389" t="s">
        <v>45</v>
      </c>
      <c r="D389" t="s">
        <v>95</v>
      </c>
      <c r="E389" t="s">
        <v>163</v>
      </c>
      <c r="F389" t="s">
        <v>47</v>
      </c>
      <c r="G389" t="s">
        <v>184</v>
      </c>
      <c r="H389" t="s">
        <v>71</v>
      </c>
      <c r="I389" t="s">
        <v>49</v>
      </c>
      <c r="J389" t="s">
        <v>346</v>
      </c>
      <c r="K389" t="s">
        <v>1352</v>
      </c>
      <c r="L389" t="s">
        <v>36</v>
      </c>
      <c r="M389" t="s">
        <v>317</v>
      </c>
      <c r="N389" t="s">
        <v>391</v>
      </c>
      <c r="O389" t="s">
        <v>36</v>
      </c>
      <c r="P389" t="s">
        <v>55</v>
      </c>
      <c r="Q389" t="s">
        <v>40</v>
      </c>
      <c r="R389">
        <v>115</v>
      </c>
      <c r="S389">
        <v>0</v>
      </c>
      <c r="T389" t="s">
        <v>41</v>
      </c>
      <c r="U389" t="s">
        <v>42</v>
      </c>
      <c r="V389">
        <v>2.56</v>
      </c>
      <c r="W389">
        <v>2.54</v>
      </c>
      <c r="X389">
        <v>4.0999999999999996</v>
      </c>
      <c r="Y389">
        <v>15.7</v>
      </c>
      <c r="Z389">
        <v>5.6</v>
      </c>
    </row>
    <row r="390" spans="1:26" x14ac:dyDescent="0.45">
      <c r="A390" t="s">
        <v>1353</v>
      </c>
      <c r="B390">
        <v>67</v>
      </c>
      <c r="C390" t="s">
        <v>44</v>
      </c>
      <c r="D390" t="s">
        <v>45</v>
      </c>
      <c r="E390" t="s">
        <v>78</v>
      </c>
      <c r="F390" t="s">
        <v>30</v>
      </c>
      <c r="G390" t="s">
        <v>70</v>
      </c>
      <c r="H390" t="s">
        <v>71</v>
      </c>
      <c r="I390" t="s">
        <v>33</v>
      </c>
      <c r="J390" t="s">
        <v>1354</v>
      </c>
      <c r="K390" t="s">
        <v>1355</v>
      </c>
      <c r="L390" t="s">
        <v>52</v>
      </c>
      <c r="M390" t="s">
        <v>221</v>
      </c>
      <c r="N390" t="s">
        <v>1356</v>
      </c>
      <c r="O390" t="s">
        <v>52</v>
      </c>
      <c r="P390" t="s">
        <v>39</v>
      </c>
      <c r="Q390" t="s">
        <v>129</v>
      </c>
      <c r="R390">
        <v>122</v>
      </c>
      <c r="S390">
        <v>1</v>
      </c>
      <c r="T390" t="s">
        <v>85</v>
      </c>
      <c r="U390" t="s">
        <v>57</v>
      </c>
      <c r="V390">
        <v>3.21</v>
      </c>
      <c r="W390">
        <v>3.17</v>
      </c>
      <c r="X390">
        <v>7.9</v>
      </c>
      <c r="Y390">
        <v>21</v>
      </c>
      <c r="Z390">
        <v>10.5</v>
      </c>
    </row>
    <row r="391" spans="1:26" x14ac:dyDescent="0.45">
      <c r="A391" t="s">
        <v>1357</v>
      </c>
      <c r="B391">
        <v>35</v>
      </c>
      <c r="C391" t="s">
        <v>27</v>
      </c>
      <c r="D391" t="s">
        <v>87</v>
      </c>
      <c r="E391" t="s">
        <v>30</v>
      </c>
      <c r="F391" t="s">
        <v>79</v>
      </c>
      <c r="G391" t="s">
        <v>276</v>
      </c>
      <c r="H391" t="s">
        <v>81</v>
      </c>
      <c r="I391" t="s">
        <v>72</v>
      </c>
      <c r="J391" t="s">
        <v>1358</v>
      </c>
      <c r="K391" t="s">
        <v>1359</v>
      </c>
      <c r="L391" t="s">
        <v>52</v>
      </c>
      <c r="M391" t="s">
        <v>67</v>
      </c>
      <c r="N391" t="s">
        <v>602</v>
      </c>
      <c r="O391" t="s">
        <v>52</v>
      </c>
      <c r="P391" t="s">
        <v>110</v>
      </c>
      <c r="Q391" t="s">
        <v>67</v>
      </c>
      <c r="R391">
        <v>126</v>
      </c>
      <c r="S391">
        <v>0</v>
      </c>
      <c r="T391" t="s">
        <v>123</v>
      </c>
      <c r="U391" t="s">
        <v>57</v>
      </c>
      <c r="V391">
        <v>2.21</v>
      </c>
      <c r="W391">
        <v>2.04</v>
      </c>
      <c r="X391">
        <v>2.8</v>
      </c>
      <c r="Y391">
        <v>7</v>
      </c>
      <c r="Z391">
        <v>8.8000000000000007</v>
      </c>
    </row>
    <row r="392" spans="1:26" x14ac:dyDescent="0.45">
      <c r="A392" t="s">
        <v>1360</v>
      </c>
      <c r="B392">
        <v>65</v>
      </c>
      <c r="C392" t="s">
        <v>27</v>
      </c>
      <c r="D392" t="s">
        <v>87</v>
      </c>
      <c r="E392" t="s">
        <v>29</v>
      </c>
      <c r="F392" t="s">
        <v>69</v>
      </c>
      <c r="G392" t="s">
        <v>112</v>
      </c>
      <c r="H392" t="s">
        <v>61</v>
      </c>
      <c r="I392" t="s">
        <v>72</v>
      </c>
      <c r="J392" t="s">
        <v>325</v>
      </c>
      <c r="K392" t="s">
        <v>1361</v>
      </c>
      <c r="L392" t="s">
        <v>92</v>
      </c>
      <c r="M392" t="s">
        <v>75</v>
      </c>
      <c r="N392" t="s">
        <v>84</v>
      </c>
      <c r="O392" t="s">
        <v>92</v>
      </c>
      <c r="P392" t="s">
        <v>39</v>
      </c>
      <c r="Q392" t="s">
        <v>67</v>
      </c>
      <c r="R392">
        <v>150</v>
      </c>
      <c r="S392">
        <v>1</v>
      </c>
      <c r="T392" t="s">
        <v>41</v>
      </c>
      <c r="U392" t="s">
        <v>57</v>
      </c>
      <c r="V392">
        <v>2.08</v>
      </c>
      <c r="W392">
        <v>4.87</v>
      </c>
      <c r="X392">
        <v>6</v>
      </c>
      <c r="Y392">
        <v>12.3</v>
      </c>
      <c r="Z392">
        <v>12.9</v>
      </c>
    </row>
    <row r="393" spans="1:26" x14ac:dyDescent="0.45">
      <c r="A393" t="s">
        <v>1362</v>
      </c>
      <c r="B393">
        <v>78</v>
      </c>
      <c r="C393" t="s">
        <v>44</v>
      </c>
      <c r="D393" t="s">
        <v>28</v>
      </c>
      <c r="E393" t="s">
        <v>78</v>
      </c>
      <c r="F393" t="s">
        <v>30</v>
      </c>
      <c r="G393" t="s">
        <v>164</v>
      </c>
      <c r="H393" t="s">
        <v>32</v>
      </c>
      <c r="I393" t="s">
        <v>49</v>
      </c>
      <c r="J393" t="s">
        <v>1209</v>
      </c>
      <c r="K393" t="s">
        <v>1363</v>
      </c>
      <c r="L393" t="s">
        <v>52</v>
      </c>
      <c r="M393" t="s">
        <v>834</v>
      </c>
      <c r="N393" t="s">
        <v>391</v>
      </c>
      <c r="O393" t="s">
        <v>52</v>
      </c>
      <c r="P393" t="s">
        <v>110</v>
      </c>
      <c r="Q393" t="s">
        <v>40</v>
      </c>
      <c r="R393">
        <v>171</v>
      </c>
      <c r="S393">
        <v>0</v>
      </c>
      <c r="T393" t="s">
        <v>137</v>
      </c>
      <c r="U393" t="s">
        <v>57</v>
      </c>
      <c r="V393">
        <v>1.56</v>
      </c>
      <c r="W393">
        <v>2.78</v>
      </c>
      <c r="X393">
        <v>6.6</v>
      </c>
      <c r="Y393">
        <v>14.8</v>
      </c>
      <c r="Z393">
        <v>9.8000000000000007</v>
      </c>
    </row>
    <row r="394" spans="1:26" x14ac:dyDescent="0.45">
      <c r="A394" t="s">
        <v>1364</v>
      </c>
      <c r="B394">
        <v>47</v>
      </c>
      <c r="C394" t="s">
        <v>44</v>
      </c>
      <c r="D394" t="s">
        <v>106</v>
      </c>
      <c r="E394" t="s">
        <v>30</v>
      </c>
      <c r="F394" t="s">
        <v>30</v>
      </c>
      <c r="G394" t="s">
        <v>246</v>
      </c>
      <c r="H394" t="s">
        <v>81</v>
      </c>
      <c r="I394" t="s">
        <v>72</v>
      </c>
      <c r="J394" t="s">
        <v>1365</v>
      </c>
      <c r="K394" t="s">
        <v>1300</v>
      </c>
      <c r="L394" t="s">
        <v>52</v>
      </c>
      <c r="M394" t="s">
        <v>37</v>
      </c>
      <c r="N394" t="s">
        <v>161</v>
      </c>
      <c r="O394" t="s">
        <v>52</v>
      </c>
      <c r="P394" t="s">
        <v>55</v>
      </c>
      <c r="Q394" t="s">
        <v>40</v>
      </c>
      <c r="R394">
        <v>110</v>
      </c>
      <c r="S394">
        <v>0</v>
      </c>
      <c r="T394" t="s">
        <v>56</v>
      </c>
      <c r="U394" t="s">
        <v>57</v>
      </c>
      <c r="V394">
        <v>4.9800000000000004</v>
      </c>
      <c r="W394">
        <v>4.5199999999999996</v>
      </c>
      <c r="X394">
        <v>6.6</v>
      </c>
      <c r="Y394">
        <v>16.2</v>
      </c>
      <c r="Z394">
        <v>13.6</v>
      </c>
    </row>
    <row r="395" spans="1:26" x14ac:dyDescent="0.45">
      <c r="A395" t="s">
        <v>1366</v>
      </c>
      <c r="B395">
        <v>39</v>
      </c>
      <c r="C395" t="s">
        <v>27</v>
      </c>
      <c r="D395" t="s">
        <v>28</v>
      </c>
      <c r="E395" t="s">
        <v>78</v>
      </c>
      <c r="F395" t="s">
        <v>88</v>
      </c>
      <c r="G395" t="s">
        <v>102</v>
      </c>
      <c r="H395" t="s">
        <v>61</v>
      </c>
      <c r="I395" t="s">
        <v>132</v>
      </c>
      <c r="J395" t="s">
        <v>1367</v>
      </c>
      <c r="K395" t="s">
        <v>1368</v>
      </c>
      <c r="L395" t="s">
        <v>64</v>
      </c>
      <c r="M395" t="s">
        <v>75</v>
      </c>
      <c r="N395" t="s">
        <v>176</v>
      </c>
      <c r="O395" t="s">
        <v>64</v>
      </c>
      <c r="P395" t="s">
        <v>39</v>
      </c>
      <c r="Q395" t="s">
        <v>67</v>
      </c>
      <c r="R395">
        <v>32</v>
      </c>
      <c r="S395">
        <v>1</v>
      </c>
      <c r="T395" t="s">
        <v>137</v>
      </c>
      <c r="U395" t="s">
        <v>42</v>
      </c>
      <c r="V395">
        <v>1.81</v>
      </c>
      <c r="W395">
        <v>2.58</v>
      </c>
      <c r="X395">
        <v>1.4</v>
      </c>
      <c r="Y395">
        <v>14.6</v>
      </c>
      <c r="Z395">
        <v>12.2</v>
      </c>
    </row>
    <row r="396" spans="1:26" x14ac:dyDescent="0.45">
      <c r="A396" t="s">
        <v>1369</v>
      </c>
      <c r="B396">
        <v>43</v>
      </c>
      <c r="C396" t="s">
        <v>45</v>
      </c>
      <c r="D396" t="s">
        <v>87</v>
      </c>
      <c r="E396" t="s">
        <v>46</v>
      </c>
      <c r="F396" t="s">
        <v>69</v>
      </c>
      <c r="G396" t="s">
        <v>80</v>
      </c>
      <c r="H396" t="s">
        <v>61</v>
      </c>
      <c r="I396" t="s">
        <v>33</v>
      </c>
      <c r="J396" t="s">
        <v>1370</v>
      </c>
      <c r="K396" t="s">
        <v>1371</v>
      </c>
      <c r="L396" t="s">
        <v>64</v>
      </c>
      <c r="M396" t="s">
        <v>30</v>
      </c>
      <c r="N396" t="s">
        <v>1235</v>
      </c>
      <c r="O396" t="s">
        <v>64</v>
      </c>
      <c r="P396" t="s">
        <v>55</v>
      </c>
      <c r="Q396" t="s">
        <v>40</v>
      </c>
      <c r="R396">
        <v>158</v>
      </c>
      <c r="S396">
        <v>0</v>
      </c>
      <c r="T396" t="s">
        <v>41</v>
      </c>
      <c r="U396" t="s">
        <v>57</v>
      </c>
      <c r="V396">
        <v>1.91</v>
      </c>
      <c r="W396">
        <v>4.8600000000000003</v>
      </c>
      <c r="X396">
        <v>9.1999999999999993</v>
      </c>
      <c r="Y396">
        <v>19</v>
      </c>
      <c r="Z396">
        <v>12.1</v>
      </c>
    </row>
    <row r="397" spans="1:26" x14ac:dyDescent="0.45">
      <c r="A397" t="s">
        <v>1372</v>
      </c>
      <c r="B397">
        <v>68</v>
      </c>
      <c r="C397" t="s">
        <v>45</v>
      </c>
      <c r="D397" t="s">
        <v>28</v>
      </c>
      <c r="E397" t="s">
        <v>46</v>
      </c>
      <c r="F397" t="s">
        <v>30</v>
      </c>
      <c r="G397" t="s">
        <v>102</v>
      </c>
      <c r="H397" t="s">
        <v>32</v>
      </c>
      <c r="I397" t="s">
        <v>33</v>
      </c>
      <c r="J397" t="s">
        <v>73</v>
      </c>
      <c r="K397" t="s">
        <v>1373</v>
      </c>
      <c r="L397" t="s">
        <v>52</v>
      </c>
      <c r="M397" t="s">
        <v>75</v>
      </c>
      <c r="N397" t="s">
        <v>466</v>
      </c>
      <c r="O397" t="s">
        <v>52</v>
      </c>
      <c r="P397" t="s">
        <v>55</v>
      </c>
      <c r="Q397" t="s">
        <v>75</v>
      </c>
      <c r="R397">
        <v>39</v>
      </c>
      <c r="S397">
        <v>0</v>
      </c>
      <c r="T397" t="s">
        <v>137</v>
      </c>
      <c r="U397" t="s">
        <v>42</v>
      </c>
      <c r="V397">
        <v>4.4800000000000004</v>
      </c>
      <c r="W397">
        <v>1.52</v>
      </c>
      <c r="X397">
        <v>8.1</v>
      </c>
      <c r="Y397">
        <v>8.1999999999999993</v>
      </c>
      <c r="Z397">
        <v>16.5</v>
      </c>
    </row>
    <row r="398" spans="1:26" x14ac:dyDescent="0.45">
      <c r="A398" t="s">
        <v>1374</v>
      </c>
      <c r="B398">
        <v>37</v>
      </c>
      <c r="C398" t="s">
        <v>45</v>
      </c>
      <c r="D398" t="s">
        <v>95</v>
      </c>
      <c r="E398" t="s">
        <v>163</v>
      </c>
      <c r="F398" t="s">
        <v>30</v>
      </c>
      <c r="G398" t="s">
        <v>125</v>
      </c>
      <c r="H398" t="s">
        <v>71</v>
      </c>
      <c r="I398" t="s">
        <v>72</v>
      </c>
      <c r="J398" t="s">
        <v>1375</v>
      </c>
      <c r="K398" t="s">
        <v>1376</v>
      </c>
      <c r="L398" t="s">
        <v>64</v>
      </c>
      <c r="M398" t="s">
        <v>121</v>
      </c>
      <c r="N398" t="s">
        <v>198</v>
      </c>
      <c r="O398" t="s">
        <v>64</v>
      </c>
      <c r="P398" t="s">
        <v>55</v>
      </c>
      <c r="Q398" t="s">
        <v>75</v>
      </c>
      <c r="R398">
        <v>140</v>
      </c>
      <c r="S398">
        <v>0</v>
      </c>
      <c r="T398" t="s">
        <v>123</v>
      </c>
      <c r="U398" t="s">
        <v>57</v>
      </c>
      <c r="V398">
        <v>2.1</v>
      </c>
      <c r="W398">
        <v>4.51</v>
      </c>
      <c r="X398">
        <v>9.5</v>
      </c>
      <c r="Y398">
        <v>8.6999999999999993</v>
      </c>
      <c r="Z398">
        <v>10.9</v>
      </c>
    </row>
    <row r="399" spans="1:26" x14ac:dyDescent="0.45">
      <c r="A399" t="s">
        <v>1377</v>
      </c>
      <c r="B399">
        <v>48</v>
      </c>
      <c r="C399" t="s">
        <v>27</v>
      </c>
      <c r="D399" t="s">
        <v>45</v>
      </c>
      <c r="E399" t="s">
        <v>29</v>
      </c>
      <c r="F399" t="s">
        <v>79</v>
      </c>
      <c r="G399" t="s">
        <v>80</v>
      </c>
      <c r="H399" t="s">
        <v>81</v>
      </c>
      <c r="I399" t="s">
        <v>49</v>
      </c>
      <c r="J399" t="s">
        <v>1378</v>
      </c>
      <c r="K399" t="s">
        <v>1379</v>
      </c>
      <c r="L399" t="s">
        <v>92</v>
      </c>
      <c r="M399" t="s">
        <v>135</v>
      </c>
      <c r="N399" t="s">
        <v>521</v>
      </c>
      <c r="O399" t="s">
        <v>92</v>
      </c>
      <c r="P399" t="s">
        <v>39</v>
      </c>
      <c r="Q399" t="s">
        <v>30</v>
      </c>
      <c r="R399">
        <v>71</v>
      </c>
      <c r="S399">
        <v>1</v>
      </c>
      <c r="T399" t="s">
        <v>123</v>
      </c>
      <c r="U399" t="s">
        <v>57</v>
      </c>
      <c r="V399">
        <v>4.92</v>
      </c>
      <c r="W399">
        <v>2.93</v>
      </c>
      <c r="X399">
        <v>8.8000000000000007</v>
      </c>
      <c r="Y399">
        <v>16.600000000000001</v>
      </c>
      <c r="Z399">
        <v>9.4</v>
      </c>
    </row>
    <row r="400" spans="1:26" x14ac:dyDescent="0.45">
      <c r="A400" t="s">
        <v>1380</v>
      </c>
      <c r="B400">
        <v>64</v>
      </c>
      <c r="C400" t="s">
        <v>44</v>
      </c>
      <c r="D400" t="s">
        <v>87</v>
      </c>
      <c r="E400" t="s">
        <v>163</v>
      </c>
      <c r="F400" t="s">
        <v>47</v>
      </c>
      <c r="G400" t="s">
        <v>184</v>
      </c>
      <c r="H400" t="s">
        <v>81</v>
      </c>
      <c r="I400" t="s">
        <v>132</v>
      </c>
      <c r="J400" t="s">
        <v>315</v>
      </c>
      <c r="K400" t="s">
        <v>1381</v>
      </c>
      <c r="L400" t="s">
        <v>36</v>
      </c>
      <c r="M400" t="s">
        <v>30</v>
      </c>
      <c r="N400" t="s">
        <v>1000</v>
      </c>
      <c r="O400" t="s">
        <v>36</v>
      </c>
      <c r="P400" t="s">
        <v>55</v>
      </c>
      <c r="Q400" t="s">
        <v>40</v>
      </c>
      <c r="R400">
        <v>63</v>
      </c>
      <c r="S400">
        <v>0</v>
      </c>
      <c r="T400" t="s">
        <v>56</v>
      </c>
      <c r="U400" t="s">
        <v>57</v>
      </c>
      <c r="V400">
        <v>2.14</v>
      </c>
      <c r="W400">
        <v>1.81</v>
      </c>
      <c r="X400">
        <v>7.9</v>
      </c>
      <c r="Y400">
        <v>13</v>
      </c>
      <c r="Z400">
        <v>11.7</v>
      </c>
    </row>
    <row r="401" spans="1:26" x14ac:dyDescent="0.45">
      <c r="A401" t="s">
        <v>1382</v>
      </c>
      <c r="B401">
        <v>83</v>
      </c>
      <c r="C401" t="s">
        <v>45</v>
      </c>
      <c r="D401" t="s">
        <v>28</v>
      </c>
      <c r="E401" t="s">
        <v>30</v>
      </c>
      <c r="F401" t="s">
        <v>47</v>
      </c>
      <c r="G401" t="s">
        <v>246</v>
      </c>
      <c r="H401" t="s">
        <v>81</v>
      </c>
      <c r="I401" t="s">
        <v>132</v>
      </c>
      <c r="J401" t="s">
        <v>1120</v>
      </c>
      <c r="K401" t="s">
        <v>1383</v>
      </c>
      <c r="L401" t="s">
        <v>52</v>
      </c>
      <c r="M401" t="s">
        <v>581</v>
      </c>
      <c r="N401" t="s">
        <v>1199</v>
      </c>
      <c r="O401" t="s">
        <v>52</v>
      </c>
      <c r="P401" t="s">
        <v>55</v>
      </c>
      <c r="Q401" t="s">
        <v>40</v>
      </c>
      <c r="R401">
        <v>70</v>
      </c>
      <c r="S401">
        <v>0</v>
      </c>
      <c r="T401" t="s">
        <v>85</v>
      </c>
      <c r="U401" t="s">
        <v>57</v>
      </c>
      <c r="V401">
        <v>2.97</v>
      </c>
      <c r="W401">
        <v>3.31</v>
      </c>
      <c r="X401">
        <v>8.8000000000000007</v>
      </c>
      <c r="Y401">
        <v>23.7</v>
      </c>
      <c r="Z401">
        <v>9.9</v>
      </c>
    </row>
    <row r="402" spans="1:26" x14ac:dyDescent="0.45">
      <c r="A402" t="s">
        <v>1384</v>
      </c>
      <c r="B402">
        <v>27</v>
      </c>
      <c r="C402" t="s">
        <v>27</v>
      </c>
      <c r="D402" t="s">
        <v>95</v>
      </c>
      <c r="E402" t="s">
        <v>78</v>
      </c>
      <c r="F402" t="s">
        <v>30</v>
      </c>
      <c r="G402" t="s">
        <v>194</v>
      </c>
      <c r="H402" t="s">
        <v>81</v>
      </c>
      <c r="I402" t="s">
        <v>33</v>
      </c>
      <c r="J402" t="s">
        <v>1013</v>
      </c>
      <c r="K402" t="s">
        <v>1385</v>
      </c>
      <c r="L402" t="s">
        <v>52</v>
      </c>
      <c r="M402" t="s">
        <v>723</v>
      </c>
      <c r="N402" t="s">
        <v>379</v>
      </c>
      <c r="O402" t="s">
        <v>52</v>
      </c>
      <c r="P402" t="s">
        <v>55</v>
      </c>
      <c r="Q402" t="s">
        <v>30</v>
      </c>
      <c r="R402">
        <v>46</v>
      </c>
      <c r="S402">
        <v>0</v>
      </c>
      <c r="T402" t="s">
        <v>137</v>
      </c>
      <c r="U402" t="s">
        <v>57</v>
      </c>
      <c r="V402">
        <v>4.3099999999999996</v>
      </c>
      <c r="W402">
        <v>4.0599999999999996</v>
      </c>
      <c r="X402">
        <v>6.2</v>
      </c>
      <c r="Y402">
        <v>23.2</v>
      </c>
      <c r="Z402">
        <v>6.4</v>
      </c>
    </row>
    <row r="403" spans="1:26" x14ac:dyDescent="0.45">
      <c r="A403" t="s">
        <v>1386</v>
      </c>
      <c r="B403">
        <v>80</v>
      </c>
      <c r="C403" t="s">
        <v>27</v>
      </c>
      <c r="D403" t="s">
        <v>95</v>
      </c>
      <c r="E403" t="s">
        <v>163</v>
      </c>
      <c r="F403" t="s">
        <v>88</v>
      </c>
      <c r="G403" t="s">
        <v>178</v>
      </c>
      <c r="H403" t="s">
        <v>71</v>
      </c>
      <c r="I403" t="s">
        <v>33</v>
      </c>
      <c r="J403" t="s">
        <v>1387</v>
      </c>
      <c r="K403" t="s">
        <v>1388</v>
      </c>
      <c r="L403" t="s">
        <v>92</v>
      </c>
      <c r="M403" t="s">
        <v>908</v>
      </c>
      <c r="N403" t="s">
        <v>946</v>
      </c>
      <c r="O403" t="s">
        <v>92</v>
      </c>
      <c r="P403" t="s">
        <v>55</v>
      </c>
      <c r="Q403" t="s">
        <v>67</v>
      </c>
      <c r="R403">
        <v>43</v>
      </c>
      <c r="S403">
        <v>0</v>
      </c>
      <c r="T403" t="s">
        <v>41</v>
      </c>
      <c r="U403" t="s">
        <v>42</v>
      </c>
      <c r="V403">
        <v>1.44</v>
      </c>
      <c r="W403">
        <v>4.42</v>
      </c>
      <c r="X403">
        <v>5</v>
      </c>
      <c r="Y403">
        <v>21.2</v>
      </c>
      <c r="Z403">
        <v>18.2</v>
      </c>
    </row>
    <row r="404" spans="1:26" x14ac:dyDescent="0.45">
      <c r="A404" t="s">
        <v>1389</v>
      </c>
      <c r="B404">
        <v>72</v>
      </c>
      <c r="C404" t="s">
        <v>44</v>
      </c>
      <c r="D404" t="s">
        <v>28</v>
      </c>
      <c r="E404" t="s">
        <v>46</v>
      </c>
      <c r="F404" t="s">
        <v>88</v>
      </c>
      <c r="G404" t="s">
        <v>184</v>
      </c>
      <c r="H404" t="s">
        <v>81</v>
      </c>
      <c r="I404" t="s">
        <v>49</v>
      </c>
      <c r="J404" t="s">
        <v>1390</v>
      </c>
      <c r="K404" t="s">
        <v>211</v>
      </c>
      <c r="L404" t="s">
        <v>52</v>
      </c>
      <c r="M404" t="s">
        <v>1391</v>
      </c>
      <c r="N404" t="s">
        <v>313</v>
      </c>
      <c r="O404" t="s">
        <v>52</v>
      </c>
      <c r="P404" t="s">
        <v>55</v>
      </c>
      <c r="Q404" t="s">
        <v>30</v>
      </c>
      <c r="R404">
        <v>106</v>
      </c>
      <c r="S404">
        <v>0</v>
      </c>
      <c r="T404" t="s">
        <v>41</v>
      </c>
      <c r="U404" t="s">
        <v>42</v>
      </c>
      <c r="V404">
        <v>1.25</v>
      </c>
      <c r="W404">
        <v>4.53</v>
      </c>
      <c r="X404">
        <v>5</v>
      </c>
      <c r="Y404">
        <v>15.2</v>
      </c>
      <c r="Z404">
        <v>13.7</v>
      </c>
    </row>
    <row r="405" spans="1:26" x14ac:dyDescent="0.45">
      <c r="A405" t="s">
        <v>1392</v>
      </c>
      <c r="B405">
        <v>62</v>
      </c>
      <c r="C405" t="s">
        <v>44</v>
      </c>
      <c r="D405" t="s">
        <v>95</v>
      </c>
      <c r="E405" t="s">
        <v>78</v>
      </c>
      <c r="F405" t="s">
        <v>30</v>
      </c>
      <c r="G405" t="s">
        <v>112</v>
      </c>
      <c r="H405" t="s">
        <v>81</v>
      </c>
      <c r="I405" t="s">
        <v>132</v>
      </c>
      <c r="J405" t="s">
        <v>1393</v>
      </c>
      <c r="K405" t="s">
        <v>1093</v>
      </c>
      <c r="L405" t="s">
        <v>52</v>
      </c>
      <c r="M405" t="s">
        <v>75</v>
      </c>
      <c r="N405" t="s">
        <v>66</v>
      </c>
      <c r="O405" t="s">
        <v>52</v>
      </c>
      <c r="P405" t="s">
        <v>39</v>
      </c>
      <c r="Q405" t="s">
        <v>30</v>
      </c>
      <c r="R405">
        <v>111</v>
      </c>
      <c r="S405">
        <v>1</v>
      </c>
      <c r="T405" t="s">
        <v>123</v>
      </c>
      <c r="U405" t="s">
        <v>42</v>
      </c>
      <c r="V405">
        <v>4.71</v>
      </c>
      <c r="W405">
        <v>1.08</v>
      </c>
      <c r="X405">
        <v>5.3</v>
      </c>
      <c r="Y405">
        <v>18.399999999999999</v>
      </c>
      <c r="Z405">
        <v>15.3</v>
      </c>
    </row>
    <row r="406" spans="1:26" x14ac:dyDescent="0.45">
      <c r="A406" t="s">
        <v>1394</v>
      </c>
      <c r="B406">
        <v>76</v>
      </c>
      <c r="C406" t="s">
        <v>27</v>
      </c>
      <c r="D406" t="s">
        <v>95</v>
      </c>
      <c r="E406" t="s">
        <v>30</v>
      </c>
      <c r="F406" t="s">
        <v>47</v>
      </c>
      <c r="G406" t="s">
        <v>184</v>
      </c>
      <c r="H406" t="s">
        <v>61</v>
      </c>
      <c r="I406" t="s">
        <v>33</v>
      </c>
      <c r="J406" t="s">
        <v>1395</v>
      </c>
      <c r="K406" t="s">
        <v>1396</v>
      </c>
      <c r="L406" t="s">
        <v>92</v>
      </c>
      <c r="M406" t="s">
        <v>67</v>
      </c>
      <c r="N406" t="s">
        <v>754</v>
      </c>
      <c r="O406" t="s">
        <v>92</v>
      </c>
      <c r="P406" t="s">
        <v>39</v>
      </c>
      <c r="Q406" t="s">
        <v>40</v>
      </c>
      <c r="R406">
        <v>169</v>
      </c>
      <c r="S406">
        <v>1</v>
      </c>
      <c r="T406" t="s">
        <v>41</v>
      </c>
      <c r="U406" t="s">
        <v>57</v>
      </c>
      <c r="V406">
        <v>3.77</v>
      </c>
      <c r="W406">
        <v>1.54</v>
      </c>
      <c r="X406">
        <v>3.7</v>
      </c>
      <c r="Y406">
        <v>12.5</v>
      </c>
      <c r="Z406">
        <v>16.7</v>
      </c>
    </row>
    <row r="407" spans="1:26" x14ac:dyDescent="0.45">
      <c r="A407" t="s">
        <v>1397</v>
      </c>
      <c r="B407">
        <v>45</v>
      </c>
      <c r="C407" t="s">
        <v>44</v>
      </c>
      <c r="D407" t="s">
        <v>106</v>
      </c>
      <c r="E407" t="s">
        <v>46</v>
      </c>
      <c r="F407" t="s">
        <v>30</v>
      </c>
      <c r="G407" t="s">
        <v>80</v>
      </c>
      <c r="H407" t="s">
        <v>61</v>
      </c>
      <c r="I407" t="s">
        <v>132</v>
      </c>
      <c r="J407" t="s">
        <v>964</v>
      </c>
      <c r="K407" t="s">
        <v>523</v>
      </c>
      <c r="L407" t="s">
        <v>92</v>
      </c>
      <c r="M407" t="s">
        <v>1398</v>
      </c>
      <c r="N407" t="s">
        <v>562</v>
      </c>
      <c r="O407" t="s">
        <v>92</v>
      </c>
      <c r="P407" t="s">
        <v>55</v>
      </c>
      <c r="Q407" t="s">
        <v>30</v>
      </c>
      <c r="R407">
        <v>168</v>
      </c>
      <c r="S407">
        <v>0</v>
      </c>
      <c r="T407" t="s">
        <v>56</v>
      </c>
      <c r="U407" t="s">
        <v>57</v>
      </c>
      <c r="V407">
        <v>2.12</v>
      </c>
      <c r="W407">
        <v>1.84</v>
      </c>
      <c r="X407">
        <v>9.6</v>
      </c>
      <c r="Y407">
        <v>6.2</v>
      </c>
      <c r="Z407">
        <v>20</v>
      </c>
    </row>
    <row r="408" spans="1:26" x14ac:dyDescent="0.45">
      <c r="A408" t="s">
        <v>1399</v>
      </c>
      <c r="B408">
        <v>32</v>
      </c>
      <c r="C408" t="s">
        <v>27</v>
      </c>
      <c r="D408" t="s">
        <v>95</v>
      </c>
      <c r="E408" t="s">
        <v>78</v>
      </c>
      <c r="F408" t="s">
        <v>69</v>
      </c>
      <c r="G408" t="s">
        <v>152</v>
      </c>
      <c r="H408" t="s">
        <v>71</v>
      </c>
      <c r="I408" t="s">
        <v>33</v>
      </c>
      <c r="J408" t="s">
        <v>1400</v>
      </c>
      <c r="K408" t="s">
        <v>1401</v>
      </c>
      <c r="L408" t="s">
        <v>36</v>
      </c>
      <c r="M408" t="s">
        <v>892</v>
      </c>
      <c r="N408" t="s">
        <v>1199</v>
      </c>
      <c r="O408" t="s">
        <v>36</v>
      </c>
      <c r="P408" t="s">
        <v>39</v>
      </c>
      <c r="Q408" t="s">
        <v>129</v>
      </c>
      <c r="R408">
        <v>135</v>
      </c>
      <c r="S408">
        <v>1</v>
      </c>
      <c r="T408" t="s">
        <v>123</v>
      </c>
      <c r="U408" t="s">
        <v>57</v>
      </c>
      <c r="V408">
        <v>3.71</v>
      </c>
      <c r="W408">
        <v>4.3099999999999996</v>
      </c>
      <c r="X408">
        <v>3.7</v>
      </c>
      <c r="Y408">
        <v>6.3</v>
      </c>
      <c r="Z408">
        <v>15.5</v>
      </c>
    </row>
    <row r="409" spans="1:26" x14ac:dyDescent="0.45">
      <c r="A409" t="s">
        <v>1402</v>
      </c>
      <c r="B409">
        <v>30</v>
      </c>
      <c r="C409" t="s">
        <v>45</v>
      </c>
      <c r="D409" t="s">
        <v>95</v>
      </c>
      <c r="E409" t="s">
        <v>29</v>
      </c>
      <c r="F409" t="s">
        <v>30</v>
      </c>
      <c r="G409" t="s">
        <v>118</v>
      </c>
      <c r="H409" t="s">
        <v>32</v>
      </c>
      <c r="I409" t="s">
        <v>33</v>
      </c>
      <c r="J409" t="s">
        <v>1403</v>
      </c>
      <c r="K409" t="s">
        <v>1404</v>
      </c>
      <c r="L409" t="s">
        <v>36</v>
      </c>
      <c r="M409" t="s">
        <v>67</v>
      </c>
      <c r="N409" t="s">
        <v>650</v>
      </c>
      <c r="O409" t="s">
        <v>36</v>
      </c>
      <c r="P409" t="s">
        <v>39</v>
      </c>
      <c r="Q409" t="s">
        <v>30</v>
      </c>
      <c r="R409">
        <v>148</v>
      </c>
      <c r="S409">
        <v>1</v>
      </c>
      <c r="T409" t="s">
        <v>56</v>
      </c>
      <c r="U409" t="s">
        <v>57</v>
      </c>
      <c r="V409">
        <v>4.34</v>
      </c>
      <c r="W409">
        <v>3.96</v>
      </c>
      <c r="X409">
        <v>2.2999999999999998</v>
      </c>
      <c r="Y409">
        <v>19.600000000000001</v>
      </c>
      <c r="Z409">
        <v>16.100000000000001</v>
      </c>
    </row>
    <row r="410" spans="1:26" x14ac:dyDescent="0.45">
      <c r="A410" t="s">
        <v>1405</v>
      </c>
      <c r="B410">
        <v>18</v>
      </c>
      <c r="C410" t="s">
        <v>44</v>
      </c>
      <c r="D410" t="s">
        <v>106</v>
      </c>
      <c r="E410" t="s">
        <v>29</v>
      </c>
      <c r="F410" t="s">
        <v>59</v>
      </c>
      <c r="G410" t="s">
        <v>276</v>
      </c>
      <c r="H410" t="s">
        <v>81</v>
      </c>
      <c r="I410" t="s">
        <v>72</v>
      </c>
      <c r="J410" t="s">
        <v>1406</v>
      </c>
      <c r="K410" t="s">
        <v>1276</v>
      </c>
      <c r="L410" t="s">
        <v>92</v>
      </c>
      <c r="M410" t="s">
        <v>30</v>
      </c>
      <c r="N410" t="s">
        <v>682</v>
      </c>
      <c r="O410" t="s">
        <v>92</v>
      </c>
      <c r="P410" t="s">
        <v>110</v>
      </c>
      <c r="Q410" t="s">
        <v>75</v>
      </c>
      <c r="R410">
        <v>111</v>
      </c>
      <c r="S410">
        <v>0</v>
      </c>
      <c r="T410" t="s">
        <v>137</v>
      </c>
      <c r="U410" t="s">
        <v>42</v>
      </c>
      <c r="V410">
        <v>3.63</v>
      </c>
      <c r="W410">
        <v>4.0599999999999996</v>
      </c>
      <c r="X410">
        <v>8.6</v>
      </c>
      <c r="Y410">
        <v>17</v>
      </c>
      <c r="Z410">
        <v>4.5</v>
      </c>
    </row>
    <row r="411" spans="1:26" x14ac:dyDescent="0.45">
      <c r="A411" t="s">
        <v>1407</v>
      </c>
      <c r="B411">
        <v>73</v>
      </c>
      <c r="C411" t="s">
        <v>27</v>
      </c>
      <c r="D411" t="s">
        <v>45</v>
      </c>
      <c r="E411" t="s">
        <v>78</v>
      </c>
      <c r="F411" t="s">
        <v>47</v>
      </c>
      <c r="G411" t="s">
        <v>118</v>
      </c>
      <c r="H411" t="s">
        <v>81</v>
      </c>
      <c r="I411" t="s">
        <v>72</v>
      </c>
      <c r="J411" t="s">
        <v>390</v>
      </c>
      <c r="K411" t="s">
        <v>1408</v>
      </c>
      <c r="L411" t="s">
        <v>64</v>
      </c>
      <c r="M411" t="s">
        <v>266</v>
      </c>
      <c r="N411" t="s">
        <v>374</v>
      </c>
      <c r="O411" t="s">
        <v>64</v>
      </c>
      <c r="P411" t="s">
        <v>110</v>
      </c>
      <c r="Q411" t="s">
        <v>67</v>
      </c>
      <c r="R411">
        <v>159</v>
      </c>
      <c r="S411">
        <v>0</v>
      </c>
      <c r="T411" t="s">
        <v>123</v>
      </c>
      <c r="U411" t="s">
        <v>57</v>
      </c>
      <c r="V411">
        <v>2.95</v>
      </c>
      <c r="W411">
        <v>1.31</v>
      </c>
      <c r="X411">
        <v>4.7</v>
      </c>
      <c r="Y411">
        <v>13.3</v>
      </c>
      <c r="Z411">
        <v>4.0999999999999996</v>
      </c>
    </row>
    <row r="412" spans="1:26" x14ac:dyDescent="0.45">
      <c r="A412" t="s">
        <v>1409</v>
      </c>
      <c r="B412">
        <v>51</v>
      </c>
      <c r="C412" t="s">
        <v>45</v>
      </c>
      <c r="D412" t="s">
        <v>106</v>
      </c>
      <c r="E412" t="s">
        <v>30</v>
      </c>
      <c r="F412" t="s">
        <v>88</v>
      </c>
      <c r="G412" t="s">
        <v>164</v>
      </c>
      <c r="H412" t="s">
        <v>81</v>
      </c>
      <c r="I412" t="s">
        <v>49</v>
      </c>
      <c r="J412" t="s">
        <v>1410</v>
      </c>
      <c r="K412" t="s">
        <v>1411</v>
      </c>
      <c r="L412" t="s">
        <v>92</v>
      </c>
      <c r="M412" t="s">
        <v>1412</v>
      </c>
      <c r="N412" t="s">
        <v>1280</v>
      </c>
      <c r="O412" t="s">
        <v>92</v>
      </c>
      <c r="P412" t="s">
        <v>39</v>
      </c>
      <c r="Q412" t="s">
        <v>40</v>
      </c>
      <c r="R412">
        <v>121</v>
      </c>
      <c r="S412">
        <v>1</v>
      </c>
      <c r="T412" t="s">
        <v>41</v>
      </c>
      <c r="U412" t="s">
        <v>42</v>
      </c>
      <c r="V412">
        <v>2.4</v>
      </c>
      <c r="W412">
        <v>1.44</v>
      </c>
      <c r="X412">
        <v>8.3000000000000007</v>
      </c>
      <c r="Y412">
        <v>23.1</v>
      </c>
      <c r="Z412">
        <v>4.2</v>
      </c>
    </row>
    <row r="413" spans="1:26" x14ac:dyDescent="0.45">
      <c r="A413" t="s">
        <v>1413</v>
      </c>
      <c r="B413">
        <v>46</v>
      </c>
      <c r="C413" t="s">
        <v>44</v>
      </c>
      <c r="D413" t="s">
        <v>106</v>
      </c>
      <c r="E413" t="s">
        <v>29</v>
      </c>
      <c r="F413" t="s">
        <v>30</v>
      </c>
      <c r="G413" t="s">
        <v>131</v>
      </c>
      <c r="H413" t="s">
        <v>32</v>
      </c>
      <c r="I413" t="s">
        <v>49</v>
      </c>
      <c r="J413" t="s">
        <v>1414</v>
      </c>
      <c r="K413" t="s">
        <v>419</v>
      </c>
      <c r="L413" t="s">
        <v>92</v>
      </c>
      <c r="M413" t="s">
        <v>581</v>
      </c>
      <c r="N413" t="s">
        <v>1014</v>
      </c>
      <c r="O413" t="s">
        <v>92</v>
      </c>
      <c r="P413" t="s">
        <v>110</v>
      </c>
      <c r="Q413" t="s">
        <v>129</v>
      </c>
      <c r="R413">
        <v>57</v>
      </c>
      <c r="S413">
        <v>0</v>
      </c>
      <c r="T413" t="s">
        <v>41</v>
      </c>
      <c r="U413" t="s">
        <v>57</v>
      </c>
      <c r="V413">
        <v>4.82</v>
      </c>
      <c r="W413">
        <v>3.09</v>
      </c>
      <c r="X413">
        <v>3.7</v>
      </c>
      <c r="Y413">
        <v>7.4</v>
      </c>
      <c r="Z413">
        <v>11.5</v>
      </c>
    </row>
    <row r="414" spans="1:26" x14ac:dyDescent="0.45">
      <c r="A414" t="s">
        <v>1415</v>
      </c>
      <c r="B414">
        <v>51</v>
      </c>
      <c r="C414" t="s">
        <v>27</v>
      </c>
      <c r="D414" t="s">
        <v>87</v>
      </c>
      <c r="E414" t="s">
        <v>163</v>
      </c>
      <c r="F414" t="s">
        <v>59</v>
      </c>
      <c r="G414" t="s">
        <v>89</v>
      </c>
      <c r="H414" t="s">
        <v>81</v>
      </c>
      <c r="I414" t="s">
        <v>49</v>
      </c>
      <c r="J414" t="s">
        <v>1106</v>
      </c>
      <c r="K414" t="s">
        <v>1416</v>
      </c>
      <c r="L414" t="s">
        <v>36</v>
      </c>
      <c r="M414" t="s">
        <v>807</v>
      </c>
      <c r="N414" t="s">
        <v>1066</v>
      </c>
      <c r="O414" t="s">
        <v>36</v>
      </c>
      <c r="P414" t="s">
        <v>55</v>
      </c>
      <c r="Q414" t="s">
        <v>30</v>
      </c>
      <c r="R414">
        <v>145</v>
      </c>
      <c r="S414">
        <v>0</v>
      </c>
      <c r="T414" t="s">
        <v>41</v>
      </c>
      <c r="U414" t="s">
        <v>42</v>
      </c>
      <c r="V414">
        <v>4.18</v>
      </c>
      <c r="W414">
        <v>3.83</v>
      </c>
      <c r="X414">
        <v>1.5</v>
      </c>
      <c r="Y414">
        <v>7.3</v>
      </c>
      <c r="Z414">
        <v>9.8000000000000007</v>
      </c>
    </row>
    <row r="415" spans="1:26" x14ac:dyDescent="0.45">
      <c r="A415" t="s">
        <v>1417</v>
      </c>
      <c r="B415">
        <v>56</v>
      </c>
      <c r="C415" t="s">
        <v>27</v>
      </c>
      <c r="D415" t="s">
        <v>106</v>
      </c>
      <c r="E415" t="s">
        <v>29</v>
      </c>
      <c r="F415" t="s">
        <v>30</v>
      </c>
      <c r="G415" t="s">
        <v>118</v>
      </c>
      <c r="H415" t="s">
        <v>61</v>
      </c>
      <c r="I415" t="s">
        <v>132</v>
      </c>
      <c r="J415" t="s">
        <v>224</v>
      </c>
      <c r="K415" t="s">
        <v>1418</v>
      </c>
      <c r="L415" t="s">
        <v>92</v>
      </c>
      <c r="M415" t="s">
        <v>75</v>
      </c>
      <c r="N415" t="s">
        <v>808</v>
      </c>
      <c r="O415" t="s">
        <v>92</v>
      </c>
      <c r="P415" t="s">
        <v>55</v>
      </c>
      <c r="Q415" t="s">
        <v>129</v>
      </c>
      <c r="R415">
        <v>79</v>
      </c>
      <c r="S415">
        <v>0</v>
      </c>
      <c r="T415" t="s">
        <v>85</v>
      </c>
      <c r="U415" t="s">
        <v>42</v>
      </c>
      <c r="V415">
        <v>2.1800000000000002</v>
      </c>
      <c r="W415">
        <v>1.93</v>
      </c>
      <c r="X415">
        <v>3.5</v>
      </c>
      <c r="Y415">
        <v>20.5</v>
      </c>
      <c r="Z415">
        <v>18.8</v>
      </c>
    </row>
    <row r="416" spans="1:26" x14ac:dyDescent="0.45">
      <c r="A416" t="s">
        <v>1419</v>
      </c>
      <c r="B416">
        <v>20</v>
      </c>
      <c r="C416" t="s">
        <v>45</v>
      </c>
      <c r="D416" t="s">
        <v>45</v>
      </c>
      <c r="E416" t="s">
        <v>46</v>
      </c>
      <c r="F416" t="s">
        <v>59</v>
      </c>
      <c r="G416" t="s">
        <v>102</v>
      </c>
      <c r="H416" t="s">
        <v>71</v>
      </c>
      <c r="I416" t="s">
        <v>49</v>
      </c>
      <c r="J416" t="s">
        <v>1195</v>
      </c>
      <c r="K416" t="s">
        <v>921</v>
      </c>
      <c r="L416" t="s">
        <v>52</v>
      </c>
      <c r="M416" t="s">
        <v>317</v>
      </c>
      <c r="N416" t="s">
        <v>379</v>
      </c>
      <c r="O416" t="s">
        <v>52</v>
      </c>
      <c r="P416" t="s">
        <v>39</v>
      </c>
      <c r="Q416" t="s">
        <v>30</v>
      </c>
      <c r="R416">
        <v>171</v>
      </c>
      <c r="S416">
        <v>1</v>
      </c>
      <c r="T416" t="s">
        <v>137</v>
      </c>
      <c r="U416" t="s">
        <v>57</v>
      </c>
      <c r="V416">
        <v>2.62</v>
      </c>
      <c r="W416">
        <v>4.62</v>
      </c>
      <c r="X416">
        <v>3.9</v>
      </c>
      <c r="Y416">
        <v>14.6</v>
      </c>
      <c r="Z416">
        <v>6.8</v>
      </c>
    </row>
    <row r="417" spans="1:26" x14ac:dyDescent="0.45">
      <c r="A417" t="s">
        <v>1420</v>
      </c>
      <c r="B417">
        <v>81</v>
      </c>
      <c r="C417" t="s">
        <v>44</v>
      </c>
      <c r="D417" t="s">
        <v>45</v>
      </c>
      <c r="E417" t="s">
        <v>78</v>
      </c>
      <c r="F417" t="s">
        <v>30</v>
      </c>
      <c r="G417" t="s">
        <v>184</v>
      </c>
      <c r="H417" t="s">
        <v>71</v>
      </c>
      <c r="I417" t="s">
        <v>72</v>
      </c>
      <c r="J417" t="s">
        <v>1421</v>
      </c>
      <c r="K417" t="s">
        <v>918</v>
      </c>
      <c r="L417" t="s">
        <v>64</v>
      </c>
      <c r="M417" t="s">
        <v>67</v>
      </c>
      <c r="N417" t="s">
        <v>150</v>
      </c>
      <c r="O417" t="s">
        <v>64</v>
      </c>
      <c r="P417" t="s">
        <v>55</v>
      </c>
      <c r="Q417" t="s">
        <v>40</v>
      </c>
      <c r="R417">
        <v>144</v>
      </c>
      <c r="S417">
        <v>0</v>
      </c>
      <c r="T417" t="s">
        <v>56</v>
      </c>
      <c r="U417" t="s">
        <v>57</v>
      </c>
      <c r="V417">
        <v>3.56</v>
      </c>
      <c r="W417">
        <v>4.92</v>
      </c>
      <c r="X417">
        <v>6.4</v>
      </c>
      <c r="Y417">
        <v>12.4</v>
      </c>
      <c r="Z417">
        <v>14</v>
      </c>
    </row>
    <row r="418" spans="1:26" x14ac:dyDescent="0.45">
      <c r="A418" t="s">
        <v>1422</v>
      </c>
      <c r="B418">
        <v>58</v>
      </c>
      <c r="C418" t="s">
        <v>45</v>
      </c>
      <c r="D418" t="s">
        <v>87</v>
      </c>
      <c r="E418" t="s">
        <v>29</v>
      </c>
      <c r="F418" t="s">
        <v>79</v>
      </c>
      <c r="G418" t="s">
        <v>80</v>
      </c>
      <c r="H418" t="s">
        <v>32</v>
      </c>
      <c r="I418" t="s">
        <v>132</v>
      </c>
      <c r="J418" t="s">
        <v>1423</v>
      </c>
      <c r="K418" t="s">
        <v>1424</v>
      </c>
      <c r="L418" t="s">
        <v>64</v>
      </c>
      <c r="M418" t="s">
        <v>554</v>
      </c>
      <c r="N418" t="s">
        <v>122</v>
      </c>
      <c r="O418" t="s">
        <v>64</v>
      </c>
      <c r="P418" t="s">
        <v>110</v>
      </c>
      <c r="Q418" t="s">
        <v>30</v>
      </c>
      <c r="R418">
        <v>131</v>
      </c>
      <c r="S418">
        <v>0</v>
      </c>
      <c r="T418" t="s">
        <v>123</v>
      </c>
      <c r="U418" t="s">
        <v>42</v>
      </c>
      <c r="V418">
        <v>1.49</v>
      </c>
      <c r="W418">
        <v>4.55</v>
      </c>
      <c r="X418">
        <v>5.5</v>
      </c>
      <c r="Y418">
        <v>14.1</v>
      </c>
      <c r="Z418">
        <v>13</v>
      </c>
    </row>
    <row r="419" spans="1:26" x14ac:dyDescent="0.45">
      <c r="A419" t="s">
        <v>1425</v>
      </c>
      <c r="B419">
        <v>41</v>
      </c>
      <c r="C419" t="s">
        <v>44</v>
      </c>
      <c r="D419" t="s">
        <v>95</v>
      </c>
      <c r="E419" t="s">
        <v>46</v>
      </c>
      <c r="F419" t="s">
        <v>88</v>
      </c>
      <c r="G419" t="s">
        <v>89</v>
      </c>
      <c r="H419" t="s">
        <v>32</v>
      </c>
      <c r="I419" t="s">
        <v>132</v>
      </c>
      <c r="J419" t="s">
        <v>1426</v>
      </c>
      <c r="K419" t="s">
        <v>855</v>
      </c>
      <c r="L419" t="s">
        <v>64</v>
      </c>
      <c r="M419" t="s">
        <v>1427</v>
      </c>
      <c r="N419" t="s">
        <v>305</v>
      </c>
      <c r="O419" t="s">
        <v>64</v>
      </c>
      <c r="P419" t="s">
        <v>110</v>
      </c>
      <c r="Q419" t="s">
        <v>30</v>
      </c>
      <c r="R419">
        <v>89</v>
      </c>
      <c r="S419">
        <v>0</v>
      </c>
      <c r="T419" t="s">
        <v>85</v>
      </c>
      <c r="U419" t="s">
        <v>42</v>
      </c>
      <c r="V419">
        <v>3.5</v>
      </c>
      <c r="W419">
        <v>1.29</v>
      </c>
      <c r="X419">
        <v>7.1</v>
      </c>
      <c r="Y419">
        <v>10.4</v>
      </c>
      <c r="Z419">
        <v>15.1</v>
      </c>
    </row>
    <row r="420" spans="1:26" x14ac:dyDescent="0.45">
      <c r="A420" t="s">
        <v>1428</v>
      </c>
      <c r="B420">
        <v>67</v>
      </c>
      <c r="C420" t="s">
        <v>44</v>
      </c>
      <c r="D420" t="s">
        <v>45</v>
      </c>
      <c r="E420" t="s">
        <v>46</v>
      </c>
      <c r="F420" t="s">
        <v>30</v>
      </c>
      <c r="G420" t="s">
        <v>102</v>
      </c>
      <c r="H420" t="s">
        <v>32</v>
      </c>
      <c r="I420" t="s">
        <v>49</v>
      </c>
      <c r="J420" t="s">
        <v>242</v>
      </c>
      <c r="K420" t="s">
        <v>1429</v>
      </c>
      <c r="L420" t="s">
        <v>36</v>
      </c>
      <c r="M420" t="s">
        <v>53</v>
      </c>
      <c r="N420" t="s">
        <v>997</v>
      </c>
      <c r="O420" t="s">
        <v>36</v>
      </c>
      <c r="P420" t="s">
        <v>39</v>
      </c>
      <c r="Q420" t="s">
        <v>40</v>
      </c>
      <c r="R420">
        <v>157</v>
      </c>
      <c r="S420">
        <v>1</v>
      </c>
      <c r="T420" t="s">
        <v>123</v>
      </c>
      <c r="U420" t="s">
        <v>57</v>
      </c>
      <c r="V420">
        <v>4.29</v>
      </c>
      <c r="W420">
        <v>4.22</v>
      </c>
      <c r="X420">
        <v>6</v>
      </c>
      <c r="Y420">
        <v>15.4</v>
      </c>
      <c r="Z420">
        <v>5.4</v>
      </c>
    </row>
    <row r="421" spans="1:26" x14ac:dyDescent="0.45">
      <c r="A421" t="s">
        <v>1430</v>
      </c>
      <c r="B421">
        <v>71</v>
      </c>
      <c r="C421" t="s">
        <v>27</v>
      </c>
      <c r="D421" t="s">
        <v>87</v>
      </c>
      <c r="E421" t="s">
        <v>78</v>
      </c>
      <c r="F421" t="s">
        <v>59</v>
      </c>
      <c r="G421" t="s">
        <v>80</v>
      </c>
      <c r="H421" t="s">
        <v>81</v>
      </c>
      <c r="I421" t="s">
        <v>72</v>
      </c>
      <c r="J421" t="s">
        <v>1431</v>
      </c>
      <c r="K421" t="s">
        <v>1432</v>
      </c>
      <c r="L421" t="s">
        <v>92</v>
      </c>
      <c r="M421" t="s">
        <v>53</v>
      </c>
      <c r="N421" t="s">
        <v>217</v>
      </c>
      <c r="O421" t="s">
        <v>92</v>
      </c>
      <c r="P421" t="s">
        <v>39</v>
      </c>
      <c r="Q421" t="s">
        <v>75</v>
      </c>
      <c r="R421">
        <v>165</v>
      </c>
      <c r="S421">
        <v>1</v>
      </c>
      <c r="T421" t="s">
        <v>123</v>
      </c>
      <c r="U421" t="s">
        <v>57</v>
      </c>
      <c r="V421">
        <v>4.0999999999999996</v>
      </c>
      <c r="W421">
        <v>2.09</v>
      </c>
      <c r="X421">
        <v>5.5</v>
      </c>
      <c r="Y421">
        <v>11.1</v>
      </c>
      <c r="Z421">
        <v>5.3</v>
      </c>
    </row>
    <row r="422" spans="1:26" x14ac:dyDescent="0.45">
      <c r="A422" t="s">
        <v>1433</v>
      </c>
      <c r="B422">
        <v>20</v>
      </c>
      <c r="C422" t="s">
        <v>27</v>
      </c>
      <c r="D422" t="s">
        <v>95</v>
      </c>
      <c r="E422" t="s">
        <v>163</v>
      </c>
      <c r="F422" t="s">
        <v>30</v>
      </c>
      <c r="G422" t="s">
        <v>48</v>
      </c>
      <c r="H422" t="s">
        <v>32</v>
      </c>
      <c r="I422" t="s">
        <v>132</v>
      </c>
      <c r="J422" t="s">
        <v>1068</v>
      </c>
      <c r="K422" t="s">
        <v>1434</v>
      </c>
      <c r="L422" t="s">
        <v>64</v>
      </c>
      <c r="M422" t="s">
        <v>536</v>
      </c>
      <c r="N422" t="s">
        <v>1435</v>
      </c>
      <c r="O422" t="s">
        <v>64</v>
      </c>
      <c r="P422" t="s">
        <v>55</v>
      </c>
      <c r="Q422" t="s">
        <v>40</v>
      </c>
      <c r="R422">
        <v>156</v>
      </c>
      <c r="S422">
        <v>0</v>
      </c>
      <c r="T422" t="s">
        <v>123</v>
      </c>
      <c r="U422" t="s">
        <v>57</v>
      </c>
      <c r="V422">
        <v>3.52</v>
      </c>
      <c r="W422">
        <v>1.22</v>
      </c>
      <c r="X422">
        <v>7.7</v>
      </c>
      <c r="Y422">
        <v>11.7</v>
      </c>
      <c r="Z422">
        <v>3</v>
      </c>
    </row>
    <row r="423" spans="1:26" x14ac:dyDescent="0.45">
      <c r="A423" t="s">
        <v>1436</v>
      </c>
      <c r="B423">
        <v>31</v>
      </c>
      <c r="C423" t="s">
        <v>27</v>
      </c>
      <c r="D423" t="s">
        <v>106</v>
      </c>
      <c r="E423" t="s">
        <v>163</v>
      </c>
      <c r="F423" t="s">
        <v>30</v>
      </c>
      <c r="G423" t="s">
        <v>96</v>
      </c>
      <c r="H423" t="s">
        <v>61</v>
      </c>
      <c r="I423" t="s">
        <v>132</v>
      </c>
      <c r="J423" t="s">
        <v>1437</v>
      </c>
      <c r="K423" t="s">
        <v>1438</v>
      </c>
      <c r="L423" t="s">
        <v>52</v>
      </c>
      <c r="M423" t="s">
        <v>348</v>
      </c>
      <c r="N423" t="s">
        <v>804</v>
      </c>
      <c r="O423" t="s">
        <v>52</v>
      </c>
      <c r="P423" t="s">
        <v>55</v>
      </c>
      <c r="Q423" t="s">
        <v>129</v>
      </c>
      <c r="R423">
        <v>58</v>
      </c>
      <c r="S423">
        <v>0</v>
      </c>
      <c r="T423" t="s">
        <v>123</v>
      </c>
      <c r="U423" t="s">
        <v>57</v>
      </c>
      <c r="V423">
        <v>3.04</v>
      </c>
      <c r="W423">
        <v>1.19</v>
      </c>
      <c r="X423">
        <v>3.5</v>
      </c>
      <c r="Y423">
        <v>18.7</v>
      </c>
      <c r="Z423">
        <v>4.0999999999999996</v>
      </c>
    </row>
    <row r="424" spans="1:26" x14ac:dyDescent="0.45">
      <c r="A424" t="s">
        <v>1439</v>
      </c>
      <c r="B424">
        <v>27</v>
      </c>
      <c r="C424" t="s">
        <v>44</v>
      </c>
      <c r="D424" t="s">
        <v>28</v>
      </c>
      <c r="E424" t="s">
        <v>29</v>
      </c>
      <c r="F424" t="s">
        <v>30</v>
      </c>
      <c r="G424" t="s">
        <v>131</v>
      </c>
      <c r="H424" t="s">
        <v>32</v>
      </c>
      <c r="I424" t="s">
        <v>72</v>
      </c>
      <c r="J424" t="s">
        <v>1440</v>
      </c>
      <c r="K424" t="s">
        <v>1441</v>
      </c>
      <c r="L424" t="s">
        <v>52</v>
      </c>
      <c r="M424" t="s">
        <v>469</v>
      </c>
      <c r="N424" t="s">
        <v>586</v>
      </c>
      <c r="O424" t="s">
        <v>52</v>
      </c>
      <c r="P424" t="s">
        <v>55</v>
      </c>
      <c r="Q424" t="s">
        <v>129</v>
      </c>
      <c r="R424">
        <v>163</v>
      </c>
      <c r="S424">
        <v>0</v>
      </c>
      <c r="T424" t="s">
        <v>85</v>
      </c>
      <c r="U424" t="s">
        <v>42</v>
      </c>
      <c r="V424">
        <v>4.3600000000000003</v>
      </c>
      <c r="W424">
        <v>1.02</v>
      </c>
      <c r="X424">
        <v>3.2</v>
      </c>
      <c r="Y424">
        <v>19.3</v>
      </c>
      <c r="Z424">
        <v>8.4</v>
      </c>
    </row>
    <row r="425" spans="1:26" x14ac:dyDescent="0.45">
      <c r="A425" t="s">
        <v>1442</v>
      </c>
      <c r="B425">
        <v>79</v>
      </c>
      <c r="C425" t="s">
        <v>45</v>
      </c>
      <c r="D425" t="s">
        <v>95</v>
      </c>
      <c r="E425" t="s">
        <v>30</v>
      </c>
      <c r="F425" t="s">
        <v>47</v>
      </c>
      <c r="G425" t="s">
        <v>60</v>
      </c>
      <c r="H425" t="s">
        <v>61</v>
      </c>
      <c r="I425" t="s">
        <v>132</v>
      </c>
      <c r="J425" t="s">
        <v>1361</v>
      </c>
      <c r="K425" t="s">
        <v>1443</v>
      </c>
      <c r="L425" t="s">
        <v>52</v>
      </c>
      <c r="M425" t="s">
        <v>99</v>
      </c>
      <c r="N425" t="s">
        <v>1444</v>
      </c>
      <c r="O425" t="s">
        <v>52</v>
      </c>
      <c r="P425" t="s">
        <v>39</v>
      </c>
      <c r="Q425" t="s">
        <v>67</v>
      </c>
      <c r="R425">
        <v>33</v>
      </c>
      <c r="S425">
        <v>1</v>
      </c>
      <c r="T425" t="s">
        <v>41</v>
      </c>
      <c r="U425" t="s">
        <v>57</v>
      </c>
      <c r="V425">
        <v>1.41</v>
      </c>
      <c r="W425">
        <v>2.44</v>
      </c>
      <c r="X425">
        <v>3.4</v>
      </c>
      <c r="Y425">
        <v>21.2</v>
      </c>
      <c r="Z425">
        <v>8.3000000000000007</v>
      </c>
    </row>
    <row r="426" spans="1:26" x14ac:dyDescent="0.45">
      <c r="A426" t="s">
        <v>1445</v>
      </c>
      <c r="B426">
        <v>67</v>
      </c>
      <c r="C426" t="s">
        <v>27</v>
      </c>
      <c r="D426" t="s">
        <v>95</v>
      </c>
      <c r="E426" t="s">
        <v>163</v>
      </c>
      <c r="F426" t="s">
        <v>69</v>
      </c>
      <c r="G426" t="s">
        <v>246</v>
      </c>
      <c r="H426" t="s">
        <v>32</v>
      </c>
      <c r="I426" t="s">
        <v>132</v>
      </c>
      <c r="J426" t="s">
        <v>315</v>
      </c>
      <c r="K426" t="s">
        <v>1446</v>
      </c>
      <c r="L426" t="s">
        <v>92</v>
      </c>
      <c r="M426" t="s">
        <v>67</v>
      </c>
      <c r="N426" t="s">
        <v>667</v>
      </c>
      <c r="O426" t="s">
        <v>92</v>
      </c>
      <c r="P426" t="s">
        <v>55</v>
      </c>
      <c r="Q426" t="s">
        <v>40</v>
      </c>
      <c r="R426">
        <v>161</v>
      </c>
      <c r="S426">
        <v>0</v>
      </c>
      <c r="T426" t="s">
        <v>41</v>
      </c>
      <c r="U426" t="s">
        <v>57</v>
      </c>
      <c r="V426">
        <v>4.16</v>
      </c>
      <c r="W426">
        <v>4.57</v>
      </c>
      <c r="X426">
        <v>4.9000000000000004</v>
      </c>
      <c r="Y426">
        <v>22.4</v>
      </c>
      <c r="Z426">
        <v>9.4</v>
      </c>
    </row>
    <row r="427" spans="1:26" x14ac:dyDescent="0.45">
      <c r="A427" t="s">
        <v>1447</v>
      </c>
      <c r="B427">
        <v>42</v>
      </c>
      <c r="C427" t="s">
        <v>27</v>
      </c>
      <c r="D427" t="s">
        <v>28</v>
      </c>
      <c r="E427" t="s">
        <v>78</v>
      </c>
      <c r="F427" t="s">
        <v>59</v>
      </c>
      <c r="G427" t="s">
        <v>80</v>
      </c>
      <c r="H427" t="s">
        <v>61</v>
      </c>
      <c r="I427" t="s">
        <v>72</v>
      </c>
      <c r="J427" t="s">
        <v>653</v>
      </c>
      <c r="K427" t="s">
        <v>905</v>
      </c>
      <c r="L427" t="s">
        <v>52</v>
      </c>
      <c r="M427" t="s">
        <v>40</v>
      </c>
      <c r="N427" t="s">
        <v>383</v>
      </c>
      <c r="O427" t="s">
        <v>52</v>
      </c>
      <c r="P427" t="s">
        <v>55</v>
      </c>
      <c r="Q427" t="s">
        <v>129</v>
      </c>
      <c r="R427">
        <v>151</v>
      </c>
      <c r="S427">
        <v>0</v>
      </c>
      <c r="T427" t="s">
        <v>85</v>
      </c>
      <c r="U427" t="s">
        <v>57</v>
      </c>
      <c r="V427">
        <v>4.8600000000000003</v>
      </c>
      <c r="W427">
        <v>1.36</v>
      </c>
      <c r="X427">
        <v>7.2</v>
      </c>
      <c r="Y427">
        <v>14.9</v>
      </c>
      <c r="Z427">
        <v>9.6</v>
      </c>
    </row>
    <row r="428" spans="1:26" x14ac:dyDescent="0.45">
      <c r="A428" t="s">
        <v>1448</v>
      </c>
      <c r="B428">
        <v>63</v>
      </c>
      <c r="C428" t="s">
        <v>44</v>
      </c>
      <c r="D428" t="s">
        <v>87</v>
      </c>
      <c r="E428" t="s">
        <v>29</v>
      </c>
      <c r="F428" t="s">
        <v>47</v>
      </c>
      <c r="G428" t="s">
        <v>89</v>
      </c>
      <c r="H428" t="s">
        <v>71</v>
      </c>
      <c r="I428" t="s">
        <v>33</v>
      </c>
      <c r="J428" t="s">
        <v>1449</v>
      </c>
      <c r="K428" t="s">
        <v>1450</v>
      </c>
      <c r="L428" t="s">
        <v>92</v>
      </c>
      <c r="M428" t="s">
        <v>427</v>
      </c>
      <c r="N428" t="s">
        <v>374</v>
      </c>
      <c r="O428" t="s">
        <v>92</v>
      </c>
      <c r="P428" t="s">
        <v>39</v>
      </c>
      <c r="Q428" t="s">
        <v>40</v>
      </c>
      <c r="R428">
        <v>138</v>
      </c>
      <c r="S428">
        <v>1</v>
      </c>
      <c r="T428" t="s">
        <v>41</v>
      </c>
      <c r="U428" t="s">
        <v>57</v>
      </c>
      <c r="V428">
        <v>3.53</v>
      </c>
      <c r="W428">
        <v>3.82</v>
      </c>
      <c r="X428">
        <v>1</v>
      </c>
      <c r="Y428">
        <v>9</v>
      </c>
      <c r="Z428">
        <v>15.1</v>
      </c>
    </row>
    <row r="429" spans="1:26" x14ac:dyDescent="0.45">
      <c r="A429" t="s">
        <v>1451</v>
      </c>
      <c r="B429">
        <v>42</v>
      </c>
      <c r="C429" t="s">
        <v>44</v>
      </c>
      <c r="D429" t="s">
        <v>106</v>
      </c>
      <c r="E429" t="s">
        <v>29</v>
      </c>
      <c r="F429" t="s">
        <v>69</v>
      </c>
      <c r="G429" t="s">
        <v>70</v>
      </c>
      <c r="H429" t="s">
        <v>81</v>
      </c>
      <c r="I429" t="s">
        <v>49</v>
      </c>
      <c r="J429" t="s">
        <v>1452</v>
      </c>
      <c r="K429" t="s">
        <v>425</v>
      </c>
      <c r="L429" t="s">
        <v>52</v>
      </c>
      <c r="M429" t="s">
        <v>129</v>
      </c>
      <c r="N429" t="s">
        <v>300</v>
      </c>
      <c r="O429" t="s">
        <v>52</v>
      </c>
      <c r="P429" t="s">
        <v>110</v>
      </c>
      <c r="Q429" t="s">
        <v>30</v>
      </c>
      <c r="R429">
        <v>91</v>
      </c>
      <c r="S429">
        <v>0</v>
      </c>
      <c r="T429" t="s">
        <v>123</v>
      </c>
      <c r="U429" t="s">
        <v>42</v>
      </c>
      <c r="V429">
        <v>3.67</v>
      </c>
      <c r="W429">
        <v>4.8600000000000003</v>
      </c>
      <c r="X429">
        <v>7.8</v>
      </c>
      <c r="Y429">
        <v>23.1</v>
      </c>
      <c r="Z429">
        <v>14.9</v>
      </c>
    </row>
    <row r="430" spans="1:26" x14ac:dyDescent="0.45">
      <c r="A430" t="s">
        <v>1453</v>
      </c>
      <c r="B430">
        <v>53</v>
      </c>
      <c r="C430" t="s">
        <v>27</v>
      </c>
      <c r="D430" t="s">
        <v>45</v>
      </c>
      <c r="E430" t="s">
        <v>78</v>
      </c>
      <c r="F430" t="s">
        <v>88</v>
      </c>
      <c r="G430" t="s">
        <v>60</v>
      </c>
      <c r="H430" t="s">
        <v>32</v>
      </c>
      <c r="I430" t="s">
        <v>33</v>
      </c>
      <c r="J430" t="s">
        <v>1454</v>
      </c>
      <c r="K430" t="s">
        <v>1455</v>
      </c>
      <c r="L430" t="s">
        <v>64</v>
      </c>
      <c r="M430" t="s">
        <v>1456</v>
      </c>
      <c r="N430" t="s">
        <v>1356</v>
      </c>
      <c r="O430" t="s">
        <v>64</v>
      </c>
      <c r="P430" t="s">
        <v>39</v>
      </c>
      <c r="Q430" t="s">
        <v>67</v>
      </c>
      <c r="R430">
        <v>158</v>
      </c>
      <c r="S430">
        <v>1</v>
      </c>
      <c r="T430" t="s">
        <v>85</v>
      </c>
      <c r="U430" t="s">
        <v>57</v>
      </c>
      <c r="V430">
        <v>2.19</v>
      </c>
      <c r="W430">
        <v>1.42</v>
      </c>
      <c r="X430">
        <v>8</v>
      </c>
      <c r="Y430">
        <v>17.600000000000001</v>
      </c>
      <c r="Z430">
        <v>3.8</v>
      </c>
    </row>
    <row r="431" spans="1:26" x14ac:dyDescent="0.45">
      <c r="A431" t="s">
        <v>1457</v>
      </c>
      <c r="B431">
        <v>57</v>
      </c>
      <c r="C431" t="s">
        <v>45</v>
      </c>
      <c r="D431" t="s">
        <v>106</v>
      </c>
      <c r="E431" t="s">
        <v>46</v>
      </c>
      <c r="F431" t="s">
        <v>88</v>
      </c>
      <c r="G431" t="s">
        <v>112</v>
      </c>
      <c r="H431" t="s">
        <v>71</v>
      </c>
      <c r="I431" t="s">
        <v>132</v>
      </c>
      <c r="J431" t="s">
        <v>1002</v>
      </c>
      <c r="K431" t="s">
        <v>1458</v>
      </c>
      <c r="L431" t="s">
        <v>36</v>
      </c>
      <c r="M431" t="s">
        <v>697</v>
      </c>
      <c r="N431" t="s">
        <v>598</v>
      </c>
      <c r="O431" t="s">
        <v>36</v>
      </c>
      <c r="P431" t="s">
        <v>55</v>
      </c>
      <c r="Q431" t="s">
        <v>129</v>
      </c>
      <c r="R431">
        <v>73</v>
      </c>
      <c r="S431">
        <v>0</v>
      </c>
      <c r="T431" t="s">
        <v>123</v>
      </c>
      <c r="U431" t="s">
        <v>57</v>
      </c>
      <c r="V431">
        <v>2.44</v>
      </c>
      <c r="W431">
        <v>4.83</v>
      </c>
      <c r="X431">
        <v>5.5</v>
      </c>
      <c r="Y431">
        <v>13.8</v>
      </c>
      <c r="Z431">
        <v>10.8</v>
      </c>
    </row>
    <row r="432" spans="1:26" x14ac:dyDescent="0.45">
      <c r="A432" t="s">
        <v>1459</v>
      </c>
      <c r="B432">
        <v>78</v>
      </c>
      <c r="C432" t="s">
        <v>45</v>
      </c>
      <c r="D432" t="s">
        <v>87</v>
      </c>
      <c r="E432" t="s">
        <v>78</v>
      </c>
      <c r="F432" t="s">
        <v>30</v>
      </c>
      <c r="G432" t="s">
        <v>70</v>
      </c>
      <c r="H432" t="s">
        <v>61</v>
      </c>
      <c r="I432" t="s">
        <v>49</v>
      </c>
      <c r="J432" t="s">
        <v>608</v>
      </c>
      <c r="K432" t="s">
        <v>516</v>
      </c>
      <c r="L432" t="s">
        <v>52</v>
      </c>
      <c r="M432" t="s">
        <v>309</v>
      </c>
      <c r="N432" t="s">
        <v>1460</v>
      </c>
      <c r="O432" t="s">
        <v>52</v>
      </c>
      <c r="P432" t="s">
        <v>39</v>
      </c>
      <c r="Q432" t="s">
        <v>129</v>
      </c>
      <c r="R432">
        <v>107</v>
      </c>
      <c r="S432">
        <v>1</v>
      </c>
      <c r="T432" t="s">
        <v>137</v>
      </c>
      <c r="U432" t="s">
        <v>57</v>
      </c>
      <c r="V432">
        <v>1.84</v>
      </c>
      <c r="W432">
        <v>2.4700000000000002</v>
      </c>
      <c r="X432">
        <v>4.3</v>
      </c>
      <c r="Y432">
        <v>6.9</v>
      </c>
      <c r="Z432">
        <v>16</v>
      </c>
    </row>
    <row r="433" spans="1:26" x14ac:dyDescent="0.45">
      <c r="A433" t="s">
        <v>1461</v>
      </c>
      <c r="B433">
        <v>80</v>
      </c>
      <c r="C433" t="s">
        <v>45</v>
      </c>
      <c r="D433" t="s">
        <v>28</v>
      </c>
      <c r="E433" t="s">
        <v>29</v>
      </c>
      <c r="F433" t="s">
        <v>47</v>
      </c>
      <c r="G433" t="s">
        <v>184</v>
      </c>
      <c r="H433" t="s">
        <v>32</v>
      </c>
      <c r="I433" t="s">
        <v>33</v>
      </c>
      <c r="J433" t="s">
        <v>1462</v>
      </c>
      <c r="K433" t="s">
        <v>1077</v>
      </c>
      <c r="L433" t="s">
        <v>64</v>
      </c>
      <c r="M433" t="s">
        <v>566</v>
      </c>
      <c r="N433" t="s">
        <v>1463</v>
      </c>
      <c r="O433" t="s">
        <v>64</v>
      </c>
      <c r="P433" t="s">
        <v>110</v>
      </c>
      <c r="Q433" t="s">
        <v>75</v>
      </c>
      <c r="R433">
        <v>35</v>
      </c>
      <c r="S433">
        <v>0</v>
      </c>
      <c r="T433" t="s">
        <v>41</v>
      </c>
      <c r="U433" t="s">
        <v>57</v>
      </c>
      <c r="V433">
        <v>2.67</v>
      </c>
      <c r="W433">
        <v>4.29</v>
      </c>
      <c r="X433">
        <v>8.6999999999999993</v>
      </c>
      <c r="Y433">
        <v>9.8000000000000007</v>
      </c>
      <c r="Z433">
        <v>14.2</v>
      </c>
    </row>
    <row r="434" spans="1:26" x14ac:dyDescent="0.45">
      <c r="A434" t="s">
        <v>1464</v>
      </c>
      <c r="B434">
        <v>46</v>
      </c>
      <c r="C434" t="s">
        <v>45</v>
      </c>
      <c r="D434" t="s">
        <v>106</v>
      </c>
      <c r="E434" t="s">
        <v>30</v>
      </c>
      <c r="F434" t="s">
        <v>79</v>
      </c>
      <c r="G434" t="s">
        <v>80</v>
      </c>
      <c r="H434" t="s">
        <v>81</v>
      </c>
      <c r="I434" t="s">
        <v>132</v>
      </c>
      <c r="J434" t="s">
        <v>1465</v>
      </c>
      <c r="K434" t="s">
        <v>293</v>
      </c>
      <c r="L434" t="s">
        <v>36</v>
      </c>
      <c r="M434" t="s">
        <v>202</v>
      </c>
      <c r="N434" t="s">
        <v>327</v>
      </c>
      <c r="O434" t="s">
        <v>36</v>
      </c>
      <c r="P434" t="s">
        <v>110</v>
      </c>
      <c r="Q434" t="s">
        <v>40</v>
      </c>
      <c r="R434">
        <v>164</v>
      </c>
      <c r="S434">
        <v>0</v>
      </c>
      <c r="T434" t="s">
        <v>41</v>
      </c>
      <c r="U434" t="s">
        <v>57</v>
      </c>
      <c r="V434">
        <v>2.89</v>
      </c>
      <c r="W434">
        <v>4.5199999999999996</v>
      </c>
      <c r="X434">
        <v>2.9</v>
      </c>
      <c r="Y434">
        <v>18.2</v>
      </c>
      <c r="Z434">
        <v>13.3</v>
      </c>
    </row>
    <row r="435" spans="1:26" x14ac:dyDescent="0.45">
      <c r="A435" t="s">
        <v>1466</v>
      </c>
      <c r="B435">
        <v>62</v>
      </c>
      <c r="C435" t="s">
        <v>44</v>
      </c>
      <c r="D435" t="s">
        <v>95</v>
      </c>
      <c r="E435" t="s">
        <v>29</v>
      </c>
      <c r="F435" t="s">
        <v>59</v>
      </c>
      <c r="G435" t="s">
        <v>276</v>
      </c>
      <c r="H435" t="s">
        <v>71</v>
      </c>
      <c r="I435" t="s">
        <v>49</v>
      </c>
      <c r="J435" t="s">
        <v>1141</v>
      </c>
      <c r="K435" t="s">
        <v>1467</v>
      </c>
      <c r="L435" t="s">
        <v>92</v>
      </c>
      <c r="M435" t="s">
        <v>295</v>
      </c>
      <c r="N435" t="s">
        <v>1000</v>
      </c>
      <c r="O435" t="s">
        <v>92</v>
      </c>
      <c r="P435" t="s">
        <v>39</v>
      </c>
      <c r="Q435" t="s">
        <v>129</v>
      </c>
      <c r="R435">
        <v>157</v>
      </c>
      <c r="S435">
        <v>1</v>
      </c>
      <c r="T435" t="s">
        <v>41</v>
      </c>
      <c r="U435" t="s">
        <v>57</v>
      </c>
      <c r="V435">
        <v>2.1800000000000002</v>
      </c>
      <c r="W435">
        <v>1.55</v>
      </c>
      <c r="X435">
        <v>6.9</v>
      </c>
      <c r="Y435">
        <v>19.3</v>
      </c>
      <c r="Z435">
        <v>8.4</v>
      </c>
    </row>
    <row r="436" spans="1:26" x14ac:dyDescent="0.45">
      <c r="A436" t="s">
        <v>1468</v>
      </c>
      <c r="B436">
        <v>37</v>
      </c>
      <c r="C436" t="s">
        <v>45</v>
      </c>
      <c r="D436" t="s">
        <v>28</v>
      </c>
      <c r="E436" t="s">
        <v>29</v>
      </c>
      <c r="F436" t="s">
        <v>30</v>
      </c>
      <c r="G436" t="s">
        <v>112</v>
      </c>
      <c r="H436" t="s">
        <v>32</v>
      </c>
      <c r="I436" t="s">
        <v>33</v>
      </c>
      <c r="J436" t="s">
        <v>1469</v>
      </c>
      <c r="K436" t="s">
        <v>365</v>
      </c>
      <c r="L436" t="s">
        <v>92</v>
      </c>
      <c r="M436" t="s">
        <v>274</v>
      </c>
      <c r="N436" t="s">
        <v>452</v>
      </c>
      <c r="O436" t="s">
        <v>92</v>
      </c>
      <c r="P436" t="s">
        <v>110</v>
      </c>
      <c r="Q436" t="s">
        <v>129</v>
      </c>
      <c r="R436">
        <v>43</v>
      </c>
      <c r="S436">
        <v>0</v>
      </c>
      <c r="T436" t="s">
        <v>56</v>
      </c>
      <c r="U436" t="s">
        <v>57</v>
      </c>
      <c r="V436">
        <v>3.58</v>
      </c>
      <c r="W436">
        <v>2.58</v>
      </c>
      <c r="X436">
        <v>7.4</v>
      </c>
      <c r="Y436">
        <v>9.6</v>
      </c>
      <c r="Z436">
        <v>18.100000000000001</v>
      </c>
    </row>
    <row r="437" spans="1:26" x14ac:dyDescent="0.45">
      <c r="A437" t="s">
        <v>1470</v>
      </c>
      <c r="B437">
        <v>18</v>
      </c>
      <c r="C437" t="s">
        <v>44</v>
      </c>
      <c r="D437" t="s">
        <v>28</v>
      </c>
      <c r="E437" t="s">
        <v>163</v>
      </c>
      <c r="F437" t="s">
        <v>79</v>
      </c>
      <c r="G437" t="s">
        <v>194</v>
      </c>
      <c r="H437" t="s">
        <v>32</v>
      </c>
      <c r="I437" t="s">
        <v>72</v>
      </c>
      <c r="J437" t="s">
        <v>1471</v>
      </c>
      <c r="K437" t="s">
        <v>1472</v>
      </c>
      <c r="L437" t="s">
        <v>52</v>
      </c>
      <c r="M437" t="s">
        <v>536</v>
      </c>
      <c r="N437" t="s">
        <v>198</v>
      </c>
      <c r="O437" t="s">
        <v>52</v>
      </c>
      <c r="P437" t="s">
        <v>39</v>
      </c>
      <c r="Q437" t="s">
        <v>129</v>
      </c>
      <c r="R437">
        <v>151</v>
      </c>
      <c r="S437">
        <v>1</v>
      </c>
      <c r="T437" t="s">
        <v>137</v>
      </c>
      <c r="U437" t="s">
        <v>42</v>
      </c>
      <c r="V437">
        <v>2.15</v>
      </c>
      <c r="W437">
        <v>2.4700000000000002</v>
      </c>
      <c r="X437">
        <v>1.5</v>
      </c>
      <c r="Y437">
        <v>8</v>
      </c>
      <c r="Z437">
        <v>11.8</v>
      </c>
    </row>
    <row r="438" spans="1:26" x14ac:dyDescent="0.45">
      <c r="A438" t="s">
        <v>1473</v>
      </c>
      <c r="B438">
        <v>67</v>
      </c>
      <c r="C438" t="s">
        <v>44</v>
      </c>
      <c r="D438" t="s">
        <v>95</v>
      </c>
      <c r="E438" t="s">
        <v>163</v>
      </c>
      <c r="F438" t="s">
        <v>30</v>
      </c>
      <c r="G438" t="s">
        <v>276</v>
      </c>
      <c r="H438" t="s">
        <v>32</v>
      </c>
      <c r="I438" t="s">
        <v>72</v>
      </c>
      <c r="J438" t="s">
        <v>1474</v>
      </c>
      <c r="K438" t="s">
        <v>1475</v>
      </c>
      <c r="L438" t="s">
        <v>52</v>
      </c>
      <c r="M438" t="s">
        <v>1288</v>
      </c>
      <c r="N438" t="s">
        <v>84</v>
      </c>
      <c r="O438" t="s">
        <v>52</v>
      </c>
      <c r="P438" t="s">
        <v>110</v>
      </c>
      <c r="Q438" t="s">
        <v>67</v>
      </c>
      <c r="R438">
        <v>107</v>
      </c>
      <c r="S438">
        <v>0</v>
      </c>
      <c r="T438" t="s">
        <v>137</v>
      </c>
      <c r="U438" t="s">
        <v>42</v>
      </c>
      <c r="V438">
        <v>2.0699999999999998</v>
      </c>
      <c r="W438">
        <v>4.34</v>
      </c>
      <c r="X438">
        <v>1.1000000000000001</v>
      </c>
      <c r="Y438">
        <v>12.8</v>
      </c>
      <c r="Z438">
        <v>8.6999999999999993</v>
      </c>
    </row>
    <row r="439" spans="1:26" x14ac:dyDescent="0.45">
      <c r="A439" t="s">
        <v>1476</v>
      </c>
      <c r="B439">
        <v>56</v>
      </c>
      <c r="C439" t="s">
        <v>45</v>
      </c>
      <c r="D439" t="s">
        <v>95</v>
      </c>
      <c r="E439" t="s">
        <v>29</v>
      </c>
      <c r="F439" t="s">
        <v>47</v>
      </c>
      <c r="G439" t="s">
        <v>102</v>
      </c>
      <c r="H439" t="s">
        <v>71</v>
      </c>
      <c r="I439" t="s">
        <v>33</v>
      </c>
      <c r="J439" t="s">
        <v>1477</v>
      </c>
      <c r="K439" t="s">
        <v>1478</v>
      </c>
      <c r="L439" t="s">
        <v>64</v>
      </c>
      <c r="M439" t="s">
        <v>317</v>
      </c>
      <c r="N439" t="s">
        <v>305</v>
      </c>
      <c r="O439" t="s">
        <v>64</v>
      </c>
      <c r="P439" t="s">
        <v>55</v>
      </c>
      <c r="Q439" t="s">
        <v>40</v>
      </c>
      <c r="R439">
        <v>148</v>
      </c>
      <c r="S439">
        <v>0</v>
      </c>
      <c r="T439" t="s">
        <v>123</v>
      </c>
      <c r="U439" t="s">
        <v>42</v>
      </c>
      <c r="V439">
        <v>1.08</v>
      </c>
      <c r="W439">
        <v>1.5</v>
      </c>
      <c r="X439">
        <v>4.7</v>
      </c>
      <c r="Y439">
        <v>14.9</v>
      </c>
      <c r="Z439">
        <v>9.9</v>
      </c>
    </row>
    <row r="440" spans="1:26" x14ac:dyDescent="0.45">
      <c r="A440" t="s">
        <v>1479</v>
      </c>
      <c r="B440">
        <v>71</v>
      </c>
      <c r="C440" t="s">
        <v>27</v>
      </c>
      <c r="D440" t="s">
        <v>106</v>
      </c>
      <c r="E440" t="s">
        <v>29</v>
      </c>
      <c r="F440" t="s">
        <v>30</v>
      </c>
      <c r="G440" t="s">
        <v>60</v>
      </c>
      <c r="H440" t="s">
        <v>32</v>
      </c>
      <c r="I440" t="s">
        <v>72</v>
      </c>
      <c r="J440" t="s">
        <v>552</v>
      </c>
      <c r="K440" t="s">
        <v>1480</v>
      </c>
      <c r="L440" t="s">
        <v>92</v>
      </c>
      <c r="M440" t="s">
        <v>469</v>
      </c>
      <c r="N440" t="s">
        <v>532</v>
      </c>
      <c r="O440" t="s">
        <v>92</v>
      </c>
      <c r="P440" t="s">
        <v>39</v>
      </c>
      <c r="Q440" t="s">
        <v>40</v>
      </c>
      <c r="R440">
        <v>162</v>
      </c>
      <c r="S440">
        <v>1</v>
      </c>
      <c r="T440" t="s">
        <v>56</v>
      </c>
      <c r="U440" t="s">
        <v>42</v>
      </c>
      <c r="V440">
        <v>3.12</v>
      </c>
      <c r="W440">
        <v>3.38</v>
      </c>
      <c r="X440">
        <v>1.1000000000000001</v>
      </c>
      <c r="Y440">
        <v>14.4</v>
      </c>
      <c r="Z440">
        <v>19.399999999999999</v>
      </c>
    </row>
    <row r="441" spans="1:26" x14ac:dyDescent="0.45">
      <c r="A441" t="s">
        <v>1481</v>
      </c>
      <c r="B441">
        <v>28</v>
      </c>
      <c r="C441" t="s">
        <v>27</v>
      </c>
      <c r="D441" t="s">
        <v>28</v>
      </c>
      <c r="E441" t="s">
        <v>163</v>
      </c>
      <c r="F441" t="s">
        <v>88</v>
      </c>
      <c r="G441" t="s">
        <v>276</v>
      </c>
      <c r="H441" t="s">
        <v>81</v>
      </c>
      <c r="I441" t="s">
        <v>132</v>
      </c>
      <c r="J441" t="s">
        <v>1482</v>
      </c>
      <c r="K441" t="s">
        <v>1483</v>
      </c>
      <c r="L441" t="s">
        <v>92</v>
      </c>
      <c r="M441" t="s">
        <v>438</v>
      </c>
      <c r="N441" t="s">
        <v>808</v>
      </c>
      <c r="O441" t="s">
        <v>92</v>
      </c>
      <c r="P441" t="s">
        <v>55</v>
      </c>
      <c r="Q441" t="s">
        <v>67</v>
      </c>
      <c r="R441">
        <v>87</v>
      </c>
      <c r="S441">
        <v>0</v>
      </c>
      <c r="T441" t="s">
        <v>41</v>
      </c>
      <c r="U441" t="s">
        <v>57</v>
      </c>
      <c r="V441">
        <v>3.08</v>
      </c>
      <c r="W441">
        <v>3.71</v>
      </c>
      <c r="X441">
        <v>3.8</v>
      </c>
      <c r="Y441">
        <v>19.899999999999999</v>
      </c>
      <c r="Z441">
        <v>16.100000000000001</v>
      </c>
    </row>
    <row r="442" spans="1:26" x14ac:dyDescent="0.45">
      <c r="A442" t="s">
        <v>1484</v>
      </c>
      <c r="B442">
        <v>57</v>
      </c>
      <c r="C442" t="s">
        <v>45</v>
      </c>
      <c r="D442" t="s">
        <v>87</v>
      </c>
      <c r="E442" t="s">
        <v>78</v>
      </c>
      <c r="F442" t="s">
        <v>30</v>
      </c>
      <c r="G442" t="s">
        <v>89</v>
      </c>
      <c r="H442" t="s">
        <v>61</v>
      </c>
      <c r="I442" t="s">
        <v>49</v>
      </c>
      <c r="J442" t="s">
        <v>1485</v>
      </c>
      <c r="K442" t="s">
        <v>716</v>
      </c>
      <c r="L442" t="s">
        <v>92</v>
      </c>
      <c r="M442" t="s">
        <v>67</v>
      </c>
      <c r="N442" t="s">
        <v>1199</v>
      </c>
      <c r="O442" t="s">
        <v>92</v>
      </c>
      <c r="P442" t="s">
        <v>55</v>
      </c>
      <c r="Q442" t="s">
        <v>129</v>
      </c>
      <c r="R442">
        <v>159</v>
      </c>
      <c r="S442">
        <v>0</v>
      </c>
      <c r="T442" t="s">
        <v>56</v>
      </c>
      <c r="U442" t="s">
        <v>57</v>
      </c>
      <c r="V442">
        <v>3.09</v>
      </c>
      <c r="W442">
        <v>4.9000000000000004</v>
      </c>
      <c r="X442">
        <v>2.1</v>
      </c>
      <c r="Y442">
        <v>6.3</v>
      </c>
      <c r="Z442">
        <v>16.100000000000001</v>
      </c>
    </row>
    <row r="443" spans="1:26" x14ac:dyDescent="0.45">
      <c r="A443" t="s">
        <v>1486</v>
      </c>
      <c r="B443">
        <v>25</v>
      </c>
      <c r="C443" t="s">
        <v>27</v>
      </c>
      <c r="D443" t="s">
        <v>28</v>
      </c>
      <c r="E443" t="s">
        <v>78</v>
      </c>
      <c r="F443" t="s">
        <v>79</v>
      </c>
      <c r="G443" t="s">
        <v>60</v>
      </c>
      <c r="H443" t="s">
        <v>32</v>
      </c>
      <c r="I443" t="s">
        <v>33</v>
      </c>
      <c r="J443" t="s">
        <v>1487</v>
      </c>
      <c r="K443" t="s">
        <v>191</v>
      </c>
      <c r="L443" t="s">
        <v>92</v>
      </c>
      <c r="M443" t="s">
        <v>67</v>
      </c>
      <c r="N443" t="s">
        <v>754</v>
      </c>
      <c r="O443" t="s">
        <v>92</v>
      </c>
      <c r="P443" t="s">
        <v>110</v>
      </c>
      <c r="Q443" t="s">
        <v>67</v>
      </c>
      <c r="R443">
        <v>73</v>
      </c>
      <c r="S443">
        <v>0</v>
      </c>
      <c r="T443" t="s">
        <v>85</v>
      </c>
      <c r="U443" t="s">
        <v>42</v>
      </c>
      <c r="V443">
        <v>4.2300000000000004</v>
      </c>
      <c r="W443">
        <v>1.48</v>
      </c>
      <c r="X443">
        <v>3.4</v>
      </c>
      <c r="Y443">
        <v>6.3</v>
      </c>
      <c r="Z443">
        <v>8</v>
      </c>
    </row>
    <row r="444" spans="1:26" x14ac:dyDescent="0.45">
      <c r="A444" t="s">
        <v>1488</v>
      </c>
      <c r="B444">
        <v>78</v>
      </c>
      <c r="C444" t="s">
        <v>44</v>
      </c>
      <c r="D444" t="s">
        <v>28</v>
      </c>
      <c r="E444" t="s">
        <v>30</v>
      </c>
      <c r="F444" t="s">
        <v>30</v>
      </c>
      <c r="G444" t="s">
        <v>80</v>
      </c>
      <c r="H444" t="s">
        <v>81</v>
      </c>
      <c r="I444" t="s">
        <v>132</v>
      </c>
      <c r="J444" t="s">
        <v>1489</v>
      </c>
      <c r="K444" t="s">
        <v>1069</v>
      </c>
      <c r="L444" t="s">
        <v>92</v>
      </c>
      <c r="M444" t="s">
        <v>500</v>
      </c>
      <c r="N444" t="s">
        <v>714</v>
      </c>
      <c r="O444" t="s">
        <v>92</v>
      </c>
      <c r="P444" t="s">
        <v>39</v>
      </c>
      <c r="Q444" t="s">
        <v>30</v>
      </c>
      <c r="R444">
        <v>147</v>
      </c>
      <c r="S444">
        <v>1</v>
      </c>
      <c r="T444" t="s">
        <v>123</v>
      </c>
      <c r="U444" t="s">
        <v>57</v>
      </c>
      <c r="V444">
        <v>4.09</v>
      </c>
      <c r="W444">
        <v>3.07</v>
      </c>
      <c r="X444">
        <v>4.0999999999999996</v>
      </c>
      <c r="Y444">
        <v>12.7</v>
      </c>
      <c r="Z444">
        <v>3</v>
      </c>
    </row>
    <row r="445" spans="1:26" x14ac:dyDescent="0.45">
      <c r="A445" t="s">
        <v>1490</v>
      </c>
      <c r="B445">
        <v>19</v>
      </c>
      <c r="C445" t="s">
        <v>45</v>
      </c>
      <c r="D445" t="s">
        <v>28</v>
      </c>
      <c r="E445" t="s">
        <v>163</v>
      </c>
      <c r="F445" t="s">
        <v>30</v>
      </c>
      <c r="G445" t="s">
        <v>152</v>
      </c>
      <c r="H445" t="s">
        <v>81</v>
      </c>
      <c r="I445" t="s">
        <v>49</v>
      </c>
      <c r="J445" t="s">
        <v>1192</v>
      </c>
      <c r="K445" t="s">
        <v>1491</v>
      </c>
      <c r="L445" t="s">
        <v>36</v>
      </c>
      <c r="M445" t="s">
        <v>274</v>
      </c>
      <c r="N445" t="s">
        <v>1144</v>
      </c>
      <c r="O445" t="s">
        <v>36</v>
      </c>
      <c r="P445" t="s">
        <v>110</v>
      </c>
      <c r="Q445" t="s">
        <v>75</v>
      </c>
      <c r="R445">
        <v>83</v>
      </c>
      <c r="S445">
        <v>0</v>
      </c>
      <c r="T445" t="s">
        <v>137</v>
      </c>
      <c r="U445" t="s">
        <v>57</v>
      </c>
      <c r="V445">
        <v>2.2000000000000002</v>
      </c>
      <c r="W445">
        <v>3.59</v>
      </c>
      <c r="X445">
        <v>9.8000000000000007</v>
      </c>
      <c r="Y445">
        <v>21.2</v>
      </c>
      <c r="Z445">
        <v>3.4</v>
      </c>
    </row>
    <row r="446" spans="1:26" x14ac:dyDescent="0.45">
      <c r="A446" t="s">
        <v>1492</v>
      </c>
      <c r="B446">
        <v>83</v>
      </c>
      <c r="C446" t="s">
        <v>27</v>
      </c>
      <c r="D446" t="s">
        <v>106</v>
      </c>
      <c r="E446" t="s">
        <v>46</v>
      </c>
      <c r="F446" t="s">
        <v>69</v>
      </c>
      <c r="G446" t="s">
        <v>31</v>
      </c>
      <c r="H446" t="s">
        <v>81</v>
      </c>
      <c r="I446" t="s">
        <v>72</v>
      </c>
      <c r="J446" t="s">
        <v>523</v>
      </c>
      <c r="K446" t="s">
        <v>1493</v>
      </c>
      <c r="L446" t="s">
        <v>92</v>
      </c>
      <c r="M446" t="s">
        <v>1398</v>
      </c>
      <c r="N446" t="s">
        <v>567</v>
      </c>
      <c r="O446" t="s">
        <v>92</v>
      </c>
      <c r="P446" t="s">
        <v>110</v>
      </c>
      <c r="Q446" t="s">
        <v>67</v>
      </c>
      <c r="R446">
        <v>177</v>
      </c>
      <c r="S446">
        <v>0</v>
      </c>
      <c r="T446" t="s">
        <v>85</v>
      </c>
      <c r="U446" t="s">
        <v>57</v>
      </c>
      <c r="V446">
        <v>4.59</v>
      </c>
      <c r="W446">
        <v>4.13</v>
      </c>
      <c r="X446">
        <v>8</v>
      </c>
      <c r="Y446">
        <v>14.2</v>
      </c>
      <c r="Z446">
        <v>9.8000000000000007</v>
      </c>
    </row>
    <row r="447" spans="1:26" x14ac:dyDescent="0.45">
      <c r="A447" t="s">
        <v>1494</v>
      </c>
      <c r="B447">
        <v>34</v>
      </c>
      <c r="C447" t="s">
        <v>45</v>
      </c>
      <c r="D447" t="s">
        <v>28</v>
      </c>
      <c r="E447" t="s">
        <v>29</v>
      </c>
      <c r="F447" t="s">
        <v>30</v>
      </c>
      <c r="G447" t="s">
        <v>194</v>
      </c>
      <c r="H447" t="s">
        <v>81</v>
      </c>
      <c r="I447" t="s">
        <v>49</v>
      </c>
      <c r="J447" t="s">
        <v>1495</v>
      </c>
      <c r="K447" t="s">
        <v>1271</v>
      </c>
      <c r="L447" t="s">
        <v>52</v>
      </c>
      <c r="M447" t="s">
        <v>129</v>
      </c>
      <c r="N447" t="s">
        <v>254</v>
      </c>
      <c r="O447" t="s">
        <v>52</v>
      </c>
      <c r="P447" t="s">
        <v>39</v>
      </c>
      <c r="Q447" t="s">
        <v>40</v>
      </c>
      <c r="R447">
        <v>151</v>
      </c>
      <c r="S447">
        <v>1</v>
      </c>
      <c r="T447" t="s">
        <v>137</v>
      </c>
      <c r="U447" t="s">
        <v>42</v>
      </c>
      <c r="V447">
        <v>2.21</v>
      </c>
      <c r="W447">
        <v>1.26</v>
      </c>
      <c r="X447">
        <v>3.1</v>
      </c>
      <c r="Y447">
        <v>10.4</v>
      </c>
      <c r="Z447">
        <v>11.2</v>
      </c>
    </row>
    <row r="448" spans="1:26" x14ac:dyDescent="0.45">
      <c r="A448" t="s">
        <v>1496</v>
      </c>
      <c r="B448">
        <v>48</v>
      </c>
      <c r="C448" t="s">
        <v>27</v>
      </c>
      <c r="D448" t="s">
        <v>106</v>
      </c>
      <c r="E448" t="s">
        <v>78</v>
      </c>
      <c r="F448" t="s">
        <v>30</v>
      </c>
      <c r="G448" t="s">
        <v>48</v>
      </c>
      <c r="H448" t="s">
        <v>61</v>
      </c>
      <c r="I448" t="s">
        <v>49</v>
      </c>
      <c r="J448" t="s">
        <v>1497</v>
      </c>
      <c r="K448" t="s">
        <v>1498</v>
      </c>
      <c r="L448" t="s">
        <v>92</v>
      </c>
      <c r="M448" t="s">
        <v>697</v>
      </c>
      <c r="N448" t="s">
        <v>1211</v>
      </c>
      <c r="O448" t="s">
        <v>92</v>
      </c>
      <c r="P448" t="s">
        <v>55</v>
      </c>
      <c r="Q448" t="s">
        <v>129</v>
      </c>
      <c r="R448">
        <v>145</v>
      </c>
      <c r="S448">
        <v>0</v>
      </c>
      <c r="T448" t="s">
        <v>56</v>
      </c>
      <c r="U448" t="s">
        <v>42</v>
      </c>
      <c r="V448">
        <v>3.99</v>
      </c>
      <c r="W448">
        <v>2.9</v>
      </c>
      <c r="X448">
        <v>1.5</v>
      </c>
      <c r="Y448">
        <v>23.2</v>
      </c>
      <c r="Z448">
        <v>19</v>
      </c>
    </row>
    <row r="449" spans="1:26" x14ac:dyDescent="0.45">
      <c r="A449" t="s">
        <v>1499</v>
      </c>
      <c r="B449">
        <v>43</v>
      </c>
      <c r="C449" t="s">
        <v>27</v>
      </c>
      <c r="D449" t="s">
        <v>28</v>
      </c>
      <c r="E449" t="s">
        <v>78</v>
      </c>
      <c r="F449" t="s">
        <v>59</v>
      </c>
      <c r="G449" t="s">
        <v>60</v>
      </c>
      <c r="H449" t="s">
        <v>71</v>
      </c>
      <c r="I449" t="s">
        <v>72</v>
      </c>
      <c r="J449" t="s">
        <v>1500</v>
      </c>
      <c r="K449" t="s">
        <v>1501</v>
      </c>
      <c r="L449" t="s">
        <v>52</v>
      </c>
      <c r="M449" t="s">
        <v>75</v>
      </c>
      <c r="N449" t="s">
        <v>513</v>
      </c>
      <c r="O449" t="s">
        <v>52</v>
      </c>
      <c r="P449" t="s">
        <v>110</v>
      </c>
      <c r="Q449" t="s">
        <v>129</v>
      </c>
      <c r="R449">
        <v>82</v>
      </c>
      <c r="S449">
        <v>0</v>
      </c>
      <c r="T449" t="s">
        <v>123</v>
      </c>
      <c r="U449" t="s">
        <v>42</v>
      </c>
      <c r="V449">
        <v>4.1399999999999997</v>
      </c>
      <c r="W449">
        <v>4.97</v>
      </c>
      <c r="X449">
        <v>5.9</v>
      </c>
      <c r="Y449">
        <v>23.3</v>
      </c>
      <c r="Z449">
        <v>4.3</v>
      </c>
    </row>
    <row r="450" spans="1:26" x14ac:dyDescent="0.45">
      <c r="A450" t="s">
        <v>1502</v>
      </c>
      <c r="B450">
        <v>18</v>
      </c>
      <c r="C450" t="s">
        <v>44</v>
      </c>
      <c r="D450" t="s">
        <v>95</v>
      </c>
      <c r="E450" t="s">
        <v>29</v>
      </c>
      <c r="F450" t="s">
        <v>30</v>
      </c>
      <c r="G450" t="s">
        <v>125</v>
      </c>
      <c r="H450" t="s">
        <v>32</v>
      </c>
      <c r="I450" t="s">
        <v>72</v>
      </c>
      <c r="J450" t="s">
        <v>454</v>
      </c>
      <c r="K450" t="s">
        <v>1503</v>
      </c>
      <c r="L450" t="s">
        <v>36</v>
      </c>
      <c r="M450" t="s">
        <v>1456</v>
      </c>
      <c r="N450" t="s">
        <v>578</v>
      </c>
      <c r="O450" t="s">
        <v>36</v>
      </c>
      <c r="P450" t="s">
        <v>39</v>
      </c>
      <c r="Q450" t="s">
        <v>129</v>
      </c>
      <c r="R450">
        <v>142</v>
      </c>
      <c r="S450">
        <v>1</v>
      </c>
      <c r="T450" t="s">
        <v>56</v>
      </c>
      <c r="U450" t="s">
        <v>57</v>
      </c>
      <c r="V450">
        <v>2.46</v>
      </c>
      <c r="W450">
        <v>1.9</v>
      </c>
      <c r="X450">
        <v>2.8</v>
      </c>
      <c r="Y450">
        <v>8.5</v>
      </c>
      <c r="Z450">
        <v>13.6</v>
      </c>
    </row>
    <row r="451" spans="1:26" x14ac:dyDescent="0.45">
      <c r="A451" t="s">
        <v>1504</v>
      </c>
      <c r="B451">
        <v>27</v>
      </c>
      <c r="C451" t="s">
        <v>45</v>
      </c>
      <c r="D451" t="s">
        <v>87</v>
      </c>
      <c r="E451" t="s">
        <v>46</v>
      </c>
      <c r="F451" t="s">
        <v>30</v>
      </c>
      <c r="G451" t="s">
        <v>276</v>
      </c>
      <c r="H451" t="s">
        <v>61</v>
      </c>
      <c r="I451" t="s">
        <v>49</v>
      </c>
      <c r="J451" t="s">
        <v>1505</v>
      </c>
      <c r="K451" t="s">
        <v>1089</v>
      </c>
      <c r="L451" t="s">
        <v>64</v>
      </c>
      <c r="M451" t="s">
        <v>67</v>
      </c>
      <c r="N451" t="s">
        <v>198</v>
      </c>
      <c r="O451" t="s">
        <v>64</v>
      </c>
      <c r="P451" t="s">
        <v>55</v>
      </c>
      <c r="Q451" t="s">
        <v>40</v>
      </c>
      <c r="R451">
        <v>121</v>
      </c>
      <c r="S451">
        <v>0</v>
      </c>
      <c r="T451" t="s">
        <v>123</v>
      </c>
      <c r="U451" t="s">
        <v>42</v>
      </c>
      <c r="V451">
        <v>4.13</v>
      </c>
      <c r="W451">
        <v>3.31</v>
      </c>
      <c r="X451">
        <v>2.2999999999999998</v>
      </c>
      <c r="Y451">
        <v>20.6</v>
      </c>
      <c r="Z451">
        <v>13.8</v>
      </c>
    </row>
    <row r="452" spans="1:26" x14ac:dyDescent="0.45">
      <c r="A452" t="s">
        <v>1506</v>
      </c>
      <c r="B452">
        <v>54</v>
      </c>
      <c r="C452" t="s">
        <v>27</v>
      </c>
      <c r="D452" t="s">
        <v>45</v>
      </c>
      <c r="E452" t="s">
        <v>29</v>
      </c>
      <c r="F452" t="s">
        <v>69</v>
      </c>
      <c r="G452" t="s">
        <v>152</v>
      </c>
      <c r="H452" t="s">
        <v>32</v>
      </c>
      <c r="I452" t="s">
        <v>33</v>
      </c>
      <c r="J452" t="s">
        <v>1507</v>
      </c>
      <c r="K452" t="s">
        <v>1508</v>
      </c>
      <c r="L452" t="s">
        <v>92</v>
      </c>
      <c r="M452" t="s">
        <v>554</v>
      </c>
      <c r="N452" t="s">
        <v>769</v>
      </c>
      <c r="O452" t="s">
        <v>92</v>
      </c>
      <c r="P452" t="s">
        <v>39</v>
      </c>
      <c r="Q452" t="s">
        <v>30</v>
      </c>
      <c r="R452">
        <v>137</v>
      </c>
      <c r="S452">
        <v>1</v>
      </c>
      <c r="T452" t="s">
        <v>137</v>
      </c>
      <c r="U452" t="s">
        <v>42</v>
      </c>
      <c r="V452">
        <v>2.5499999999999998</v>
      </c>
      <c r="W452">
        <v>3.7</v>
      </c>
      <c r="X452">
        <v>3.3</v>
      </c>
      <c r="Y452">
        <v>12.2</v>
      </c>
      <c r="Z452">
        <v>18.600000000000001</v>
      </c>
    </row>
    <row r="453" spans="1:26" x14ac:dyDescent="0.45">
      <c r="A453" t="s">
        <v>1509</v>
      </c>
      <c r="B453">
        <v>60</v>
      </c>
      <c r="C453" t="s">
        <v>27</v>
      </c>
      <c r="D453" t="s">
        <v>106</v>
      </c>
      <c r="E453" t="s">
        <v>46</v>
      </c>
      <c r="F453" t="s">
        <v>30</v>
      </c>
      <c r="G453" t="s">
        <v>31</v>
      </c>
      <c r="H453" t="s">
        <v>61</v>
      </c>
      <c r="I453" t="s">
        <v>72</v>
      </c>
      <c r="J453" t="s">
        <v>368</v>
      </c>
      <c r="K453" t="s">
        <v>1151</v>
      </c>
      <c r="L453" t="s">
        <v>92</v>
      </c>
      <c r="M453" t="s">
        <v>135</v>
      </c>
      <c r="N453" t="s">
        <v>1115</v>
      </c>
      <c r="O453" t="s">
        <v>92</v>
      </c>
      <c r="P453" t="s">
        <v>110</v>
      </c>
      <c r="Q453" t="s">
        <v>75</v>
      </c>
      <c r="R453">
        <v>50</v>
      </c>
      <c r="S453">
        <v>0</v>
      </c>
      <c r="T453" t="s">
        <v>85</v>
      </c>
      <c r="U453" t="s">
        <v>57</v>
      </c>
      <c r="V453">
        <v>2.16</v>
      </c>
      <c r="W453">
        <v>2.88</v>
      </c>
      <c r="X453">
        <v>9</v>
      </c>
      <c r="Y453">
        <v>18.7</v>
      </c>
      <c r="Z453">
        <v>4.0999999999999996</v>
      </c>
    </row>
    <row r="454" spans="1:26" x14ac:dyDescent="0.45">
      <c r="A454" t="s">
        <v>1510</v>
      </c>
      <c r="B454">
        <v>34</v>
      </c>
      <c r="C454" t="s">
        <v>44</v>
      </c>
      <c r="D454" t="s">
        <v>87</v>
      </c>
      <c r="E454" t="s">
        <v>163</v>
      </c>
      <c r="F454" t="s">
        <v>69</v>
      </c>
      <c r="G454" t="s">
        <v>60</v>
      </c>
      <c r="H454" t="s">
        <v>32</v>
      </c>
      <c r="I454" t="s">
        <v>33</v>
      </c>
      <c r="J454" t="s">
        <v>1511</v>
      </c>
      <c r="K454" t="s">
        <v>273</v>
      </c>
      <c r="L454" t="s">
        <v>92</v>
      </c>
      <c r="M454" t="s">
        <v>129</v>
      </c>
      <c r="N454" t="s">
        <v>1460</v>
      </c>
      <c r="O454" t="s">
        <v>92</v>
      </c>
      <c r="P454" t="s">
        <v>39</v>
      </c>
      <c r="Q454" t="s">
        <v>75</v>
      </c>
      <c r="R454">
        <v>127</v>
      </c>
      <c r="S454">
        <v>1</v>
      </c>
      <c r="T454" t="s">
        <v>123</v>
      </c>
      <c r="U454" t="s">
        <v>57</v>
      </c>
      <c r="V454">
        <v>1.59</v>
      </c>
      <c r="W454">
        <v>1.03</v>
      </c>
      <c r="X454">
        <v>6.7</v>
      </c>
      <c r="Y454">
        <v>14.1</v>
      </c>
      <c r="Z454">
        <v>5.3</v>
      </c>
    </row>
    <row r="455" spans="1:26" x14ac:dyDescent="0.45">
      <c r="A455" t="s">
        <v>1512</v>
      </c>
      <c r="B455">
        <v>24</v>
      </c>
      <c r="C455" t="s">
        <v>44</v>
      </c>
      <c r="D455" t="s">
        <v>95</v>
      </c>
      <c r="E455" t="s">
        <v>46</v>
      </c>
      <c r="F455" t="s">
        <v>47</v>
      </c>
      <c r="G455" t="s">
        <v>178</v>
      </c>
      <c r="H455" t="s">
        <v>71</v>
      </c>
      <c r="I455" t="s">
        <v>49</v>
      </c>
      <c r="J455" t="s">
        <v>1301</v>
      </c>
      <c r="K455" t="s">
        <v>1513</v>
      </c>
      <c r="L455" t="s">
        <v>64</v>
      </c>
      <c r="M455" t="s">
        <v>30</v>
      </c>
      <c r="N455" t="s">
        <v>1514</v>
      </c>
      <c r="O455" t="s">
        <v>64</v>
      </c>
      <c r="P455" t="s">
        <v>39</v>
      </c>
      <c r="Q455" t="s">
        <v>67</v>
      </c>
      <c r="R455">
        <v>89</v>
      </c>
      <c r="S455">
        <v>1</v>
      </c>
      <c r="T455" t="s">
        <v>123</v>
      </c>
      <c r="U455" t="s">
        <v>42</v>
      </c>
      <c r="V455">
        <v>4.83</v>
      </c>
      <c r="W455">
        <v>3.12</v>
      </c>
      <c r="X455">
        <v>3.2</v>
      </c>
      <c r="Y455">
        <v>15</v>
      </c>
      <c r="Z455">
        <v>14.6</v>
      </c>
    </row>
    <row r="456" spans="1:26" x14ac:dyDescent="0.45">
      <c r="A456" t="s">
        <v>1515</v>
      </c>
      <c r="B456">
        <v>47</v>
      </c>
      <c r="C456" t="s">
        <v>44</v>
      </c>
      <c r="D456" t="s">
        <v>45</v>
      </c>
      <c r="E456" t="s">
        <v>29</v>
      </c>
      <c r="F456" t="s">
        <v>88</v>
      </c>
      <c r="G456" t="s">
        <v>60</v>
      </c>
      <c r="H456" t="s">
        <v>61</v>
      </c>
      <c r="I456" t="s">
        <v>49</v>
      </c>
      <c r="J456" t="s">
        <v>320</v>
      </c>
      <c r="K456" t="s">
        <v>1516</v>
      </c>
      <c r="L456" t="s">
        <v>64</v>
      </c>
      <c r="M456" t="s">
        <v>30</v>
      </c>
      <c r="N456" t="s">
        <v>954</v>
      </c>
      <c r="O456" t="s">
        <v>64</v>
      </c>
      <c r="P456" t="s">
        <v>110</v>
      </c>
      <c r="Q456" t="s">
        <v>67</v>
      </c>
      <c r="R456">
        <v>104</v>
      </c>
      <c r="S456">
        <v>0</v>
      </c>
      <c r="T456" t="s">
        <v>41</v>
      </c>
      <c r="U456" t="s">
        <v>57</v>
      </c>
      <c r="V456">
        <v>1.3</v>
      </c>
      <c r="W456">
        <v>2.1</v>
      </c>
      <c r="X456">
        <v>8.3000000000000007</v>
      </c>
      <c r="Y456">
        <v>14.3</v>
      </c>
      <c r="Z456">
        <v>12.3</v>
      </c>
    </row>
    <row r="457" spans="1:26" x14ac:dyDescent="0.45">
      <c r="A457" t="s">
        <v>1517</v>
      </c>
      <c r="B457">
        <v>79</v>
      </c>
      <c r="C457" t="s">
        <v>45</v>
      </c>
      <c r="D457" t="s">
        <v>87</v>
      </c>
      <c r="E457" t="s">
        <v>163</v>
      </c>
      <c r="F457" t="s">
        <v>69</v>
      </c>
      <c r="G457" t="s">
        <v>89</v>
      </c>
      <c r="H457" t="s">
        <v>81</v>
      </c>
      <c r="I457" t="s">
        <v>132</v>
      </c>
      <c r="J457" t="s">
        <v>1518</v>
      </c>
      <c r="K457" t="s">
        <v>1519</v>
      </c>
      <c r="L457" t="s">
        <v>64</v>
      </c>
      <c r="M457" t="s">
        <v>1248</v>
      </c>
      <c r="N457" t="s">
        <v>1025</v>
      </c>
      <c r="O457" t="s">
        <v>64</v>
      </c>
      <c r="P457" t="s">
        <v>55</v>
      </c>
      <c r="Q457" t="s">
        <v>75</v>
      </c>
      <c r="R457">
        <v>158</v>
      </c>
      <c r="S457">
        <v>0</v>
      </c>
      <c r="T457" t="s">
        <v>123</v>
      </c>
      <c r="U457" t="s">
        <v>42</v>
      </c>
      <c r="V457">
        <v>2.73</v>
      </c>
      <c r="W457">
        <v>1.18</v>
      </c>
      <c r="X457">
        <v>2.5</v>
      </c>
      <c r="Y457">
        <v>14</v>
      </c>
      <c r="Z457">
        <v>6.6</v>
      </c>
    </row>
    <row r="458" spans="1:26" x14ac:dyDescent="0.45">
      <c r="A458" t="s">
        <v>1520</v>
      </c>
      <c r="B458">
        <v>62</v>
      </c>
      <c r="C458" t="s">
        <v>44</v>
      </c>
      <c r="D458" t="s">
        <v>45</v>
      </c>
      <c r="E458" t="s">
        <v>78</v>
      </c>
      <c r="F458" t="s">
        <v>79</v>
      </c>
      <c r="G458" t="s">
        <v>96</v>
      </c>
      <c r="H458" t="s">
        <v>71</v>
      </c>
      <c r="I458" t="s">
        <v>132</v>
      </c>
      <c r="J458" t="s">
        <v>278</v>
      </c>
      <c r="K458" t="s">
        <v>1385</v>
      </c>
      <c r="L458" t="s">
        <v>52</v>
      </c>
      <c r="M458" t="s">
        <v>67</v>
      </c>
      <c r="N458" t="s">
        <v>156</v>
      </c>
      <c r="O458" t="s">
        <v>52</v>
      </c>
      <c r="P458" t="s">
        <v>55</v>
      </c>
      <c r="Q458" t="s">
        <v>40</v>
      </c>
      <c r="R458">
        <v>59</v>
      </c>
      <c r="S458">
        <v>0</v>
      </c>
      <c r="T458" t="s">
        <v>123</v>
      </c>
      <c r="U458" t="s">
        <v>57</v>
      </c>
      <c r="V458">
        <v>1.2</v>
      </c>
      <c r="W458">
        <v>4.37</v>
      </c>
      <c r="X458">
        <v>9.8000000000000007</v>
      </c>
      <c r="Y458">
        <v>20.3</v>
      </c>
      <c r="Z458">
        <v>17.5</v>
      </c>
    </row>
    <row r="459" spans="1:26" x14ac:dyDescent="0.45">
      <c r="A459" t="s">
        <v>1521</v>
      </c>
      <c r="B459">
        <v>22</v>
      </c>
      <c r="C459" t="s">
        <v>44</v>
      </c>
      <c r="D459" t="s">
        <v>28</v>
      </c>
      <c r="E459" t="s">
        <v>29</v>
      </c>
      <c r="F459" t="s">
        <v>88</v>
      </c>
      <c r="G459" t="s">
        <v>118</v>
      </c>
      <c r="H459" t="s">
        <v>32</v>
      </c>
      <c r="I459" t="s">
        <v>33</v>
      </c>
      <c r="J459" t="s">
        <v>1522</v>
      </c>
      <c r="K459" t="s">
        <v>1523</v>
      </c>
      <c r="L459" t="s">
        <v>36</v>
      </c>
      <c r="M459" t="s">
        <v>274</v>
      </c>
      <c r="N459" t="s">
        <v>1204</v>
      </c>
      <c r="O459" t="s">
        <v>36</v>
      </c>
      <c r="P459" t="s">
        <v>55</v>
      </c>
      <c r="Q459" t="s">
        <v>67</v>
      </c>
      <c r="R459">
        <v>140</v>
      </c>
      <c r="S459">
        <v>0</v>
      </c>
      <c r="T459" t="s">
        <v>85</v>
      </c>
      <c r="U459" t="s">
        <v>42</v>
      </c>
      <c r="V459">
        <v>1.97</v>
      </c>
      <c r="W459">
        <v>4.84</v>
      </c>
      <c r="X459">
        <v>2.8</v>
      </c>
      <c r="Y459">
        <v>23.1</v>
      </c>
      <c r="Z459">
        <v>19.899999999999999</v>
      </c>
    </row>
    <row r="460" spans="1:26" x14ac:dyDescent="0.45">
      <c r="A460" t="s">
        <v>1524</v>
      </c>
      <c r="B460">
        <v>57</v>
      </c>
      <c r="C460" t="s">
        <v>27</v>
      </c>
      <c r="D460" t="s">
        <v>45</v>
      </c>
      <c r="E460" t="s">
        <v>30</v>
      </c>
      <c r="F460" t="s">
        <v>30</v>
      </c>
      <c r="G460" t="s">
        <v>152</v>
      </c>
      <c r="H460" t="s">
        <v>32</v>
      </c>
      <c r="I460" t="s">
        <v>132</v>
      </c>
      <c r="J460" t="s">
        <v>629</v>
      </c>
      <c r="K460" t="s">
        <v>1525</v>
      </c>
      <c r="L460" t="s">
        <v>64</v>
      </c>
      <c r="M460" t="s">
        <v>1526</v>
      </c>
      <c r="N460" t="s">
        <v>1215</v>
      </c>
      <c r="O460" t="s">
        <v>64</v>
      </c>
      <c r="P460" t="s">
        <v>110</v>
      </c>
      <c r="Q460" t="s">
        <v>129</v>
      </c>
      <c r="R460">
        <v>57</v>
      </c>
      <c r="S460">
        <v>0</v>
      </c>
      <c r="T460" t="s">
        <v>85</v>
      </c>
      <c r="U460" t="s">
        <v>57</v>
      </c>
      <c r="V460">
        <v>3.85</v>
      </c>
      <c r="W460">
        <v>4.92</v>
      </c>
      <c r="X460">
        <v>6.1</v>
      </c>
      <c r="Y460">
        <v>10.7</v>
      </c>
      <c r="Z460">
        <v>10.4</v>
      </c>
    </row>
    <row r="461" spans="1:26" x14ac:dyDescent="0.45">
      <c r="A461" t="s">
        <v>1527</v>
      </c>
      <c r="B461">
        <v>54</v>
      </c>
      <c r="C461" t="s">
        <v>45</v>
      </c>
      <c r="D461" t="s">
        <v>95</v>
      </c>
      <c r="E461" t="s">
        <v>78</v>
      </c>
      <c r="F461" t="s">
        <v>30</v>
      </c>
      <c r="G461" t="s">
        <v>80</v>
      </c>
      <c r="H461" t="s">
        <v>32</v>
      </c>
      <c r="I461" t="s">
        <v>72</v>
      </c>
      <c r="J461" t="s">
        <v>1528</v>
      </c>
      <c r="K461" t="s">
        <v>1529</v>
      </c>
      <c r="L461" t="s">
        <v>52</v>
      </c>
      <c r="M461" t="s">
        <v>30</v>
      </c>
      <c r="N461" t="s">
        <v>654</v>
      </c>
      <c r="O461" t="s">
        <v>52</v>
      </c>
      <c r="P461" t="s">
        <v>55</v>
      </c>
      <c r="Q461" t="s">
        <v>129</v>
      </c>
      <c r="R461">
        <v>93</v>
      </c>
      <c r="S461">
        <v>0</v>
      </c>
      <c r="T461" t="s">
        <v>85</v>
      </c>
      <c r="U461" t="s">
        <v>57</v>
      </c>
      <c r="V461">
        <v>3.37</v>
      </c>
      <c r="W461">
        <v>1.29</v>
      </c>
      <c r="X461">
        <v>6.6</v>
      </c>
      <c r="Y461">
        <v>23.7</v>
      </c>
      <c r="Z461">
        <v>6.2</v>
      </c>
    </row>
    <row r="462" spans="1:26" x14ac:dyDescent="0.45">
      <c r="A462" t="s">
        <v>1530</v>
      </c>
      <c r="B462">
        <v>61</v>
      </c>
      <c r="C462" t="s">
        <v>45</v>
      </c>
      <c r="D462" t="s">
        <v>95</v>
      </c>
      <c r="E462" t="s">
        <v>163</v>
      </c>
      <c r="F462" t="s">
        <v>30</v>
      </c>
      <c r="G462" t="s">
        <v>194</v>
      </c>
      <c r="H462" t="s">
        <v>32</v>
      </c>
      <c r="I462" t="s">
        <v>132</v>
      </c>
      <c r="J462" t="s">
        <v>744</v>
      </c>
      <c r="K462" t="s">
        <v>1498</v>
      </c>
      <c r="L462" t="s">
        <v>64</v>
      </c>
      <c r="M462" t="s">
        <v>469</v>
      </c>
      <c r="N462" t="s">
        <v>971</v>
      </c>
      <c r="O462" t="s">
        <v>64</v>
      </c>
      <c r="P462" t="s">
        <v>39</v>
      </c>
      <c r="Q462" t="s">
        <v>40</v>
      </c>
      <c r="R462">
        <v>32</v>
      </c>
      <c r="S462">
        <v>1</v>
      </c>
      <c r="T462" t="s">
        <v>56</v>
      </c>
      <c r="U462" t="s">
        <v>42</v>
      </c>
      <c r="V462">
        <v>4.17</v>
      </c>
      <c r="W462">
        <v>4.63</v>
      </c>
      <c r="X462">
        <v>9.5</v>
      </c>
      <c r="Y462">
        <v>23.3</v>
      </c>
      <c r="Z462">
        <v>11.9</v>
      </c>
    </row>
    <row r="463" spans="1:26" x14ac:dyDescent="0.45">
      <c r="A463" t="s">
        <v>1531</v>
      </c>
      <c r="B463">
        <v>63</v>
      </c>
      <c r="C463" t="s">
        <v>44</v>
      </c>
      <c r="D463" t="s">
        <v>45</v>
      </c>
      <c r="E463" t="s">
        <v>46</v>
      </c>
      <c r="F463" t="s">
        <v>69</v>
      </c>
      <c r="G463" t="s">
        <v>125</v>
      </c>
      <c r="H463" t="s">
        <v>32</v>
      </c>
      <c r="I463" t="s">
        <v>132</v>
      </c>
      <c r="J463" t="s">
        <v>1423</v>
      </c>
      <c r="K463" t="s">
        <v>1532</v>
      </c>
      <c r="L463" t="s">
        <v>64</v>
      </c>
      <c r="M463" t="s">
        <v>1291</v>
      </c>
      <c r="N463" t="s">
        <v>267</v>
      </c>
      <c r="O463" t="s">
        <v>64</v>
      </c>
      <c r="P463" t="s">
        <v>110</v>
      </c>
      <c r="Q463" t="s">
        <v>67</v>
      </c>
      <c r="R463">
        <v>67</v>
      </c>
      <c r="S463">
        <v>0</v>
      </c>
      <c r="T463" t="s">
        <v>85</v>
      </c>
      <c r="U463" t="s">
        <v>42</v>
      </c>
      <c r="V463">
        <v>4.91</v>
      </c>
      <c r="W463">
        <v>4.03</v>
      </c>
      <c r="X463">
        <v>2.5</v>
      </c>
      <c r="Y463">
        <v>14.6</v>
      </c>
      <c r="Z463">
        <v>15.2</v>
      </c>
    </row>
    <row r="464" spans="1:26" x14ac:dyDescent="0.45">
      <c r="A464" t="s">
        <v>1533</v>
      </c>
      <c r="B464">
        <v>47</v>
      </c>
      <c r="C464" t="s">
        <v>27</v>
      </c>
      <c r="D464" t="s">
        <v>87</v>
      </c>
      <c r="E464" t="s">
        <v>46</v>
      </c>
      <c r="F464" t="s">
        <v>30</v>
      </c>
      <c r="G464" t="s">
        <v>440</v>
      </c>
      <c r="H464" t="s">
        <v>32</v>
      </c>
      <c r="I464" t="s">
        <v>49</v>
      </c>
      <c r="J464" t="s">
        <v>782</v>
      </c>
      <c r="K464" t="s">
        <v>1534</v>
      </c>
      <c r="L464" t="s">
        <v>64</v>
      </c>
      <c r="M464" t="s">
        <v>322</v>
      </c>
      <c r="N464" t="s">
        <v>1074</v>
      </c>
      <c r="O464" t="s">
        <v>64</v>
      </c>
      <c r="P464" t="s">
        <v>110</v>
      </c>
      <c r="Q464" t="s">
        <v>129</v>
      </c>
      <c r="R464">
        <v>90</v>
      </c>
      <c r="S464">
        <v>0</v>
      </c>
      <c r="T464" t="s">
        <v>137</v>
      </c>
      <c r="U464" t="s">
        <v>42</v>
      </c>
      <c r="V464">
        <v>1.99</v>
      </c>
      <c r="W464">
        <v>3.56</v>
      </c>
      <c r="X464">
        <v>7</v>
      </c>
      <c r="Y464">
        <v>8.9</v>
      </c>
      <c r="Z464">
        <v>12.6</v>
      </c>
    </row>
    <row r="465" spans="1:26" x14ac:dyDescent="0.45">
      <c r="A465" t="s">
        <v>1535</v>
      </c>
      <c r="B465">
        <v>27</v>
      </c>
      <c r="C465" t="s">
        <v>45</v>
      </c>
      <c r="D465" t="s">
        <v>95</v>
      </c>
      <c r="E465" t="s">
        <v>163</v>
      </c>
      <c r="F465" t="s">
        <v>30</v>
      </c>
      <c r="G465" t="s">
        <v>60</v>
      </c>
      <c r="H465" t="s">
        <v>71</v>
      </c>
      <c r="I465" t="s">
        <v>132</v>
      </c>
      <c r="J465" t="s">
        <v>1536</v>
      </c>
      <c r="K465" t="s">
        <v>1537</v>
      </c>
      <c r="L465" t="s">
        <v>36</v>
      </c>
      <c r="M465" t="s">
        <v>40</v>
      </c>
      <c r="N465" t="s">
        <v>452</v>
      </c>
      <c r="O465" t="s">
        <v>36</v>
      </c>
      <c r="P465" t="s">
        <v>39</v>
      </c>
      <c r="Q465" t="s">
        <v>129</v>
      </c>
      <c r="R465">
        <v>113</v>
      </c>
      <c r="S465">
        <v>1</v>
      </c>
      <c r="T465" t="s">
        <v>85</v>
      </c>
      <c r="U465" t="s">
        <v>57</v>
      </c>
      <c r="V465">
        <v>4.09</v>
      </c>
      <c r="W465">
        <v>3</v>
      </c>
      <c r="X465">
        <v>1.1000000000000001</v>
      </c>
      <c r="Y465">
        <v>6.2</v>
      </c>
      <c r="Z465">
        <v>9.1</v>
      </c>
    </row>
    <row r="466" spans="1:26" x14ac:dyDescent="0.45">
      <c r="A466" t="s">
        <v>1538</v>
      </c>
      <c r="B466">
        <v>60</v>
      </c>
      <c r="C466" t="s">
        <v>44</v>
      </c>
      <c r="D466" t="s">
        <v>28</v>
      </c>
      <c r="E466" t="s">
        <v>78</v>
      </c>
      <c r="F466" t="s">
        <v>30</v>
      </c>
      <c r="G466" t="s">
        <v>276</v>
      </c>
      <c r="H466" t="s">
        <v>61</v>
      </c>
      <c r="I466" t="s">
        <v>72</v>
      </c>
      <c r="J466" t="s">
        <v>964</v>
      </c>
      <c r="K466" t="s">
        <v>1337</v>
      </c>
      <c r="L466" t="s">
        <v>92</v>
      </c>
      <c r="M466" t="s">
        <v>75</v>
      </c>
      <c r="N466" t="s">
        <v>335</v>
      </c>
      <c r="O466" t="s">
        <v>92</v>
      </c>
      <c r="P466" t="s">
        <v>55</v>
      </c>
      <c r="Q466" t="s">
        <v>75</v>
      </c>
      <c r="R466">
        <v>160</v>
      </c>
      <c r="S466">
        <v>0</v>
      </c>
      <c r="T466" t="s">
        <v>85</v>
      </c>
      <c r="U466" t="s">
        <v>57</v>
      </c>
      <c r="V466">
        <v>4.7</v>
      </c>
      <c r="W466">
        <v>1.91</v>
      </c>
      <c r="X466">
        <v>6.7</v>
      </c>
      <c r="Y466">
        <v>10</v>
      </c>
      <c r="Z466">
        <v>8.5</v>
      </c>
    </row>
    <row r="467" spans="1:26" x14ac:dyDescent="0.45">
      <c r="A467" t="s">
        <v>1539</v>
      </c>
      <c r="B467">
        <v>45</v>
      </c>
      <c r="C467" t="s">
        <v>44</v>
      </c>
      <c r="D467" t="s">
        <v>45</v>
      </c>
      <c r="E467" t="s">
        <v>163</v>
      </c>
      <c r="F467" t="s">
        <v>30</v>
      </c>
      <c r="G467" t="s">
        <v>96</v>
      </c>
      <c r="H467" t="s">
        <v>81</v>
      </c>
      <c r="I467" t="s">
        <v>49</v>
      </c>
      <c r="J467" t="s">
        <v>1540</v>
      </c>
      <c r="K467" t="s">
        <v>1541</v>
      </c>
      <c r="L467" t="s">
        <v>36</v>
      </c>
      <c r="M467" t="s">
        <v>543</v>
      </c>
      <c r="N467" t="s">
        <v>650</v>
      </c>
      <c r="O467" t="s">
        <v>36</v>
      </c>
      <c r="P467" t="s">
        <v>110</v>
      </c>
      <c r="Q467" t="s">
        <v>75</v>
      </c>
      <c r="R467">
        <v>163</v>
      </c>
      <c r="S467">
        <v>0</v>
      </c>
      <c r="T467" t="s">
        <v>56</v>
      </c>
      <c r="U467" t="s">
        <v>57</v>
      </c>
      <c r="V467">
        <v>4.3899999999999997</v>
      </c>
      <c r="W467">
        <v>3.92</v>
      </c>
      <c r="X467">
        <v>1.9</v>
      </c>
      <c r="Y467">
        <v>13.7</v>
      </c>
      <c r="Z467">
        <v>3.5</v>
      </c>
    </row>
    <row r="468" spans="1:26" x14ac:dyDescent="0.45">
      <c r="A468" t="s">
        <v>1542</v>
      </c>
      <c r="B468">
        <v>52</v>
      </c>
      <c r="C468" t="s">
        <v>27</v>
      </c>
      <c r="D468" t="s">
        <v>45</v>
      </c>
      <c r="E468" t="s">
        <v>30</v>
      </c>
      <c r="F468" t="s">
        <v>30</v>
      </c>
      <c r="G468" t="s">
        <v>31</v>
      </c>
      <c r="H468" t="s">
        <v>71</v>
      </c>
      <c r="I468" t="s">
        <v>132</v>
      </c>
      <c r="J468" t="s">
        <v>1543</v>
      </c>
      <c r="K468" t="s">
        <v>356</v>
      </c>
      <c r="L468" t="s">
        <v>92</v>
      </c>
      <c r="M468" t="s">
        <v>141</v>
      </c>
      <c r="N468" t="s">
        <v>1544</v>
      </c>
      <c r="O468" t="s">
        <v>92</v>
      </c>
      <c r="P468" t="s">
        <v>55</v>
      </c>
      <c r="Q468" t="s">
        <v>129</v>
      </c>
      <c r="R468">
        <v>120</v>
      </c>
      <c r="S468">
        <v>0</v>
      </c>
      <c r="T468" t="s">
        <v>85</v>
      </c>
      <c r="U468" t="s">
        <v>42</v>
      </c>
      <c r="V468">
        <v>2.92</v>
      </c>
      <c r="W468">
        <v>3.65</v>
      </c>
      <c r="X468">
        <v>2.1</v>
      </c>
      <c r="Y468">
        <v>11.2</v>
      </c>
      <c r="Z468">
        <v>9.8000000000000007</v>
      </c>
    </row>
    <row r="469" spans="1:26" x14ac:dyDescent="0.45">
      <c r="A469" t="s">
        <v>1545</v>
      </c>
      <c r="B469">
        <v>64</v>
      </c>
      <c r="C469" t="s">
        <v>45</v>
      </c>
      <c r="D469" t="s">
        <v>95</v>
      </c>
      <c r="E469" t="s">
        <v>29</v>
      </c>
      <c r="F469" t="s">
        <v>47</v>
      </c>
      <c r="G469" t="s">
        <v>60</v>
      </c>
      <c r="H469" t="s">
        <v>71</v>
      </c>
      <c r="I469" t="s">
        <v>72</v>
      </c>
      <c r="J469" t="s">
        <v>486</v>
      </c>
      <c r="K469" t="s">
        <v>1546</v>
      </c>
      <c r="L469" t="s">
        <v>52</v>
      </c>
      <c r="M469" t="s">
        <v>1547</v>
      </c>
      <c r="N469" t="s">
        <v>521</v>
      </c>
      <c r="O469" t="s">
        <v>52</v>
      </c>
      <c r="P469" t="s">
        <v>39</v>
      </c>
      <c r="Q469" t="s">
        <v>129</v>
      </c>
      <c r="R469">
        <v>134</v>
      </c>
      <c r="S469">
        <v>1</v>
      </c>
      <c r="T469" t="s">
        <v>56</v>
      </c>
      <c r="U469" t="s">
        <v>42</v>
      </c>
      <c r="V469">
        <v>4.68</v>
      </c>
      <c r="W469">
        <v>4.97</v>
      </c>
      <c r="X469">
        <v>1.4</v>
      </c>
      <c r="Y469">
        <v>19.7</v>
      </c>
      <c r="Z469">
        <v>9.3000000000000007</v>
      </c>
    </row>
    <row r="470" spans="1:26" x14ac:dyDescent="0.45">
      <c r="A470" t="s">
        <v>1548</v>
      </c>
      <c r="B470">
        <v>81</v>
      </c>
      <c r="C470" t="s">
        <v>45</v>
      </c>
      <c r="D470" t="s">
        <v>106</v>
      </c>
      <c r="E470" t="s">
        <v>46</v>
      </c>
      <c r="F470" t="s">
        <v>30</v>
      </c>
      <c r="G470" t="s">
        <v>164</v>
      </c>
      <c r="H470" t="s">
        <v>71</v>
      </c>
      <c r="I470" t="s">
        <v>49</v>
      </c>
      <c r="J470" t="s">
        <v>257</v>
      </c>
      <c r="K470" t="s">
        <v>1153</v>
      </c>
      <c r="L470" t="s">
        <v>36</v>
      </c>
      <c r="M470" t="s">
        <v>160</v>
      </c>
      <c r="N470" t="s">
        <v>946</v>
      </c>
      <c r="O470" t="s">
        <v>36</v>
      </c>
      <c r="P470" t="s">
        <v>39</v>
      </c>
      <c r="Q470" t="s">
        <v>67</v>
      </c>
      <c r="R470">
        <v>48</v>
      </c>
      <c r="S470">
        <v>1</v>
      </c>
      <c r="T470" t="s">
        <v>41</v>
      </c>
      <c r="U470" t="s">
        <v>57</v>
      </c>
      <c r="V470">
        <v>2.57</v>
      </c>
      <c r="W470">
        <v>4.0199999999999996</v>
      </c>
      <c r="X470">
        <v>9.3000000000000007</v>
      </c>
      <c r="Y470">
        <v>23.1</v>
      </c>
      <c r="Z470">
        <v>12.8</v>
      </c>
    </row>
    <row r="471" spans="1:26" x14ac:dyDescent="0.45">
      <c r="A471" t="s">
        <v>1549</v>
      </c>
      <c r="B471">
        <v>72</v>
      </c>
      <c r="C471" t="s">
        <v>44</v>
      </c>
      <c r="D471" t="s">
        <v>106</v>
      </c>
      <c r="E471" t="s">
        <v>78</v>
      </c>
      <c r="F471" t="s">
        <v>30</v>
      </c>
      <c r="G471" t="s">
        <v>60</v>
      </c>
      <c r="H471" t="s">
        <v>32</v>
      </c>
      <c r="I471" t="s">
        <v>49</v>
      </c>
      <c r="J471" t="s">
        <v>1550</v>
      </c>
      <c r="K471" t="s">
        <v>1551</v>
      </c>
      <c r="L471" t="s">
        <v>92</v>
      </c>
      <c r="M471" t="s">
        <v>543</v>
      </c>
      <c r="N471" t="s">
        <v>1552</v>
      </c>
      <c r="O471" t="s">
        <v>92</v>
      </c>
      <c r="P471" t="s">
        <v>55</v>
      </c>
      <c r="Q471" t="s">
        <v>40</v>
      </c>
      <c r="R471">
        <v>145</v>
      </c>
      <c r="S471">
        <v>0</v>
      </c>
      <c r="T471" t="s">
        <v>56</v>
      </c>
      <c r="U471" t="s">
        <v>57</v>
      </c>
      <c r="V471">
        <v>2.4300000000000002</v>
      </c>
      <c r="W471">
        <v>4.1500000000000004</v>
      </c>
      <c r="X471">
        <v>3.3</v>
      </c>
      <c r="Y471">
        <v>16.2</v>
      </c>
      <c r="Z471">
        <v>9.1</v>
      </c>
    </row>
    <row r="472" spans="1:26" x14ac:dyDescent="0.45">
      <c r="A472" t="s">
        <v>1553</v>
      </c>
      <c r="B472">
        <v>79</v>
      </c>
      <c r="C472" t="s">
        <v>45</v>
      </c>
      <c r="D472" t="s">
        <v>106</v>
      </c>
      <c r="E472" t="s">
        <v>46</v>
      </c>
      <c r="F472" t="s">
        <v>30</v>
      </c>
      <c r="G472" t="s">
        <v>80</v>
      </c>
      <c r="H472" t="s">
        <v>61</v>
      </c>
      <c r="I472" t="s">
        <v>72</v>
      </c>
      <c r="J472" t="s">
        <v>1554</v>
      </c>
      <c r="K472" t="s">
        <v>1555</v>
      </c>
      <c r="L472" t="s">
        <v>36</v>
      </c>
      <c r="M472" t="s">
        <v>317</v>
      </c>
      <c r="N472" t="s">
        <v>598</v>
      </c>
      <c r="O472" t="s">
        <v>36</v>
      </c>
      <c r="P472" t="s">
        <v>110</v>
      </c>
      <c r="Q472" t="s">
        <v>75</v>
      </c>
      <c r="R472">
        <v>101</v>
      </c>
      <c r="S472">
        <v>0</v>
      </c>
      <c r="T472" t="s">
        <v>123</v>
      </c>
      <c r="U472" t="s">
        <v>42</v>
      </c>
      <c r="V472">
        <v>3.63</v>
      </c>
      <c r="W472">
        <v>1.96</v>
      </c>
      <c r="X472">
        <v>2.7</v>
      </c>
      <c r="Y472">
        <v>22.5</v>
      </c>
      <c r="Z472">
        <v>4.7</v>
      </c>
    </row>
    <row r="473" spans="1:26" x14ac:dyDescent="0.45">
      <c r="A473" t="s">
        <v>1556</v>
      </c>
      <c r="B473">
        <v>56</v>
      </c>
      <c r="C473" t="s">
        <v>44</v>
      </c>
      <c r="D473" t="s">
        <v>28</v>
      </c>
      <c r="E473" t="s">
        <v>163</v>
      </c>
      <c r="F473" t="s">
        <v>30</v>
      </c>
      <c r="G473" t="s">
        <v>246</v>
      </c>
      <c r="H473" t="s">
        <v>81</v>
      </c>
      <c r="I473" t="s">
        <v>132</v>
      </c>
      <c r="J473" t="s">
        <v>1557</v>
      </c>
      <c r="K473" t="s">
        <v>688</v>
      </c>
      <c r="L473" t="s">
        <v>52</v>
      </c>
      <c r="M473" t="s">
        <v>129</v>
      </c>
      <c r="N473" t="s">
        <v>504</v>
      </c>
      <c r="O473" t="s">
        <v>52</v>
      </c>
      <c r="P473" t="s">
        <v>110</v>
      </c>
      <c r="Q473" t="s">
        <v>67</v>
      </c>
      <c r="R473">
        <v>140</v>
      </c>
      <c r="S473">
        <v>0</v>
      </c>
      <c r="T473" t="s">
        <v>85</v>
      </c>
      <c r="U473" t="s">
        <v>57</v>
      </c>
      <c r="V473">
        <v>3.02</v>
      </c>
      <c r="W473">
        <v>1.88</v>
      </c>
      <c r="X473">
        <v>1.4</v>
      </c>
      <c r="Y473">
        <v>6.6</v>
      </c>
      <c r="Z473">
        <v>6</v>
      </c>
    </row>
    <row r="474" spans="1:26" x14ac:dyDescent="0.45">
      <c r="A474" t="s">
        <v>1558</v>
      </c>
      <c r="B474">
        <v>58</v>
      </c>
      <c r="C474" t="s">
        <v>27</v>
      </c>
      <c r="D474" t="s">
        <v>28</v>
      </c>
      <c r="E474" t="s">
        <v>30</v>
      </c>
      <c r="F474" t="s">
        <v>59</v>
      </c>
      <c r="G474" t="s">
        <v>184</v>
      </c>
      <c r="H474" t="s">
        <v>81</v>
      </c>
      <c r="I474" t="s">
        <v>33</v>
      </c>
      <c r="J474" t="s">
        <v>1559</v>
      </c>
      <c r="K474" t="s">
        <v>964</v>
      </c>
      <c r="L474" t="s">
        <v>92</v>
      </c>
      <c r="M474" t="s">
        <v>30</v>
      </c>
      <c r="N474" t="s">
        <v>109</v>
      </c>
      <c r="O474" t="s">
        <v>92</v>
      </c>
      <c r="P474" t="s">
        <v>39</v>
      </c>
      <c r="Q474" t="s">
        <v>67</v>
      </c>
      <c r="R474">
        <v>171</v>
      </c>
      <c r="S474">
        <v>1</v>
      </c>
      <c r="T474" t="s">
        <v>85</v>
      </c>
      <c r="U474" t="s">
        <v>42</v>
      </c>
      <c r="V474">
        <v>4.47</v>
      </c>
      <c r="W474">
        <v>2.13</v>
      </c>
      <c r="X474">
        <v>9.6</v>
      </c>
      <c r="Y474">
        <v>16.5</v>
      </c>
      <c r="Z474">
        <v>10.4</v>
      </c>
    </row>
    <row r="475" spans="1:26" x14ac:dyDescent="0.45">
      <c r="A475" t="s">
        <v>1560</v>
      </c>
      <c r="B475">
        <v>21</v>
      </c>
      <c r="C475" t="s">
        <v>45</v>
      </c>
      <c r="D475" t="s">
        <v>87</v>
      </c>
      <c r="E475" t="s">
        <v>29</v>
      </c>
      <c r="F475" t="s">
        <v>30</v>
      </c>
      <c r="G475" t="s">
        <v>89</v>
      </c>
      <c r="H475" t="s">
        <v>61</v>
      </c>
      <c r="I475" t="s">
        <v>33</v>
      </c>
      <c r="J475" t="s">
        <v>1561</v>
      </c>
      <c r="K475" t="s">
        <v>600</v>
      </c>
      <c r="L475" t="s">
        <v>36</v>
      </c>
      <c r="M475" t="s">
        <v>197</v>
      </c>
      <c r="N475" t="s">
        <v>491</v>
      </c>
      <c r="O475" t="s">
        <v>36</v>
      </c>
      <c r="P475" t="s">
        <v>39</v>
      </c>
      <c r="Q475" t="s">
        <v>129</v>
      </c>
      <c r="R475">
        <v>143</v>
      </c>
      <c r="S475">
        <v>1</v>
      </c>
      <c r="T475" t="s">
        <v>56</v>
      </c>
      <c r="U475" t="s">
        <v>57</v>
      </c>
      <c r="V475">
        <v>3.32</v>
      </c>
      <c r="W475">
        <v>3.07</v>
      </c>
      <c r="X475">
        <v>7.8</v>
      </c>
      <c r="Y475">
        <v>11.1</v>
      </c>
      <c r="Z475">
        <v>9</v>
      </c>
    </row>
    <row r="476" spans="1:26" x14ac:dyDescent="0.45">
      <c r="A476" t="s">
        <v>1562</v>
      </c>
      <c r="B476">
        <v>51</v>
      </c>
      <c r="C476" t="s">
        <v>27</v>
      </c>
      <c r="D476" t="s">
        <v>106</v>
      </c>
      <c r="E476" t="s">
        <v>30</v>
      </c>
      <c r="F476" t="s">
        <v>30</v>
      </c>
      <c r="G476" t="s">
        <v>102</v>
      </c>
      <c r="H476" t="s">
        <v>32</v>
      </c>
      <c r="I476" t="s">
        <v>49</v>
      </c>
      <c r="J476" t="s">
        <v>1465</v>
      </c>
      <c r="K476" t="s">
        <v>1095</v>
      </c>
      <c r="L476" t="s">
        <v>52</v>
      </c>
      <c r="M476" t="s">
        <v>1547</v>
      </c>
      <c r="N476" t="s">
        <v>340</v>
      </c>
      <c r="O476" t="s">
        <v>52</v>
      </c>
      <c r="P476" t="s">
        <v>110</v>
      </c>
      <c r="Q476" t="s">
        <v>75</v>
      </c>
      <c r="R476">
        <v>48</v>
      </c>
      <c r="S476">
        <v>0</v>
      </c>
      <c r="T476" t="s">
        <v>137</v>
      </c>
      <c r="U476" t="s">
        <v>42</v>
      </c>
      <c r="V476">
        <v>4.58</v>
      </c>
      <c r="W476">
        <v>4.79</v>
      </c>
      <c r="X476">
        <v>9</v>
      </c>
      <c r="Y476">
        <v>13.6</v>
      </c>
      <c r="Z476">
        <v>16.3</v>
      </c>
    </row>
    <row r="477" spans="1:26" x14ac:dyDescent="0.45">
      <c r="A477" t="s">
        <v>1563</v>
      </c>
      <c r="B477">
        <v>73</v>
      </c>
      <c r="C477" t="s">
        <v>27</v>
      </c>
      <c r="D477" t="s">
        <v>45</v>
      </c>
      <c r="E477" t="s">
        <v>30</v>
      </c>
      <c r="F477" t="s">
        <v>69</v>
      </c>
      <c r="G477" t="s">
        <v>118</v>
      </c>
      <c r="H477" t="s">
        <v>61</v>
      </c>
      <c r="I477" t="s">
        <v>72</v>
      </c>
      <c r="J477" t="s">
        <v>1564</v>
      </c>
      <c r="K477" t="s">
        <v>1489</v>
      </c>
      <c r="L477" t="s">
        <v>52</v>
      </c>
      <c r="M477" t="s">
        <v>1291</v>
      </c>
      <c r="N477" t="s">
        <v>1565</v>
      </c>
      <c r="O477" t="s">
        <v>52</v>
      </c>
      <c r="P477" t="s">
        <v>39</v>
      </c>
      <c r="Q477" t="s">
        <v>40</v>
      </c>
      <c r="R477">
        <v>102</v>
      </c>
      <c r="S477">
        <v>1</v>
      </c>
      <c r="T477" t="s">
        <v>41</v>
      </c>
      <c r="U477" t="s">
        <v>42</v>
      </c>
      <c r="V477">
        <v>2.91</v>
      </c>
      <c r="W477">
        <v>2.99</v>
      </c>
      <c r="X477">
        <v>2.8</v>
      </c>
      <c r="Y477">
        <v>16.600000000000001</v>
      </c>
      <c r="Z477">
        <v>6.2</v>
      </c>
    </row>
    <row r="478" spans="1:26" x14ac:dyDescent="0.45">
      <c r="A478" t="s">
        <v>1566</v>
      </c>
      <c r="B478">
        <v>29</v>
      </c>
      <c r="C478" t="s">
        <v>45</v>
      </c>
      <c r="D478" t="s">
        <v>106</v>
      </c>
      <c r="E478" t="s">
        <v>163</v>
      </c>
      <c r="F478" t="s">
        <v>47</v>
      </c>
      <c r="G478" t="s">
        <v>178</v>
      </c>
      <c r="H478" t="s">
        <v>71</v>
      </c>
      <c r="I478" t="s">
        <v>72</v>
      </c>
      <c r="J478" t="s">
        <v>1567</v>
      </c>
      <c r="K478" t="s">
        <v>948</v>
      </c>
      <c r="L478" t="s">
        <v>36</v>
      </c>
      <c r="M478" t="s">
        <v>978</v>
      </c>
      <c r="N478" t="s">
        <v>954</v>
      </c>
      <c r="O478" t="s">
        <v>36</v>
      </c>
      <c r="P478" t="s">
        <v>55</v>
      </c>
      <c r="Q478" t="s">
        <v>75</v>
      </c>
      <c r="R478">
        <v>76</v>
      </c>
      <c r="S478">
        <v>0</v>
      </c>
      <c r="T478" t="s">
        <v>137</v>
      </c>
      <c r="U478" t="s">
        <v>42</v>
      </c>
      <c r="V478">
        <v>2.33</v>
      </c>
      <c r="W478">
        <v>4.42</v>
      </c>
      <c r="X478">
        <v>2.9</v>
      </c>
      <c r="Y478">
        <v>7.3</v>
      </c>
      <c r="Z478">
        <v>4.2</v>
      </c>
    </row>
    <row r="479" spans="1:26" x14ac:dyDescent="0.45">
      <c r="A479" t="s">
        <v>1568</v>
      </c>
      <c r="B479">
        <v>55</v>
      </c>
      <c r="C479" t="s">
        <v>45</v>
      </c>
      <c r="D479" t="s">
        <v>95</v>
      </c>
      <c r="E479" t="s">
        <v>78</v>
      </c>
      <c r="F479" t="s">
        <v>30</v>
      </c>
      <c r="G479" t="s">
        <v>131</v>
      </c>
      <c r="H479" t="s">
        <v>32</v>
      </c>
      <c r="I479" t="s">
        <v>33</v>
      </c>
      <c r="J479" t="s">
        <v>1569</v>
      </c>
      <c r="K479" t="s">
        <v>1570</v>
      </c>
      <c r="L479" t="s">
        <v>64</v>
      </c>
      <c r="M479" t="s">
        <v>295</v>
      </c>
      <c r="N479" t="s">
        <v>1571</v>
      </c>
      <c r="O479" t="s">
        <v>64</v>
      </c>
      <c r="P479" t="s">
        <v>110</v>
      </c>
      <c r="Q479" t="s">
        <v>40</v>
      </c>
      <c r="R479">
        <v>59</v>
      </c>
      <c r="S479">
        <v>0</v>
      </c>
      <c r="T479" t="s">
        <v>41</v>
      </c>
      <c r="U479" t="s">
        <v>57</v>
      </c>
      <c r="V479">
        <v>4.76</v>
      </c>
      <c r="W479">
        <v>3.03</v>
      </c>
      <c r="X479">
        <v>4.7</v>
      </c>
      <c r="Y479">
        <v>20.6</v>
      </c>
      <c r="Z479">
        <v>17.2</v>
      </c>
    </row>
    <row r="480" spans="1:26" x14ac:dyDescent="0.45">
      <c r="A480" t="s">
        <v>1572</v>
      </c>
      <c r="B480">
        <v>58</v>
      </c>
      <c r="C480" t="s">
        <v>45</v>
      </c>
      <c r="D480" t="s">
        <v>87</v>
      </c>
      <c r="E480" t="s">
        <v>30</v>
      </c>
      <c r="F480" t="s">
        <v>30</v>
      </c>
      <c r="G480" t="s">
        <v>96</v>
      </c>
      <c r="H480" t="s">
        <v>81</v>
      </c>
      <c r="I480" t="s">
        <v>33</v>
      </c>
      <c r="J480" t="s">
        <v>1474</v>
      </c>
      <c r="K480" t="s">
        <v>1223</v>
      </c>
      <c r="L480" t="s">
        <v>92</v>
      </c>
      <c r="M480" t="s">
        <v>53</v>
      </c>
      <c r="N480" t="s">
        <v>1544</v>
      </c>
      <c r="O480" t="s">
        <v>92</v>
      </c>
      <c r="P480" t="s">
        <v>39</v>
      </c>
      <c r="Q480" t="s">
        <v>75</v>
      </c>
      <c r="R480">
        <v>112</v>
      </c>
      <c r="S480">
        <v>1</v>
      </c>
      <c r="T480" t="s">
        <v>137</v>
      </c>
      <c r="U480" t="s">
        <v>57</v>
      </c>
      <c r="V480">
        <v>2.33</v>
      </c>
      <c r="W480">
        <v>3.77</v>
      </c>
      <c r="X480">
        <v>7.9</v>
      </c>
      <c r="Y480">
        <v>17.8</v>
      </c>
      <c r="Z480">
        <v>5.6</v>
      </c>
    </row>
    <row r="481" spans="1:26" x14ac:dyDescent="0.45">
      <c r="A481" t="s">
        <v>1573</v>
      </c>
      <c r="B481">
        <v>70</v>
      </c>
      <c r="C481" t="s">
        <v>44</v>
      </c>
      <c r="D481" t="s">
        <v>95</v>
      </c>
      <c r="E481" t="s">
        <v>78</v>
      </c>
      <c r="F481" t="s">
        <v>88</v>
      </c>
      <c r="G481" t="s">
        <v>184</v>
      </c>
      <c r="H481" t="s">
        <v>81</v>
      </c>
      <c r="I481" t="s">
        <v>72</v>
      </c>
      <c r="J481" t="s">
        <v>1574</v>
      </c>
      <c r="K481" t="s">
        <v>1575</v>
      </c>
      <c r="L481" t="s">
        <v>64</v>
      </c>
      <c r="M481" t="s">
        <v>1291</v>
      </c>
      <c r="N481" t="s">
        <v>507</v>
      </c>
      <c r="O481" t="s">
        <v>64</v>
      </c>
      <c r="P481" t="s">
        <v>39</v>
      </c>
      <c r="Q481" t="s">
        <v>75</v>
      </c>
      <c r="R481">
        <v>82</v>
      </c>
      <c r="S481">
        <v>1</v>
      </c>
      <c r="T481" t="s">
        <v>123</v>
      </c>
      <c r="U481" t="s">
        <v>57</v>
      </c>
      <c r="V481">
        <v>4.5</v>
      </c>
      <c r="W481">
        <v>3.16</v>
      </c>
      <c r="X481">
        <v>3.5</v>
      </c>
      <c r="Y481">
        <v>13.7</v>
      </c>
      <c r="Z481">
        <v>3.6</v>
      </c>
    </row>
    <row r="482" spans="1:26" x14ac:dyDescent="0.45">
      <c r="A482" t="s">
        <v>1576</v>
      </c>
      <c r="B482">
        <v>34</v>
      </c>
      <c r="C482" t="s">
        <v>45</v>
      </c>
      <c r="D482" t="s">
        <v>45</v>
      </c>
      <c r="E482" t="s">
        <v>163</v>
      </c>
      <c r="F482" t="s">
        <v>30</v>
      </c>
      <c r="G482" t="s">
        <v>164</v>
      </c>
      <c r="H482" t="s">
        <v>81</v>
      </c>
      <c r="I482" t="s">
        <v>49</v>
      </c>
      <c r="J482" t="s">
        <v>1577</v>
      </c>
      <c r="K482" t="s">
        <v>814</v>
      </c>
      <c r="L482" t="s">
        <v>92</v>
      </c>
      <c r="M482" t="s">
        <v>221</v>
      </c>
      <c r="N482" t="s">
        <v>203</v>
      </c>
      <c r="O482" t="s">
        <v>92</v>
      </c>
      <c r="P482" t="s">
        <v>39</v>
      </c>
      <c r="Q482" t="s">
        <v>67</v>
      </c>
      <c r="R482">
        <v>167</v>
      </c>
      <c r="S482">
        <v>1</v>
      </c>
      <c r="T482" t="s">
        <v>56</v>
      </c>
      <c r="U482" t="s">
        <v>42</v>
      </c>
      <c r="V482">
        <v>1.51</v>
      </c>
      <c r="W482">
        <v>4.0599999999999996</v>
      </c>
      <c r="X482">
        <v>1</v>
      </c>
      <c r="Y482">
        <v>13.5</v>
      </c>
      <c r="Z482">
        <v>11.9</v>
      </c>
    </row>
    <row r="483" spans="1:26" x14ac:dyDescent="0.45">
      <c r="A483" t="s">
        <v>1578</v>
      </c>
      <c r="B483">
        <v>55</v>
      </c>
      <c r="C483" t="s">
        <v>27</v>
      </c>
      <c r="D483" t="s">
        <v>28</v>
      </c>
      <c r="E483" t="s">
        <v>30</v>
      </c>
      <c r="F483" t="s">
        <v>69</v>
      </c>
      <c r="G483" t="s">
        <v>60</v>
      </c>
      <c r="H483" t="s">
        <v>61</v>
      </c>
      <c r="I483" t="s">
        <v>49</v>
      </c>
      <c r="J483" t="s">
        <v>854</v>
      </c>
      <c r="K483" t="s">
        <v>1030</v>
      </c>
      <c r="L483" t="s">
        <v>36</v>
      </c>
      <c r="M483" t="s">
        <v>274</v>
      </c>
      <c r="N483" t="s">
        <v>452</v>
      </c>
      <c r="O483" t="s">
        <v>36</v>
      </c>
      <c r="P483" t="s">
        <v>55</v>
      </c>
      <c r="Q483" t="s">
        <v>129</v>
      </c>
      <c r="R483">
        <v>88</v>
      </c>
      <c r="S483">
        <v>0</v>
      </c>
      <c r="T483" t="s">
        <v>41</v>
      </c>
      <c r="U483" t="s">
        <v>42</v>
      </c>
      <c r="V483">
        <v>1.22</v>
      </c>
      <c r="W483">
        <v>4.8899999999999997</v>
      </c>
      <c r="X483">
        <v>3</v>
      </c>
      <c r="Y483">
        <v>11.5</v>
      </c>
      <c r="Z483">
        <v>8.1999999999999993</v>
      </c>
    </row>
    <row r="484" spans="1:26" x14ac:dyDescent="0.45">
      <c r="A484" t="s">
        <v>1579</v>
      </c>
      <c r="B484">
        <v>52</v>
      </c>
      <c r="C484" t="s">
        <v>45</v>
      </c>
      <c r="D484" t="s">
        <v>87</v>
      </c>
      <c r="E484" t="s">
        <v>78</v>
      </c>
      <c r="F484" t="s">
        <v>30</v>
      </c>
      <c r="G484" t="s">
        <v>96</v>
      </c>
      <c r="H484" t="s">
        <v>32</v>
      </c>
      <c r="I484" t="s">
        <v>49</v>
      </c>
      <c r="J484" t="s">
        <v>669</v>
      </c>
      <c r="K484" t="s">
        <v>1580</v>
      </c>
      <c r="L484" t="s">
        <v>36</v>
      </c>
      <c r="M484" t="s">
        <v>129</v>
      </c>
      <c r="N484" t="s">
        <v>754</v>
      </c>
      <c r="O484" t="s">
        <v>36</v>
      </c>
      <c r="P484" t="s">
        <v>110</v>
      </c>
      <c r="Q484" t="s">
        <v>75</v>
      </c>
      <c r="R484">
        <v>68</v>
      </c>
      <c r="S484">
        <v>0</v>
      </c>
      <c r="T484" t="s">
        <v>123</v>
      </c>
      <c r="U484" t="s">
        <v>57</v>
      </c>
      <c r="V484">
        <v>1.92</v>
      </c>
      <c r="W484">
        <v>1.01</v>
      </c>
      <c r="X484">
        <v>7.6</v>
      </c>
      <c r="Y484">
        <v>23.4</v>
      </c>
      <c r="Z484">
        <v>6.8</v>
      </c>
    </row>
    <row r="485" spans="1:26" x14ac:dyDescent="0.45">
      <c r="A485" t="s">
        <v>1581</v>
      </c>
      <c r="B485">
        <v>42</v>
      </c>
      <c r="C485" t="s">
        <v>45</v>
      </c>
      <c r="D485" t="s">
        <v>28</v>
      </c>
      <c r="E485" t="s">
        <v>30</v>
      </c>
      <c r="F485" t="s">
        <v>88</v>
      </c>
      <c r="G485" t="s">
        <v>276</v>
      </c>
      <c r="H485" t="s">
        <v>32</v>
      </c>
      <c r="I485" t="s">
        <v>33</v>
      </c>
      <c r="J485" t="s">
        <v>338</v>
      </c>
      <c r="K485" t="s">
        <v>858</v>
      </c>
      <c r="L485" t="s">
        <v>36</v>
      </c>
      <c r="M485" t="s">
        <v>317</v>
      </c>
      <c r="N485" t="s">
        <v>313</v>
      </c>
      <c r="O485" t="s">
        <v>36</v>
      </c>
      <c r="P485" t="s">
        <v>39</v>
      </c>
      <c r="Q485" t="s">
        <v>40</v>
      </c>
      <c r="R485">
        <v>173</v>
      </c>
      <c r="S485">
        <v>1</v>
      </c>
      <c r="T485" t="s">
        <v>137</v>
      </c>
      <c r="U485" t="s">
        <v>57</v>
      </c>
      <c r="V485">
        <v>3.65</v>
      </c>
      <c r="W485">
        <v>3.97</v>
      </c>
      <c r="X485">
        <v>8.6</v>
      </c>
      <c r="Y485">
        <v>13.6</v>
      </c>
      <c r="Z485">
        <v>8.1</v>
      </c>
    </row>
    <row r="486" spans="1:26" x14ac:dyDescent="0.45">
      <c r="A486" t="s">
        <v>1582</v>
      </c>
      <c r="B486">
        <v>54</v>
      </c>
      <c r="C486" t="s">
        <v>45</v>
      </c>
      <c r="D486" t="s">
        <v>45</v>
      </c>
      <c r="E486" t="s">
        <v>29</v>
      </c>
      <c r="F486" t="s">
        <v>88</v>
      </c>
      <c r="G486" t="s">
        <v>70</v>
      </c>
      <c r="H486" t="s">
        <v>81</v>
      </c>
      <c r="I486" t="s">
        <v>132</v>
      </c>
      <c r="J486" t="s">
        <v>1583</v>
      </c>
      <c r="K486" t="s">
        <v>1584</v>
      </c>
      <c r="L486" t="s">
        <v>52</v>
      </c>
      <c r="M486" t="s">
        <v>304</v>
      </c>
      <c r="N486" t="s">
        <v>711</v>
      </c>
      <c r="O486" t="s">
        <v>52</v>
      </c>
      <c r="P486" t="s">
        <v>55</v>
      </c>
      <c r="Q486" t="s">
        <v>40</v>
      </c>
      <c r="R486">
        <v>174</v>
      </c>
      <c r="S486">
        <v>0</v>
      </c>
      <c r="T486" t="s">
        <v>123</v>
      </c>
      <c r="U486" t="s">
        <v>57</v>
      </c>
      <c r="V486">
        <v>2.2999999999999998</v>
      </c>
      <c r="W486">
        <v>3.85</v>
      </c>
      <c r="X486">
        <v>8.4</v>
      </c>
      <c r="Y486">
        <v>9.3000000000000007</v>
      </c>
      <c r="Z486">
        <v>9.3000000000000007</v>
      </c>
    </row>
    <row r="487" spans="1:26" x14ac:dyDescent="0.45">
      <c r="A487" t="s">
        <v>1585</v>
      </c>
      <c r="B487">
        <v>60</v>
      </c>
      <c r="C487" t="s">
        <v>27</v>
      </c>
      <c r="D487" t="s">
        <v>87</v>
      </c>
      <c r="E487" t="s">
        <v>163</v>
      </c>
      <c r="F487" t="s">
        <v>30</v>
      </c>
      <c r="G487" t="s">
        <v>89</v>
      </c>
      <c r="H487" t="s">
        <v>81</v>
      </c>
      <c r="I487" t="s">
        <v>72</v>
      </c>
      <c r="J487" t="s">
        <v>1586</v>
      </c>
      <c r="K487" t="s">
        <v>1587</v>
      </c>
      <c r="L487" t="s">
        <v>36</v>
      </c>
      <c r="M487" t="s">
        <v>309</v>
      </c>
      <c r="N487" t="s">
        <v>571</v>
      </c>
      <c r="O487" t="s">
        <v>36</v>
      </c>
      <c r="P487" t="s">
        <v>55</v>
      </c>
      <c r="Q487" t="s">
        <v>30</v>
      </c>
      <c r="R487">
        <v>135</v>
      </c>
      <c r="S487">
        <v>0</v>
      </c>
      <c r="T487" t="s">
        <v>137</v>
      </c>
      <c r="U487" t="s">
        <v>57</v>
      </c>
      <c r="V487">
        <v>4.6100000000000003</v>
      </c>
      <c r="W487">
        <v>4.2300000000000004</v>
      </c>
      <c r="X487">
        <v>9.9</v>
      </c>
      <c r="Y487">
        <v>19.600000000000001</v>
      </c>
      <c r="Z487">
        <v>9.6999999999999993</v>
      </c>
    </row>
    <row r="488" spans="1:26" x14ac:dyDescent="0.45">
      <c r="A488" t="s">
        <v>1588</v>
      </c>
      <c r="B488">
        <v>37</v>
      </c>
      <c r="C488" t="s">
        <v>27</v>
      </c>
      <c r="D488" t="s">
        <v>28</v>
      </c>
      <c r="E488" t="s">
        <v>29</v>
      </c>
      <c r="F488" t="s">
        <v>30</v>
      </c>
      <c r="G488" t="s">
        <v>164</v>
      </c>
      <c r="H488" t="s">
        <v>32</v>
      </c>
      <c r="I488" t="s">
        <v>72</v>
      </c>
      <c r="J488" t="s">
        <v>1589</v>
      </c>
      <c r="K488" t="s">
        <v>1590</v>
      </c>
      <c r="L488" t="s">
        <v>64</v>
      </c>
      <c r="M488" t="s">
        <v>863</v>
      </c>
      <c r="N488" t="s">
        <v>1326</v>
      </c>
      <c r="O488" t="s">
        <v>64</v>
      </c>
      <c r="P488" t="s">
        <v>55</v>
      </c>
      <c r="Q488" t="s">
        <v>75</v>
      </c>
      <c r="R488">
        <v>172</v>
      </c>
      <c r="S488">
        <v>0</v>
      </c>
      <c r="T488" t="s">
        <v>123</v>
      </c>
      <c r="U488" t="s">
        <v>42</v>
      </c>
      <c r="V488">
        <v>3.36</v>
      </c>
      <c r="W488">
        <v>3.64</v>
      </c>
      <c r="X488">
        <v>1.7</v>
      </c>
      <c r="Y488">
        <v>15.8</v>
      </c>
      <c r="Z488">
        <v>15.1</v>
      </c>
    </row>
    <row r="489" spans="1:26" x14ac:dyDescent="0.45">
      <c r="A489" t="s">
        <v>1591</v>
      </c>
      <c r="B489">
        <v>72</v>
      </c>
      <c r="C489" t="s">
        <v>45</v>
      </c>
      <c r="D489" t="s">
        <v>87</v>
      </c>
      <c r="E489" t="s">
        <v>78</v>
      </c>
      <c r="F489" t="s">
        <v>88</v>
      </c>
      <c r="G489" t="s">
        <v>112</v>
      </c>
      <c r="H489" t="s">
        <v>61</v>
      </c>
      <c r="I489" t="s">
        <v>72</v>
      </c>
      <c r="J489" t="s">
        <v>1592</v>
      </c>
      <c r="K489" t="s">
        <v>1593</v>
      </c>
      <c r="L489" t="s">
        <v>92</v>
      </c>
      <c r="M489" t="s">
        <v>1291</v>
      </c>
      <c r="N489" t="s">
        <v>262</v>
      </c>
      <c r="O489" t="s">
        <v>92</v>
      </c>
      <c r="P489" t="s">
        <v>110</v>
      </c>
      <c r="Q489" t="s">
        <v>40</v>
      </c>
      <c r="R489">
        <v>65</v>
      </c>
      <c r="S489">
        <v>0</v>
      </c>
      <c r="T489" t="s">
        <v>85</v>
      </c>
      <c r="U489" t="s">
        <v>57</v>
      </c>
      <c r="V489">
        <v>1.67</v>
      </c>
      <c r="W489">
        <v>4.12</v>
      </c>
      <c r="X489">
        <v>6.3</v>
      </c>
      <c r="Y489">
        <v>23.1</v>
      </c>
      <c r="Z489">
        <v>3.7</v>
      </c>
    </row>
    <row r="490" spans="1:26" x14ac:dyDescent="0.45">
      <c r="A490" t="s">
        <v>1594</v>
      </c>
      <c r="B490">
        <v>69</v>
      </c>
      <c r="C490" t="s">
        <v>27</v>
      </c>
      <c r="D490" t="s">
        <v>28</v>
      </c>
      <c r="E490" t="s">
        <v>163</v>
      </c>
      <c r="F490" t="s">
        <v>59</v>
      </c>
      <c r="G490" t="s">
        <v>184</v>
      </c>
      <c r="H490" t="s">
        <v>32</v>
      </c>
      <c r="I490" t="s">
        <v>132</v>
      </c>
      <c r="J490" t="s">
        <v>1595</v>
      </c>
      <c r="K490" t="s">
        <v>1596</v>
      </c>
      <c r="L490" t="s">
        <v>64</v>
      </c>
      <c r="M490" t="s">
        <v>1597</v>
      </c>
      <c r="N490" t="s">
        <v>926</v>
      </c>
      <c r="O490" t="s">
        <v>64</v>
      </c>
      <c r="P490" t="s">
        <v>55</v>
      </c>
      <c r="Q490" t="s">
        <v>40</v>
      </c>
      <c r="R490">
        <v>148</v>
      </c>
      <c r="S490">
        <v>0</v>
      </c>
      <c r="T490" t="s">
        <v>41</v>
      </c>
      <c r="U490" t="s">
        <v>57</v>
      </c>
      <c r="V490">
        <v>2.06</v>
      </c>
      <c r="W490">
        <v>3.41</v>
      </c>
      <c r="X490">
        <v>3.7</v>
      </c>
      <c r="Y490">
        <v>18.899999999999999</v>
      </c>
      <c r="Z490">
        <v>15.9</v>
      </c>
    </row>
    <row r="491" spans="1:26" x14ac:dyDescent="0.45">
      <c r="A491" t="s">
        <v>1598</v>
      </c>
      <c r="B491">
        <v>35</v>
      </c>
      <c r="C491" t="s">
        <v>27</v>
      </c>
      <c r="D491" t="s">
        <v>45</v>
      </c>
      <c r="E491" t="s">
        <v>78</v>
      </c>
      <c r="F491" t="s">
        <v>47</v>
      </c>
      <c r="G491" t="s">
        <v>112</v>
      </c>
      <c r="H491" t="s">
        <v>71</v>
      </c>
      <c r="I491" t="s">
        <v>33</v>
      </c>
      <c r="J491" t="s">
        <v>1599</v>
      </c>
      <c r="K491" t="s">
        <v>1600</v>
      </c>
      <c r="L491" t="s">
        <v>52</v>
      </c>
      <c r="M491" t="s">
        <v>129</v>
      </c>
      <c r="N491" t="s">
        <v>203</v>
      </c>
      <c r="O491" t="s">
        <v>52</v>
      </c>
      <c r="P491" t="s">
        <v>55</v>
      </c>
      <c r="Q491" t="s">
        <v>30</v>
      </c>
      <c r="R491">
        <v>54</v>
      </c>
      <c r="S491">
        <v>0</v>
      </c>
      <c r="T491" t="s">
        <v>123</v>
      </c>
      <c r="U491" t="s">
        <v>57</v>
      </c>
      <c r="V491">
        <v>1.41</v>
      </c>
      <c r="W491">
        <v>3.06</v>
      </c>
      <c r="X491">
        <v>5.6</v>
      </c>
      <c r="Y491">
        <v>12.6</v>
      </c>
      <c r="Z491">
        <v>18.899999999999999</v>
      </c>
    </row>
    <row r="492" spans="1:26" x14ac:dyDescent="0.45">
      <c r="A492" t="s">
        <v>1601</v>
      </c>
      <c r="B492">
        <v>38</v>
      </c>
      <c r="C492" t="s">
        <v>27</v>
      </c>
      <c r="D492" t="s">
        <v>28</v>
      </c>
      <c r="E492" t="s">
        <v>29</v>
      </c>
      <c r="F492" t="s">
        <v>30</v>
      </c>
      <c r="G492" t="s">
        <v>194</v>
      </c>
      <c r="H492" t="s">
        <v>61</v>
      </c>
      <c r="I492" t="s">
        <v>72</v>
      </c>
      <c r="J492" t="s">
        <v>1602</v>
      </c>
      <c r="K492" t="s">
        <v>1575</v>
      </c>
      <c r="L492" t="s">
        <v>64</v>
      </c>
      <c r="M492" t="s">
        <v>378</v>
      </c>
      <c r="N492" t="s">
        <v>818</v>
      </c>
      <c r="O492" t="s">
        <v>64</v>
      </c>
      <c r="P492" t="s">
        <v>110</v>
      </c>
      <c r="Q492" t="s">
        <v>75</v>
      </c>
      <c r="R492">
        <v>81</v>
      </c>
      <c r="S492">
        <v>0</v>
      </c>
      <c r="T492" t="s">
        <v>123</v>
      </c>
      <c r="U492" t="s">
        <v>42</v>
      </c>
      <c r="V492">
        <v>4.3099999999999996</v>
      </c>
      <c r="W492">
        <v>3.79</v>
      </c>
      <c r="X492">
        <v>7.4</v>
      </c>
      <c r="Y492">
        <v>14.3</v>
      </c>
      <c r="Z492">
        <v>18.7</v>
      </c>
    </row>
    <row r="493" spans="1:26" x14ac:dyDescent="0.45">
      <c r="A493" t="s">
        <v>1603</v>
      </c>
      <c r="B493">
        <v>31</v>
      </c>
      <c r="C493" t="s">
        <v>45</v>
      </c>
      <c r="D493" t="s">
        <v>106</v>
      </c>
      <c r="E493" t="s">
        <v>30</v>
      </c>
      <c r="F493" t="s">
        <v>69</v>
      </c>
      <c r="G493" t="s">
        <v>102</v>
      </c>
      <c r="H493" t="s">
        <v>71</v>
      </c>
      <c r="I493" t="s">
        <v>33</v>
      </c>
      <c r="J493" t="s">
        <v>220</v>
      </c>
      <c r="K493" t="s">
        <v>1604</v>
      </c>
      <c r="L493" t="s">
        <v>64</v>
      </c>
      <c r="M493" t="s">
        <v>566</v>
      </c>
      <c r="N493" t="s">
        <v>958</v>
      </c>
      <c r="O493" t="s">
        <v>64</v>
      </c>
      <c r="P493" t="s">
        <v>39</v>
      </c>
      <c r="Q493" t="s">
        <v>67</v>
      </c>
      <c r="R493">
        <v>85</v>
      </c>
      <c r="S493">
        <v>1</v>
      </c>
      <c r="T493" t="s">
        <v>123</v>
      </c>
      <c r="U493" t="s">
        <v>42</v>
      </c>
      <c r="V493">
        <v>3.78</v>
      </c>
      <c r="W493">
        <v>3.92</v>
      </c>
      <c r="X493">
        <v>8.8000000000000007</v>
      </c>
      <c r="Y493">
        <v>10.9</v>
      </c>
      <c r="Z493">
        <v>16.7</v>
      </c>
    </row>
    <row r="494" spans="1:26" x14ac:dyDescent="0.45">
      <c r="A494" t="s">
        <v>1605</v>
      </c>
      <c r="B494">
        <v>36</v>
      </c>
      <c r="C494" t="s">
        <v>27</v>
      </c>
      <c r="D494" t="s">
        <v>95</v>
      </c>
      <c r="E494" t="s">
        <v>163</v>
      </c>
      <c r="F494" t="s">
        <v>88</v>
      </c>
      <c r="G494" t="s">
        <v>96</v>
      </c>
      <c r="H494" t="s">
        <v>81</v>
      </c>
      <c r="I494" t="s">
        <v>33</v>
      </c>
      <c r="J494" t="s">
        <v>1606</v>
      </c>
      <c r="K494" t="s">
        <v>1607</v>
      </c>
      <c r="L494" t="s">
        <v>92</v>
      </c>
      <c r="M494" t="s">
        <v>75</v>
      </c>
      <c r="N494" t="s">
        <v>1435</v>
      </c>
      <c r="O494" t="s">
        <v>92</v>
      </c>
      <c r="P494" t="s">
        <v>55</v>
      </c>
      <c r="Q494" t="s">
        <v>40</v>
      </c>
      <c r="R494">
        <v>151</v>
      </c>
      <c r="S494">
        <v>0</v>
      </c>
      <c r="T494" t="s">
        <v>137</v>
      </c>
      <c r="U494" t="s">
        <v>57</v>
      </c>
      <c r="V494">
        <v>1.78</v>
      </c>
      <c r="W494">
        <v>2.38</v>
      </c>
      <c r="X494">
        <v>4</v>
      </c>
      <c r="Y494">
        <v>23.6</v>
      </c>
      <c r="Z494">
        <v>17.600000000000001</v>
      </c>
    </row>
    <row r="495" spans="1:26" x14ac:dyDescent="0.45">
      <c r="A495" t="s">
        <v>1608</v>
      </c>
      <c r="B495">
        <v>84</v>
      </c>
      <c r="C495" t="s">
        <v>44</v>
      </c>
      <c r="D495" t="s">
        <v>45</v>
      </c>
      <c r="E495" t="s">
        <v>163</v>
      </c>
      <c r="F495" t="s">
        <v>30</v>
      </c>
      <c r="G495" t="s">
        <v>89</v>
      </c>
      <c r="H495" t="s">
        <v>71</v>
      </c>
      <c r="I495" t="s">
        <v>132</v>
      </c>
      <c r="J495" t="s">
        <v>1073</v>
      </c>
      <c r="K495" t="s">
        <v>1609</v>
      </c>
      <c r="L495" t="s">
        <v>36</v>
      </c>
      <c r="M495" t="s">
        <v>348</v>
      </c>
      <c r="N495" t="s">
        <v>1514</v>
      </c>
      <c r="O495" t="s">
        <v>36</v>
      </c>
      <c r="P495" t="s">
        <v>110</v>
      </c>
      <c r="Q495" t="s">
        <v>30</v>
      </c>
      <c r="R495">
        <v>75</v>
      </c>
      <c r="S495">
        <v>0</v>
      </c>
      <c r="T495" t="s">
        <v>123</v>
      </c>
      <c r="U495" t="s">
        <v>57</v>
      </c>
      <c r="V495">
        <v>3.8</v>
      </c>
      <c r="W495">
        <v>3.91</v>
      </c>
      <c r="X495">
        <v>6.1</v>
      </c>
      <c r="Y495">
        <v>23</v>
      </c>
      <c r="Z495">
        <v>11.4</v>
      </c>
    </row>
    <row r="496" spans="1:26" x14ac:dyDescent="0.45">
      <c r="A496" t="s">
        <v>1610</v>
      </c>
      <c r="B496">
        <v>77</v>
      </c>
      <c r="C496" t="s">
        <v>45</v>
      </c>
      <c r="D496" t="s">
        <v>28</v>
      </c>
      <c r="E496" t="s">
        <v>78</v>
      </c>
      <c r="F496" t="s">
        <v>69</v>
      </c>
      <c r="G496" t="s">
        <v>89</v>
      </c>
      <c r="H496" t="s">
        <v>81</v>
      </c>
      <c r="I496" t="s">
        <v>132</v>
      </c>
      <c r="J496" t="s">
        <v>1611</v>
      </c>
      <c r="K496" t="s">
        <v>1612</v>
      </c>
      <c r="L496" t="s">
        <v>36</v>
      </c>
      <c r="M496" t="s">
        <v>155</v>
      </c>
      <c r="N496" t="s">
        <v>54</v>
      </c>
      <c r="O496" t="s">
        <v>36</v>
      </c>
      <c r="P496" t="s">
        <v>110</v>
      </c>
      <c r="Q496" t="s">
        <v>30</v>
      </c>
      <c r="R496">
        <v>114</v>
      </c>
      <c r="S496">
        <v>0</v>
      </c>
      <c r="T496" t="s">
        <v>123</v>
      </c>
      <c r="U496" t="s">
        <v>57</v>
      </c>
      <c r="V496">
        <v>2.52</v>
      </c>
      <c r="W496">
        <v>1.65</v>
      </c>
      <c r="X496">
        <v>8.1</v>
      </c>
      <c r="Y496">
        <v>19.2</v>
      </c>
      <c r="Z496">
        <v>9.5</v>
      </c>
    </row>
    <row r="497" spans="1:26" x14ac:dyDescent="0.45">
      <c r="A497" t="s">
        <v>1613</v>
      </c>
      <c r="B497">
        <v>50</v>
      </c>
      <c r="C497" t="s">
        <v>45</v>
      </c>
      <c r="D497" t="s">
        <v>87</v>
      </c>
      <c r="E497" t="s">
        <v>29</v>
      </c>
      <c r="F497" t="s">
        <v>59</v>
      </c>
      <c r="G497" t="s">
        <v>70</v>
      </c>
      <c r="H497" t="s">
        <v>81</v>
      </c>
      <c r="I497" t="s">
        <v>49</v>
      </c>
      <c r="J497" t="s">
        <v>1614</v>
      </c>
      <c r="K497" t="s">
        <v>1615</v>
      </c>
      <c r="L497" t="s">
        <v>92</v>
      </c>
      <c r="M497" t="s">
        <v>1398</v>
      </c>
      <c r="N497" t="s">
        <v>1211</v>
      </c>
      <c r="O497" t="s">
        <v>92</v>
      </c>
      <c r="P497" t="s">
        <v>55</v>
      </c>
      <c r="Q497" t="s">
        <v>75</v>
      </c>
      <c r="R497">
        <v>56</v>
      </c>
      <c r="S497">
        <v>0</v>
      </c>
      <c r="T497" t="s">
        <v>123</v>
      </c>
      <c r="U497" t="s">
        <v>57</v>
      </c>
      <c r="V497">
        <v>1.1000000000000001</v>
      </c>
      <c r="W497">
        <v>4.3600000000000003</v>
      </c>
      <c r="X497">
        <v>1.1000000000000001</v>
      </c>
      <c r="Y497">
        <v>18.7</v>
      </c>
      <c r="Z497">
        <v>19.5</v>
      </c>
    </row>
    <row r="498" spans="1:26" x14ac:dyDescent="0.45">
      <c r="A498" t="s">
        <v>1616</v>
      </c>
      <c r="B498">
        <v>21</v>
      </c>
      <c r="C498" t="s">
        <v>45</v>
      </c>
      <c r="D498" t="s">
        <v>106</v>
      </c>
      <c r="E498" t="s">
        <v>46</v>
      </c>
      <c r="F498" t="s">
        <v>30</v>
      </c>
      <c r="G498" t="s">
        <v>96</v>
      </c>
      <c r="H498" t="s">
        <v>61</v>
      </c>
      <c r="I498" t="s">
        <v>33</v>
      </c>
      <c r="J498" t="s">
        <v>1617</v>
      </c>
      <c r="K498" t="s">
        <v>1618</v>
      </c>
      <c r="L498" t="s">
        <v>92</v>
      </c>
      <c r="M498" t="s">
        <v>322</v>
      </c>
      <c r="N498" t="s">
        <v>537</v>
      </c>
      <c r="O498" t="s">
        <v>92</v>
      </c>
      <c r="P498" t="s">
        <v>110</v>
      </c>
      <c r="Q498" t="s">
        <v>75</v>
      </c>
      <c r="R498">
        <v>34</v>
      </c>
      <c r="S498">
        <v>0</v>
      </c>
      <c r="T498" t="s">
        <v>137</v>
      </c>
      <c r="U498" t="s">
        <v>57</v>
      </c>
      <c r="V498">
        <v>2.75</v>
      </c>
      <c r="W498">
        <v>1.94</v>
      </c>
      <c r="X498">
        <v>7.3</v>
      </c>
      <c r="Y498">
        <v>20.7</v>
      </c>
      <c r="Z498">
        <v>12.3</v>
      </c>
    </row>
    <row r="499" spans="1:26" x14ac:dyDescent="0.45">
      <c r="A499" t="s">
        <v>1619</v>
      </c>
      <c r="B499">
        <v>39</v>
      </c>
      <c r="C499" t="s">
        <v>45</v>
      </c>
      <c r="D499" t="s">
        <v>28</v>
      </c>
      <c r="E499" t="s">
        <v>29</v>
      </c>
      <c r="F499" t="s">
        <v>47</v>
      </c>
      <c r="G499" t="s">
        <v>48</v>
      </c>
      <c r="H499" t="s">
        <v>61</v>
      </c>
      <c r="I499" t="s">
        <v>49</v>
      </c>
      <c r="J499" t="s">
        <v>1329</v>
      </c>
      <c r="K499" t="s">
        <v>1620</v>
      </c>
      <c r="L499" t="s">
        <v>64</v>
      </c>
      <c r="M499" t="s">
        <v>67</v>
      </c>
      <c r="N499" t="s">
        <v>1621</v>
      </c>
      <c r="O499" t="s">
        <v>64</v>
      </c>
      <c r="P499" t="s">
        <v>39</v>
      </c>
      <c r="Q499" t="s">
        <v>30</v>
      </c>
      <c r="R499">
        <v>80</v>
      </c>
      <c r="S499">
        <v>1</v>
      </c>
      <c r="T499" t="s">
        <v>85</v>
      </c>
      <c r="U499" t="s">
        <v>57</v>
      </c>
      <c r="V499">
        <v>4.87</v>
      </c>
      <c r="W499">
        <v>1.21</v>
      </c>
      <c r="X499">
        <v>5.5</v>
      </c>
      <c r="Y499">
        <v>18.899999999999999</v>
      </c>
      <c r="Z499">
        <v>17.7</v>
      </c>
    </row>
    <row r="500" spans="1:26" x14ac:dyDescent="0.45">
      <c r="A500" t="s">
        <v>1622</v>
      </c>
      <c r="B500">
        <v>40</v>
      </c>
      <c r="C500" t="s">
        <v>45</v>
      </c>
      <c r="D500" t="s">
        <v>87</v>
      </c>
      <c r="E500" t="s">
        <v>30</v>
      </c>
      <c r="F500" t="s">
        <v>59</v>
      </c>
      <c r="G500" t="s">
        <v>102</v>
      </c>
      <c r="H500" t="s">
        <v>32</v>
      </c>
      <c r="I500" t="s">
        <v>33</v>
      </c>
      <c r="J500" t="s">
        <v>1623</v>
      </c>
      <c r="K500" t="s">
        <v>1624</v>
      </c>
      <c r="L500" t="s">
        <v>36</v>
      </c>
      <c r="M500" t="s">
        <v>129</v>
      </c>
      <c r="N500" t="s">
        <v>313</v>
      </c>
      <c r="O500" t="s">
        <v>36</v>
      </c>
      <c r="P500" t="s">
        <v>39</v>
      </c>
      <c r="Q500" t="s">
        <v>129</v>
      </c>
      <c r="R500">
        <v>77</v>
      </c>
      <c r="S500">
        <v>1</v>
      </c>
      <c r="T500" t="s">
        <v>137</v>
      </c>
      <c r="U500" t="s">
        <v>42</v>
      </c>
      <c r="V500">
        <v>1.72</v>
      </c>
      <c r="W500">
        <v>4.2</v>
      </c>
      <c r="X500">
        <v>6</v>
      </c>
      <c r="Y500">
        <v>13.1</v>
      </c>
      <c r="Z500">
        <v>5.2</v>
      </c>
    </row>
    <row r="501" spans="1:26" x14ac:dyDescent="0.45">
      <c r="A501" t="s">
        <v>1625</v>
      </c>
      <c r="B501">
        <v>39</v>
      </c>
      <c r="C501" t="s">
        <v>27</v>
      </c>
      <c r="D501" t="s">
        <v>106</v>
      </c>
      <c r="E501" t="s">
        <v>30</v>
      </c>
      <c r="F501" t="s">
        <v>79</v>
      </c>
      <c r="G501" t="s">
        <v>276</v>
      </c>
      <c r="H501" t="s">
        <v>71</v>
      </c>
      <c r="I501" t="s">
        <v>72</v>
      </c>
      <c r="J501" t="s">
        <v>1626</v>
      </c>
      <c r="K501" t="s">
        <v>1627</v>
      </c>
      <c r="L501" t="s">
        <v>64</v>
      </c>
      <c r="M501" t="s">
        <v>30</v>
      </c>
      <c r="N501" t="s">
        <v>146</v>
      </c>
      <c r="O501" t="s">
        <v>64</v>
      </c>
      <c r="P501" t="s">
        <v>110</v>
      </c>
      <c r="Q501" t="s">
        <v>30</v>
      </c>
      <c r="R501">
        <v>135</v>
      </c>
      <c r="S501">
        <v>0</v>
      </c>
      <c r="T501" t="s">
        <v>41</v>
      </c>
      <c r="U501" t="s">
        <v>42</v>
      </c>
      <c r="V501">
        <v>4.46</v>
      </c>
      <c r="W501">
        <v>1.63</v>
      </c>
      <c r="X501">
        <v>3.8</v>
      </c>
      <c r="Y501">
        <v>11.2</v>
      </c>
      <c r="Z501">
        <v>17.8</v>
      </c>
    </row>
    <row r="502" spans="1:26" x14ac:dyDescent="0.45">
      <c r="A502" t="s">
        <v>1628</v>
      </c>
      <c r="B502">
        <v>52</v>
      </c>
      <c r="C502" t="s">
        <v>27</v>
      </c>
      <c r="D502" t="s">
        <v>106</v>
      </c>
      <c r="E502" t="s">
        <v>30</v>
      </c>
      <c r="F502" t="s">
        <v>47</v>
      </c>
      <c r="G502" t="s">
        <v>184</v>
      </c>
      <c r="H502" t="s">
        <v>61</v>
      </c>
      <c r="I502" t="s">
        <v>33</v>
      </c>
      <c r="J502" t="s">
        <v>1629</v>
      </c>
      <c r="K502" t="s">
        <v>1630</v>
      </c>
      <c r="L502" t="s">
        <v>36</v>
      </c>
      <c r="M502" t="s">
        <v>1279</v>
      </c>
      <c r="N502" t="s">
        <v>1631</v>
      </c>
      <c r="O502" t="s">
        <v>36</v>
      </c>
      <c r="P502" t="s">
        <v>39</v>
      </c>
      <c r="Q502" t="s">
        <v>75</v>
      </c>
      <c r="R502">
        <v>175</v>
      </c>
      <c r="S502">
        <v>1</v>
      </c>
      <c r="T502" t="s">
        <v>41</v>
      </c>
      <c r="U502" t="s">
        <v>57</v>
      </c>
      <c r="V502">
        <v>3.69</v>
      </c>
      <c r="W502">
        <v>4.1900000000000004</v>
      </c>
      <c r="X502">
        <v>3.3</v>
      </c>
      <c r="Y502">
        <v>17.2</v>
      </c>
      <c r="Z502">
        <v>12.7</v>
      </c>
    </row>
    <row r="503" spans="1:26" x14ac:dyDescent="0.45">
      <c r="A503" t="s">
        <v>1632</v>
      </c>
      <c r="B503">
        <v>62</v>
      </c>
      <c r="C503" t="s">
        <v>45</v>
      </c>
      <c r="D503" t="s">
        <v>28</v>
      </c>
      <c r="E503" t="s">
        <v>46</v>
      </c>
      <c r="F503" t="s">
        <v>69</v>
      </c>
      <c r="G503" t="s">
        <v>178</v>
      </c>
      <c r="H503" t="s">
        <v>32</v>
      </c>
      <c r="I503" t="s">
        <v>49</v>
      </c>
      <c r="J503" t="s">
        <v>519</v>
      </c>
      <c r="K503" t="s">
        <v>1633</v>
      </c>
      <c r="L503" t="s">
        <v>36</v>
      </c>
      <c r="M503" t="s">
        <v>451</v>
      </c>
      <c r="N503" t="s">
        <v>682</v>
      </c>
      <c r="O503" t="s">
        <v>36</v>
      </c>
      <c r="P503" t="s">
        <v>110</v>
      </c>
      <c r="Q503" t="s">
        <v>67</v>
      </c>
      <c r="R503">
        <v>151</v>
      </c>
      <c r="S503">
        <v>0</v>
      </c>
      <c r="T503" t="s">
        <v>41</v>
      </c>
      <c r="U503" t="s">
        <v>57</v>
      </c>
      <c r="V503">
        <v>4.33</v>
      </c>
      <c r="W503">
        <v>4.62</v>
      </c>
      <c r="X503">
        <v>1.1000000000000001</v>
      </c>
      <c r="Y503">
        <v>18.100000000000001</v>
      </c>
      <c r="Z503">
        <v>3.9</v>
      </c>
    </row>
    <row r="504" spans="1:26" x14ac:dyDescent="0.45">
      <c r="A504" t="s">
        <v>1634</v>
      </c>
      <c r="B504">
        <v>59</v>
      </c>
      <c r="C504" t="s">
        <v>44</v>
      </c>
      <c r="D504" t="s">
        <v>45</v>
      </c>
      <c r="E504" t="s">
        <v>78</v>
      </c>
      <c r="F504" t="s">
        <v>30</v>
      </c>
      <c r="G504" t="s">
        <v>118</v>
      </c>
      <c r="H504" t="s">
        <v>32</v>
      </c>
      <c r="I504" t="s">
        <v>49</v>
      </c>
      <c r="J504" t="s">
        <v>1635</v>
      </c>
      <c r="K504" t="s">
        <v>1636</v>
      </c>
      <c r="L504" t="s">
        <v>36</v>
      </c>
      <c r="M504" t="s">
        <v>697</v>
      </c>
      <c r="N504" t="s">
        <v>383</v>
      </c>
      <c r="O504" t="s">
        <v>36</v>
      </c>
      <c r="P504" t="s">
        <v>55</v>
      </c>
      <c r="Q504" t="s">
        <v>30</v>
      </c>
      <c r="R504">
        <v>71</v>
      </c>
      <c r="S504">
        <v>0</v>
      </c>
      <c r="T504" t="s">
        <v>56</v>
      </c>
      <c r="U504" t="s">
        <v>42</v>
      </c>
      <c r="V504">
        <v>3.2</v>
      </c>
      <c r="W504">
        <v>2.15</v>
      </c>
      <c r="X504">
        <v>3.8</v>
      </c>
      <c r="Y504">
        <v>12.4</v>
      </c>
      <c r="Z504">
        <v>13.6</v>
      </c>
    </row>
    <row r="505" spans="1:26" x14ac:dyDescent="0.45">
      <c r="A505" t="s">
        <v>1637</v>
      </c>
      <c r="B505">
        <v>20</v>
      </c>
      <c r="C505" t="s">
        <v>44</v>
      </c>
      <c r="D505" t="s">
        <v>45</v>
      </c>
      <c r="E505" t="s">
        <v>78</v>
      </c>
      <c r="F505" t="s">
        <v>30</v>
      </c>
      <c r="G505" t="s">
        <v>48</v>
      </c>
      <c r="H505" t="s">
        <v>81</v>
      </c>
      <c r="I505" t="s">
        <v>33</v>
      </c>
      <c r="J505" t="s">
        <v>1483</v>
      </c>
      <c r="K505" t="s">
        <v>1638</v>
      </c>
      <c r="L505" t="s">
        <v>64</v>
      </c>
      <c r="M505" t="s">
        <v>295</v>
      </c>
      <c r="N505" t="s">
        <v>459</v>
      </c>
      <c r="O505" t="s">
        <v>64</v>
      </c>
      <c r="P505" t="s">
        <v>39</v>
      </c>
      <c r="Q505" t="s">
        <v>75</v>
      </c>
      <c r="R505">
        <v>57</v>
      </c>
      <c r="S505">
        <v>1</v>
      </c>
      <c r="T505" t="s">
        <v>56</v>
      </c>
      <c r="U505" t="s">
        <v>57</v>
      </c>
      <c r="V505">
        <v>2.34</v>
      </c>
      <c r="W505">
        <v>3.93</v>
      </c>
      <c r="X505">
        <v>4.5999999999999996</v>
      </c>
      <c r="Y505">
        <v>7.2</v>
      </c>
      <c r="Z505">
        <v>16.3</v>
      </c>
    </row>
    <row r="506" spans="1:26" x14ac:dyDescent="0.45">
      <c r="A506" t="s">
        <v>1639</v>
      </c>
      <c r="B506">
        <v>52</v>
      </c>
      <c r="C506" t="s">
        <v>45</v>
      </c>
      <c r="D506" t="s">
        <v>95</v>
      </c>
      <c r="E506" t="s">
        <v>29</v>
      </c>
      <c r="F506" t="s">
        <v>69</v>
      </c>
      <c r="G506" t="s">
        <v>112</v>
      </c>
      <c r="H506" t="s">
        <v>32</v>
      </c>
      <c r="I506" t="s">
        <v>72</v>
      </c>
      <c r="J506" t="s">
        <v>1640</v>
      </c>
      <c r="K506" t="s">
        <v>1641</v>
      </c>
      <c r="L506" t="s">
        <v>64</v>
      </c>
      <c r="M506" t="s">
        <v>129</v>
      </c>
      <c r="N506" t="s">
        <v>763</v>
      </c>
      <c r="O506" t="s">
        <v>64</v>
      </c>
      <c r="P506" t="s">
        <v>39</v>
      </c>
      <c r="Q506" t="s">
        <v>30</v>
      </c>
      <c r="R506">
        <v>147</v>
      </c>
      <c r="S506">
        <v>1</v>
      </c>
      <c r="T506" t="s">
        <v>56</v>
      </c>
      <c r="U506" t="s">
        <v>42</v>
      </c>
      <c r="V506">
        <v>2.14</v>
      </c>
      <c r="W506">
        <v>2.73</v>
      </c>
      <c r="X506">
        <v>7.2</v>
      </c>
      <c r="Y506">
        <v>12</v>
      </c>
      <c r="Z506">
        <v>4</v>
      </c>
    </row>
    <row r="507" spans="1:26" x14ac:dyDescent="0.45">
      <c r="A507" t="s">
        <v>1642</v>
      </c>
      <c r="B507">
        <v>76</v>
      </c>
      <c r="C507" t="s">
        <v>27</v>
      </c>
      <c r="D507" t="s">
        <v>106</v>
      </c>
      <c r="E507" t="s">
        <v>46</v>
      </c>
      <c r="F507" t="s">
        <v>30</v>
      </c>
      <c r="G507" t="s">
        <v>276</v>
      </c>
      <c r="H507" t="s">
        <v>32</v>
      </c>
      <c r="I507" t="s">
        <v>49</v>
      </c>
      <c r="J507" t="s">
        <v>1643</v>
      </c>
      <c r="K507" t="s">
        <v>1644</v>
      </c>
      <c r="L507" t="s">
        <v>36</v>
      </c>
      <c r="M507" t="s">
        <v>67</v>
      </c>
      <c r="N507" t="s">
        <v>690</v>
      </c>
      <c r="O507" t="s">
        <v>36</v>
      </c>
      <c r="P507" t="s">
        <v>110</v>
      </c>
      <c r="Q507" t="s">
        <v>75</v>
      </c>
      <c r="R507">
        <v>125</v>
      </c>
      <c r="S507">
        <v>0</v>
      </c>
      <c r="T507" t="s">
        <v>123</v>
      </c>
      <c r="U507" t="s">
        <v>57</v>
      </c>
      <c r="V507">
        <v>2.5</v>
      </c>
      <c r="W507">
        <v>4.78</v>
      </c>
      <c r="X507">
        <v>6.8</v>
      </c>
      <c r="Y507">
        <v>18.100000000000001</v>
      </c>
      <c r="Z507">
        <v>13.7</v>
      </c>
    </row>
    <row r="508" spans="1:26" x14ac:dyDescent="0.45">
      <c r="A508" t="s">
        <v>1645</v>
      </c>
      <c r="B508">
        <v>38</v>
      </c>
      <c r="C508" t="s">
        <v>44</v>
      </c>
      <c r="D508" t="s">
        <v>87</v>
      </c>
      <c r="E508" t="s">
        <v>78</v>
      </c>
      <c r="F508" t="s">
        <v>30</v>
      </c>
      <c r="G508" t="s">
        <v>131</v>
      </c>
      <c r="H508" t="s">
        <v>71</v>
      </c>
      <c r="I508" t="s">
        <v>33</v>
      </c>
      <c r="J508" t="s">
        <v>1646</v>
      </c>
      <c r="K508" t="s">
        <v>1239</v>
      </c>
      <c r="L508" t="s">
        <v>92</v>
      </c>
      <c r="M508" t="s">
        <v>121</v>
      </c>
      <c r="N508" t="s">
        <v>930</v>
      </c>
      <c r="O508" t="s">
        <v>92</v>
      </c>
      <c r="P508" t="s">
        <v>39</v>
      </c>
      <c r="Q508" t="s">
        <v>40</v>
      </c>
      <c r="R508">
        <v>113</v>
      </c>
      <c r="S508">
        <v>1</v>
      </c>
      <c r="T508" t="s">
        <v>137</v>
      </c>
      <c r="U508" t="s">
        <v>57</v>
      </c>
      <c r="V508">
        <v>1.8</v>
      </c>
      <c r="W508">
        <v>2.67</v>
      </c>
      <c r="X508">
        <v>7.8</v>
      </c>
      <c r="Y508">
        <v>7.8</v>
      </c>
      <c r="Z508">
        <v>7.7</v>
      </c>
    </row>
    <row r="509" spans="1:26" x14ac:dyDescent="0.45">
      <c r="A509" t="s">
        <v>1647</v>
      </c>
      <c r="B509">
        <v>68</v>
      </c>
      <c r="C509" t="s">
        <v>45</v>
      </c>
      <c r="D509" t="s">
        <v>87</v>
      </c>
      <c r="E509" t="s">
        <v>30</v>
      </c>
      <c r="F509" t="s">
        <v>69</v>
      </c>
      <c r="G509" t="s">
        <v>164</v>
      </c>
      <c r="H509" t="s">
        <v>71</v>
      </c>
      <c r="I509" t="s">
        <v>72</v>
      </c>
      <c r="J509" t="s">
        <v>1648</v>
      </c>
      <c r="K509" t="s">
        <v>133</v>
      </c>
      <c r="L509" t="s">
        <v>92</v>
      </c>
      <c r="M509" t="s">
        <v>566</v>
      </c>
      <c r="N509" t="s">
        <v>122</v>
      </c>
      <c r="O509" t="s">
        <v>92</v>
      </c>
      <c r="P509" t="s">
        <v>39</v>
      </c>
      <c r="Q509" t="s">
        <v>67</v>
      </c>
      <c r="R509">
        <v>157</v>
      </c>
      <c r="S509">
        <v>1</v>
      </c>
      <c r="T509" t="s">
        <v>41</v>
      </c>
      <c r="U509" t="s">
        <v>42</v>
      </c>
      <c r="V509">
        <v>2.11</v>
      </c>
      <c r="W509">
        <v>2.73</v>
      </c>
      <c r="X509">
        <v>9.8000000000000007</v>
      </c>
      <c r="Y509">
        <v>7.2</v>
      </c>
      <c r="Z509">
        <v>11.8</v>
      </c>
    </row>
    <row r="510" spans="1:26" x14ac:dyDescent="0.45">
      <c r="A510" t="s">
        <v>1649</v>
      </c>
      <c r="B510">
        <v>45</v>
      </c>
      <c r="C510" t="s">
        <v>44</v>
      </c>
      <c r="D510" t="s">
        <v>95</v>
      </c>
      <c r="E510" t="s">
        <v>163</v>
      </c>
      <c r="F510" t="s">
        <v>79</v>
      </c>
      <c r="G510" t="s">
        <v>48</v>
      </c>
      <c r="H510" t="s">
        <v>71</v>
      </c>
      <c r="I510" t="s">
        <v>132</v>
      </c>
      <c r="J510" t="s">
        <v>1257</v>
      </c>
      <c r="K510" t="s">
        <v>1242</v>
      </c>
      <c r="L510" t="s">
        <v>92</v>
      </c>
      <c r="M510" t="s">
        <v>1291</v>
      </c>
      <c r="N510" t="s">
        <v>1083</v>
      </c>
      <c r="O510" t="s">
        <v>92</v>
      </c>
      <c r="P510" t="s">
        <v>55</v>
      </c>
      <c r="Q510" t="s">
        <v>75</v>
      </c>
      <c r="R510">
        <v>57</v>
      </c>
      <c r="S510">
        <v>0</v>
      </c>
      <c r="T510" t="s">
        <v>56</v>
      </c>
      <c r="U510" t="s">
        <v>42</v>
      </c>
      <c r="V510">
        <v>1.72</v>
      </c>
      <c r="W510">
        <v>4.88</v>
      </c>
      <c r="X510">
        <v>2</v>
      </c>
      <c r="Y510">
        <v>13.3</v>
      </c>
      <c r="Z510">
        <v>15.5</v>
      </c>
    </row>
    <row r="511" spans="1:26" x14ac:dyDescent="0.45">
      <c r="A511" t="s">
        <v>1650</v>
      </c>
      <c r="B511">
        <v>62</v>
      </c>
      <c r="C511" t="s">
        <v>45</v>
      </c>
      <c r="D511" t="s">
        <v>87</v>
      </c>
      <c r="E511" t="s">
        <v>78</v>
      </c>
      <c r="F511" t="s">
        <v>30</v>
      </c>
      <c r="G511" t="s">
        <v>164</v>
      </c>
      <c r="H511" t="s">
        <v>71</v>
      </c>
      <c r="I511" t="s">
        <v>132</v>
      </c>
      <c r="J511" t="s">
        <v>1651</v>
      </c>
      <c r="K511" t="s">
        <v>1652</v>
      </c>
      <c r="L511" t="s">
        <v>36</v>
      </c>
      <c r="M511" t="s">
        <v>40</v>
      </c>
      <c r="N511" t="s">
        <v>142</v>
      </c>
      <c r="O511" t="s">
        <v>36</v>
      </c>
      <c r="P511" t="s">
        <v>110</v>
      </c>
      <c r="Q511" t="s">
        <v>40</v>
      </c>
      <c r="R511">
        <v>138</v>
      </c>
      <c r="S511">
        <v>0</v>
      </c>
      <c r="T511" t="s">
        <v>123</v>
      </c>
      <c r="U511" t="s">
        <v>57</v>
      </c>
      <c r="V511">
        <v>3.82</v>
      </c>
      <c r="W511">
        <v>2.69</v>
      </c>
      <c r="X511">
        <v>4.0999999999999996</v>
      </c>
      <c r="Y511">
        <v>13.2</v>
      </c>
      <c r="Z511">
        <v>7.5</v>
      </c>
    </row>
    <row r="512" spans="1:26" x14ac:dyDescent="0.45">
      <c r="A512" t="s">
        <v>1653</v>
      </c>
      <c r="B512">
        <v>72</v>
      </c>
      <c r="C512" t="s">
        <v>44</v>
      </c>
      <c r="D512" t="s">
        <v>87</v>
      </c>
      <c r="E512" t="s">
        <v>29</v>
      </c>
      <c r="F512" t="s">
        <v>30</v>
      </c>
      <c r="G512" t="s">
        <v>440</v>
      </c>
      <c r="H512" t="s">
        <v>32</v>
      </c>
      <c r="I512" t="s">
        <v>33</v>
      </c>
      <c r="J512" t="s">
        <v>1654</v>
      </c>
      <c r="K512" t="s">
        <v>1655</v>
      </c>
      <c r="L512" t="s">
        <v>52</v>
      </c>
      <c r="M512" t="s">
        <v>378</v>
      </c>
      <c r="N512" t="s">
        <v>950</v>
      </c>
      <c r="O512" t="s">
        <v>52</v>
      </c>
      <c r="P512" t="s">
        <v>39</v>
      </c>
      <c r="Q512" t="s">
        <v>67</v>
      </c>
      <c r="R512">
        <v>31</v>
      </c>
      <c r="S512">
        <v>1</v>
      </c>
      <c r="T512" t="s">
        <v>137</v>
      </c>
      <c r="U512" t="s">
        <v>57</v>
      </c>
      <c r="V512">
        <v>1.82</v>
      </c>
      <c r="W512">
        <v>2.93</v>
      </c>
      <c r="X512">
        <v>3.4</v>
      </c>
      <c r="Y512">
        <v>11.2</v>
      </c>
      <c r="Z512">
        <v>14.2</v>
      </c>
    </row>
    <row r="513" spans="1:26" x14ac:dyDescent="0.45">
      <c r="A513" t="s">
        <v>1656</v>
      </c>
      <c r="B513">
        <v>43</v>
      </c>
      <c r="C513" t="s">
        <v>45</v>
      </c>
      <c r="D513" t="s">
        <v>45</v>
      </c>
      <c r="E513" t="s">
        <v>78</v>
      </c>
      <c r="F513" t="s">
        <v>47</v>
      </c>
      <c r="G513" t="s">
        <v>276</v>
      </c>
      <c r="H513" t="s">
        <v>61</v>
      </c>
      <c r="I513" t="s">
        <v>49</v>
      </c>
      <c r="J513" t="s">
        <v>618</v>
      </c>
      <c r="K513" t="s">
        <v>1657</v>
      </c>
      <c r="L513" t="s">
        <v>64</v>
      </c>
      <c r="M513" t="s">
        <v>295</v>
      </c>
      <c r="N513" t="s">
        <v>950</v>
      </c>
      <c r="O513" t="s">
        <v>64</v>
      </c>
      <c r="P513" t="s">
        <v>55</v>
      </c>
      <c r="Q513" t="s">
        <v>129</v>
      </c>
      <c r="R513">
        <v>168</v>
      </c>
      <c r="S513">
        <v>0</v>
      </c>
      <c r="T513" t="s">
        <v>137</v>
      </c>
      <c r="U513" t="s">
        <v>42</v>
      </c>
      <c r="V513">
        <v>4.87</v>
      </c>
      <c r="W513">
        <v>3.41</v>
      </c>
      <c r="X513">
        <v>1.7</v>
      </c>
      <c r="Y513">
        <v>7.4</v>
      </c>
      <c r="Z513">
        <v>19.2</v>
      </c>
    </row>
    <row r="514" spans="1:26" x14ac:dyDescent="0.45">
      <c r="A514" t="s">
        <v>1658</v>
      </c>
      <c r="B514">
        <v>55</v>
      </c>
      <c r="C514" t="s">
        <v>44</v>
      </c>
      <c r="D514" t="s">
        <v>95</v>
      </c>
      <c r="E514" t="s">
        <v>163</v>
      </c>
      <c r="F514" t="s">
        <v>59</v>
      </c>
      <c r="G514" t="s">
        <v>118</v>
      </c>
      <c r="H514" t="s">
        <v>61</v>
      </c>
      <c r="I514" t="s">
        <v>132</v>
      </c>
      <c r="J514" t="s">
        <v>1659</v>
      </c>
      <c r="K514" t="s">
        <v>1284</v>
      </c>
      <c r="L514" t="s">
        <v>52</v>
      </c>
      <c r="M514" t="s">
        <v>129</v>
      </c>
      <c r="N514" t="s">
        <v>1660</v>
      </c>
      <c r="O514" t="s">
        <v>52</v>
      </c>
      <c r="P514" t="s">
        <v>39</v>
      </c>
      <c r="Q514" t="s">
        <v>67</v>
      </c>
      <c r="R514">
        <v>67</v>
      </c>
      <c r="S514">
        <v>1</v>
      </c>
      <c r="T514" t="s">
        <v>56</v>
      </c>
      <c r="U514" t="s">
        <v>57</v>
      </c>
      <c r="V514">
        <v>2.19</v>
      </c>
      <c r="W514">
        <v>1.37</v>
      </c>
      <c r="X514">
        <v>6.4</v>
      </c>
      <c r="Y514">
        <v>17.2</v>
      </c>
      <c r="Z514">
        <v>14</v>
      </c>
    </row>
    <row r="515" spans="1:26" x14ac:dyDescent="0.45">
      <c r="A515" t="s">
        <v>1661</v>
      </c>
      <c r="B515">
        <v>53</v>
      </c>
      <c r="C515" t="s">
        <v>44</v>
      </c>
      <c r="D515" t="s">
        <v>95</v>
      </c>
      <c r="E515" t="s">
        <v>29</v>
      </c>
      <c r="F515" t="s">
        <v>69</v>
      </c>
      <c r="G515" t="s">
        <v>80</v>
      </c>
      <c r="H515" t="s">
        <v>81</v>
      </c>
      <c r="I515" t="s">
        <v>49</v>
      </c>
      <c r="J515" t="s">
        <v>1662</v>
      </c>
      <c r="K515" t="s">
        <v>1663</v>
      </c>
      <c r="L515" t="s">
        <v>52</v>
      </c>
      <c r="M515" t="s">
        <v>239</v>
      </c>
      <c r="N515" t="s">
        <v>812</v>
      </c>
      <c r="O515" t="s">
        <v>52</v>
      </c>
      <c r="P515" t="s">
        <v>39</v>
      </c>
      <c r="Q515" t="s">
        <v>30</v>
      </c>
      <c r="R515">
        <v>107</v>
      </c>
      <c r="S515">
        <v>1</v>
      </c>
      <c r="T515" t="s">
        <v>56</v>
      </c>
      <c r="U515" t="s">
        <v>57</v>
      </c>
      <c r="V515">
        <v>2.0699999999999998</v>
      </c>
      <c r="W515">
        <v>1.06</v>
      </c>
      <c r="X515">
        <v>9.6999999999999993</v>
      </c>
      <c r="Y515">
        <v>10.5</v>
      </c>
      <c r="Z515">
        <v>14.5</v>
      </c>
    </row>
    <row r="516" spans="1:26" x14ac:dyDescent="0.45">
      <c r="A516" t="s">
        <v>1664</v>
      </c>
      <c r="B516">
        <v>20</v>
      </c>
      <c r="C516" t="s">
        <v>27</v>
      </c>
      <c r="D516" t="s">
        <v>28</v>
      </c>
      <c r="E516" t="s">
        <v>163</v>
      </c>
      <c r="F516" t="s">
        <v>30</v>
      </c>
      <c r="G516" t="s">
        <v>48</v>
      </c>
      <c r="H516" t="s">
        <v>61</v>
      </c>
      <c r="I516" t="s">
        <v>72</v>
      </c>
      <c r="J516" t="s">
        <v>1665</v>
      </c>
      <c r="K516" t="s">
        <v>1666</v>
      </c>
      <c r="L516" t="s">
        <v>52</v>
      </c>
      <c r="M516" t="s">
        <v>202</v>
      </c>
      <c r="N516" t="s">
        <v>1667</v>
      </c>
      <c r="O516" t="s">
        <v>52</v>
      </c>
      <c r="P516" t="s">
        <v>39</v>
      </c>
      <c r="Q516" t="s">
        <v>40</v>
      </c>
      <c r="R516">
        <v>100</v>
      </c>
      <c r="S516">
        <v>1</v>
      </c>
      <c r="T516" t="s">
        <v>41</v>
      </c>
      <c r="U516" t="s">
        <v>57</v>
      </c>
      <c r="V516">
        <v>3.83</v>
      </c>
      <c r="W516">
        <v>3.44</v>
      </c>
      <c r="X516">
        <v>3.8</v>
      </c>
      <c r="Y516">
        <v>10.9</v>
      </c>
      <c r="Z516">
        <v>13.2</v>
      </c>
    </row>
    <row r="517" spans="1:26" x14ac:dyDescent="0.45">
      <c r="A517" t="s">
        <v>1668</v>
      </c>
      <c r="B517">
        <v>82</v>
      </c>
      <c r="C517" t="s">
        <v>45</v>
      </c>
      <c r="D517" t="s">
        <v>87</v>
      </c>
      <c r="E517" t="s">
        <v>29</v>
      </c>
      <c r="F517" t="s">
        <v>79</v>
      </c>
      <c r="G517" t="s">
        <v>276</v>
      </c>
      <c r="H517" t="s">
        <v>32</v>
      </c>
      <c r="I517" t="s">
        <v>49</v>
      </c>
      <c r="J517" t="s">
        <v>1669</v>
      </c>
      <c r="K517" t="s">
        <v>269</v>
      </c>
      <c r="L517" t="s">
        <v>36</v>
      </c>
      <c r="M517" t="s">
        <v>863</v>
      </c>
      <c r="N517" t="s">
        <v>971</v>
      </c>
      <c r="O517" t="s">
        <v>36</v>
      </c>
      <c r="P517" t="s">
        <v>110</v>
      </c>
      <c r="Q517" t="s">
        <v>30</v>
      </c>
      <c r="R517">
        <v>54</v>
      </c>
      <c r="S517">
        <v>0</v>
      </c>
      <c r="T517" t="s">
        <v>41</v>
      </c>
      <c r="U517" t="s">
        <v>42</v>
      </c>
      <c r="V517">
        <v>4.46</v>
      </c>
      <c r="W517">
        <v>4.79</v>
      </c>
      <c r="X517">
        <v>2</v>
      </c>
      <c r="Y517">
        <v>8.8000000000000007</v>
      </c>
      <c r="Z517">
        <v>19.100000000000001</v>
      </c>
    </row>
    <row r="518" spans="1:26" x14ac:dyDescent="0.45">
      <c r="A518" t="s">
        <v>1670</v>
      </c>
      <c r="B518">
        <v>20</v>
      </c>
      <c r="C518" t="s">
        <v>45</v>
      </c>
      <c r="D518" t="s">
        <v>28</v>
      </c>
      <c r="E518" t="s">
        <v>46</v>
      </c>
      <c r="F518" t="s">
        <v>59</v>
      </c>
      <c r="G518" t="s">
        <v>152</v>
      </c>
      <c r="H518" t="s">
        <v>81</v>
      </c>
      <c r="I518" t="s">
        <v>33</v>
      </c>
      <c r="J518" t="s">
        <v>1671</v>
      </c>
      <c r="K518" t="s">
        <v>1508</v>
      </c>
      <c r="L518" t="s">
        <v>36</v>
      </c>
      <c r="M518" t="s">
        <v>65</v>
      </c>
      <c r="N518" t="s">
        <v>358</v>
      </c>
      <c r="O518" t="s">
        <v>36</v>
      </c>
      <c r="P518" t="s">
        <v>55</v>
      </c>
      <c r="Q518" t="s">
        <v>40</v>
      </c>
      <c r="R518">
        <v>68</v>
      </c>
      <c r="S518">
        <v>0</v>
      </c>
      <c r="T518" t="s">
        <v>56</v>
      </c>
      <c r="U518" t="s">
        <v>57</v>
      </c>
      <c r="V518">
        <v>3.95</v>
      </c>
      <c r="W518">
        <v>4.53</v>
      </c>
      <c r="X518">
        <v>2.8</v>
      </c>
      <c r="Y518">
        <v>16.600000000000001</v>
      </c>
      <c r="Z518">
        <v>14.9</v>
      </c>
    </row>
    <row r="519" spans="1:26" x14ac:dyDescent="0.45">
      <c r="A519" t="s">
        <v>1672</v>
      </c>
      <c r="B519">
        <v>44</v>
      </c>
      <c r="C519" t="s">
        <v>45</v>
      </c>
      <c r="D519" t="s">
        <v>106</v>
      </c>
      <c r="E519" t="s">
        <v>78</v>
      </c>
      <c r="F519" t="s">
        <v>88</v>
      </c>
      <c r="G519" t="s">
        <v>80</v>
      </c>
      <c r="H519" t="s">
        <v>61</v>
      </c>
      <c r="I519" t="s">
        <v>33</v>
      </c>
      <c r="J519" t="s">
        <v>1673</v>
      </c>
      <c r="K519" t="s">
        <v>1674</v>
      </c>
      <c r="L519" t="s">
        <v>64</v>
      </c>
      <c r="M519" t="s">
        <v>427</v>
      </c>
      <c r="N519" t="s">
        <v>1004</v>
      </c>
      <c r="O519" t="s">
        <v>64</v>
      </c>
      <c r="P519" t="s">
        <v>110</v>
      </c>
      <c r="Q519" t="s">
        <v>40</v>
      </c>
      <c r="R519">
        <v>37</v>
      </c>
      <c r="S519">
        <v>0</v>
      </c>
      <c r="T519" t="s">
        <v>41</v>
      </c>
      <c r="U519" t="s">
        <v>42</v>
      </c>
      <c r="V519">
        <v>3.72</v>
      </c>
      <c r="W519">
        <v>2.63</v>
      </c>
      <c r="X519">
        <v>1.1000000000000001</v>
      </c>
      <c r="Y519">
        <v>16.5</v>
      </c>
      <c r="Z519">
        <v>7.3</v>
      </c>
    </row>
    <row r="520" spans="1:26" x14ac:dyDescent="0.45">
      <c r="A520" t="s">
        <v>1675</v>
      </c>
      <c r="B520">
        <v>63</v>
      </c>
      <c r="C520" t="s">
        <v>45</v>
      </c>
      <c r="D520" t="s">
        <v>95</v>
      </c>
      <c r="E520" t="s">
        <v>78</v>
      </c>
      <c r="F520" t="s">
        <v>30</v>
      </c>
      <c r="G520" t="s">
        <v>164</v>
      </c>
      <c r="H520" t="s">
        <v>32</v>
      </c>
      <c r="I520" t="s">
        <v>33</v>
      </c>
      <c r="J520" t="s">
        <v>1073</v>
      </c>
      <c r="K520" t="s">
        <v>1676</v>
      </c>
      <c r="L520" t="s">
        <v>36</v>
      </c>
      <c r="M520" t="s">
        <v>872</v>
      </c>
      <c r="N520" t="s">
        <v>240</v>
      </c>
      <c r="O520" t="s">
        <v>36</v>
      </c>
      <c r="P520" t="s">
        <v>39</v>
      </c>
      <c r="Q520" t="s">
        <v>129</v>
      </c>
      <c r="R520">
        <v>176</v>
      </c>
      <c r="S520">
        <v>1</v>
      </c>
      <c r="T520" t="s">
        <v>137</v>
      </c>
      <c r="U520" t="s">
        <v>42</v>
      </c>
      <c r="V520">
        <v>2.8</v>
      </c>
      <c r="W520">
        <v>4.83</v>
      </c>
      <c r="X520">
        <v>4.5999999999999996</v>
      </c>
      <c r="Y520">
        <v>21.1</v>
      </c>
      <c r="Z520">
        <v>6.2</v>
      </c>
    </row>
    <row r="521" spans="1:26" x14ac:dyDescent="0.45">
      <c r="A521" t="s">
        <v>1677</v>
      </c>
      <c r="B521">
        <v>38</v>
      </c>
      <c r="C521" t="s">
        <v>45</v>
      </c>
      <c r="D521" t="s">
        <v>95</v>
      </c>
      <c r="E521" t="s">
        <v>29</v>
      </c>
      <c r="F521" t="s">
        <v>79</v>
      </c>
      <c r="G521" t="s">
        <v>48</v>
      </c>
      <c r="H521" t="s">
        <v>32</v>
      </c>
      <c r="I521" t="s">
        <v>132</v>
      </c>
      <c r="J521" t="s">
        <v>1678</v>
      </c>
      <c r="K521" t="s">
        <v>1679</v>
      </c>
      <c r="L521" t="s">
        <v>64</v>
      </c>
      <c r="M521" t="s">
        <v>566</v>
      </c>
      <c r="N521" t="s">
        <v>217</v>
      </c>
      <c r="O521" t="s">
        <v>64</v>
      </c>
      <c r="P521" t="s">
        <v>55</v>
      </c>
      <c r="Q521" t="s">
        <v>40</v>
      </c>
      <c r="R521">
        <v>103</v>
      </c>
      <c r="S521">
        <v>0</v>
      </c>
      <c r="T521" t="s">
        <v>56</v>
      </c>
      <c r="U521" t="s">
        <v>42</v>
      </c>
      <c r="V521">
        <v>3.69</v>
      </c>
      <c r="W521">
        <v>4.91</v>
      </c>
      <c r="X521">
        <v>1.9</v>
      </c>
      <c r="Y521">
        <v>6.1</v>
      </c>
      <c r="Z521">
        <v>10.4</v>
      </c>
    </row>
    <row r="522" spans="1:26" x14ac:dyDescent="0.45">
      <c r="A522" t="s">
        <v>1680</v>
      </c>
      <c r="B522">
        <v>40</v>
      </c>
      <c r="C522" t="s">
        <v>44</v>
      </c>
      <c r="D522" t="s">
        <v>28</v>
      </c>
      <c r="E522" t="s">
        <v>163</v>
      </c>
      <c r="F522" t="s">
        <v>30</v>
      </c>
      <c r="G522" t="s">
        <v>31</v>
      </c>
      <c r="H522" t="s">
        <v>81</v>
      </c>
      <c r="I522" t="s">
        <v>72</v>
      </c>
      <c r="J522" t="s">
        <v>702</v>
      </c>
      <c r="K522" t="s">
        <v>703</v>
      </c>
      <c r="L522" t="s">
        <v>36</v>
      </c>
      <c r="M522" t="s">
        <v>1291</v>
      </c>
      <c r="N522" t="s">
        <v>287</v>
      </c>
      <c r="O522" t="s">
        <v>36</v>
      </c>
      <c r="P522" t="s">
        <v>39</v>
      </c>
      <c r="Q522" t="s">
        <v>75</v>
      </c>
      <c r="R522">
        <v>87</v>
      </c>
      <c r="S522">
        <v>1</v>
      </c>
      <c r="T522" t="s">
        <v>41</v>
      </c>
      <c r="U522" t="s">
        <v>42</v>
      </c>
      <c r="V522">
        <v>1.37</v>
      </c>
      <c r="W522">
        <v>3.99</v>
      </c>
      <c r="X522">
        <v>9.1999999999999993</v>
      </c>
      <c r="Y522">
        <v>13.8</v>
      </c>
      <c r="Z522">
        <v>7.4</v>
      </c>
    </row>
    <row r="523" spans="1:26" x14ac:dyDescent="0.45">
      <c r="A523" t="s">
        <v>1681</v>
      </c>
      <c r="B523">
        <v>70</v>
      </c>
      <c r="C523" t="s">
        <v>27</v>
      </c>
      <c r="D523" t="s">
        <v>28</v>
      </c>
      <c r="E523" t="s">
        <v>29</v>
      </c>
      <c r="F523" t="s">
        <v>69</v>
      </c>
      <c r="G523" t="s">
        <v>70</v>
      </c>
      <c r="H523" t="s">
        <v>61</v>
      </c>
      <c r="I523" t="s">
        <v>132</v>
      </c>
      <c r="J523" t="s">
        <v>700</v>
      </c>
      <c r="K523" t="s">
        <v>1682</v>
      </c>
      <c r="L523" t="s">
        <v>36</v>
      </c>
      <c r="M523" t="s">
        <v>309</v>
      </c>
      <c r="N523" t="s">
        <v>1014</v>
      </c>
      <c r="O523" t="s">
        <v>36</v>
      </c>
      <c r="P523" t="s">
        <v>55</v>
      </c>
      <c r="Q523" t="s">
        <v>67</v>
      </c>
      <c r="R523">
        <v>74</v>
      </c>
      <c r="S523">
        <v>0</v>
      </c>
      <c r="T523" t="s">
        <v>56</v>
      </c>
      <c r="U523" t="s">
        <v>42</v>
      </c>
      <c r="V523">
        <v>2.74</v>
      </c>
      <c r="W523">
        <v>3.89</v>
      </c>
      <c r="X523">
        <v>1.1000000000000001</v>
      </c>
      <c r="Y523">
        <v>16.600000000000001</v>
      </c>
      <c r="Z523">
        <v>13.4</v>
      </c>
    </row>
    <row r="524" spans="1:26" x14ac:dyDescent="0.45">
      <c r="A524" t="s">
        <v>1683</v>
      </c>
      <c r="B524">
        <v>59</v>
      </c>
      <c r="C524" t="s">
        <v>27</v>
      </c>
      <c r="D524" t="s">
        <v>28</v>
      </c>
      <c r="E524" t="s">
        <v>163</v>
      </c>
      <c r="F524" t="s">
        <v>30</v>
      </c>
      <c r="G524" t="s">
        <v>89</v>
      </c>
      <c r="H524" t="s">
        <v>81</v>
      </c>
      <c r="I524" t="s">
        <v>33</v>
      </c>
      <c r="J524" t="s">
        <v>1684</v>
      </c>
      <c r="K524" t="s">
        <v>1685</v>
      </c>
      <c r="L524" t="s">
        <v>52</v>
      </c>
      <c r="M524" t="s">
        <v>40</v>
      </c>
      <c r="N524" t="s">
        <v>546</v>
      </c>
      <c r="O524" t="s">
        <v>52</v>
      </c>
      <c r="P524" t="s">
        <v>110</v>
      </c>
      <c r="Q524" t="s">
        <v>129</v>
      </c>
      <c r="R524">
        <v>114</v>
      </c>
      <c r="S524">
        <v>0</v>
      </c>
      <c r="T524" t="s">
        <v>41</v>
      </c>
      <c r="U524" t="s">
        <v>42</v>
      </c>
      <c r="V524">
        <v>3.55</v>
      </c>
      <c r="W524">
        <v>1.97</v>
      </c>
      <c r="X524">
        <v>7.4</v>
      </c>
      <c r="Y524">
        <v>7.6</v>
      </c>
      <c r="Z524">
        <v>6.4</v>
      </c>
    </row>
    <row r="525" spans="1:26" x14ac:dyDescent="0.45">
      <c r="A525" t="s">
        <v>1686</v>
      </c>
      <c r="B525">
        <v>77</v>
      </c>
      <c r="C525" t="s">
        <v>45</v>
      </c>
      <c r="D525" t="s">
        <v>87</v>
      </c>
      <c r="E525" t="s">
        <v>163</v>
      </c>
      <c r="F525" t="s">
        <v>30</v>
      </c>
      <c r="G525" t="s">
        <v>48</v>
      </c>
      <c r="H525" t="s">
        <v>81</v>
      </c>
      <c r="I525" t="s">
        <v>33</v>
      </c>
      <c r="J525" t="s">
        <v>986</v>
      </c>
      <c r="K525" t="s">
        <v>989</v>
      </c>
      <c r="L525" t="s">
        <v>92</v>
      </c>
      <c r="M525" t="s">
        <v>362</v>
      </c>
      <c r="N525" t="s">
        <v>694</v>
      </c>
      <c r="O525" t="s">
        <v>92</v>
      </c>
      <c r="P525" t="s">
        <v>110</v>
      </c>
      <c r="Q525" t="s">
        <v>129</v>
      </c>
      <c r="R525">
        <v>104</v>
      </c>
      <c r="S525">
        <v>0</v>
      </c>
      <c r="T525" t="s">
        <v>56</v>
      </c>
      <c r="U525" t="s">
        <v>42</v>
      </c>
      <c r="V525">
        <v>4.51</v>
      </c>
      <c r="W525">
        <v>3.95</v>
      </c>
      <c r="X525">
        <v>1.1000000000000001</v>
      </c>
      <c r="Y525">
        <v>10.5</v>
      </c>
      <c r="Z525">
        <v>6.6</v>
      </c>
    </row>
    <row r="526" spans="1:26" x14ac:dyDescent="0.45">
      <c r="A526" t="s">
        <v>1687</v>
      </c>
      <c r="B526">
        <v>64</v>
      </c>
      <c r="C526" t="s">
        <v>44</v>
      </c>
      <c r="D526" t="s">
        <v>45</v>
      </c>
      <c r="E526" t="s">
        <v>78</v>
      </c>
      <c r="F526" t="s">
        <v>88</v>
      </c>
      <c r="G526" t="s">
        <v>102</v>
      </c>
      <c r="H526" t="s">
        <v>71</v>
      </c>
      <c r="I526" t="s">
        <v>132</v>
      </c>
      <c r="J526" t="s">
        <v>1688</v>
      </c>
      <c r="K526" t="s">
        <v>906</v>
      </c>
      <c r="L526" t="s">
        <v>64</v>
      </c>
      <c r="M526" t="s">
        <v>53</v>
      </c>
      <c r="N526" t="s">
        <v>843</v>
      </c>
      <c r="O526" t="s">
        <v>64</v>
      </c>
      <c r="P526" t="s">
        <v>55</v>
      </c>
      <c r="Q526" t="s">
        <v>67</v>
      </c>
      <c r="R526">
        <v>97</v>
      </c>
      <c r="S526">
        <v>0</v>
      </c>
      <c r="T526" t="s">
        <v>123</v>
      </c>
      <c r="U526" t="s">
        <v>57</v>
      </c>
      <c r="V526">
        <v>2.08</v>
      </c>
      <c r="W526">
        <v>1.99</v>
      </c>
      <c r="X526">
        <v>1.6</v>
      </c>
      <c r="Y526">
        <v>14.3</v>
      </c>
      <c r="Z526">
        <v>15.5</v>
      </c>
    </row>
    <row r="527" spans="1:26" x14ac:dyDescent="0.45">
      <c r="A527" t="s">
        <v>1689</v>
      </c>
      <c r="B527">
        <v>27</v>
      </c>
      <c r="C527" t="s">
        <v>44</v>
      </c>
      <c r="D527" t="s">
        <v>95</v>
      </c>
      <c r="E527" t="s">
        <v>46</v>
      </c>
      <c r="F527" t="s">
        <v>30</v>
      </c>
      <c r="G527" t="s">
        <v>31</v>
      </c>
      <c r="H527" t="s">
        <v>32</v>
      </c>
      <c r="I527" t="s">
        <v>33</v>
      </c>
      <c r="J527" t="s">
        <v>1690</v>
      </c>
      <c r="K527" t="s">
        <v>90</v>
      </c>
      <c r="L527" t="s">
        <v>64</v>
      </c>
      <c r="M527" t="s">
        <v>160</v>
      </c>
      <c r="N527" t="s">
        <v>1132</v>
      </c>
      <c r="O527" t="s">
        <v>64</v>
      </c>
      <c r="P527" t="s">
        <v>55</v>
      </c>
      <c r="Q527" t="s">
        <v>129</v>
      </c>
      <c r="R527">
        <v>86</v>
      </c>
      <c r="S527">
        <v>0</v>
      </c>
      <c r="T527" t="s">
        <v>137</v>
      </c>
      <c r="U527" t="s">
        <v>57</v>
      </c>
      <c r="V527">
        <v>3.43</v>
      </c>
      <c r="W527">
        <v>3.69</v>
      </c>
      <c r="X527">
        <v>1.7</v>
      </c>
      <c r="Y527">
        <v>23.1</v>
      </c>
      <c r="Z527">
        <v>17.3</v>
      </c>
    </row>
    <row r="528" spans="1:26" x14ac:dyDescent="0.45">
      <c r="A528" t="s">
        <v>1691</v>
      </c>
      <c r="B528">
        <v>55</v>
      </c>
      <c r="C528" t="s">
        <v>44</v>
      </c>
      <c r="D528" t="s">
        <v>106</v>
      </c>
      <c r="E528" t="s">
        <v>29</v>
      </c>
      <c r="F528" t="s">
        <v>30</v>
      </c>
      <c r="G528" t="s">
        <v>70</v>
      </c>
      <c r="H528" t="s">
        <v>81</v>
      </c>
      <c r="I528" t="s">
        <v>132</v>
      </c>
      <c r="J528" t="s">
        <v>1455</v>
      </c>
      <c r="K528" t="s">
        <v>1511</v>
      </c>
      <c r="L528" t="s">
        <v>52</v>
      </c>
      <c r="M528" t="s">
        <v>75</v>
      </c>
      <c r="N528" t="s">
        <v>198</v>
      </c>
      <c r="O528" t="s">
        <v>52</v>
      </c>
      <c r="P528" t="s">
        <v>55</v>
      </c>
      <c r="Q528" t="s">
        <v>30</v>
      </c>
      <c r="R528">
        <v>88</v>
      </c>
      <c r="S528">
        <v>0</v>
      </c>
      <c r="T528" t="s">
        <v>123</v>
      </c>
      <c r="U528" t="s">
        <v>42</v>
      </c>
      <c r="V528">
        <v>4.22</v>
      </c>
      <c r="W528">
        <v>4.29</v>
      </c>
      <c r="X528">
        <v>9.4</v>
      </c>
      <c r="Y528">
        <v>15.8</v>
      </c>
      <c r="Z528">
        <v>6.4</v>
      </c>
    </row>
    <row r="529" spans="1:26" x14ac:dyDescent="0.45">
      <c r="A529" t="s">
        <v>1692</v>
      </c>
      <c r="B529">
        <v>56</v>
      </c>
      <c r="C529" t="s">
        <v>27</v>
      </c>
      <c r="D529" t="s">
        <v>45</v>
      </c>
      <c r="E529" t="s">
        <v>163</v>
      </c>
      <c r="F529" t="s">
        <v>69</v>
      </c>
      <c r="G529" t="s">
        <v>246</v>
      </c>
      <c r="H529" t="s">
        <v>81</v>
      </c>
      <c r="I529" t="s">
        <v>33</v>
      </c>
      <c r="J529" t="s">
        <v>1693</v>
      </c>
      <c r="K529" t="s">
        <v>1273</v>
      </c>
      <c r="L529" t="s">
        <v>52</v>
      </c>
      <c r="M529" t="s">
        <v>803</v>
      </c>
      <c r="N529" t="s">
        <v>208</v>
      </c>
      <c r="O529" t="s">
        <v>52</v>
      </c>
      <c r="P529" t="s">
        <v>55</v>
      </c>
      <c r="Q529" t="s">
        <v>40</v>
      </c>
      <c r="R529">
        <v>73</v>
      </c>
      <c r="S529">
        <v>0</v>
      </c>
      <c r="T529" t="s">
        <v>85</v>
      </c>
      <c r="U529" t="s">
        <v>57</v>
      </c>
      <c r="V529">
        <v>3.47</v>
      </c>
      <c r="W529">
        <v>3.97</v>
      </c>
      <c r="X529">
        <v>7.6</v>
      </c>
      <c r="Y529">
        <v>15.4</v>
      </c>
      <c r="Z529">
        <v>4.2</v>
      </c>
    </row>
    <row r="530" spans="1:26" x14ac:dyDescent="0.45">
      <c r="A530" t="s">
        <v>1694</v>
      </c>
      <c r="B530">
        <v>40</v>
      </c>
      <c r="C530" t="s">
        <v>44</v>
      </c>
      <c r="D530" t="s">
        <v>95</v>
      </c>
      <c r="E530" t="s">
        <v>163</v>
      </c>
      <c r="F530" t="s">
        <v>30</v>
      </c>
      <c r="G530" t="s">
        <v>125</v>
      </c>
      <c r="H530" t="s">
        <v>32</v>
      </c>
      <c r="I530" t="s">
        <v>72</v>
      </c>
      <c r="J530" t="s">
        <v>1097</v>
      </c>
      <c r="K530" t="s">
        <v>1695</v>
      </c>
      <c r="L530" t="s">
        <v>64</v>
      </c>
      <c r="M530" t="s">
        <v>221</v>
      </c>
      <c r="N530" t="s">
        <v>1696</v>
      </c>
      <c r="O530" t="s">
        <v>64</v>
      </c>
      <c r="P530" t="s">
        <v>55</v>
      </c>
      <c r="Q530" t="s">
        <v>75</v>
      </c>
      <c r="R530">
        <v>33</v>
      </c>
      <c r="S530">
        <v>0</v>
      </c>
      <c r="T530" t="s">
        <v>85</v>
      </c>
      <c r="U530" t="s">
        <v>42</v>
      </c>
      <c r="V530">
        <v>2.48</v>
      </c>
      <c r="W530">
        <v>4.68</v>
      </c>
      <c r="X530">
        <v>6.3</v>
      </c>
      <c r="Y530">
        <v>15.7</v>
      </c>
      <c r="Z530">
        <v>7.6</v>
      </c>
    </row>
    <row r="531" spans="1:26" x14ac:dyDescent="0.45">
      <c r="A531" t="s">
        <v>1697</v>
      </c>
      <c r="B531">
        <v>43</v>
      </c>
      <c r="C531" t="s">
        <v>44</v>
      </c>
      <c r="D531" t="s">
        <v>87</v>
      </c>
      <c r="E531" t="s">
        <v>78</v>
      </c>
      <c r="F531" t="s">
        <v>30</v>
      </c>
      <c r="G531" t="s">
        <v>31</v>
      </c>
      <c r="H531" t="s">
        <v>61</v>
      </c>
      <c r="I531" t="s">
        <v>132</v>
      </c>
      <c r="J531" t="s">
        <v>1401</v>
      </c>
      <c r="K531" t="s">
        <v>1698</v>
      </c>
      <c r="L531" t="s">
        <v>92</v>
      </c>
      <c r="M531" t="s">
        <v>40</v>
      </c>
      <c r="N531" t="s">
        <v>799</v>
      </c>
      <c r="O531" t="s">
        <v>92</v>
      </c>
      <c r="P531" t="s">
        <v>110</v>
      </c>
      <c r="Q531" t="s">
        <v>67</v>
      </c>
      <c r="R531">
        <v>92</v>
      </c>
      <c r="S531">
        <v>0</v>
      </c>
      <c r="T531" t="s">
        <v>137</v>
      </c>
      <c r="U531" t="s">
        <v>42</v>
      </c>
      <c r="V531">
        <v>2.4700000000000002</v>
      </c>
      <c r="W531">
        <v>4.58</v>
      </c>
      <c r="X531">
        <v>7</v>
      </c>
      <c r="Y531">
        <v>20.2</v>
      </c>
      <c r="Z531">
        <v>10.7</v>
      </c>
    </row>
    <row r="532" spans="1:26" x14ac:dyDescent="0.45">
      <c r="A532" t="s">
        <v>1699</v>
      </c>
      <c r="B532">
        <v>49</v>
      </c>
      <c r="C532" t="s">
        <v>27</v>
      </c>
      <c r="D532" t="s">
        <v>95</v>
      </c>
      <c r="E532" t="s">
        <v>46</v>
      </c>
      <c r="F532" t="s">
        <v>69</v>
      </c>
      <c r="G532" t="s">
        <v>184</v>
      </c>
      <c r="H532" t="s">
        <v>32</v>
      </c>
      <c r="I532" t="s">
        <v>49</v>
      </c>
      <c r="J532" t="s">
        <v>1700</v>
      </c>
      <c r="K532" t="s">
        <v>1701</v>
      </c>
      <c r="L532" t="s">
        <v>52</v>
      </c>
      <c r="M532" t="s">
        <v>892</v>
      </c>
      <c r="N532" t="s">
        <v>267</v>
      </c>
      <c r="O532" t="s">
        <v>52</v>
      </c>
      <c r="P532" t="s">
        <v>39</v>
      </c>
      <c r="Q532" t="s">
        <v>75</v>
      </c>
      <c r="R532">
        <v>178</v>
      </c>
      <c r="S532">
        <v>1</v>
      </c>
      <c r="T532" t="s">
        <v>56</v>
      </c>
      <c r="U532" t="s">
        <v>57</v>
      </c>
      <c r="V532">
        <v>3.52</v>
      </c>
      <c r="W532">
        <v>1.99</v>
      </c>
      <c r="X532">
        <v>7.3</v>
      </c>
      <c r="Y532">
        <v>13.7</v>
      </c>
      <c r="Z532">
        <v>10.5</v>
      </c>
    </row>
    <row r="533" spans="1:26" x14ac:dyDescent="0.45">
      <c r="A533" t="s">
        <v>1702</v>
      </c>
      <c r="B533">
        <v>30</v>
      </c>
      <c r="C533" t="s">
        <v>45</v>
      </c>
      <c r="D533" t="s">
        <v>87</v>
      </c>
      <c r="E533" t="s">
        <v>30</v>
      </c>
      <c r="F533" t="s">
        <v>30</v>
      </c>
      <c r="G533" t="s">
        <v>125</v>
      </c>
      <c r="H533" t="s">
        <v>71</v>
      </c>
      <c r="I533" t="s">
        <v>33</v>
      </c>
      <c r="J533" t="s">
        <v>1703</v>
      </c>
      <c r="K533" t="s">
        <v>1704</v>
      </c>
      <c r="L533" t="s">
        <v>52</v>
      </c>
      <c r="M533" t="s">
        <v>75</v>
      </c>
      <c r="N533" t="s">
        <v>595</v>
      </c>
      <c r="O533" t="s">
        <v>52</v>
      </c>
      <c r="P533" t="s">
        <v>39</v>
      </c>
      <c r="Q533" t="s">
        <v>75</v>
      </c>
      <c r="R533">
        <v>154</v>
      </c>
      <c r="S533">
        <v>1</v>
      </c>
      <c r="T533" t="s">
        <v>137</v>
      </c>
      <c r="U533" t="s">
        <v>42</v>
      </c>
      <c r="V533">
        <v>3.6</v>
      </c>
      <c r="W533">
        <v>4.75</v>
      </c>
      <c r="X533">
        <v>1.6</v>
      </c>
      <c r="Y533">
        <v>20.8</v>
      </c>
      <c r="Z533">
        <v>8</v>
      </c>
    </row>
    <row r="534" spans="1:26" x14ac:dyDescent="0.45">
      <c r="A534" t="s">
        <v>1705</v>
      </c>
      <c r="B534">
        <v>73</v>
      </c>
      <c r="C534" t="s">
        <v>27</v>
      </c>
      <c r="D534" t="s">
        <v>95</v>
      </c>
      <c r="E534" t="s">
        <v>46</v>
      </c>
      <c r="F534" t="s">
        <v>30</v>
      </c>
      <c r="G534" t="s">
        <v>152</v>
      </c>
      <c r="H534" t="s">
        <v>81</v>
      </c>
      <c r="I534" t="s">
        <v>49</v>
      </c>
      <c r="J534" t="s">
        <v>1706</v>
      </c>
      <c r="K534" t="s">
        <v>638</v>
      </c>
      <c r="L534" t="s">
        <v>36</v>
      </c>
      <c r="M534" t="s">
        <v>1597</v>
      </c>
      <c r="N534" t="s">
        <v>694</v>
      </c>
      <c r="O534" t="s">
        <v>36</v>
      </c>
      <c r="P534" t="s">
        <v>110</v>
      </c>
      <c r="Q534" t="s">
        <v>30</v>
      </c>
      <c r="R534">
        <v>106</v>
      </c>
      <c r="S534">
        <v>0</v>
      </c>
      <c r="T534" t="s">
        <v>137</v>
      </c>
      <c r="U534" t="s">
        <v>42</v>
      </c>
      <c r="V534">
        <v>2.78</v>
      </c>
      <c r="W534">
        <v>1.0900000000000001</v>
      </c>
      <c r="X534">
        <v>3.7</v>
      </c>
      <c r="Y534">
        <v>15</v>
      </c>
      <c r="Z534">
        <v>4</v>
      </c>
    </row>
    <row r="535" spans="1:26" x14ac:dyDescent="0.45">
      <c r="A535" t="s">
        <v>1707</v>
      </c>
      <c r="B535">
        <v>61</v>
      </c>
      <c r="C535" t="s">
        <v>44</v>
      </c>
      <c r="D535" t="s">
        <v>45</v>
      </c>
      <c r="E535" t="s">
        <v>29</v>
      </c>
      <c r="F535" t="s">
        <v>47</v>
      </c>
      <c r="G535" t="s">
        <v>102</v>
      </c>
      <c r="H535" t="s">
        <v>71</v>
      </c>
      <c r="I535" t="s">
        <v>33</v>
      </c>
      <c r="J535" t="s">
        <v>1023</v>
      </c>
      <c r="K535" t="s">
        <v>1580</v>
      </c>
      <c r="L535" t="s">
        <v>36</v>
      </c>
      <c r="M535" t="s">
        <v>67</v>
      </c>
      <c r="N535" t="s">
        <v>776</v>
      </c>
      <c r="O535" t="s">
        <v>36</v>
      </c>
      <c r="P535" t="s">
        <v>55</v>
      </c>
      <c r="Q535" t="s">
        <v>30</v>
      </c>
      <c r="R535">
        <v>54</v>
      </c>
      <c r="S535">
        <v>0</v>
      </c>
      <c r="T535" t="s">
        <v>56</v>
      </c>
      <c r="U535" t="s">
        <v>57</v>
      </c>
      <c r="V535">
        <v>2.96</v>
      </c>
      <c r="W535">
        <v>4.71</v>
      </c>
      <c r="X535">
        <v>1.9</v>
      </c>
      <c r="Y535">
        <v>19.8</v>
      </c>
      <c r="Z535">
        <v>10</v>
      </c>
    </row>
    <row r="536" spans="1:26" x14ac:dyDescent="0.45">
      <c r="A536" t="s">
        <v>1708</v>
      </c>
      <c r="B536">
        <v>41</v>
      </c>
      <c r="C536" t="s">
        <v>27</v>
      </c>
      <c r="D536" t="s">
        <v>87</v>
      </c>
      <c r="E536" t="s">
        <v>46</v>
      </c>
      <c r="F536" t="s">
        <v>69</v>
      </c>
      <c r="G536" t="s">
        <v>276</v>
      </c>
      <c r="H536" t="s">
        <v>32</v>
      </c>
      <c r="I536" t="s">
        <v>33</v>
      </c>
      <c r="J536" t="s">
        <v>1709</v>
      </c>
      <c r="K536" t="s">
        <v>1295</v>
      </c>
      <c r="L536" t="s">
        <v>52</v>
      </c>
      <c r="M536" t="s">
        <v>1288</v>
      </c>
      <c r="N536" t="s">
        <v>537</v>
      </c>
      <c r="O536" t="s">
        <v>52</v>
      </c>
      <c r="P536" t="s">
        <v>55</v>
      </c>
      <c r="Q536" t="s">
        <v>67</v>
      </c>
      <c r="R536">
        <v>70</v>
      </c>
      <c r="S536">
        <v>0</v>
      </c>
      <c r="T536" t="s">
        <v>85</v>
      </c>
      <c r="U536" t="s">
        <v>42</v>
      </c>
      <c r="V536">
        <v>3.62</v>
      </c>
      <c r="W536">
        <v>2.04</v>
      </c>
      <c r="X536">
        <v>2.4</v>
      </c>
      <c r="Y536">
        <v>8.9</v>
      </c>
      <c r="Z536">
        <v>4.2</v>
      </c>
    </row>
    <row r="537" spans="1:26" x14ac:dyDescent="0.45">
      <c r="A537" t="s">
        <v>1710</v>
      </c>
      <c r="B537">
        <v>59</v>
      </c>
      <c r="C537" t="s">
        <v>45</v>
      </c>
      <c r="D537" t="s">
        <v>95</v>
      </c>
      <c r="E537" t="s">
        <v>29</v>
      </c>
      <c r="F537" t="s">
        <v>30</v>
      </c>
      <c r="G537" t="s">
        <v>184</v>
      </c>
      <c r="H537" t="s">
        <v>71</v>
      </c>
      <c r="I537" t="s">
        <v>132</v>
      </c>
      <c r="J537" t="s">
        <v>634</v>
      </c>
      <c r="K537" t="s">
        <v>1711</v>
      </c>
      <c r="L537" t="s">
        <v>64</v>
      </c>
      <c r="M537" t="s">
        <v>427</v>
      </c>
      <c r="N537" t="s">
        <v>1004</v>
      </c>
      <c r="O537" t="s">
        <v>64</v>
      </c>
      <c r="P537" t="s">
        <v>55</v>
      </c>
      <c r="Q537" t="s">
        <v>40</v>
      </c>
      <c r="R537">
        <v>174</v>
      </c>
      <c r="S537">
        <v>0</v>
      </c>
      <c r="T537" t="s">
        <v>56</v>
      </c>
      <c r="U537" t="s">
        <v>57</v>
      </c>
      <c r="V537">
        <v>1.74</v>
      </c>
      <c r="W537">
        <v>3.66</v>
      </c>
      <c r="X537">
        <v>8.9</v>
      </c>
      <c r="Y537">
        <v>20.7</v>
      </c>
      <c r="Z537">
        <v>14.6</v>
      </c>
    </row>
    <row r="538" spans="1:26" x14ac:dyDescent="0.45">
      <c r="A538" t="s">
        <v>1712</v>
      </c>
      <c r="B538">
        <v>18</v>
      </c>
      <c r="C538" t="s">
        <v>44</v>
      </c>
      <c r="D538" t="s">
        <v>87</v>
      </c>
      <c r="E538" t="s">
        <v>78</v>
      </c>
      <c r="F538" t="s">
        <v>79</v>
      </c>
      <c r="G538" t="s">
        <v>440</v>
      </c>
      <c r="H538" t="s">
        <v>32</v>
      </c>
      <c r="I538" t="s">
        <v>49</v>
      </c>
      <c r="J538" t="s">
        <v>1713</v>
      </c>
      <c r="K538" t="s">
        <v>1477</v>
      </c>
      <c r="L538" t="s">
        <v>64</v>
      </c>
      <c r="M538" t="s">
        <v>697</v>
      </c>
      <c r="N538" t="s">
        <v>1714</v>
      </c>
      <c r="O538" t="s">
        <v>64</v>
      </c>
      <c r="P538" t="s">
        <v>55</v>
      </c>
      <c r="Q538" t="s">
        <v>40</v>
      </c>
      <c r="R538">
        <v>113</v>
      </c>
      <c r="S538">
        <v>0</v>
      </c>
      <c r="T538" t="s">
        <v>85</v>
      </c>
      <c r="U538" t="s">
        <v>42</v>
      </c>
      <c r="V538">
        <v>1.44</v>
      </c>
      <c r="W538">
        <v>2.16</v>
      </c>
      <c r="X538">
        <v>3.8</v>
      </c>
      <c r="Y538">
        <v>10.5</v>
      </c>
      <c r="Z538">
        <v>11.8</v>
      </c>
    </row>
    <row r="539" spans="1:26" x14ac:dyDescent="0.45">
      <c r="A539" t="s">
        <v>1715</v>
      </c>
      <c r="B539">
        <v>45</v>
      </c>
      <c r="C539" t="s">
        <v>45</v>
      </c>
      <c r="D539" t="s">
        <v>45</v>
      </c>
      <c r="E539" t="s">
        <v>78</v>
      </c>
      <c r="F539" t="s">
        <v>30</v>
      </c>
      <c r="G539" t="s">
        <v>102</v>
      </c>
      <c r="H539" t="s">
        <v>61</v>
      </c>
      <c r="I539" t="s">
        <v>72</v>
      </c>
      <c r="J539" t="s">
        <v>1716</v>
      </c>
      <c r="K539" t="s">
        <v>1285</v>
      </c>
      <c r="L539" t="s">
        <v>36</v>
      </c>
      <c r="M539" t="s">
        <v>40</v>
      </c>
      <c r="N539" t="s">
        <v>447</v>
      </c>
      <c r="O539" t="s">
        <v>36</v>
      </c>
      <c r="P539" t="s">
        <v>110</v>
      </c>
      <c r="Q539" t="s">
        <v>40</v>
      </c>
      <c r="R539">
        <v>93</v>
      </c>
      <c r="S539">
        <v>0</v>
      </c>
      <c r="T539" t="s">
        <v>137</v>
      </c>
      <c r="U539" t="s">
        <v>57</v>
      </c>
      <c r="V539">
        <v>3.14</v>
      </c>
      <c r="W539">
        <v>2.4300000000000002</v>
      </c>
      <c r="X539">
        <v>4.2</v>
      </c>
      <c r="Y539">
        <v>20.9</v>
      </c>
      <c r="Z539">
        <v>16.399999999999999</v>
      </c>
    </row>
    <row r="540" spans="1:26" x14ac:dyDescent="0.45">
      <c r="A540" t="s">
        <v>1717</v>
      </c>
      <c r="B540">
        <v>25</v>
      </c>
      <c r="C540" t="s">
        <v>27</v>
      </c>
      <c r="D540" t="s">
        <v>87</v>
      </c>
      <c r="E540" t="s">
        <v>30</v>
      </c>
      <c r="F540" t="s">
        <v>59</v>
      </c>
      <c r="G540" t="s">
        <v>440</v>
      </c>
      <c r="H540" t="s">
        <v>32</v>
      </c>
      <c r="I540" t="s">
        <v>49</v>
      </c>
      <c r="J540" t="s">
        <v>1718</v>
      </c>
      <c r="K540" t="s">
        <v>1719</v>
      </c>
      <c r="L540" t="s">
        <v>64</v>
      </c>
      <c r="M540" t="s">
        <v>676</v>
      </c>
      <c r="N540" t="s">
        <v>595</v>
      </c>
      <c r="O540" t="s">
        <v>64</v>
      </c>
      <c r="P540" t="s">
        <v>55</v>
      </c>
      <c r="Q540" t="s">
        <v>75</v>
      </c>
      <c r="R540">
        <v>81</v>
      </c>
      <c r="S540">
        <v>0</v>
      </c>
      <c r="T540" t="s">
        <v>85</v>
      </c>
      <c r="U540" t="s">
        <v>42</v>
      </c>
      <c r="V540">
        <v>2.23</v>
      </c>
      <c r="W540">
        <v>4.66</v>
      </c>
      <c r="X540">
        <v>9.6</v>
      </c>
      <c r="Y540">
        <v>11.9</v>
      </c>
      <c r="Z540">
        <v>9</v>
      </c>
    </row>
    <row r="541" spans="1:26" x14ac:dyDescent="0.45">
      <c r="A541" t="s">
        <v>1720</v>
      </c>
      <c r="B541">
        <v>74</v>
      </c>
      <c r="C541" t="s">
        <v>27</v>
      </c>
      <c r="D541" t="s">
        <v>28</v>
      </c>
      <c r="E541" t="s">
        <v>29</v>
      </c>
      <c r="F541" t="s">
        <v>30</v>
      </c>
      <c r="G541" t="s">
        <v>184</v>
      </c>
      <c r="H541" t="s">
        <v>32</v>
      </c>
      <c r="I541" t="s">
        <v>49</v>
      </c>
      <c r="J541" t="s">
        <v>1721</v>
      </c>
      <c r="K541" t="s">
        <v>899</v>
      </c>
      <c r="L541" t="s">
        <v>64</v>
      </c>
      <c r="M541" t="s">
        <v>1291</v>
      </c>
      <c r="N541" t="s">
        <v>383</v>
      </c>
      <c r="O541" t="s">
        <v>64</v>
      </c>
      <c r="P541" t="s">
        <v>55</v>
      </c>
      <c r="Q541" t="s">
        <v>40</v>
      </c>
      <c r="R541">
        <v>88</v>
      </c>
      <c r="S541">
        <v>0</v>
      </c>
      <c r="T541" t="s">
        <v>56</v>
      </c>
      <c r="U541" t="s">
        <v>57</v>
      </c>
      <c r="V541">
        <v>3.02</v>
      </c>
      <c r="W541">
        <v>4.76</v>
      </c>
      <c r="X541">
        <v>8.9</v>
      </c>
      <c r="Y541">
        <v>7.8</v>
      </c>
      <c r="Z541">
        <v>9.6999999999999993</v>
      </c>
    </row>
    <row r="542" spans="1:26" x14ac:dyDescent="0.45">
      <c r="A542" t="s">
        <v>1722</v>
      </c>
      <c r="B542">
        <v>60</v>
      </c>
      <c r="C542" t="s">
        <v>27</v>
      </c>
      <c r="D542" t="s">
        <v>28</v>
      </c>
      <c r="E542" t="s">
        <v>30</v>
      </c>
      <c r="F542" t="s">
        <v>30</v>
      </c>
      <c r="G542" t="s">
        <v>164</v>
      </c>
      <c r="H542" t="s">
        <v>71</v>
      </c>
      <c r="I542" t="s">
        <v>49</v>
      </c>
      <c r="J542" t="s">
        <v>1723</v>
      </c>
      <c r="K542" t="s">
        <v>407</v>
      </c>
      <c r="L542" t="s">
        <v>36</v>
      </c>
      <c r="M542" t="s">
        <v>75</v>
      </c>
      <c r="N542" t="s">
        <v>244</v>
      </c>
      <c r="O542" t="s">
        <v>36</v>
      </c>
      <c r="P542" t="s">
        <v>110</v>
      </c>
      <c r="Q542" t="s">
        <v>30</v>
      </c>
      <c r="R542">
        <v>34</v>
      </c>
      <c r="S542">
        <v>0</v>
      </c>
      <c r="T542" t="s">
        <v>85</v>
      </c>
      <c r="U542" t="s">
        <v>57</v>
      </c>
      <c r="V542">
        <v>3.21</v>
      </c>
      <c r="W542">
        <v>3.01</v>
      </c>
      <c r="X542">
        <v>2.7</v>
      </c>
      <c r="Y542">
        <v>21.5</v>
      </c>
      <c r="Z542">
        <v>14.5</v>
      </c>
    </row>
    <row r="543" spans="1:26" x14ac:dyDescent="0.45">
      <c r="A543" t="s">
        <v>1724</v>
      </c>
      <c r="B543">
        <v>22</v>
      </c>
      <c r="C543" t="s">
        <v>45</v>
      </c>
      <c r="D543" t="s">
        <v>28</v>
      </c>
      <c r="E543" t="s">
        <v>29</v>
      </c>
      <c r="F543" t="s">
        <v>69</v>
      </c>
      <c r="G543" t="s">
        <v>31</v>
      </c>
      <c r="H543" t="s">
        <v>61</v>
      </c>
      <c r="I543" t="s">
        <v>49</v>
      </c>
      <c r="J543" t="s">
        <v>1173</v>
      </c>
      <c r="K543" t="s">
        <v>1725</v>
      </c>
      <c r="L543" t="s">
        <v>92</v>
      </c>
      <c r="M543" t="s">
        <v>1279</v>
      </c>
      <c r="N543" t="s">
        <v>305</v>
      </c>
      <c r="O543" t="s">
        <v>92</v>
      </c>
      <c r="P543" t="s">
        <v>110</v>
      </c>
      <c r="Q543" t="s">
        <v>67</v>
      </c>
      <c r="R543">
        <v>48</v>
      </c>
      <c r="S543">
        <v>0</v>
      </c>
      <c r="T543" t="s">
        <v>56</v>
      </c>
      <c r="U543" t="s">
        <v>57</v>
      </c>
      <c r="V543">
        <v>4.3499999999999996</v>
      </c>
      <c r="W543">
        <v>4.4400000000000004</v>
      </c>
      <c r="X543">
        <v>7.7</v>
      </c>
      <c r="Y543">
        <v>13.9</v>
      </c>
      <c r="Z543">
        <v>13.4</v>
      </c>
    </row>
    <row r="544" spans="1:26" x14ac:dyDescent="0.45">
      <c r="A544" t="s">
        <v>1726</v>
      </c>
      <c r="B544">
        <v>77</v>
      </c>
      <c r="C544" t="s">
        <v>44</v>
      </c>
      <c r="D544" t="s">
        <v>106</v>
      </c>
      <c r="E544" t="s">
        <v>30</v>
      </c>
      <c r="F544" t="s">
        <v>69</v>
      </c>
      <c r="G544" t="s">
        <v>31</v>
      </c>
      <c r="H544" t="s">
        <v>81</v>
      </c>
      <c r="I544" t="s">
        <v>33</v>
      </c>
      <c r="J544" t="s">
        <v>702</v>
      </c>
      <c r="K544" t="s">
        <v>1044</v>
      </c>
      <c r="L544" t="s">
        <v>92</v>
      </c>
      <c r="M544" t="s">
        <v>517</v>
      </c>
      <c r="N544" t="s">
        <v>473</v>
      </c>
      <c r="O544" t="s">
        <v>92</v>
      </c>
      <c r="P544" t="s">
        <v>55</v>
      </c>
      <c r="Q544" t="s">
        <v>40</v>
      </c>
      <c r="R544">
        <v>68</v>
      </c>
      <c r="S544">
        <v>0</v>
      </c>
      <c r="T544" t="s">
        <v>137</v>
      </c>
      <c r="U544" t="s">
        <v>42</v>
      </c>
      <c r="V544">
        <v>1.64</v>
      </c>
      <c r="W544">
        <v>3.69</v>
      </c>
      <c r="X544">
        <v>2.6</v>
      </c>
      <c r="Y544">
        <v>18.5</v>
      </c>
      <c r="Z544">
        <v>6.9</v>
      </c>
    </row>
    <row r="545" spans="1:26" x14ac:dyDescent="0.45">
      <c r="A545" t="s">
        <v>1727</v>
      </c>
      <c r="B545">
        <v>59</v>
      </c>
      <c r="C545" t="s">
        <v>45</v>
      </c>
      <c r="D545" t="s">
        <v>95</v>
      </c>
      <c r="E545" t="s">
        <v>46</v>
      </c>
      <c r="F545" t="s">
        <v>30</v>
      </c>
      <c r="G545" t="s">
        <v>80</v>
      </c>
      <c r="H545" t="s">
        <v>32</v>
      </c>
      <c r="I545" t="s">
        <v>72</v>
      </c>
      <c r="J545" t="s">
        <v>1728</v>
      </c>
      <c r="K545" t="s">
        <v>601</v>
      </c>
      <c r="L545" t="s">
        <v>52</v>
      </c>
      <c r="M545" t="s">
        <v>129</v>
      </c>
      <c r="N545" t="s">
        <v>1660</v>
      </c>
      <c r="O545" t="s">
        <v>52</v>
      </c>
      <c r="P545" t="s">
        <v>110</v>
      </c>
      <c r="Q545" t="s">
        <v>129</v>
      </c>
      <c r="R545">
        <v>62</v>
      </c>
      <c r="S545">
        <v>0</v>
      </c>
      <c r="T545" t="s">
        <v>85</v>
      </c>
      <c r="U545" t="s">
        <v>57</v>
      </c>
      <c r="V545">
        <v>1.47</v>
      </c>
      <c r="W545">
        <v>1.66</v>
      </c>
      <c r="X545">
        <v>1</v>
      </c>
      <c r="Y545">
        <v>18.899999999999999</v>
      </c>
      <c r="Z545">
        <v>15.5</v>
      </c>
    </row>
    <row r="546" spans="1:26" x14ac:dyDescent="0.45">
      <c r="A546" t="s">
        <v>1729</v>
      </c>
      <c r="B546">
        <v>26</v>
      </c>
      <c r="C546" t="s">
        <v>44</v>
      </c>
      <c r="D546" t="s">
        <v>28</v>
      </c>
      <c r="E546" t="s">
        <v>46</v>
      </c>
      <c r="F546" t="s">
        <v>30</v>
      </c>
      <c r="G546" t="s">
        <v>89</v>
      </c>
      <c r="H546" t="s">
        <v>32</v>
      </c>
      <c r="I546" t="s">
        <v>72</v>
      </c>
      <c r="J546" t="s">
        <v>1113</v>
      </c>
      <c r="K546" t="s">
        <v>1730</v>
      </c>
      <c r="L546" t="s">
        <v>64</v>
      </c>
      <c r="M546" t="s">
        <v>67</v>
      </c>
      <c r="N546" t="s">
        <v>366</v>
      </c>
      <c r="O546" t="s">
        <v>64</v>
      </c>
      <c r="P546" t="s">
        <v>39</v>
      </c>
      <c r="Q546" t="s">
        <v>40</v>
      </c>
      <c r="R546">
        <v>36</v>
      </c>
      <c r="S546">
        <v>1</v>
      </c>
      <c r="T546" t="s">
        <v>56</v>
      </c>
      <c r="U546" t="s">
        <v>42</v>
      </c>
      <c r="V546">
        <v>3.06</v>
      </c>
      <c r="W546">
        <v>1.65</v>
      </c>
      <c r="X546">
        <v>1.8</v>
      </c>
      <c r="Y546">
        <v>6.3</v>
      </c>
      <c r="Z546">
        <v>5.8</v>
      </c>
    </row>
    <row r="547" spans="1:26" x14ac:dyDescent="0.45">
      <c r="A547" t="s">
        <v>1731</v>
      </c>
      <c r="B547">
        <v>66</v>
      </c>
      <c r="C547" t="s">
        <v>27</v>
      </c>
      <c r="D547" t="s">
        <v>95</v>
      </c>
      <c r="E547" t="s">
        <v>78</v>
      </c>
      <c r="F547" t="s">
        <v>79</v>
      </c>
      <c r="G547" t="s">
        <v>131</v>
      </c>
      <c r="H547" t="s">
        <v>61</v>
      </c>
      <c r="I547" t="s">
        <v>49</v>
      </c>
      <c r="J547" t="s">
        <v>1555</v>
      </c>
      <c r="K547" t="s">
        <v>1732</v>
      </c>
      <c r="L547" t="s">
        <v>92</v>
      </c>
      <c r="M547" t="s">
        <v>67</v>
      </c>
      <c r="N547" t="s">
        <v>602</v>
      </c>
      <c r="O547" t="s">
        <v>92</v>
      </c>
      <c r="P547" t="s">
        <v>55</v>
      </c>
      <c r="Q547" t="s">
        <v>75</v>
      </c>
      <c r="R547">
        <v>121</v>
      </c>
      <c r="S547">
        <v>0</v>
      </c>
      <c r="T547" t="s">
        <v>137</v>
      </c>
      <c r="U547" t="s">
        <v>57</v>
      </c>
      <c r="V547">
        <v>4.5599999999999996</v>
      </c>
      <c r="W547">
        <v>1.97</v>
      </c>
      <c r="X547">
        <v>4.2</v>
      </c>
      <c r="Y547">
        <v>7.9</v>
      </c>
      <c r="Z547">
        <v>6.8</v>
      </c>
    </row>
    <row r="548" spans="1:26" x14ac:dyDescent="0.45">
      <c r="A548" t="s">
        <v>1733</v>
      </c>
      <c r="B548">
        <v>42</v>
      </c>
      <c r="C548" t="s">
        <v>27</v>
      </c>
      <c r="D548" t="s">
        <v>87</v>
      </c>
      <c r="E548" t="s">
        <v>29</v>
      </c>
      <c r="F548" t="s">
        <v>59</v>
      </c>
      <c r="G548" t="s">
        <v>246</v>
      </c>
      <c r="H548" t="s">
        <v>61</v>
      </c>
      <c r="I548" t="s">
        <v>33</v>
      </c>
      <c r="J548" t="s">
        <v>1734</v>
      </c>
      <c r="K548" t="s">
        <v>1735</v>
      </c>
      <c r="L548" t="s">
        <v>36</v>
      </c>
      <c r="M548" t="s">
        <v>322</v>
      </c>
      <c r="N548" t="s">
        <v>188</v>
      </c>
      <c r="O548" t="s">
        <v>36</v>
      </c>
      <c r="P548" t="s">
        <v>55</v>
      </c>
      <c r="Q548" t="s">
        <v>129</v>
      </c>
      <c r="R548">
        <v>141</v>
      </c>
      <c r="S548">
        <v>0</v>
      </c>
      <c r="T548" t="s">
        <v>137</v>
      </c>
      <c r="U548" t="s">
        <v>42</v>
      </c>
      <c r="V548">
        <v>3.08</v>
      </c>
      <c r="W548">
        <v>3.43</v>
      </c>
      <c r="X548">
        <v>3.2</v>
      </c>
      <c r="Y548">
        <v>7</v>
      </c>
      <c r="Z548">
        <v>9.6</v>
      </c>
    </row>
    <row r="549" spans="1:26" x14ac:dyDescent="0.45">
      <c r="A549" t="s">
        <v>1736</v>
      </c>
      <c r="B549">
        <v>28</v>
      </c>
      <c r="C549" t="s">
        <v>45</v>
      </c>
      <c r="D549" t="s">
        <v>95</v>
      </c>
      <c r="E549" t="s">
        <v>78</v>
      </c>
      <c r="F549" t="s">
        <v>59</v>
      </c>
      <c r="G549" t="s">
        <v>31</v>
      </c>
      <c r="H549" t="s">
        <v>61</v>
      </c>
      <c r="I549" t="s">
        <v>72</v>
      </c>
      <c r="J549" t="s">
        <v>1219</v>
      </c>
      <c r="K549" t="s">
        <v>1555</v>
      </c>
      <c r="L549" t="s">
        <v>52</v>
      </c>
      <c r="M549" t="s">
        <v>438</v>
      </c>
      <c r="N549" t="s">
        <v>650</v>
      </c>
      <c r="O549" t="s">
        <v>52</v>
      </c>
      <c r="P549" t="s">
        <v>39</v>
      </c>
      <c r="Q549" t="s">
        <v>129</v>
      </c>
      <c r="R549">
        <v>83</v>
      </c>
      <c r="S549">
        <v>1</v>
      </c>
      <c r="T549" t="s">
        <v>137</v>
      </c>
      <c r="U549" t="s">
        <v>57</v>
      </c>
      <c r="V549">
        <v>1.94</v>
      </c>
      <c r="W549">
        <v>1.88</v>
      </c>
      <c r="X549">
        <v>9.6</v>
      </c>
      <c r="Y549">
        <v>17.100000000000001</v>
      </c>
      <c r="Z549">
        <v>12.5</v>
      </c>
    </row>
    <row r="550" spans="1:26" x14ac:dyDescent="0.45">
      <c r="A550" t="s">
        <v>1737</v>
      </c>
      <c r="B550">
        <v>71</v>
      </c>
      <c r="C550" t="s">
        <v>27</v>
      </c>
      <c r="D550" t="s">
        <v>95</v>
      </c>
      <c r="E550" t="s">
        <v>46</v>
      </c>
      <c r="F550" t="s">
        <v>69</v>
      </c>
      <c r="G550" t="s">
        <v>96</v>
      </c>
      <c r="H550" t="s">
        <v>71</v>
      </c>
      <c r="I550" t="s">
        <v>132</v>
      </c>
      <c r="J550" t="s">
        <v>1738</v>
      </c>
      <c r="K550" t="s">
        <v>1739</v>
      </c>
      <c r="L550" t="s">
        <v>52</v>
      </c>
      <c r="M550" t="s">
        <v>295</v>
      </c>
      <c r="N550" t="s">
        <v>550</v>
      </c>
      <c r="O550" t="s">
        <v>52</v>
      </c>
      <c r="P550" t="s">
        <v>110</v>
      </c>
      <c r="Q550" t="s">
        <v>30</v>
      </c>
      <c r="R550">
        <v>37</v>
      </c>
      <c r="S550">
        <v>0</v>
      </c>
      <c r="T550" t="s">
        <v>123</v>
      </c>
      <c r="U550" t="s">
        <v>57</v>
      </c>
      <c r="V550">
        <v>2.66</v>
      </c>
      <c r="W550">
        <v>2.72</v>
      </c>
      <c r="X550">
        <v>5.9</v>
      </c>
      <c r="Y550">
        <v>18.5</v>
      </c>
      <c r="Z550">
        <v>14.9</v>
      </c>
    </row>
    <row r="551" spans="1:26" x14ac:dyDescent="0.45">
      <c r="A551" t="s">
        <v>1740</v>
      </c>
      <c r="B551">
        <v>21</v>
      </c>
      <c r="C551" t="s">
        <v>44</v>
      </c>
      <c r="D551" t="s">
        <v>87</v>
      </c>
      <c r="E551" t="s">
        <v>46</v>
      </c>
      <c r="F551" t="s">
        <v>30</v>
      </c>
      <c r="G551" t="s">
        <v>118</v>
      </c>
      <c r="H551" t="s">
        <v>81</v>
      </c>
      <c r="I551" t="s">
        <v>72</v>
      </c>
      <c r="J551" t="s">
        <v>289</v>
      </c>
      <c r="K551" t="s">
        <v>1118</v>
      </c>
      <c r="L551" t="s">
        <v>52</v>
      </c>
      <c r="M551" t="s">
        <v>40</v>
      </c>
      <c r="N551" t="s">
        <v>776</v>
      </c>
      <c r="O551" t="s">
        <v>52</v>
      </c>
      <c r="P551" t="s">
        <v>39</v>
      </c>
      <c r="Q551" t="s">
        <v>40</v>
      </c>
      <c r="R551">
        <v>148</v>
      </c>
      <c r="S551">
        <v>1</v>
      </c>
      <c r="T551" t="s">
        <v>56</v>
      </c>
      <c r="U551" t="s">
        <v>57</v>
      </c>
      <c r="V551">
        <v>1.69</v>
      </c>
      <c r="W551">
        <v>3</v>
      </c>
      <c r="X551">
        <v>4.7</v>
      </c>
      <c r="Y551">
        <v>21.7</v>
      </c>
      <c r="Z551">
        <v>13.7</v>
      </c>
    </row>
    <row r="552" spans="1:26" x14ac:dyDescent="0.45">
      <c r="A552" t="s">
        <v>1741</v>
      </c>
      <c r="B552">
        <v>35</v>
      </c>
      <c r="C552" t="s">
        <v>45</v>
      </c>
      <c r="D552" t="s">
        <v>87</v>
      </c>
      <c r="E552" t="s">
        <v>30</v>
      </c>
      <c r="F552" t="s">
        <v>59</v>
      </c>
      <c r="G552" t="s">
        <v>96</v>
      </c>
      <c r="H552" t="s">
        <v>32</v>
      </c>
      <c r="I552" t="s">
        <v>132</v>
      </c>
      <c r="J552" t="s">
        <v>1268</v>
      </c>
      <c r="K552" t="s">
        <v>1742</v>
      </c>
      <c r="L552" t="s">
        <v>36</v>
      </c>
      <c r="M552" t="s">
        <v>155</v>
      </c>
      <c r="N552" t="s">
        <v>1124</v>
      </c>
      <c r="O552" t="s">
        <v>36</v>
      </c>
      <c r="P552" t="s">
        <v>39</v>
      </c>
      <c r="Q552" t="s">
        <v>75</v>
      </c>
      <c r="R552">
        <v>63</v>
      </c>
      <c r="S552">
        <v>1</v>
      </c>
      <c r="T552" t="s">
        <v>41</v>
      </c>
      <c r="U552" t="s">
        <v>42</v>
      </c>
      <c r="V552">
        <v>3.13</v>
      </c>
      <c r="W552">
        <v>1.46</v>
      </c>
      <c r="X552">
        <v>6.5</v>
      </c>
      <c r="Y552">
        <v>8.1</v>
      </c>
      <c r="Z552">
        <v>8.6999999999999993</v>
      </c>
    </row>
    <row r="553" spans="1:26" x14ac:dyDescent="0.45">
      <c r="A553" t="s">
        <v>1743</v>
      </c>
      <c r="B553">
        <v>28</v>
      </c>
      <c r="C553" t="s">
        <v>45</v>
      </c>
      <c r="D553" t="s">
        <v>87</v>
      </c>
      <c r="E553" t="s">
        <v>78</v>
      </c>
      <c r="F553" t="s">
        <v>69</v>
      </c>
      <c r="G553" t="s">
        <v>102</v>
      </c>
      <c r="H553" t="s">
        <v>71</v>
      </c>
      <c r="I553" t="s">
        <v>72</v>
      </c>
      <c r="J553" t="s">
        <v>1744</v>
      </c>
      <c r="K553" t="s">
        <v>1745</v>
      </c>
      <c r="L553" t="s">
        <v>64</v>
      </c>
      <c r="M553" t="s">
        <v>295</v>
      </c>
      <c r="N553" t="s">
        <v>136</v>
      </c>
      <c r="O553" t="s">
        <v>64</v>
      </c>
      <c r="P553" t="s">
        <v>39</v>
      </c>
      <c r="Q553" t="s">
        <v>30</v>
      </c>
      <c r="R553">
        <v>138</v>
      </c>
      <c r="S553">
        <v>1</v>
      </c>
      <c r="T553" t="s">
        <v>137</v>
      </c>
      <c r="U553" t="s">
        <v>42</v>
      </c>
      <c r="V553">
        <v>1.57</v>
      </c>
      <c r="W553">
        <v>3.77</v>
      </c>
      <c r="X553">
        <v>2.9</v>
      </c>
      <c r="Y553">
        <v>13.1</v>
      </c>
      <c r="Z553">
        <v>18.2</v>
      </c>
    </row>
    <row r="554" spans="1:26" x14ac:dyDescent="0.45">
      <c r="A554" t="s">
        <v>1746</v>
      </c>
      <c r="B554">
        <v>22</v>
      </c>
      <c r="C554" t="s">
        <v>45</v>
      </c>
      <c r="D554" t="s">
        <v>95</v>
      </c>
      <c r="E554" t="s">
        <v>163</v>
      </c>
      <c r="F554" t="s">
        <v>30</v>
      </c>
      <c r="G554" t="s">
        <v>112</v>
      </c>
      <c r="H554" t="s">
        <v>61</v>
      </c>
      <c r="I554" t="s">
        <v>72</v>
      </c>
      <c r="J554" t="s">
        <v>1747</v>
      </c>
      <c r="K554" t="s">
        <v>1748</v>
      </c>
      <c r="L554" t="s">
        <v>64</v>
      </c>
      <c r="M554" t="s">
        <v>75</v>
      </c>
      <c r="N554" t="s">
        <v>694</v>
      </c>
      <c r="O554" t="s">
        <v>64</v>
      </c>
      <c r="P554" t="s">
        <v>55</v>
      </c>
      <c r="Q554" t="s">
        <v>30</v>
      </c>
      <c r="R554">
        <v>78</v>
      </c>
      <c r="S554">
        <v>0</v>
      </c>
      <c r="T554" t="s">
        <v>85</v>
      </c>
      <c r="U554" t="s">
        <v>57</v>
      </c>
      <c r="V554">
        <v>1.82</v>
      </c>
      <c r="W554">
        <v>3.03</v>
      </c>
      <c r="X554">
        <v>4.8</v>
      </c>
      <c r="Y554">
        <v>6.3</v>
      </c>
      <c r="Z554">
        <v>16.5</v>
      </c>
    </row>
    <row r="555" spans="1:26" x14ac:dyDescent="0.45">
      <c r="A555" t="s">
        <v>1749</v>
      </c>
      <c r="B555">
        <v>75</v>
      </c>
      <c r="C555" t="s">
        <v>27</v>
      </c>
      <c r="D555" t="s">
        <v>95</v>
      </c>
      <c r="E555" t="s">
        <v>29</v>
      </c>
      <c r="F555" t="s">
        <v>47</v>
      </c>
      <c r="G555" t="s">
        <v>102</v>
      </c>
      <c r="H555" t="s">
        <v>32</v>
      </c>
      <c r="I555" t="s">
        <v>132</v>
      </c>
      <c r="J555" t="s">
        <v>1750</v>
      </c>
      <c r="K555" t="s">
        <v>990</v>
      </c>
      <c r="L555" t="s">
        <v>36</v>
      </c>
      <c r="M555" t="s">
        <v>1412</v>
      </c>
      <c r="N555" t="s">
        <v>1751</v>
      </c>
      <c r="O555" t="s">
        <v>36</v>
      </c>
      <c r="P555" t="s">
        <v>110</v>
      </c>
      <c r="Q555" t="s">
        <v>30</v>
      </c>
      <c r="R555">
        <v>46</v>
      </c>
      <c r="S555">
        <v>0</v>
      </c>
      <c r="T555" t="s">
        <v>137</v>
      </c>
      <c r="U555" t="s">
        <v>57</v>
      </c>
      <c r="V555">
        <v>1.28</v>
      </c>
      <c r="W555">
        <v>2.9</v>
      </c>
      <c r="X555">
        <v>6</v>
      </c>
      <c r="Y555">
        <v>17.3</v>
      </c>
      <c r="Z555">
        <v>14.7</v>
      </c>
    </row>
    <row r="556" spans="1:26" x14ac:dyDescent="0.45">
      <c r="A556" t="s">
        <v>1752</v>
      </c>
      <c r="B556">
        <v>21</v>
      </c>
      <c r="C556" t="s">
        <v>45</v>
      </c>
      <c r="D556" t="s">
        <v>106</v>
      </c>
      <c r="E556" t="s">
        <v>163</v>
      </c>
      <c r="F556" t="s">
        <v>47</v>
      </c>
      <c r="G556" t="s">
        <v>102</v>
      </c>
      <c r="H556" t="s">
        <v>61</v>
      </c>
      <c r="I556" t="s">
        <v>132</v>
      </c>
      <c r="J556" t="s">
        <v>1600</v>
      </c>
      <c r="K556" t="s">
        <v>1753</v>
      </c>
      <c r="L556" t="s">
        <v>36</v>
      </c>
      <c r="M556" t="s">
        <v>221</v>
      </c>
      <c r="N556" t="s">
        <v>1220</v>
      </c>
      <c r="O556" t="s">
        <v>36</v>
      </c>
      <c r="P556" t="s">
        <v>39</v>
      </c>
      <c r="Q556" t="s">
        <v>67</v>
      </c>
      <c r="R556">
        <v>86</v>
      </c>
      <c r="S556">
        <v>1</v>
      </c>
      <c r="T556" t="s">
        <v>123</v>
      </c>
      <c r="U556" t="s">
        <v>42</v>
      </c>
      <c r="V556">
        <v>2.0099999999999998</v>
      </c>
      <c r="W556">
        <v>1.04</v>
      </c>
      <c r="X556">
        <v>7.5</v>
      </c>
      <c r="Y556">
        <v>15.6</v>
      </c>
      <c r="Z556">
        <v>17.2</v>
      </c>
    </row>
    <row r="557" spans="1:26" x14ac:dyDescent="0.45">
      <c r="A557" t="s">
        <v>1754</v>
      </c>
      <c r="B557">
        <v>63</v>
      </c>
      <c r="C557" t="s">
        <v>45</v>
      </c>
      <c r="D557" t="s">
        <v>45</v>
      </c>
      <c r="E557" t="s">
        <v>46</v>
      </c>
      <c r="F557" t="s">
        <v>30</v>
      </c>
      <c r="G557" t="s">
        <v>246</v>
      </c>
      <c r="H557" t="s">
        <v>61</v>
      </c>
      <c r="I557" t="s">
        <v>132</v>
      </c>
      <c r="J557" t="s">
        <v>748</v>
      </c>
      <c r="K557" t="s">
        <v>1742</v>
      </c>
      <c r="L557" t="s">
        <v>52</v>
      </c>
      <c r="M557" t="s">
        <v>37</v>
      </c>
      <c r="N557" t="s">
        <v>654</v>
      </c>
      <c r="O557" t="s">
        <v>52</v>
      </c>
      <c r="P557" t="s">
        <v>39</v>
      </c>
      <c r="Q557" t="s">
        <v>75</v>
      </c>
      <c r="R557">
        <v>87</v>
      </c>
      <c r="S557">
        <v>1</v>
      </c>
      <c r="T557" t="s">
        <v>41</v>
      </c>
      <c r="U557" t="s">
        <v>57</v>
      </c>
      <c r="V557">
        <v>4.29</v>
      </c>
      <c r="W557">
        <v>4.37</v>
      </c>
      <c r="X557">
        <v>5.4</v>
      </c>
      <c r="Y557">
        <v>12</v>
      </c>
      <c r="Z557">
        <v>16.5</v>
      </c>
    </row>
    <row r="558" spans="1:26" x14ac:dyDescent="0.45">
      <c r="A558" t="s">
        <v>1755</v>
      </c>
      <c r="B558">
        <v>43</v>
      </c>
      <c r="C558" t="s">
        <v>44</v>
      </c>
      <c r="D558" t="s">
        <v>87</v>
      </c>
      <c r="E558" t="s">
        <v>78</v>
      </c>
      <c r="F558" t="s">
        <v>69</v>
      </c>
      <c r="G558" t="s">
        <v>48</v>
      </c>
      <c r="H558" t="s">
        <v>81</v>
      </c>
      <c r="I558" t="s">
        <v>33</v>
      </c>
      <c r="J558" t="s">
        <v>1744</v>
      </c>
      <c r="K558" t="s">
        <v>1756</v>
      </c>
      <c r="L558" t="s">
        <v>92</v>
      </c>
      <c r="M558" t="s">
        <v>30</v>
      </c>
      <c r="N558" t="s">
        <v>1326</v>
      </c>
      <c r="O558" t="s">
        <v>92</v>
      </c>
      <c r="P558" t="s">
        <v>110</v>
      </c>
      <c r="Q558" t="s">
        <v>30</v>
      </c>
      <c r="R558">
        <v>83</v>
      </c>
      <c r="S558">
        <v>0</v>
      </c>
      <c r="T558" t="s">
        <v>85</v>
      </c>
      <c r="U558" t="s">
        <v>42</v>
      </c>
      <c r="V558">
        <v>2.81</v>
      </c>
      <c r="W558">
        <v>1.73</v>
      </c>
      <c r="X558">
        <v>8.6999999999999993</v>
      </c>
      <c r="Y558">
        <v>21.9</v>
      </c>
      <c r="Z558">
        <v>10.9</v>
      </c>
    </row>
    <row r="559" spans="1:26" x14ac:dyDescent="0.45">
      <c r="A559" t="s">
        <v>1757</v>
      </c>
      <c r="B559">
        <v>25</v>
      </c>
      <c r="C559" t="s">
        <v>44</v>
      </c>
      <c r="D559" t="s">
        <v>106</v>
      </c>
      <c r="E559" t="s">
        <v>46</v>
      </c>
      <c r="F559" t="s">
        <v>79</v>
      </c>
      <c r="G559" t="s">
        <v>60</v>
      </c>
      <c r="H559" t="s">
        <v>81</v>
      </c>
      <c r="I559" t="s">
        <v>72</v>
      </c>
      <c r="J559" t="s">
        <v>1758</v>
      </c>
      <c r="K559" t="s">
        <v>1759</v>
      </c>
      <c r="L559" t="s">
        <v>52</v>
      </c>
      <c r="M559" t="s">
        <v>274</v>
      </c>
      <c r="N559" t="s">
        <v>398</v>
      </c>
      <c r="O559" t="s">
        <v>52</v>
      </c>
      <c r="P559" t="s">
        <v>39</v>
      </c>
      <c r="Q559" t="s">
        <v>40</v>
      </c>
      <c r="R559">
        <v>61</v>
      </c>
      <c r="S559">
        <v>1</v>
      </c>
      <c r="T559" t="s">
        <v>85</v>
      </c>
      <c r="U559" t="s">
        <v>42</v>
      </c>
      <c r="V559">
        <v>1.3</v>
      </c>
      <c r="W559">
        <v>2.5499999999999998</v>
      </c>
      <c r="X559">
        <v>8.1999999999999993</v>
      </c>
      <c r="Y559">
        <v>22.2</v>
      </c>
      <c r="Z559">
        <v>6.5</v>
      </c>
    </row>
    <row r="560" spans="1:26" x14ac:dyDescent="0.45">
      <c r="A560" t="s">
        <v>1760</v>
      </c>
      <c r="B560">
        <v>44</v>
      </c>
      <c r="C560" t="s">
        <v>44</v>
      </c>
      <c r="D560" t="s">
        <v>106</v>
      </c>
      <c r="E560" t="s">
        <v>30</v>
      </c>
      <c r="F560" t="s">
        <v>30</v>
      </c>
      <c r="G560" t="s">
        <v>164</v>
      </c>
      <c r="H560" t="s">
        <v>61</v>
      </c>
      <c r="I560" t="s">
        <v>132</v>
      </c>
      <c r="J560" t="s">
        <v>1761</v>
      </c>
      <c r="K560" t="s">
        <v>1762</v>
      </c>
      <c r="L560" t="s">
        <v>36</v>
      </c>
      <c r="M560" t="s">
        <v>40</v>
      </c>
      <c r="N560" t="s">
        <v>100</v>
      </c>
      <c r="O560" t="s">
        <v>36</v>
      </c>
      <c r="P560" t="s">
        <v>39</v>
      </c>
      <c r="Q560" t="s">
        <v>75</v>
      </c>
      <c r="R560">
        <v>146</v>
      </c>
      <c r="S560">
        <v>1</v>
      </c>
      <c r="T560" t="s">
        <v>41</v>
      </c>
      <c r="U560" t="s">
        <v>42</v>
      </c>
      <c r="V560">
        <v>1.27</v>
      </c>
      <c r="W560">
        <v>4.51</v>
      </c>
      <c r="X560">
        <v>4.5</v>
      </c>
      <c r="Y560">
        <v>15.8</v>
      </c>
      <c r="Z560">
        <v>19.5</v>
      </c>
    </row>
    <row r="561" spans="1:26" x14ac:dyDescent="0.45">
      <c r="A561" t="s">
        <v>1763</v>
      </c>
      <c r="B561">
        <v>61</v>
      </c>
      <c r="C561" t="s">
        <v>44</v>
      </c>
      <c r="D561" t="s">
        <v>87</v>
      </c>
      <c r="E561" t="s">
        <v>78</v>
      </c>
      <c r="F561" t="s">
        <v>30</v>
      </c>
      <c r="G561" t="s">
        <v>184</v>
      </c>
      <c r="H561" t="s">
        <v>61</v>
      </c>
      <c r="I561" t="s">
        <v>33</v>
      </c>
      <c r="J561" t="s">
        <v>1764</v>
      </c>
      <c r="K561" t="s">
        <v>1765</v>
      </c>
      <c r="L561" t="s">
        <v>36</v>
      </c>
      <c r="M561" t="s">
        <v>37</v>
      </c>
      <c r="N561" t="s">
        <v>1041</v>
      </c>
      <c r="O561" t="s">
        <v>36</v>
      </c>
      <c r="P561" t="s">
        <v>110</v>
      </c>
      <c r="Q561" t="s">
        <v>75</v>
      </c>
      <c r="R561">
        <v>122</v>
      </c>
      <c r="S561">
        <v>0</v>
      </c>
      <c r="T561" t="s">
        <v>41</v>
      </c>
      <c r="U561" t="s">
        <v>57</v>
      </c>
      <c r="V561">
        <v>1.27</v>
      </c>
      <c r="W561">
        <v>3.59</v>
      </c>
      <c r="X561">
        <v>1.7</v>
      </c>
      <c r="Y561">
        <v>12.8</v>
      </c>
      <c r="Z561">
        <v>16.7</v>
      </c>
    </row>
    <row r="562" spans="1:26" x14ac:dyDescent="0.45">
      <c r="A562" t="s">
        <v>1766</v>
      </c>
      <c r="B562">
        <v>73</v>
      </c>
      <c r="C562" t="s">
        <v>44</v>
      </c>
      <c r="D562" t="s">
        <v>87</v>
      </c>
      <c r="E562" t="s">
        <v>163</v>
      </c>
      <c r="F562" t="s">
        <v>30</v>
      </c>
      <c r="G562" t="s">
        <v>184</v>
      </c>
      <c r="H562" t="s">
        <v>32</v>
      </c>
      <c r="I562" t="s">
        <v>132</v>
      </c>
      <c r="J562" t="s">
        <v>577</v>
      </c>
      <c r="K562" t="s">
        <v>1767</v>
      </c>
      <c r="L562" t="s">
        <v>64</v>
      </c>
      <c r="M562" t="s">
        <v>451</v>
      </c>
      <c r="N562" t="s">
        <v>374</v>
      </c>
      <c r="O562" t="s">
        <v>64</v>
      </c>
      <c r="P562" t="s">
        <v>110</v>
      </c>
      <c r="Q562" t="s">
        <v>40</v>
      </c>
      <c r="R562">
        <v>92</v>
      </c>
      <c r="S562">
        <v>0</v>
      </c>
      <c r="T562" t="s">
        <v>85</v>
      </c>
      <c r="U562" t="s">
        <v>57</v>
      </c>
      <c r="V562">
        <v>2.73</v>
      </c>
      <c r="W562">
        <v>4.99</v>
      </c>
      <c r="X562">
        <v>6</v>
      </c>
      <c r="Y562">
        <v>11.8</v>
      </c>
      <c r="Z562">
        <v>6.7</v>
      </c>
    </row>
    <row r="563" spans="1:26" x14ac:dyDescent="0.45">
      <c r="A563" t="s">
        <v>1768</v>
      </c>
      <c r="B563">
        <v>46</v>
      </c>
      <c r="C563" t="s">
        <v>45</v>
      </c>
      <c r="D563" t="s">
        <v>95</v>
      </c>
      <c r="E563" t="s">
        <v>30</v>
      </c>
      <c r="F563" t="s">
        <v>47</v>
      </c>
      <c r="G563" t="s">
        <v>178</v>
      </c>
      <c r="H563" t="s">
        <v>81</v>
      </c>
      <c r="I563" t="s">
        <v>33</v>
      </c>
      <c r="J563" t="s">
        <v>1769</v>
      </c>
      <c r="K563" t="s">
        <v>1282</v>
      </c>
      <c r="L563" t="s">
        <v>92</v>
      </c>
      <c r="M563" t="s">
        <v>446</v>
      </c>
      <c r="N563" t="s">
        <v>188</v>
      </c>
      <c r="O563" t="s">
        <v>92</v>
      </c>
      <c r="P563" t="s">
        <v>110</v>
      </c>
      <c r="Q563" t="s">
        <v>75</v>
      </c>
      <c r="R563">
        <v>137</v>
      </c>
      <c r="S563">
        <v>0</v>
      </c>
      <c r="T563" t="s">
        <v>56</v>
      </c>
      <c r="U563" t="s">
        <v>42</v>
      </c>
      <c r="V563">
        <v>2.4</v>
      </c>
      <c r="W563">
        <v>2.4900000000000002</v>
      </c>
      <c r="X563">
        <v>1.6</v>
      </c>
      <c r="Y563">
        <v>12.7</v>
      </c>
      <c r="Z563">
        <v>10.9</v>
      </c>
    </row>
    <row r="564" spans="1:26" x14ac:dyDescent="0.45">
      <c r="A564" t="s">
        <v>1770</v>
      </c>
      <c r="B564">
        <v>62</v>
      </c>
      <c r="C564" t="s">
        <v>45</v>
      </c>
      <c r="D564" t="s">
        <v>95</v>
      </c>
      <c r="E564" t="s">
        <v>78</v>
      </c>
      <c r="F564" t="s">
        <v>30</v>
      </c>
      <c r="G564" t="s">
        <v>246</v>
      </c>
      <c r="H564" t="s">
        <v>61</v>
      </c>
      <c r="I564" t="s">
        <v>33</v>
      </c>
      <c r="J564" t="s">
        <v>1771</v>
      </c>
      <c r="K564" t="s">
        <v>334</v>
      </c>
      <c r="L564" t="s">
        <v>52</v>
      </c>
      <c r="M564" t="s">
        <v>30</v>
      </c>
      <c r="N564" t="s">
        <v>374</v>
      </c>
      <c r="O564" t="s">
        <v>52</v>
      </c>
      <c r="P564" t="s">
        <v>55</v>
      </c>
      <c r="Q564" t="s">
        <v>40</v>
      </c>
      <c r="R564">
        <v>37</v>
      </c>
      <c r="S564">
        <v>0</v>
      </c>
      <c r="T564" t="s">
        <v>56</v>
      </c>
      <c r="U564" t="s">
        <v>57</v>
      </c>
      <c r="V564">
        <v>3.89</v>
      </c>
      <c r="W564">
        <v>3.63</v>
      </c>
      <c r="X564">
        <v>7.4</v>
      </c>
      <c r="Y564">
        <v>6.2</v>
      </c>
      <c r="Z564">
        <v>6.7</v>
      </c>
    </row>
    <row r="565" spans="1:26" x14ac:dyDescent="0.45">
      <c r="A565" t="s">
        <v>1772</v>
      </c>
      <c r="B565">
        <v>63</v>
      </c>
      <c r="C565" t="s">
        <v>45</v>
      </c>
      <c r="D565" t="s">
        <v>28</v>
      </c>
      <c r="E565" t="s">
        <v>30</v>
      </c>
      <c r="F565" t="s">
        <v>30</v>
      </c>
      <c r="G565" t="s">
        <v>60</v>
      </c>
      <c r="H565" t="s">
        <v>32</v>
      </c>
      <c r="I565" t="s">
        <v>33</v>
      </c>
      <c r="J565" t="s">
        <v>1773</v>
      </c>
      <c r="K565" t="s">
        <v>1395</v>
      </c>
      <c r="L565" t="s">
        <v>64</v>
      </c>
      <c r="M565" t="s">
        <v>67</v>
      </c>
      <c r="N565" t="s">
        <v>477</v>
      </c>
      <c r="O565" t="s">
        <v>64</v>
      </c>
      <c r="P565" t="s">
        <v>110</v>
      </c>
      <c r="Q565" t="s">
        <v>30</v>
      </c>
      <c r="R565">
        <v>132</v>
      </c>
      <c r="S565">
        <v>0</v>
      </c>
      <c r="T565" t="s">
        <v>137</v>
      </c>
      <c r="U565" t="s">
        <v>42</v>
      </c>
      <c r="V565">
        <v>3.65</v>
      </c>
      <c r="W565">
        <v>2.94</v>
      </c>
      <c r="X565">
        <v>1</v>
      </c>
      <c r="Y565">
        <v>20.5</v>
      </c>
      <c r="Z565">
        <v>16.100000000000001</v>
      </c>
    </row>
    <row r="566" spans="1:26" x14ac:dyDescent="0.45">
      <c r="A566" t="s">
        <v>1774</v>
      </c>
      <c r="B566">
        <v>81</v>
      </c>
      <c r="C566" t="s">
        <v>27</v>
      </c>
      <c r="D566" t="s">
        <v>28</v>
      </c>
      <c r="E566" t="s">
        <v>30</v>
      </c>
      <c r="F566" t="s">
        <v>30</v>
      </c>
      <c r="G566" t="s">
        <v>60</v>
      </c>
      <c r="H566" t="s">
        <v>32</v>
      </c>
      <c r="I566" t="s">
        <v>132</v>
      </c>
      <c r="J566" t="s">
        <v>1775</v>
      </c>
      <c r="K566" t="s">
        <v>1776</v>
      </c>
      <c r="L566" t="s">
        <v>36</v>
      </c>
      <c r="M566" t="s">
        <v>378</v>
      </c>
      <c r="N566" t="s">
        <v>586</v>
      </c>
      <c r="O566" t="s">
        <v>36</v>
      </c>
      <c r="P566" t="s">
        <v>39</v>
      </c>
      <c r="Q566" t="s">
        <v>40</v>
      </c>
      <c r="R566">
        <v>81</v>
      </c>
      <c r="S566">
        <v>1</v>
      </c>
      <c r="T566" t="s">
        <v>137</v>
      </c>
      <c r="U566" t="s">
        <v>57</v>
      </c>
      <c r="V566">
        <v>3.19</v>
      </c>
      <c r="W566">
        <v>1.27</v>
      </c>
      <c r="X566">
        <v>7.9</v>
      </c>
      <c r="Y566">
        <v>16.5</v>
      </c>
      <c r="Z566">
        <v>16.3</v>
      </c>
    </row>
    <row r="567" spans="1:26" x14ac:dyDescent="0.45">
      <c r="A567" t="s">
        <v>1777</v>
      </c>
      <c r="B567">
        <v>62</v>
      </c>
      <c r="C567" t="s">
        <v>44</v>
      </c>
      <c r="D567" t="s">
        <v>95</v>
      </c>
      <c r="E567" t="s">
        <v>30</v>
      </c>
      <c r="F567" t="s">
        <v>30</v>
      </c>
      <c r="G567" t="s">
        <v>112</v>
      </c>
      <c r="H567" t="s">
        <v>32</v>
      </c>
      <c r="I567" t="s">
        <v>49</v>
      </c>
      <c r="J567" t="s">
        <v>1540</v>
      </c>
      <c r="K567" t="s">
        <v>1778</v>
      </c>
      <c r="L567" t="s">
        <v>64</v>
      </c>
      <c r="M567" t="s">
        <v>207</v>
      </c>
      <c r="N567" t="s">
        <v>1779</v>
      </c>
      <c r="O567" t="s">
        <v>64</v>
      </c>
      <c r="P567" t="s">
        <v>110</v>
      </c>
      <c r="Q567" t="s">
        <v>129</v>
      </c>
      <c r="R567">
        <v>80</v>
      </c>
      <c r="S567">
        <v>0</v>
      </c>
      <c r="T567" t="s">
        <v>123</v>
      </c>
      <c r="U567" t="s">
        <v>42</v>
      </c>
      <c r="V567">
        <v>4.01</v>
      </c>
      <c r="W567">
        <v>4.21</v>
      </c>
      <c r="X567">
        <v>5.7</v>
      </c>
      <c r="Y567">
        <v>8.5</v>
      </c>
      <c r="Z567">
        <v>14.4</v>
      </c>
    </row>
    <row r="568" spans="1:26" x14ac:dyDescent="0.45">
      <c r="A568" t="s">
        <v>1780</v>
      </c>
      <c r="B568">
        <v>69</v>
      </c>
      <c r="C568" t="s">
        <v>44</v>
      </c>
      <c r="D568" t="s">
        <v>106</v>
      </c>
      <c r="E568" t="s">
        <v>30</v>
      </c>
      <c r="F568" t="s">
        <v>30</v>
      </c>
      <c r="G568" t="s">
        <v>131</v>
      </c>
      <c r="H568" t="s">
        <v>71</v>
      </c>
      <c r="I568" t="s">
        <v>33</v>
      </c>
      <c r="J568" t="s">
        <v>1781</v>
      </c>
      <c r="K568" t="s">
        <v>771</v>
      </c>
      <c r="L568" t="s">
        <v>64</v>
      </c>
      <c r="M568" t="s">
        <v>362</v>
      </c>
      <c r="N568" t="s">
        <v>473</v>
      </c>
      <c r="O568" t="s">
        <v>64</v>
      </c>
      <c r="P568" t="s">
        <v>55</v>
      </c>
      <c r="Q568" t="s">
        <v>129</v>
      </c>
      <c r="R568">
        <v>92</v>
      </c>
      <c r="S568">
        <v>0</v>
      </c>
      <c r="T568" t="s">
        <v>85</v>
      </c>
      <c r="U568" t="s">
        <v>42</v>
      </c>
      <c r="V568">
        <v>3.48</v>
      </c>
      <c r="W568">
        <v>3.97</v>
      </c>
      <c r="X568">
        <v>2.5</v>
      </c>
      <c r="Y568">
        <v>9.5</v>
      </c>
      <c r="Z568">
        <v>18.100000000000001</v>
      </c>
    </row>
    <row r="569" spans="1:26" x14ac:dyDescent="0.45">
      <c r="A569" t="s">
        <v>1782</v>
      </c>
      <c r="B569">
        <v>53</v>
      </c>
      <c r="C569" t="s">
        <v>27</v>
      </c>
      <c r="D569" t="s">
        <v>95</v>
      </c>
      <c r="E569" t="s">
        <v>46</v>
      </c>
      <c r="F569" t="s">
        <v>30</v>
      </c>
      <c r="G569" t="s">
        <v>60</v>
      </c>
      <c r="H569" t="s">
        <v>71</v>
      </c>
      <c r="I569" t="s">
        <v>72</v>
      </c>
      <c r="J569" t="s">
        <v>158</v>
      </c>
      <c r="K569" t="s">
        <v>82</v>
      </c>
      <c r="L569" t="s">
        <v>52</v>
      </c>
      <c r="M569" t="s">
        <v>30</v>
      </c>
      <c r="N569" t="s">
        <v>843</v>
      </c>
      <c r="O569" t="s">
        <v>52</v>
      </c>
      <c r="P569" t="s">
        <v>39</v>
      </c>
      <c r="Q569" t="s">
        <v>75</v>
      </c>
      <c r="R569">
        <v>153</v>
      </c>
      <c r="S569">
        <v>1</v>
      </c>
      <c r="T569" t="s">
        <v>56</v>
      </c>
      <c r="U569" t="s">
        <v>57</v>
      </c>
      <c r="V569">
        <v>4</v>
      </c>
      <c r="W569">
        <v>4.63</v>
      </c>
      <c r="X569">
        <v>7.8</v>
      </c>
      <c r="Y569">
        <v>16.7</v>
      </c>
      <c r="Z569">
        <v>14.1</v>
      </c>
    </row>
    <row r="570" spans="1:26" x14ac:dyDescent="0.45">
      <c r="A570" t="s">
        <v>1783</v>
      </c>
      <c r="B570">
        <v>42</v>
      </c>
      <c r="C570" t="s">
        <v>44</v>
      </c>
      <c r="D570" t="s">
        <v>106</v>
      </c>
      <c r="E570" t="s">
        <v>29</v>
      </c>
      <c r="F570" t="s">
        <v>30</v>
      </c>
      <c r="G570" t="s">
        <v>80</v>
      </c>
      <c r="H570" t="s">
        <v>81</v>
      </c>
      <c r="I570" t="s">
        <v>132</v>
      </c>
      <c r="J570" t="s">
        <v>1784</v>
      </c>
      <c r="K570" t="s">
        <v>576</v>
      </c>
      <c r="L570" t="s">
        <v>64</v>
      </c>
      <c r="M570" t="s">
        <v>30</v>
      </c>
      <c r="N570" t="s">
        <v>1074</v>
      </c>
      <c r="O570" t="s">
        <v>64</v>
      </c>
      <c r="P570" t="s">
        <v>55</v>
      </c>
      <c r="Q570" t="s">
        <v>129</v>
      </c>
      <c r="R570">
        <v>64</v>
      </c>
      <c r="S570">
        <v>0</v>
      </c>
      <c r="T570" t="s">
        <v>137</v>
      </c>
      <c r="U570" t="s">
        <v>42</v>
      </c>
      <c r="V570">
        <v>4.5599999999999996</v>
      </c>
      <c r="W570">
        <v>3.32</v>
      </c>
      <c r="X570">
        <v>6.7</v>
      </c>
      <c r="Y570">
        <v>8.8000000000000007</v>
      </c>
      <c r="Z570">
        <v>11.1</v>
      </c>
    </row>
    <row r="571" spans="1:26" x14ac:dyDescent="0.45">
      <c r="A571" t="s">
        <v>1785</v>
      </c>
      <c r="B571">
        <v>34</v>
      </c>
      <c r="C571" t="s">
        <v>27</v>
      </c>
      <c r="D571" t="s">
        <v>45</v>
      </c>
      <c r="E571" t="s">
        <v>78</v>
      </c>
      <c r="F571" t="s">
        <v>30</v>
      </c>
      <c r="G571" t="s">
        <v>102</v>
      </c>
      <c r="H571" t="s">
        <v>71</v>
      </c>
      <c r="I571" t="s">
        <v>132</v>
      </c>
      <c r="J571" t="s">
        <v>415</v>
      </c>
      <c r="K571" t="s">
        <v>1786</v>
      </c>
      <c r="L571" t="s">
        <v>92</v>
      </c>
      <c r="M571" t="s">
        <v>378</v>
      </c>
      <c r="N571" t="s">
        <v>1696</v>
      </c>
      <c r="O571" t="s">
        <v>92</v>
      </c>
      <c r="P571" t="s">
        <v>110</v>
      </c>
      <c r="Q571" t="s">
        <v>40</v>
      </c>
      <c r="R571">
        <v>46</v>
      </c>
      <c r="S571">
        <v>0</v>
      </c>
      <c r="T571" t="s">
        <v>41</v>
      </c>
      <c r="U571" t="s">
        <v>42</v>
      </c>
      <c r="V571">
        <v>3.87</v>
      </c>
      <c r="W571">
        <v>2.08</v>
      </c>
      <c r="X571">
        <v>2.8</v>
      </c>
      <c r="Y571">
        <v>11.6</v>
      </c>
      <c r="Z571">
        <v>7.1</v>
      </c>
    </row>
    <row r="572" spans="1:26" x14ac:dyDescent="0.45">
      <c r="A572" t="s">
        <v>1787</v>
      </c>
      <c r="B572">
        <v>75</v>
      </c>
      <c r="C572" t="s">
        <v>45</v>
      </c>
      <c r="D572" t="s">
        <v>87</v>
      </c>
      <c r="E572" t="s">
        <v>30</v>
      </c>
      <c r="F572" t="s">
        <v>79</v>
      </c>
      <c r="G572" t="s">
        <v>125</v>
      </c>
      <c r="H572" t="s">
        <v>32</v>
      </c>
      <c r="I572" t="s">
        <v>49</v>
      </c>
      <c r="J572" t="s">
        <v>1788</v>
      </c>
      <c r="K572" t="s">
        <v>1789</v>
      </c>
      <c r="L572" t="s">
        <v>92</v>
      </c>
      <c r="M572" t="s">
        <v>1526</v>
      </c>
      <c r="N572" t="s">
        <v>729</v>
      </c>
      <c r="O572" t="s">
        <v>92</v>
      </c>
      <c r="P572" t="s">
        <v>39</v>
      </c>
      <c r="Q572" t="s">
        <v>40</v>
      </c>
      <c r="R572">
        <v>85</v>
      </c>
      <c r="S572">
        <v>1</v>
      </c>
      <c r="T572" t="s">
        <v>56</v>
      </c>
      <c r="U572" t="s">
        <v>57</v>
      </c>
      <c r="V572">
        <v>1.86</v>
      </c>
      <c r="W572">
        <v>2.7</v>
      </c>
      <c r="X572">
        <v>9.1999999999999993</v>
      </c>
      <c r="Y572">
        <v>15.1</v>
      </c>
      <c r="Z572">
        <v>6.2</v>
      </c>
    </row>
    <row r="573" spans="1:26" x14ac:dyDescent="0.45">
      <c r="A573" t="s">
        <v>1790</v>
      </c>
      <c r="B573">
        <v>56</v>
      </c>
      <c r="C573" t="s">
        <v>44</v>
      </c>
      <c r="D573" t="s">
        <v>106</v>
      </c>
      <c r="E573" t="s">
        <v>29</v>
      </c>
      <c r="F573" t="s">
        <v>30</v>
      </c>
      <c r="G573" t="s">
        <v>246</v>
      </c>
      <c r="H573" t="s">
        <v>81</v>
      </c>
      <c r="I573" t="s">
        <v>72</v>
      </c>
      <c r="J573" t="s">
        <v>1791</v>
      </c>
      <c r="K573" t="s">
        <v>1792</v>
      </c>
      <c r="L573" t="s">
        <v>92</v>
      </c>
      <c r="M573" t="s">
        <v>202</v>
      </c>
      <c r="N573" t="s">
        <v>602</v>
      </c>
      <c r="O573" t="s">
        <v>92</v>
      </c>
      <c r="P573" t="s">
        <v>39</v>
      </c>
      <c r="Q573" t="s">
        <v>75</v>
      </c>
      <c r="R573">
        <v>46</v>
      </c>
      <c r="S573">
        <v>1</v>
      </c>
      <c r="T573" t="s">
        <v>85</v>
      </c>
      <c r="U573" t="s">
        <v>57</v>
      </c>
      <c r="V573">
        <v>1.31</v>
      </c>
      <c r="W573">
        <v>3.78</v>
      </c>
      <c r="X573">
        <v>4.4000000000000004</v>
      </c>
      <c r="Y573">
        <v>20.8</v>
      </c>
      <c r="Z573">
        <v>14.2</v>
      </c>
    </row>
    <row r="574" spans="1:26" x14ac:dyDescent="0.45">
      <c r="A574" t="s">
        <v>1793</v>
      </c>
      <c r="B574">
        <v>38</v>
      </c>
      <c r="C574" t="s">
        <v>45</v>
      </c>
      <c r="D574" t="s">
        <v>106</v>
      </c>
      <c r="E574" t="s">
        <v>46</v>
      </c>
      <c r="F574" t="s">
        <v>30</v>
      </c>
      <c r="G574" t="s">
        <v>112</v>
      </c>
      <c r="H574" t="s">
        <v>71</v>
      </c>
      <c r="I574" t="s">
        <v>49</v>
      </c>
      <c r="J574" t="s">
        <v>1794</v>
      </c>
      <c r="K574" t="s">
        <v>1498</v>
      </c>
      <c r="L574" t="s">
        <v>92</v>
      </c>
      <c r="M574" t="s">
        <v>40</v>
      </c>
      <c r="N574" t="s">
        <v>507</v>
      </c>
      <c r="O574" t="s">
        <v>92</v>
      </c>
      <c r="P574" t="s">
        <v>110</v>
      </c>
      <c r="Q574" t="s">
        <v>40</v>
      </c>
      <c r="R574">
        <v>134</v>
      </c>
      <c r="S574">
        <v>0</v>
      </c>
      <c r="T574" t="s">
        <v>56</v>
      </c>
      <c r="U574" t="s">
        <v>57</v>
      </c>
      <c r="V574">
        <v>4.18</v>
      </c>
      <c r="W574">
        <v>2.09</v>
      </c>
      <c r="X574">
        <v>7.2</v>
      </c>
      <c r="Y574">
        <v>10.8</v>
      </c>
      <c r="Z574">
        <v>19</v>
      </c>
    </row>
    <row r="575" spans="1:26" x14ac:dyDescent="0.45">
      <c r="A575" t="s">
        <v>1795</v>
      </c>
      <c r="B575">
        <v>35</v>
      </c>
      <c r="C575" t="s">
        <v>44</v>
      </c>
      <c r="D575" t="s">
        <v>106</v>
      </c>
      <c r="E575" t="s">
        <v>163</v>
      </c>
      <c r="F575" t="s">
        <v>79</v>
      </c>
      <c r="G575" t="s">
        <v>48</v>
      </c>
      <c r="H575" t="s">
        <v>32</v>
      </c>
      <c r="I575" t="s">
        <v>33</v>
      </c>
      <c r="J575" t="s">
        <v>1796</v>
      </c>
      <c r="K575" t="s">
        <v>1797</v>
      </c>
      <c r="L575" t="s">
        <v>52</v>
      </c>
      <c r="M575" t="s">
        <v>30</v>
      </c>
      <c r="N575" t="s">
        <v>122</v>
      </c>
      <c r="O575" t="s">
        <v>52</v>
      </c>
      <c r="P575" t="s">
        <v>110</v>
      </c>
      <c r="Q575" t="s">
        <v>129</v>
      </c>
      <c r="R575">
        <v>116</v>
      </c>
      <c r="S575">
        <v>0</v>
      </c>
      <c r="T575" t="s">
        <v>56</v>
      </c>
      <c r="U575" t="s">
        <v>42</v>
      </c>
      <c r="V575">
        <v>3.55</v>
      </c>
      <c r="W575">
        <v>2.2999999999999998</v>
      </c>
      <c r="X575">
        <v>3.4</v>
      </c>
      <c r="Y575">
        <v>9.4</v>
      </c>
      <c r="Z575">
        <v>14.8</v>
      </c>
    </row>
    <row r="576" spans="1:26" x14ac:dyDescent="0.45">
      <c r="A576" t="s">
        <v>1798</v>
      </c>
      <c r="B576">
        <v>85</v>
      </c>
      <c r="C576" t="s">
        <v>44</v>
      </c>
      <c r="D576" t="s">
        <v>87</v>
      </c>
      <c r="E576" t="s">
        <v>29</v>
      </c>
      <c r="F576" t="s">
        <v>69</v>
      </c>
      <c r="G576" t="s">
        <v>118</v>
      </c>
      <c r="H576" t="s">
        <v>32</v>
      </c>
      <c r="I576" t="s">
        <v>49</v>
      </c>
      <c r="J576" t="s">
        <v>1799</v>
      </c>
      <c r="K576" t="s">
        <v>1580</v>
      </c>
      <c r="L576" t="s">
        <v>92</v>
      </c>
      <c r="M576" t="s">
        <v>295</v>
      </c>
      <c r="N576" t="s">
        <v>769</v>
      </c>
      <c r="O576" t="s">
        <v>92</v>
      </c>
      <c r="P576" t="s">
        <v>110</v>
      </c>
      <c r="Q576" t="s">
        <v>75</v>
      </c>
      <c r="R576">
        <v>125</v>
      </c>
      <c r="S576">
        <v>0</v>
      </c>
      <c r="T576" t="s">
        <v>123</v>
      </c>
      <c r="U576" t="s">
        <v>42</v>
      </c>
      <c r="V576">
        <v>1.87</v>
      </c>
      <c r="W576">
        <v>3.38</v>
      </c>
      <c r="X576">
        <v>3.4</v>
      </c>
      <c r="Y576">
        <v>17.899999999999999</v>
      </c>
      <c r="Z576">
        <v>16.899999999999999</v>
      </c>
    </row>
    <row r="577" spans="1:26" x14ac:dyDescent="0.45">
      <c r="A577" t="s">
        <v>1800</v>
      </c>
      <c r="B577">
        <v>42</v>
      </c>
      <c r="C577" t="s">
        <v>45</v>
      </c>
      <c r="D577" t="s">
        <v>45</v>
      </c>
      <c r="E577" t="s">
        <v>78</v>
      </c>
      <c r="F577" t="s">
        <v>79</v>
      </c>
      <c r="G577" t="s">
        <v>194</v>
      </c>
      <c r="H577" t="s">
        <v>61</v>
      </c>
      <c r="I577" t="s">
        <v>72</v>
      </c>
      <c r="J577" t="s">
        <v>107</v>
      </c>
      <c r="K577" t="s">
        <v>1801</v>
      </c>
      <c r="L577" t="s">
        <v>36</v>
      </c>
      <c r="M577" t="s">
        <v>352</v>
      </c>
      <c r="N577" t="s">
        <v>769</v>
      </c>
      <c r="O577" t="s">
        <v>36</v>
      </c>
      <c r="P577" t="s">
        <v>110</v>
      </c>
      <c r="Q577" t="s">
        <v>129</v>
      </c>
      <c r="R577">
        <v>167</v>
      </c>
      <c r="S577">
        <v>0</v>
      </c>
      <c r="T577" t="s">
        <v>123</v>
      </c>
      <c r="U577" t="s">
        <v>57</v>
      </c>
      <c r="V577">
        <v>4.1100000000000003</v>
      </c>
      <c r="W577">
        <v>4.04</v>
      </c>
      <c r="X577">
        <v>2.7</v>
      </c>
      <c r="Y577">
        <v>7.6</v>
      </c>
      <c r="Z577">
        <v>14.9</v>
      </c>
    </row>
    <row r="578" spans="1:26" x14ac:dyDescent="0.45">
      <c r="A578" t="s">
        <v>1802</v>
      </c>
      <c r="B578">
        <v>55</v>
      </c>
      <c r="C578" t="s">
        <v>27</v>
      </c>
      <c r="D578" t="s">
        <v>28</v>
      </c>
      <c r="E578" t="s">
        <v>46</v>
      </c>
      <c r="F578" t="s">
        <v>30</v>
      </c>
      <c r="G578" t="s">
        <v>112</v>
      </c>
      <c r="H578" t="s">
        <v>61</v>
      </c>
      <c r="I578" t="s">
        <v>33</v>
      </c>
      <c r="J578" t="s">
        <v>1259</v>
      </c>
      <c r="K578" t="s">
        <v>1303</v>
      </c>
      <c r="L578" t="s">
        <v>64</v>
      </c>
      <c r="M578" t="s">
        <v>378</v>
      </c>
      <c r="N578" t="s">
        <v>711</v>
      </c>
      <c r="O578" t="s">
        <v>64</v>
      </c>
      <c r="P578" t="s">
        <v>39</v>
      </c>
      <c r="Q578" t="s">
        <v>75</v>
      </c>
      <c r="R578">
        <v>46</v>
      </c>
      <c r="S578">
        <v>1</v>
      </c>
      <c r="T578" t="s">
        <v>137</v>
      </c>
      <c r="U578" t="s">
        <v>42</v>
      </c>
      <c r="V578">
        <v>2.4700000000000002</v>
      </c>
      <c r="W578">
        <v>2.73</v>
      </c>
      <c r="X578">
        <v>1.3</v>
      </c>
      <c r="Y578">
        <v>10.7</v>
      </c>
      <c r="Z578">
        <v>3.6</v>
      </c>
    </row>
    <row r="579" spans="1:26" x14ac:dyDescent="0.45">
      <c r="A579" t="s">
        <v>1803</v>
      </c>
      <c r="B579">
        <v>64</v>
      </c>
      <c r="C579" t="s">
        <v>27</v>
      </c>
      <c r="D579" t="s">
        <v>106</v>
      </c>
      <c r="E579" t="s">
        <v>78</v>
      </c>
      <c r="F579" t="s">
        <v>47</v>
      </c>
      <c r="G579" t="s">
        <v>118</v>
      </c>
      <c r="H579" t="s">
        <v>32</v>
      </c>
      <c r="I579" t="s">
        <v>49</v>
      </c>
      <c r="J579" t="s">
        <v>1267</v>
      </c>
      <c r="K579" t="s">
        <v>1804</v>
      </c>
      <c r="L579" t="s">
        <v>92</v>
      </c>
      <c r="M579" t="s">
        <v>202</v>
      </c>
      <c r="N579" t="s">
        <v>235</v>
      </c>
      <c r="O579" t="s">
        <v>92</v>
      </c>
      <c r="P579" t="s">
        <v>110</v>
      </c>
      <c r="Q579" t="s">
        <v>75</v>
      </c>
      <c r="R579">
        <v>163</v>
      </c>
      <c r="S579">
        <v>0</v>
      </c>
      <c r="T579" t="s">
        <v>56</v>
      </c>
      <c r="U579" t="s">
        <v>42</v>
      </c>
      <c r="V579">
        <v>4.5199999999999996</v>
      </c>
      <c r="W579">
        <v>1.97</v>
      </c>
      <c r="X579">
        <v>6</v>
      </c>
      <c r="Y579">
        <v>6.7</v>
      </c>
      <c r="Z579">
        <v>14.3</v>
      </c>
    </row>
    <row r="580" spans="1:26" x14ac:dyDescent="0.45">
      <c r="A580" t="s">
        <v>1805</v>
      </c>
      <c r="B580">
        <v>54</v>
      </c>
      <c r="C580" t="s">
        <v>44</v>
      </c>
      <c r="D580" t="s">
        <v>106</v>
      </c>
      <c r="E580" t="s">
        <v>78</v>
      </c>
      <c r="F580" t="s">
        <v>30</v>
      </c>
      <c r="G580" t="s">
        <v>276</v>
      </c>
      <c r="H580" t="s">
        <v>81</v>
      </c>
      <c r="I580" t="s">
        <v>33</v>
      </c>
      <c r="J580" t="s">
        <v>294</v>
      </c>
      <c r="K580" t="s">
        <v>1806</v>
      </c>
      <c r="L580" t="s">
        <v>92</v>
      </c>
      <c r="M580" t="s">
        <v>322</v>
      </c>
      <c r="N580" t="s">
        <v>578</v>
      </c>
      <c r="O580" t="s">
        <v>92</v>
      </c>
      <c r="P580" t="s">
        <v>55</v>
      </c>
      <c r="Q580" t="s">
        <v>75</v>
      </c>
      <c r="R580">
        <v>129</v>
      </c>
      <c r="S580">
        <v>0</v>
      </c>
      <c r="T580" t="s">
        <v>137</v>
      </c>
      <c r="U580" t="s">
        <v>57</v>
      </c>
      <c r="V580">
        <v>2.29</v>
      </c>
      <c r="W580">
        <v>4.59</v>
      </c>
      <c r="X580">
        <v>9</v>
      </c>
      <c r="Y580">
        <v>11.9</v>
      </c>
      <c r="Z580">
        <v>18.3</v>
      </c>
    </row>
    <row r="581" spans="1:26" x14ac:dyDescent="0.45">
      <c r="A581" t="s">
        <v>1807</v>
      </c>
      <c r="B581">
        <v>54</v>
      </c>
      <c r="C581" t="s">
        <v>45</v>
      </c>
      <c r="D581" t="s">
        <v>87</v>
      </c>
      <c r="E581" t="s">
        <v>29</v>
      </c>
      <c r="F581" t="s">
        <v>30</v>
      </c>
      <c r="G581" t="s">
        <v>89</v>
      </c>
      <c r="H581" t="s">
        <v>61</v>
      </c>
      <c r="I581" t="s">
        <v>132</v>
      </c>
      <c r="J581" t="s">
        <v>721</v>
      </c>
      <c r="K581" t="s">
        <v>1808</v>
      </c>
      <c r="L581" t="s">
        <v>52</v>
      </c>
      <c r="M581" t="s">
        <v>348</v>
      </c>
      <c r="N581" t="s">
        <v>769</v>
      </c>
      <c r="O581" t="s">
        <v>52</v>
      </c>
      <c r="P581" t="s">
        <v>39</v>
      </c>
      <c r="Q581" t="s">
        <v>30</v>
      </c>
      <c r="R581">
        <v>128</v>
      </c>
      <c r="S581">
        <v>1</v>
      </c>
      <c r="T581" t="s">
        <v>41</v>
      </c>
      <c r="U581" t="s">
        <v>57</v>
      </c>
      <c r="V581">
        <v>4.9800000000000004</v>
      </c>
      <c r="W581">
        <v>4.3</v>
      </c>
      <c r="X581">
        <v>8.6</v>
      </c>
      <c r="Y581">
        <v>10.5</v>
      </c>
      <c r="Z581">
        <v>12.8</v>
      </c>
    </row>
    <row r="582" spans="1:26" x14ac:dyDescent="0.45">
      <c r="A582" t="s">
        <v>1809</v>
      </c>
      <c r="B582">
        <v>24</v>
      </c>
      <c r="C582" t="s">
        <v>45</v>
      </c>
      <c r="D582" t="s">
        <v>95</v>
      </c>
      <c r="E582" t="s">
        <v>29</v>
      </c>
      <c r="F582" t="s">
        <v>30</v>
      </c>
      <c r="G582" t="s">
        <v>112</v>
      </c>
      <c r="H582" t="s">
        <v>32</v>
      </c>
      <c r="I582" t="s">
        <v>49</v>
      </c>
      <c r="J582" t="s">
        <v>1810</v>
      </c>
      <c r="K582" t="s">
        <v>1440</v>
      </c>
      <c r="L582" t="s">
        <v>52</v>
      </c>
      <c r="M582" t="s">
        <v>348</v>
      </c>
      <c r="N582" t="s">
        <v>1204</v>
      </c>
      <c r="O582" t="s">
        <v>52</v>
      </c>
      <c r="P582" t="s">
        <v>55</v>
      </c>
      <c r="Q582" t="s">
        <v>67</v>
      </c>
      <c r="R582">
        <v>176</v>
      </c>
      <c r="S582">
        <v>0</v>
      </c>
      <c r="T582" t="s">
        <v>85</v>
      </c>
      <c r="U582" t="s">
        <v>42</v>
      </c>
      <c r="V582">
        <v>1.27</v>
      </c>
      <c r="W582">
        <v>1.38</v>
      </c>
      <c r="X582">
        <v>10</v>
      </c>
      <c r="Y582">
        <v>11.9</v>
      </c>
      <c r="Z582">
        <v>15.7</v>
      </c>
    </row>
    <row r="583" spans="1:26" x14ac:dyDescent="0.45">
      <c r="A583" t="s">
        <v>1811</v>
      </c>
      <c r="B583">
        <v>23</v>
      </c>
      <c r="C583" t="s">
        <v>44</v>
      </c>
      <c r="D583" t="s">
        <v>106</v>
      </c>
      <c r="E583" t="s">
        <v>163</v>
      </c>
      <c r="F583" t="s">
        <v>30</v>
      </c>
      <c r="G583" t="s">
        <v>164</v>
      </c>
      <c r="H583" t="s">
        <v>71</v>
      </c>
      <c r="I583" t="s">
        <v>132</v>
      </c>
      <c r="J583" t="s">
        <v>1812</v>
      </c>
      <c r="K583" t="s">
        <v>1813</v>
      </c>
      <c r="L583" t="s">
        <v>64</v>
      </c>
      <c r="M583" t="s">
        <v>274</v>
      </c>
      <c r="N583" t="s">
        <v>109</v>
      </c>
      <c r="O583" t="s">
        <v>64</v>
      </c>
      <c r="P583" t="s">
        <v>110</v>
      </c>
      <c r="Q583" t="s">
        <v>67</v>
      </c>
      <c r="R583">
        <v>96</v>
      </c>
      <c r="S583">
        <v>0</v>
      </c>
      <c r="T583" t="s">
        <v>56</v>
      </c>
      <c r="U583" t="s">
        <v>57</v>
      </c>
      <c r="V583">
        <v>4.2300000000000004</v>
      </c>
      <c r="W583">
        <v>4.43</v>
      </c>
      <c r="X583">
        <v>10</v>
      </c>
      <c r="Y583">
        <v>10.3</v>
      </c>
      <c r="Z583">
        <v>3.7</v>
      </c>
    </row>
    <row r="584" spans="1:26" x14ac:dyDescent="0.45">
      <c r="A584" t="s">
        <v>1814</v>
      </c>
      <c r="B584">
        <v>44</v>
      </c>
      <c r="C584" t="s">
        <v>45</v>
      </c>
      <c r="D584" t="s">
        <v>28</v>
      </c>
      <c r="E584" t="s">
        <v>78</v>
      </c>
      <c r="F584" t="s">
        <v>30</v>
      </c>
      <c r="G584" t="s">
        <v>48</v>
      </c>
      <c r="H584" t="s">
        <v>81</v>
      </c>
      <c r="I584" t="s">
        <v>33</v>
      </c>
      <c r="J584" t="s">
        <v>1813</v>
      </c>
      <c r="K584" t="s">
        <v>1815</v>
      </c>
      <c r="L584" t="s">
        <v>36</v>
      </c>
      <c r="M584" t="s">
        <v>536</v>
      </c>
      <c r="N584" t="s">
        <v>262</v>
      </c>
      <c r="O584" t="s">
        <v>36</v>
      </c>
      <c r="P584" t="s">
        <v>110</v>
      </c>
      <c r="Q584" t="s">
        <v>40</v>
      </c>
      <c r="R584">
        <v>40</v>
      </c>
      <c r="S584">
        <v>0</v>
      </c>
      <c r="T584" t="s">
        <v>56</v>
      </c>
      <c r="U584" t="s">
        <v>42</v>
      </c>
      <c r="V584">
        <v>2.64</v>
      </c>
      <c r="W584">
        <v>1.52</v>
      </c>
      <c r="X584">
        <v>1.2</v>
      </c>
      <c r="Y584">
        <v>12.5</v>
      </c>
      <c r="Z584">
        <v>16.3</v>
      </c>
    </row>
    <row r="585" spans="1:26" x14ac:dyDescent="0.45">
      <c r="A585" t="s">
        <v>1816</v>
      </c>
      <c r="B585">
        <v>46</v>
      </c>
      <c r="C585" t="s">
        <v>27</v>
      </c>
      <c r="D585" t="s">
        <v>87</v>
      </c>
      <c r="E585" t="s">
        <v>163</v>
      </c>
      <c r="F585" t="s">
        <v>47</v>
      </c>
      <c r="G585" t="s">
        <v>125</v>
      </c>
      <c r="H585" t="s">
        <v>71</v>
      </c>
      <c r="I585" t="s">
        <v>132</v>
      </c>
      <c r="J585" t="s">
        <v>989</v>
      </c>
      <c r="K585" t="s">
        <v>1817</v>
      </c>
      <c r="L585" t="s">
        <v>36</v>
      </c>
      <c r="M585" t="s">
        <v>282</v>
      </c>
      <c r="N585" t="s">
        <v>452</v>
      </c>
      <c r="O585" t="s">
        <v>36</v>
      </c>
      <c r="P585" t="s">
        <v>110</v>
      </c>
      <c r="Q585" t="s">
        <v>30</v>
      </c>
      <c r="R585">
        <v>57</v>
      </c>
      <c r="S585">
        <v>0</v>
      </c>
      <c r="T585" t="s">
        <v>123</v>
      </c>
      <c r="U585" t="s">
        <v>57</v>
      </c>
      <c r="V585">
        <v>3.26</v>
      </c>
      <c r="W585">
        <v>2.25</v>
      </c>
      <c r="X585">
        <v>6.9</v>
      </c>
      <c r="Y585">
        <v>10.199999999999999</v>
      </c>
      <c r="Z585">
        <v>3.2</v>
      </c>
    </row>
    <row r="586" spans="1:26" x14ac:dyDescent="0.45">
      <c r="A586" t="s">
        <v>1818</v>
      </c>
      <c r="B586">
        <v>43</v>
      </c>
      <c r="C586" t="s">
        <v>27</v>
      </c>
      <c r="D586" t="s">
        <v>45</v>
      </c>
      <c r="E586" t="s">
        <v>78</v>
      </c>
      <c r="F586" t="s">
        <v>69</v>
      </c>
      <c r="G586" t="s">
        <v>118</v>
      </c>
      <c r="H586" t="s">
        <v>81</v>
      </c>
      <c r="I586" t="s">
        <v>33</v>
      </c>
      <c r="J586" t="s">
        <v>1819</v>
      </c>
      <c r="K586" t="s">
        <v>1820</v>
      </c>
      <c r="L586" t="s">
        <v>36</v>
      </c>
      <c r="M586" t="s">
        <v>129</v>
      </c>
      <c r="N586" t="s">
        <v>930</v>
      </c>
      <c r="O586" t="s">
        <v>36</v>
      </c>
      <c r="P586" t="s">
        <v>110</v>
      </c>
      <c r="Q586" t="s">
        <v>129</v>
      </c>
      <c r="R586">
        <v>91</v>
      </c>
      <c r="S586">
        <v>0</v>
      </c>
      <c r="T586" t="s">
        <v>56</v>
      </c>
      <c r="U586" t="s">
        <v>57</v>
      </c>
      <c r="V586">
        <v>4.0599999999999996</v>
      </c>
      <c r="W586">
        <v>3.49</v>
      </c>
      <c r="X586">
        <v>7.9</v>
      </c>
      <c r="Y586">
        <v>6.7</v>
      </c>
      <c r="Z586">
        <v>17.2</v>
      </c>
    </row>
    <row r="587" spans="1:26" x14ac:dyDescent="0.45">
      <c r="A587" t="s">
        <v>1821</v>
      </c>
      <c r="B587">
        <v>74</v>
      </c>
      <c r="C587" t="s">
        <v>45</v>
      </c>
      <c r="D587" t="s">
        <v>106</v>
      </c>
      <c r="E587" t="s">
        <v>78</v>
      </c>
      <c r="F587" t="s">
        <v>30</v>
      </c>
      <c r="G587" t="s">
        <v>118</v>
      </c>
      <c r="H587" t="s">
        <v>71</v>
      </c>
      <c r="I587" t="s">
        <v>72</v>
      </c>
      <c r="J587" t="s">
        <v>1822</v>
      </c>
      <c r="K587" t="s">
        <v>1823</v>
      </c>
      <c r="L587" t="s">
        <v>52</v>
      </c>
      <c r="M587" t="s">
        <v>53</v>
      </c>
      <c r="N587" t="s">
        <v>954</v>
      </c>
      <c r="O587" t="s">
        <v>52</v>
      </c>
      <c r="P587" t="s">
        <v>55</v>
      </c>
      <c r="Q587" t="s">
        <v>67</v>
      </c>
      <c r="R587">
        <v>44</v>
      </c>
      <c r="S587">
        <v>0</v>
      </c>
      <c r="T587" t="s">
        <v>56</v>
      </c>
      <c r="U587" t="s">
        <v>57</v>
      </c>
      <c r="V587">
        <v>3.48</v>
      </c>
      <c r="W587">
        <v>3.25</v>
      </c>
      <c r="X587">
        <v>6.6</v>
      </c>
      <c r="Y587">
        <v>21.6</v>
      </c>
      <c r="Z587">
        <v>13</v>
      </c>
    </row>
    <row r="588" spans="1:26" x14ac:dyDescent="0.45">
      <c r="A588" t="s">
        <v>1824</v>
      </c>
      <c r="B588">
        <v>37</v>
      </c>
      <c r="C588" t="s">
        <v>44</v>
      </c>
      <c r="D588" t="s">
        <v>45</v>
      </c>
      <c r="E588" t="s">
        <v>163</v>
      </c>
      <c r="F588" t="s">
        <v>79</v>
      </c>
      <c r="G588" t="s">
        <v>31</v>
      </c>
      <c r="H588" t="s">
        <v>81</v>
      </c>
      <c r="I588" t="s">
        <v>49</v>
      </c>
      <c r="J588" t="s">
        <v>1825</v>
      </c>
      <c r="K588" t="s">
        <v>1826</v>
      </c>
      <c r="L588" t="s">
        <v>64</v>
      </c>
      <c r="M588" t="s">
        <v>438</v>
      </c>
      <c r="N588" t="s">
        <v>358</v>
      </c>
      <c r="O588" t="s">
        <v>64</v>
      </c>
      <c r="P588" t="s">
        <v>39</v>
      </c>
      <c r="Q588" t="s">
        <v>129</v>
      </c>
      <c r="R588">
        <v>46</v>
      </c>
      <c r="S588">
        <v>1</v>
      </c>
      <c r="T588" t="s">
        <v>56</v>
      </c>
      <c r="U588" t="s">
        <v>42</v>
      </c>
      <c r="V588">
        <v>3.32</v>
      </c>
      <c r="W588">
        <v>4.96</v>
      </c>
      <c r="X588">
        <v>7.8</v>
      </c>
      <c r="Y588">
        <v>14</v>
      </c>
      <c r="Z588">
        <v>15</v>
      </c>
    </row>
    <row r="589" spans="1:26" x14ac:dyDescent="0.45">
      <c r="A589" t="s">
        <v>1827</v>
      </c>
      <c r="B589">
        <v>39</v>
      </c>
      <c r="C589" t="s">
        <v>45</v>
      </c>
      <c r="D589" t="s">
        <v>28</v>
      </c>
      <c r="E589" t="s">
        <v>30</v>
      </c>
      <c r="F589" t="s">
        <v>88</v>
      </c>
      <c r="G589" t="s">
        <v>60</v>
      </c>
      <c r="H589" t="s">
        <v>61</v>
      </c>
      <c r="I589" t="s">
        <v>33</v>
      </c>
      <c r="J589" t="s">
        <v>1828</v>
      </c>
      <c r="K589" t="s">
        <v>1829</v>
      </c>
      <c r="L589" t="s">
        <v>92</v>
      </c>
      <c r="M589" t="s">
        <v>129</v>
      </c>
      <c r="N589" t="s">
        <v>235</v>
      </c>
      <c r="O589" t="s">
        <v>92</v>
      </c>
      <c r="P589" t="s">
        <v>110</v>
      </c>
      <c r="Q589" t="s">
        <v>129</v>
      </c>
      <c r="R589">
        <v>35</v>
      </c>
      <c r="S589">
        <v>0</v>
      </c>
      <c r="T589" t="s">
        <v>56</v>
      </c>
      <c r="U589" t="s">
        <v>57</v>
      </c>
      <c r="V589">
        <v>2.56</v>
      </c>
      <c r="W589">
        <v>1.92</v>
      </c>
      <c r="X589">
        <v>6.4</v>
      </c>
      <c r="Y589">
        <v>22.7</v>
      </c>
      <c r="Z589">
        <v>18.8</v>
      </c>
    </row>
    <row r="590" spans="1:26" x14ac:dyDescent="0.45">
      <c r="A590" t="s">
        <v>1830</v>
      </c>
      <c r="B590">
        <v>54</v>
      </c>
      <c r="C590" t="s">
        <v>45</v>
      </c>
      <c r="D590" t="s">
        <v>45</v>
      </c>
      <c r="E590" t="s">
        <v>78</v>
      </c>
      <c r="F590" t="s">
        <v>79</v>
      </c>
      <c r="G590" t="s">
        <v>70</v>
      </c>
      <c r="H590" t="s">
        <v>32</v>
      </c>
      <c r="I590" t="s">
        <v>132</v>
      </c>
      <c r="J590" t="s">
        <v>1831</v>
      </c>
      <c r="K590" t="s">
        <v>119</v>
      </c>
      <c r="L590" t="s">
        <v>64</v>
      </c>
      <c r="M590" t="s">
        <v>67</v>
      </c>
      <c r="N590" t="s">
        <v>1000</v>
      </c>
      <c r="O590" t="s">
        <v>64</v>
      </c>
      <c r="P590" t="s">
        <v>110</v>
      </c>
      <c r="Q590" t="s">
        <v>67</v>
      </c>
      <c r="R590">
        <v>129</v>
      </c>
      <c r="S590">
        <v>0</v>
      </c>
      <c r="T590" t="s">
        <v>137</v>
      </c>
      <c r="U590" t="s">
        <v>42</v>
      </c>
      <c r="V590">
        <v>2.37</v>
      </c>
      <c r="W590">
        <v>3.11</v>
      </c>
      <c r="X590">
        <v>2.9</v>
      </c>
      <c r="Y590">
        <v>23.9</v>
      </c>
      <c r="Z590">
        <v>19.7</v>
      </c>
    </row>
    <row r="591" spans="1:26" x14ac:dyDescent="0.45">
      <c r="A591" t="s">
        <v>1832</v>
      </c>
      <c r="B591">
        <v>65</v>
      </c>
      <c r="C591" t="s">
        <v>45</v>
      </c>
      <c r="D591" t="s">
        <v>87</v>
      </c>
      <c r="E591" t="s">
        <v>78</v>
      </c>
      <c r="F591" t="s">
        <v>30</v>
      </c>
      <c r="G591" t="s">
        <v>96</v>
      </c>
      <c r="H591" t="s">
        <v>61</v>
      </c>
      <c r="I591" t="s">
        <v>33</v>
      </c>
      <c r="J591" t="s">
        <v>1833</v>
      </c>
      <c r="K591" t="s">
        <v>1161</v>
      </c>
      <c r="L591" t="s">
        <v>36</v>
      </c>
      <c r="M591" t="s">
        <v>30</v>
      </c>
      <c r="N591" t="s">
        <v>987</v>
      </c>
      <c r="O591" t="s">
        <v>36</v>
      </c>
      <c r="P591" t="s">
        <v>55</v>
      </c>
      <c r="Q591" t="s">
        <v>40</v>
      </c>
      <c r="R591">
        <v>136</v>
      </c>
      <c r="S591">
        <v>0</v>
      </c>
      <c r="T591" t="s">
        <v>56</v>
      </c>
      <c r="U591" t="s">
        <v>57</v>
      </c>
      <c r="V591">
        <v>3.6</v>
      </c>
      <c r="W591">
        <v>4.22</v>
      </c>
      <c r="X591">
        <v>7.4</v>
      </c>
      <c r="Y591">
        <v>16.7</v>
      </c>
      <c r="Z591">
        <v>3.9</v>
      </c>
    </row>
    <row r="592" spans="1:26" x14ac:dyDescent="0.45">
      <c r="A592" t="s">
        <v>1834</v>
      </c>
      <c r="B592">
        <v>74</v>
      </c>
      <c r="C592" t="s">
        <v>44</v>
      </c>
      <c r="D592" t="s">
        <v>95</v>
      </c>
      <c r="E592" t="s">
        <v>30</v>
      </c>
      <c r="F592" t="s">
        <v>47</v>
      </c>
      <c r="G592" t="s">
        <v>96</v>
      </c>
      <c r="H592" t="s">
        <v>71</v>
      </c>
      <c r="I592" t="s">
        <v>72</v>
      </c>
      <c r="J592" t="s">
        <v>1306</v>
      </c>
      <c r="K592" t="s">
        <v>1835</v>
      </c>
      <c r="L592" t="s">
        <v>52</v>
      </c>
      <c r="M592" t="s">
        <v>181</v>
      </c>
      <c r="N592" t="s">
        <v>1836</v>
      </c>
      <c r="O592" t="s">
        <v>52</v>
      </c>
      <c r="P592" t="s">
        <v>55</v>
      </c>
      <c r="Q592" t="s">
        <v>30</v>
      </c>
      <c r="R592">
        <v>108</v>
      </c>
      <c r="S592">
        <v>0</v>
      </c>
      <c r="T592" t="s">
        <v>41</v>
      </c>
      <c r="U592" t="s">
        <v>57</v>
      </c>
      <c r="V592">
        <v>2.82</v>
      </c>
      <c r="W592">
        <v>3.7</v>
      </c>
      <c r="X592">
        <v>7.1</v>
      </c>
      <c r="Y592">
        <v>12.7</v>
      </c>
      <c r="Z592">
        <v>19</v>
      </c>
    </row>
    <row r="593" spans="1:26" x14ac:dyDescent="0.45">
      <c r="A593" t="s">
        <v>1837</v>
      </c>
      <c r="B593">
        <v>36</v>
      </c>
      <c r="C593" t="s">
        <v>44</v>
      </c>
      <c r="D593" t="s">
        <v>87</v>
      </c>
      <c r="E593" t="s">
        <v>29</v>
      </c>
      <c r="F593" t="s">
        <v>30</v>
      </c>
      <c r="G593" t="s">
        <v>276</v>
      </c>
      <c r="H593" t="s">
        <v>81</v>
      </c>
      <c r="I593" t="s">
        <v>49</v>
      </c>
      <c r="J593" t="s">
        <v>139</v>
      </c>
      <c r="K593" t="s">
        <v>1838</v>
      </c>
      <c r="L593" t="s">
        <v>52</v>
      </c>
      <c r="M593" t="s">
        <v>216</v>
      </c>
      <c r="N593" t="s">
        <v>1621</v>
      </c>
      <c r="O593" t="s">
        <v>52</v>
      </c>
      <c r="P593" t="s">
        <v>39</v>
      </c>
      <c r="Q593" t="s">
        <v>67</v>
      </c>
      <c r="R593">
        <v>128</v>
      </c>
      <c r="S593">
        <v>1</v>
      </c>
      <c r="T593" t="s">
        <v>85</v>
      </c>
      <c r="U593" t="s">
        <v>42</v>
      </c>
      <c r="V593">
        <v>1.67</v>
      </c>
      <c r="W593">
        <v>3</v>
      </c>
      <c r="X593">
        <v>7.2</v>
      </c>
      <c r="Y593">
        <v>18.5</v>
      </c>
      <c r="Z593">
        <v>14</v>
      </c>
    </row>
    <row r="594" spans="1:26" x14ac:dyDescent="0.45">
      <c r="A594" t="s">
        <v>1839</v>
      </c>
      <c r="B594">
        <v>52</v>
      </c>
      <c r="C594" t="s">
        <v>45</v>
      </c>
      <c r="D594" t="s">
        <v>45</v>
      </c>
      <c r="E594" t="s">
        <v>46</v>
      </c>
      <c r="F594" t="s">
        <v>30</v>
      </c>
      <c r="G594" t="s">
        <v>80</v>
      </c>
      <c r="H594" t="s">
        <v>71</v>
      </c>
      <c r="I594" t="s">
        <v>72</v>
      </c>
      <c r="J594" t="s">
        <v>414</v>
      </c>
      <c r="K594" t="s">
        <v>932</v>
      </c>
      <c r="L594" t="s">
        <v>52</v>
      </c>
      <c r="M594" t="s">
        <v>697</v>
      </c>
      <c r="N594" t="s">
        <v>327</v>
      </c>
      <c r="O594" t="s">
        <v>52</v>
      </c>
      <c r="P594" t="s">
        <v>39</v>
      </c>
      <c r="Q594" t="s">
        <v>129</v>
      </c>
      <c r="R594">
        <v>51</v>
      </c>
      <c r="S594">
        <v>1</v>
      </c>
      <c r="T594" t="s">
        <v>123</v>
      </c>
      <c r="U594" t="s">
        <v>42</v>
      </c>
      <c r="V594">
        <v>2.1</v>
      </c>
      <c r="W594">
        <v>1.62</v>
      </c>
      <c r="X594">
        <v>6.7</v>
      </c>
      <c r="Y594">
        <v>16.8</v>
      </c>
      <c r="Z594">
        <v>6</v>
      </c>
    </row>
    <row r="595" spans="1:26" x14ac:dyDescent="0.45">
      <c r="A595" t="s">
        <v>1840</v>
      </c>
      <c r="B595">
        <v>24</v>
      </c>
      <c r="C595" t="s">
        <v>44</v>
      </c>
      <c r="D595" t="s">
        <v>87</v>
      </c>
      <c r="E595" t="s">
        <v>30</v>
      </c>
      <c r="F595" t="s">
        <v>30</v>
      </c>
      <c r="G595" t="s">
        <v>194</v>
      </c>
      <c r="H595" t="s">
        <v>71</v>
      </c>
      <c r="I595" t="s">
        <v>72</v>
      </c>
      <c r="J595" t="s">
        <v>1332</v>
      </c>
      <c r="K595" t="s">
        <v>1700</v>
      </c>
      <c r="L595" t="s">
        <v>64</v>
      </c>
      <c r="M595" t="s">
        <v>115</v>
      </c>
      <c r="N595" t="s">
        <v>962</v>
      </c>
      <c r="O595" t="s">
        <v>64</v>
      </c>
      <c r="P595" t="s">
        <v>110</v>
      </c>
      <c r="Q595" t="s">
        <v>67</v>
      </c>
      <c r="R595">
        <v>104</v>
      </c>
      <c r="S595">
        <v>0</v>
      </c>
      <c r="T595" t="s">
        <v>137</v>
      </c>
      <c r="U595" t="s">
        <v>42</v>
      </c>
      <c r="V595">
        <v>3.82</v>
      </c>
      <c r="W595">
        <v>2.82</v>
      </c>
      <c r="X595">
        <v>7</v>
      </c>
      <c r="Y595">
        <v>21.1</v>
      </c>
      <c r="Z595">
        <v>5.9</v>
      </c>
    </row>
    <row r="596" spans="1:26" x14ac:dyDescent="0.45">
      <c r="A596" t="s">
        <v>1841</v>
      </c>
      <c r="B596">
        <v>38</v>
      </c>
      <c r="C596" t="s">
        <v>27</v>
      </c>
      <c r="D596" t="s">
        <v>106</v>
      </c>
      <c r="E596" t="s">
        <v>78</v>
      </c>
      <c r="F596" t="s">
        <v>69</v>
      </c>
      <c r="G596" t="s">
        <v>48</v>
      </c>
      <c r="H596" t="s">
        <v>71</v>
      </c>
      <c r="I596" t="s">
        <v>33</v>
      </c>
      <c r="J596" t="s">
        <v>1842</v>
      </c>
      <c r="K596" t="s">
        <v>1843</v>
      </c>
      <c r="L596" t="s">
        <v>92</v>
      </c>
      <c r="M596" t="s">
        <v>266</v>
      </c>
      <c r="N596" t="s">
        <v>168</v>
      </c>
      <c r="O596" t="s">
        <v>92</v>
      </c>
      <c r="P596" t="s">
        <v>39</v>
      </c>
      <c r="Q596" t="s">
        <v>67</v>
      </c>
      <c r="R596">
        <v>127</v>
      </c>
      <c r="S596">
        <v>1</v>
      </c>
      <c r="T596" t="s">
        <v>56</v>
      </c>
      <c r="U596" t="s">
        <v>57</v>
      </c>
      <c r="V596">
        <v>1.08</v>
      </c>
      <c r="W596">
        <v>4.12</v>
      </c>
      <c r="X596">
        <v>6.5</v>
      </c>
      <c r="Y596">
        <v>18.600000000000001</v>
      </c>
      <c r="Z596">
        <v>17.2</v>
      </c>
    </row>
    <row r="597" spans="1:26" x14ac:dyDescent="0.45">
      <c r="A597" t="s">
        <v>1844</v>
      </c>
      <c r="B597">
        <v>79</v>
      </c>
      <c r="C597" t="s">
        <v>27</v>
      </c>
      <c r="D597" t="s">
        <v>87</v>
      </c>
      <c r="E597" t="s">
        <v>29</v>
      </c>
      <c r="F597" t="s">
        <v>30</v>
      </c>
      <c r="G597" t="s">
        <v>194</v>
      </c>
      <c r="H597" t="s">
        <v>81</v>
      </c>
      <c r="I597" t="s">
        <v>72</v>
      </c>
      <c r="J597" t="s">
        <v>1845</v>
      </c>
      <c r="K597" t="s">
        <v>1846</v>
      </c>
      <c r="L597" t="s">
        <v>64</v>
      </c>
      <c r="M597" t="s">
        <v>322</v>
      </c>
      <c r="N597" t="s">
        <v>742</v>
      </c>
      <c r="O597" t="s">
        <v>64</v>
      </c>
      <c r="P597" t="s">
        <v>39</v>
      </c>
      <c r="Q597" t="s">
        <v>67</v>
      </c>
      <c r="R597">
        <v>106</v>
      </c>
      <c r="S597">
        <v>1</v>
      </c>
      <c r="T597" t="s">
        <v>56</v>
      </c>
      <c r="U597" t="s">
        <v>42</v>
      </c>
      <c r="V597">
        <v>4.21</v>
      </c>
      <c r="W597">
        <v>4.84</v>
      </c>
      <c r="X597">
        <v>5.8</v>
      </c>
      <c r="Y597">
        <v>14.8</v>
      </c>
      <c r="Z597">
        <v>9.8000000000000007</v>
      </c>
    </row>
    <row r="598" spans="1:26" x14ac:dyDescent="0.45">
      <c r="A598" t="s">
        <v>1847</v>
      </c>
      <c r="B598">
        <v>32</v>
      </c>
      <c r="C598" t="s">
        <v>45</v>
      </c>
      <c r="D598" t="s">
        <v>106</v>
      </c>
      <c r="E598" t="s">
        <v>30</v>
      </c>
      <c r="F598" t="s">
        <v>88</v>
      </c>
      <c r="G598" t="s">
        <v>194</v>
      </c>
      <c r="H598" t="s">
        <v>81</v>
      </c>
      <c r="I598" t="s">
        <v>49</v>
      </c>
      <c r="J598" t="s">
        <v>191</v>
      </c>
      <c r="K598" t="s">
        <v>1848</v>
      </c>
      <c r="L598" t="s">
        <v>64</v>
      </c>
      <c r="M598" t="s">
        <v>121</v>
      </c>
      <c r="N598" t="s">
        <v>1132</v>
      </c>
      <c r="O598" t="s">
        <v>64</v>
      </c>
      <c r="P598" t="s">
        <v>39</v>
      </c>
      <c r="Q598" t="s">
        <v>40</v>
      </c>
      <c r="R598">
        <v>111</v>
      </c>
      <c r="S598">
        <v>1</v>
      </c>
      <c r="T598" t="s">
        <v>41</v>
      </c>
      <c r="U598" t="s">
        <v>42</v>
      </c>
      <c r="V598">
        <v>1.61</v>
      </c>
      <c r="W598">
        <v>3.29</v>
      </c>
      <c r="X598">
        <v>3.5</v>
      </c>
      <c r="Y598">
        <v>22.6</v>
      </c>
      <c r="Z598">
        <v>12.9</v>
      </c>
    </row>
    <row r="599" spans="1:26" x14ac:dyDescent="0.45">
      <c r="A599" t="s">
        <v>1849</v>
      </c>
      <c r="B599">
        <v>48</v>
      </c>
      <c r="C599" t="s">
        <v>45</v>
      </c>
      <c r="D599" t="s">
        <v>28</v>
      </c>
      <c r="E599" t="s">
        <v>30</v>
      </c>
      <c r="F599" t="s">
        <v>47</v>
      </c>
      <c r="G599" t="s">
        <v>31</v>
      </c>
      <c r="H599" t="s">
        <v>61</v>
      </c>
      <c r="I599" t="s">
        <v>132</v>
      </c>
      <c r="J599" t="s">
        <v>1443</v>
      </c>
      <c r="K599" t="s">
        <v>1850</v>
      </c>
      <c r="L599" t="s">
        <v>92</v>
      </c>
      <c r="M599" t="s">
        <v>75</v>
      </c>
      <c r="N599" t="s">
        <v>636</v>
      </c>
      <c r="O599" t="s">
        <v>92</v>
      </c>
      <c r="P599" t="s">
        <v>110</v>
      </c>
      <c r="Q599" t="s">
        <v>75</v>
      </c>
      <c r="R599">
        <v>34</v>
      </c>
      <c r="S599">
        <v>0</v>
      </c>
      <c r="T599" t="s">
        <v>137</v>
      </c>
      <c r="U599" t="s">
        <v>57</v>
      </c>
      <c r="V599">
        <v>3.37</v>
      </c>
      <c r="W599">
        <v>2.42</v>
      </c>
      <c r="X599">
        <v>1.5</v>
      </c>
      <c r="Y599">
        <v>6.6</v>
      </c>
      <c r="Z599">
        <v>10.199999999999999</v>
      </c>
    </row>
    <row r="600" spans="1:26" x14ac:dyDescent="0.45">
      <c r="A600" t="s">
        <v>1851</v>
      </c>
      <c r="B600">
        <v>43</v>
      </c>
      <c r="C600" t="s">
        <v>44</v>
      </c>
      <c r="D600" t="s">
        <v>95</v>
      </c>
      <c r="E600" t="s">
        <v>78</v>
      </c>
      <c r="F600" t="s">
        <v>59</v>
      </c>
      <c r="G600" t="s">
        <v>131</v>
      </c>
      <c r="H600" t="s">
        <v>32</v>
      </c>
      <c r="I600" t="s">
        <v>132</v>
      </c>
      <c r="J600" t="s">
        <v>1852</v>
      </c>
      <c r="K600" t="s">
        <v>1853</v>
      </c>
      <c r="L600" t="s">
        <v>64</v>
      </c>
      <c r="M600" t="s">
        <v>30</v>
      </c>
      <c r="N600" t="s">
        <v>150</v>
      </c>
      <c r="O600" t="s">
        <v>64</v>
      </c>
      <c r="P600" t="s">
        <v>55</v>
      </c>
      <c r="Q600" t="s">
        <v>75</v>
      </c>
      <c r="R600">
        <v>79</v>
      </c>
      <c r="S600">
        <v>0</v>
      </c>
      <c r="T600" t="s">
        <v>56</v>
      </c>
      <c r="U600" t="s">
        <v>57</v>
      </c>
      <c r="V600">
        <v>1.34</v>
      </c>
      <c r="W600">
        <v>3.43</v>
      </c>
      <c r="X600">
        <v>8.9</v>
      </c>
      <c r="Y600">
        <v>21.9</v>
      </c>
      <c r="Z600">
        <v>14.2</v>
      </c>
    </row>
    <row r="601" spans="1:26" x14ac:dyDescent="0.45">
      <c r="A601" t="s">
        <v>1854</v>
      </c>
      <c r="B601">
        <v>52</v>
      </c>
      <c r="C601" t="s">
        <v>27</v>
      </c>
      <c r="D601" t="s">
        <v>95</v>
      </c>
      <c r="E601" t="s">
        <v>163</v>
      </c>
      <c r="F601" t="s">
        <v>30</v>
      </c>
      <c r="G601" t="s">
        <v>31</v>
      </c>
      <c r="H601" t="s">
        <v>61</v>
      </c>
      <c r="I601" t="s">
        <v>49</v>
      </c>
      <c r="J601" t="s">
        <v>1855</v>
      </c>
      <c r="K601" t="s">
        <v>1856</v>
      </c>
      <c r="L601" t="s">
        <v>52</v>
      </c>
      <c r="M601" t="s">
        <v>274</v>
      </c>
      <c r="N601" t="s">
        <v>507</v>
      </c>
      <c r="O601" t="s">
        <v>52</v>
      </c>
      <c r="P601" t="s">
        <v>39</v>
      </c>
      <c r="Q601" t="s">
        <v>129</v>
      </c>
      <c r="R601">
        <v>49</v>
      </c>
      <c r="S601">
        <v>1</v>
      </c>
      <c r="T601" t="s">
        <v>123</v>
      </c>
      <c r="U601" t="s">
        <v>42</v>
      </c>
      <c r="V601">
        <v>1.84</v>
      </c>
      <c r="W601">
        <v>4.45</v>
      </c>
      <c r="X601">
        <v>9</v>
      </c>
      <c r="Y601">
        <v>9.5</v>
      </c>
      <c r="Z601">
        <v>15.5</v>
      </c>
    </row>
    <row r="602" spans="1:26" x14ac:dyDescent="0.45">
      <c r="A602" t="s">
        <v>1857</v>
      </c>
      <c r="B602">
        <v>61</v>
      </c>
      <c r="C602" t="s">
        <v>45</v>
      </c>
      <c r="D602" t="s">
        <v>87</v>
      </c>
      <c r="E602" t="s">
        <v>46</v>
      </c>
      <c r="F602" t="s">
        <v>30</v>
      </c>
      <c r="G602" t="s">
        <v>440</v>
      </c>
      <c r="H602" t="s">
        <v>32</v>
      </c>
      <c r="I602" t="s">
        <v>49</v>
      </c>
      <c r="J602" t="s">
        <v>1858</v>
      </c>
      <c r="K602" t="s">
        <v>303</v>
      </c>
      <c r="L602" t="s">
        <v>52</v>
      </c>
      <c r="M602" t="s">
        <v>129</v>
      </c>
      <c r="N602" t="s">
        <v>383</v>
      </c>
      <c r="O602" t="s">
        <v>52</v>
      </c>
      <c r="P602" t="s">
        <v>39</v>
      </c>
      <c r="Q602" t="s">
        <v>129</v>
      </c>
      <c r="R602">
        <v>30</v>
      </c>
      <c r="S602">
        <v>1</v>
      </c>
      <c r="T602" t="s">
        <v>56</v>
      </c>
      <c r="U602" t="s">
        <v>42</v>
      </c>
      <c r="V602">
        <v>2.15</v>
      </c>
      <c r="W602">
        <v>4.21</v>
      </c>
      <c r="X602">
        <v>10</v>
      </c>
      <c r="Y602">
        <v>6.5</v>
      </c>
      <c r="Z602">
        <v>18.3</v>
      </c>
    </row>
    <row r="603" spans="1:26" x14ac:dyDescent="0.45">
      <c r="A603" t="s">
        <v>1859</v>
      </c>
      <c r="B603">
        <v>44</v>
      </c>
      <c r="C603" t="s">
        <v>27</v>
      </c>
      <c r="D603" t="s">
        <v>87</v>
      </c>
      <c r="E603" t="s">
        <v>78</v>
      </c>
      <c r="F603" t="s">
        <v>69</v>
      </c>
      <c r="G603" t="s">
        <v>89</v>
      </c>
      <c r="H603" t="s">
        <v>81</v>
      </c>
      <c r="I603" t="s">
        <v>72</v>
      </c>
      <c r="J603" t="s">
        <v>489</v>
      </c>
      <c r="K603" t="s">
        <v>1860</v>
      </c>
      <c r="L603" t="s">
        <v>36</v>
      </c>
      <c r="M603" t="s">
        <v>536</v>
      </c>
      <c r="N603" t="s">
        <v>1621</v>
      </c>
      <c r="O603" t="s">
        <v>36</v>
      </c>
      <c r="P603" t="s">
        <v>39</v>
      </c>
      <c r="Q603" t="s">
        <v>75</v>
      </c>
      <c r="R603">
        <v>31</v>
      </c>
      <c r="S603">
        <v>1</v>
      </c>
      <c r="T603" t="s">
        <v>123</v>
      </c>
      <c r="U603" t="s">
        <v>42</v>
      </c>
      <c r="V603">
        <v>3.49</v>
      </c>
      <c r="W603">
        <v>4.8899999999999997</v>
      </c>
      <c r="X603">
        <v>5.2</v>
      </c>
      <c r="Y603">
        <v>21.3</v>
      </c>
      <c r="Z603">
        <v>4.0999999999999996</v>
      </c>
    </row>
    <row r="604" spans="1:26" x14ac:dyDescent="0.45">
      <c r="A604" t="s">
        <v>1861</v>
      </c>
      <c r="B604">
        <v>43</v>
      </c>
      <c r="C604" t="s">
        <v>44</v>
      </c>
      <c r="D604" t="s">
        <v>106</v>
      </c>
      <c r="E604" t="s">
        <v>29</v>
      </c>
      <c r="F604" t="s">
        <v>30</v>
      </c>
      <c r="G604" t="s">
        <v>89</v>
      </c>
      <c r="H604" t="s">
        <v>61</v>
      </c>
      <c r="I604" t="s">
        <v>49</v>
      </c>
      <c r="J604" t="s">
        <v>1862</v>
      </c>
      <c r="K604" t="s">
        <v>1863</v>
      </c>
      <c r="L604" t="s">
        <v>52</v>
      </c>
      <c r="M604" t="s">
        <v>40</v>
      </c>
      <c r="N604" t="s">
        <v>287</v>
      </c>
      <c r="O604" t="s">
        <v>52</v>
      </c>
      <c r="P604" t="s">
        <v>110</v>
      </c>
      <c r="Q604" t="s">
        <v>30</v>
      </c>
      <c r="R604">
        <v>135</v>
      </c>
      <c r="S604">
        <v>0</v>
      </c>
      <c r="T604" t="s">
        <v>85</v>
      </c>
      <c r="U604" t="s">
        <v>57</v>
      </c>
      <c r="V604">
        <v>2.34</v>
      </c>
      <c r="W604">
        <v>1.27</v>
      </c>
      <c r="X604">
        <v>9.8000000000000007</v>
      </c>
      <c r="Y604">
        <v>20.7</v>
      </c>
      <c r="Z604">
        <v>17.5</v>
      </c>
    </row>
    <row r="605" spans="1:26" x14ac:dyDescent="0.45">
      <c r="A605" t="s">
        <v>1864</v>
      </c>
      <c r="B605">
        <v>45</v>
      </c>
      <c r="C605" t="s">
        <v>44</v>
      </c>
      <c r="D605" t="s">
        <v>28</v>
      </c>
      <c r="E605" t="s">
        <v>30</v>
      </c>
      <c r="F605" t="s">
        <v>30</v>
      </c>
      <c r="G605" t="s">
        <v>246</v>
      </c>
      <c r="H605" t="s">
        <v>61</v>
      </c>
      <c r="I605" t="s">
        <v>132</v>
      </c>
      <c r="J605" t="s">
        <v>325</v>
      </c>
      <c r="K605" t="s">
        <v>293</v>
      </c>
      <c r="L605" t="s">
        <v>92</v>
      </c>
      <c r="M605" t="s">
        <v>697</v>
      </c>
      <c r="N605" t="s">
        <v>1779</v>
      </c>
      <c r="O605" t="s">
        <v>92</v>
      </c>
      <c r="P605" t="s">
        <v>55</v>
      </c>
      <c r="Q605" t="s">
        <v>129</v>
      </c>
      <c r="R605">
        <v>144</v>
      </c>
      <c r="S605">
        <v>0</v>
      </c>
      <c r="T605" t="s">
        <v>123</v>
      </c>
      <c r="U605" t="s">
        <v>42</v>
      </c>
      <c r="V605">
        <v>4.75</v>
      </c>
      <c r="W605">
        <v>1.34</v>
      </c>
      <c r="X605">
        <v>4.5</v>
      </c>
      <c r="Y605">
        <v>7.3</v>
      </c>
      <c r="Z605">
        <v>6.6</v>
      </c>
    </row>
    <row r="606" spans="1:26" x14ac:dyDescent="0.45">
      <c r="A606" t="s">
        <v>1865</v>
      </c>
      <c r="B606">
        <v>58</v>
      </c>
      <c r="C606" t="s">
        <v>45</v>
      </c>
      <c r="D606" t="s">
        <v>28</v>
      </c>
      <c r="E606" t="s">
        <v>29</v>
      </c>
      <c r="F606" t="s">
        <v>30</v>
      </c>
      <c r="G606" t="s">
        <v>125</v>
      </c>
      <c r="H606" t="s">
        <v>32</v>
      </c>
      <c r="I606" t="s">
        <v>132</v>
      </c>
      <c r="J606" t="s">
        <v>1866</v>
      </c>
      <c r="K606" t="s">
        <v>1867</v>
      </c>
      <c r="L606" t="s">
        <v>36</v>
      </c>
      <c r="M606" t="s">
        <v>295</v>
      </c>
      <c r="N606" t="s">
        <v>930</v>
      </c>
      <c r="O606" t="s">
        <v>36</v>
      </c>
      <c r="P606" t="s">
        <v>55</v>
      </c>
      <c r="Q606" t="s">
        <v>30</v>
      </c>
      <c r="R606">
        <v>169</v>
      </c>
      <c r="S606">
        <v>0</v>
      </c>
      <c r="T606" t="s">
        <v>41</v>
      </c>
      <c r="U606" t="s">
        <v>42</v>
      </c>
      <c r="V606">
        <v>1.92</v>
      </c>
      <c r="W606">
        <v>2.88</v>
      </c>
      <c r="X606">
        <v>3.4</v>
      </c>
      <c r="Y606">
        <v>7.8</v>
      </c>
      <c r="Z606">
        <v>5.8</v>
      </c>
    </row>
    <row r="607" spans="1:26" x14ac:dyDescent="0.45">
      <c r="A607" t="s">
        <v>1868</v>
      </c>
      <c r="B607">
        <v>39</v>
      </c>
      <c r="C607" t="s">
        <v>27</v>
      </c>
      <c r="D607" t="s">
        <v>28</v>
      </c>
      <c r="E607" t="s">
        <v>78</v>
      </c>
      <c r="F607" t="s">
        <v>47</v>
      </c>
      <c r="G607" t="s">
        <v>31</v>
      </c>
      <c r="H607" t="s">
        <v>81</v>
      </c>
      <c r="I607" t="s">
        <v>33</v>
      </c>
      <c r="J607" t="s">
        <v>1831</v>
      </c>
      <c r="K607" t="s">
        <v>660</v>
      </c>
      <c r="L607" t="s">
        <v>36</v>
      </c>
      <c r="M607" t="s">
        <v>274</v>
      </c>
      <c r="N607" t="s">
        <v>358</v>
      </c>
      <c r="O607" t="s">
        <v>36</v>
      </c>
      <c r="P607" t="s">
        <v>55</v>
      </c>
      <c r="Q607" t="s">
        <v>67</v>
      </c>
      <c r="R607">
        <v>132</v>
      </c>
      <c r="S607">
        <v>0</v>
      </c>
      <c r="T607" t="s">
        <v>137</v>
      </c>
      <c r="U607" t="s">
        <v>42</v>
      </c>
      <c r="V607">
        <v>1.59</v>
      </c>
      <c r="W607">
        <v>4.8899999999999997</v>
      </c>
      <c r="X607">
        <v>7.8</v>
      </c>
      <c r="Y607">
        <v>23.4</v>
      </c>
      <c r="Z607">
        <v>10.5</v>
      </c>
    </row>
    <row r="608" spans="1:26" x14ac:dyDescent="0.45">
      <c r="A608" t="s">
        <v>1869</v>
      </c>
      <c r="B608">
        <v>73</v>
      </c>
      <c r="C608" t="s">
        <v>45</v>
      </c>
      <c r="D608" t="s">
        <v>106</v>
      </c>
      <c r="E608" t="s">
        <v>46</v>
      </c>
      <c r="F608" t="s">
        <v>30</v>
      </c>
      <c r="G608" t="s">
        <v>112</v>
      </c>
      <c r="H608" t="s">
        <v>71</v>
      </c>
      <c r="I608" t="s">
        <v>49</v>
      </c>
      <c r="J608" t="s">
        <v>1870</v>
      </c>
      <c r="K608" t="s">
        <v>351</v>
      </c>
      <c r="L608" t="s">
        <v>64</v>
      </c>
      <c r="M608" t="s">
        <v>37</v>
      </c>
      <c r="N608" t="s">
        <v>1696</v>
      </c>
      <c r="O608" t="s">
        <v>64</v>
      </c>
      <c r="P608" t="s">
        <v>55</v>
      </c>
      <c r="Q608" t="s">
        <v>67</v>
      </c>
      <c r="R608">
        <v>107</v>
      </c>
      <c r="S608">
        <v>0</v>
      </c>
      <c r="T608" t="s">
        <v>85</v>
      </c>
      <c r="U608" t="s">
        <v>57</v>
      </c>
      <c r="V608">
        <v>2.11</v>
      </c>
      <c r="W608">
        <v>4.1900000000000004</v>
      </c>
      <c r="X608">
        <v>3.9</v>
      </c>
      <c r="Y608">
        <v>11.4</v>
      </c>
      <c r="Z608">
        <v>7</v>
      </c>
    </row>
    <row r="609" spans="1:26" x14ac:dyDescent="0.45">
      <c r="A609" t="s">
        <v>1871</v>
      </c>
      <c r="B609">
        <v>47</v>
      </c>
      <c r="C609" t="s">
        <v>27</v>
      </c>
      <c r="D609" t="s">
        <v>95</v>
      </c>
      <c r="E609" t="s">
        <v>29</v>
      </c>
      <c r="F609" t="s">
        <v>30</v>
      </c>
      <c r="G609" t="s">
        <v>48</v>
      </c>
      <c r="H609" t="s">
        <v>81</v>
      </c>
      <c r="I609" t="s">
        <v>72</v>
      </c>
      <c r="J609" t="s">
        <v>1872</v>
      </c>
      <c r="K609" t="s">
        <v>444</v>
      </c>
      <c r="L609" t="s">
        <v>92</v>
      </c>
      <c r="M609" t="s">
        <v>30</v>
      </c>
      <c r="N609" t="s">
        <v>729</v>
      </c>
      <c r="O609" t="s">
        <v>92</v>
      </c>
      <c r="P609" t="s">
        <v>55</v>
      </c>
      <c r="Q609" t="s">
        <v>75</v>
      </c>
      <c r="R609">
        <v>104</v>
      </c>
      <c r="S609">
        <v>0</v>
      </c>
      <c r="T609" t="s">
        <v>41</v>
      </c>
      <c r="U609" t="s">
        <v>42</v>
      </c>
      <c r="V609">
        <v>1.52</v>
      </c>
      <c r="W609">
        <v>2.0299999999999998</v>
      </c>
      <c r="X609">
        <v>4.2</v>
      </c>
      <c r="Y609">
        <v>18.100000000000001</v>
      </c>
      <c r="Z609">
        <v>4.0999999999999996</v>
      </c>
    </row>
    <row r="610" spans="1:26" x14ac:dyDescent="0.45">
      <c r="A610" t="s">
        <v>1873</v>
      </c>
      <c r="B610">
        <v>84</v>
      </c>
      <c r="C610" t="s">
        <v>44</v>
      </c>
      <c r="D610" t="s">
        <v>106</v>
      </c>
      <c r="E610" t="s">
        <v>78</v>
      </c>
      <c r="F610" t="s">
        <v>59</v>
      </c>
      <c r="G610" t="s">
        <v>112</v>
      </c>
      <c r="H610" t="s">
        <v>32</v>
      </c>
      <c r="I610" t="s">
        <v>132</v>
      </c>
      <c r="J610" t="s">
        <v>1874</v>
      </c>
      <c r="K610" t="s">
        <v>1875</v>
      </c>
      <c r="L610" t="s">
        <v>52</v>
      </c>
      <c r="M610" t="s">
        <v>1456</v>
      </c>
      <c r="N610" t="s">
        <v>208</v>
      </c>
      <c r="O610" t="s">
        <v>52</v>
      </c>
      <c r="P610" t="s">
        <v>110</v>
      </c>
      <c r="Q610" t="s">
        <v>67</v>
      </c>
      <c r="R610">
        <v>124</v>
      </c>
      <c r="S610">
        <v>0</v>
      </c>
      <c r="T610" t="s">
        <v>85</v>
      </c>
      <c r="U610" t="s">
        <v>57</v>
      </c>
      <c r="V610">
        <v>1.84</v>
      </c>
      <c r="W610">
        <v>4.24</v>
      </c>
      <c r="X610">
        <v>2.2999999999999998</v>
      </c>
      <c r="Y610">
        <v>12.2</v>
      </c>
      <c r="Z610">
        <v>17.7</v>
      </c>
    </row>
    <row r="611" spans="1:26" x14ac:dyDescent="0.45">
      <c r="A611" t="s">
        <v>1876</v>
      </c>
      <c r="B611">
        <v>26</v>
      </c>
      <c r="C611" t="s">
        <v>27</v>
      </c>
      <c r="D611" t="s">
        <v>95</v>
      </c>
      <c r="E611" t="s">
        <v>30</v>
      </c>
      <c r="F611" t="s">
        <v>79</v>
      </c>
      <c r="G611" t="s">
        <v>31</v>
      </c>
      <c r="H611" t="s">
        <v>71</v>
      </c>
      <c r="I611" t="s">
        <v>132</v>
      </c>
      <c r="J611" t="s">
        <v>1877</v>
      </c>
      <c r="K611" t="s">
        <v>385</v>
      </c>
      <c r="L611" t="s">
        <v>64</v>
      </c>
      <c r="M611" t="s">
        <v>352</v>
      </c>
      <c r="N611" t="s">
        <v>340</v>
      </c>
      <c r="O611" t="s">
        <v>64</v>
      </c>
      <c r="P611" t="s">
        <v>110</v>
      </c>
      <c r="Q611" t="s">
        <v>67</v>
      </c>
      <c r="R611">
        <v>90</v>
      </c>
      <c r="S611">
        <v>0</v>
      </c>
      <c r="T611" t="s">
        <v>41</v>
      </c>
      <c r="U611" t="s">
        <v>57</v>
      </c>
      <c r="V611">
        <v>1.62</v>
      </c>
      <c r="W611">
        <v>1.33</v>
      </c>
      <c r="X611">
        <v>5.4</v>
      </c>
      <c r="Y611">
        <v>11.4</v>
      </c>
      <c r="Z611">
        <v>12.6</v>
      </c>
    </row>
    <row r="612" spans="1:26" x14ac:dyDescent="0.45">
      <c r="A612" t="s">
        <v>1878</v>
      </c>
      <c r="B612">
        <v>78</v>
      </c>
      <c r="C612" t="s">
        <v>27</v>
      </c>
      <c r="D612" t="s">
        <v>28</v>
      </c>
      <c r="E612" t="s">
        <v>29</v>
      </c>
      <c r="F612" t="s">
        <v>30</v>
      </c>
      <c r="G612" t="s">
        <v>131</v>
      </c>
      <c r="H612" t="s">
        <v>71</v>
      </c>
      <c r="I612" t="s">
        <v>132</v>
      </c>
      <c r="J612" t="s">
        <v>350</v>
      </c>
      <c r="K612" t="s">
        <v>1879</v>
      </c>
      <c r="L612" t="s">
        <v>64</v>
      </c>
      <c r="M612" t="s">
        <v>40</v>
      </c>
      <c r="N612" t="s">
        <v>582</v>
      </c>
      <c r="O612" t="s">
        <v>64</v>
      </c>
      <c r="P612" t="s">
        <v>39</v>
      </c>
      <c r="Q612" t="s">
        <v>30</v>
      </c>
      <c r="R612">
        <v>66</v>
      </c>
      <c r="S612">
        <v>1</v>
      </c>
      <c r="T612" t="s">
        <v>137</v>
      </c>
      <c r="U612" t="s">
        <v>42</v>
      </c>
      <c r="V612">
        <v>4.22</v>
      </c>
      <c r="W612">
        <v>1.55</v>
      </c>
      <c r="X612">
        <v>6.2</v>
      </c>
      <c r="Y612">
        <v>15.1</v>
      </c>
      <c r="Z612">
        <v>5.4</v>
      </c>
    </row>
    <row r="613" spans="1:26" x14ac:dyDescent="0.45">
      <c r="A613" t="s">
        <v>1880</v>
      </c>
      <c r="B613">
        <v>78</v>
      </c>
      <c r="C613" t="s">
        <v>27</v>
      </c>
      <c r="D613" t="s">
        <v>106</v>
      </c>
      <c r="E613" t="s">
        <v>163</v>
      </c>
      <c r="F613" t="s">
        <v>69</v>
      </c>
      <c r="G613" t="s">
        <v>70</v>
      </c>
      <c r="H613" t="s">
        <v>71</v>
      </c>
      <c r="I613" t="s">
        <v>132</v>
      </c>
      <c r="J613" t="s">
        <v>1881</v>
      </c>
      <c r="K613" t="s">
        <v>1882</v>
      </c>
      <c r="L613" t="s">
        <v>52</v>
      </c>
      <c r="M613" t="s">
        <v>834</v>
      </c>
      <c r="N613" t="s">
        <v>1280</v>
      </c>
      <c r="O613" t="s">
        <v>52</v>
      </c>
      <c r="P613" t="s">
        <v>39</v>
      </c>
      <c r="Q613" t="s">
        <v>67</v>
      </c>
      <c r="R613">
        <v>164</v>
      </c>
      <c r="S613">
        <v>1</v>
      </c>
      <c r="T613" t="s">
        <v>85</v>
      </c>
      <c r="U613" t="s">
        <v>57</v>
      </c>
      <c r="V613">
        <v>3.5</v>
      </c>
      <c r="W613">
        <v>2.09</v>
      </c>
      <c r="X613">
        <v>5.4</v>
      </c>
      <c r="Y613">
        <v>7.5</v>
      </c>
      <c r="Z613">
        <v>10.8</v>
      </c>
    </row>
    <row r="614" spans="1:26" x14ac:dyDescent="0.45">
      <c r="A614" t="s">
        <v>1883</v>
      </c>
      <c r="B614">
        <v>49</v>
      </c>
      <c r="C614" t="s">
        <v>44</v>
      </c>
      <c r="D614" t="s">
        <v>95</v>
      </c>
      <c r="E614" t="s">
        <v>163</v>
      </c>
      <c r="F614" t="s">
        <v>79</v>
      </c>
      <c r="G614" t="s">
        <v>96</v>
      </c>
      <c r="H614" t="s">
        <v>32</v>
      </c>
      <c r="I614" t="s">
        <v>49</v>
      </c>
      <c r="J614" t="s">
        <v>1884</v>
      </c>
      <c r="K614" t="s">
        <v>1614</v>
      </c>
      <c r="L614" t="s">
        <v>36</v>
      </c>
      <c r="M614" t="s">
        <v>30</v>
      </c>
      <c r="N614" t="s">
        <v>305</v>
      </c>
      <c r="O614" t="s">
        <v>36</v>
      </c>
      <c r="P614" t="s">
        <v>39</v>
      </c>
      <c r="Q614" t="s">
        <v>40</v>
      </c>
      <c r="R614">
        <v>127</v>
      </c>
      <c r="S614">
        <v>1</v>
      </c>
      <c r="T614" t="s">
        <v>85</v>
      </c>
      <c r="U614" t="s">
        <v>42</v>
      </c>
      <c r="V614">
        <v>2.23</v>
      </c>
      <c r="W614">
        <v>4.29</v>
      </c>
      <c r="X614">
        <v>1.5</v>
      </c>
      <c r="Y614">
        <v>13.5</v>
      </c>
      <c r="Z614">
        <v>10.8</v>
      </c>
    </row>
    <row r="615" spans="1:26" x14ac:dyDescent="0.45">
      <c r="A615" t="s">
        <v>1885</v>
      </c>
      <c r="B615">
        <v>74</v>
      </c>
      <c r="C615" t="s">
        <v>44</v>
      </c>
      <c r="D615" t="s">
        <v>87</v>
      </c>
      <c r="E615" t="s">
        <v>30</v>
      </c>
      <c r="F615" t="s">
        <v>79</v>
      </c>
      <c r="G615" t="s">
        <v>152</v>
      </c>
      <c r="H615" t="s">
        <v>81</v>
      </c>
      <c r="I615" t="s">
        <v>132</v>
      </c>
      <c r="J615" t="s">
        <v>1259</v>
      </c>
      <c r="K615" t="s">
        <v>1886</v>
      </c>
      <c r="L615" t="s">
        <v>92</v>
      </c>
      <c r="M615" t="s">
        <v>129</v>
      </c>
      <c r="N615" t="s">
        <v>222</v>
      </c>
      <c r="O615" t="s">
        <v>92</v>
      </c>
      <c r="P615" t="s">
        <v>110</v>
      </c>
      <c r="Q615" t="s">
        <v>40</v>
      </c>
      <c r="R615">
        <v>124</v>
      </c>
      <c r="S615">
        <v>0</v>
      </c>
      <c r="T615" t="s">
        <v>41</v>
      </c>
      <c r="U615" t="s">
        <v>57</v>
      </c>
      <c r="V615">
        <v>3.9</v>
      </c>
      <c r="W615">
        <v>3.3</v>
      </c>
      <c r="X615">
        <v>7</v>
      </c>
      <c r="Y615">
        <v>20</v>
      </c>
      <c r="Z615">
        <v>17.7</v>
      </c>
    </row>
    <row r="616" spans="1:26" x14ac:dyDescent="0.45">
      <c r="A616" t="s">
        <v>1887</v>
      </c>
      <c r="B616">
        <v>66</v>
      </c>
      <c r="C616" t="s">
        <v>45</v>
      </c>
      <c r="D616" t="s">
        <v>87</v>
      </c>
      <c r="E616" t="s">
        <v>78</v>
      </c>
      <c r="F616" t="s">
        <v>30</v>
      </c>
      <c r="G616" t="s">
        <v>131</v>
      </c>
      <c r="H616" t="s">
        <v>71</v>
      </c>
      <c r="I616" t="s">
        <v>132</v>
      </c>
      <c r="J616" t="s">
        <v>1888</v>
      </c>
      <c r="K616" t="s">
        <v>1312</v>
      </c>
      <c r="L616" t="s">
        <v>64</v>
      </c>
      <c r="M616" t="s">
        <v>226</v>
      </c>
      <c r="N616" t="s">
        <v>296</v>
      </c>
      <c r="O616" t="s">
        <v>64</v>
      </c>
      <c r="P616" t="s">
        <v>110</v>
      </c>
      <c r="Q616" t="s">
        <v>67</v>
      </c>
      <c r="R616">
        <v>157</v>
      </c>
      <c r="S616">
        <v>0</v>
      </c>
      <c r="T616" t="s">
        <v>123</v>
      </c>
      <c r="U616" t="s">
        <v>42</v>
      </c>
      <c r="V616">
        <v>2.2599999999999998</v>
      </c>
      <c r="W616">
        <v>3.15</v>
      </c>
      <c r="X616">
        <v>8.6</v>
      </c>
      <c r="Y616">
        <v>23.8</v>
      </c>
      <c r="Z616">
        <v>18.100000000000001</v>
      </c>
    </row>
    <row r="617" spans="1:26" x14ac:dyDescent="0.45">
      <c r="A617" t="s">
        <v>1889</v>
      </c>
      <c r="B617">
        <v>35</v>
      </c>
      <c r="C617" t="s">
        <v>27</v>
      </c>
      <c r="D617" t="s">
        <v>87</v>
      </c>
      <c r="E617" t="s">
        <v>29</v>
      </c>
      <c r="F617" t="s">
        <v>79</v>
      </c>
      <c r="G617" t="s">
        <v>125</v>
      </c>
      <c r="H617" t="s">
        <v>32</v>
      </c>
      <c r="I617" t="s">
        <v>132</v>
      </c>
      <c r="J617" t="s">
        <v>1229</v>
      </c>
      <c r="K617" t="s">
        <v>1106</v>
      </c>
      <c r="L617" t="s">
        <v>92</v>
      </c>
      <c r="M617" t="s">
        <v>187</v>
      </c>
      <c r="N617" t="s">
        <v>677</v>
      </c>
      <c r="O617" t="s">
        <v>92</v>
      </c>
      <c r="P617" t="s">
        <v>55</v>
      </c>
      <c r="Q617" t="s">
        <v>40</v>
      </c>
      <c r="R617">
        <v>69</v>
      </c>
      <c r="S617">
        <v>0</v>
      </c>
      <c r="T617" t="s">
        <v>85</v>
      </c>
      <c r="U617" t="s">
        <v>42</v>
      </c>
      <c r="V617">
        <v>2.4900000000000002</v>
      </c>
      <c r="W617">
        <v>1.78</v>
      </c>
      <c r="X617">
        <v>5.4</v>
      </c>
      <c r="Y617">
        <v>19.3</v>
      </c>
      <c r="Z617">
        <v>11.4</v>
      </c>
    </row>
    <row r="618" spans="1:26" x14ac:dyDescent="0.45">
      <c r="A618" t="s">
        <v>1890</v>
      </c>
      <c r="B618">
        <v>44</v>
      </c>
      <c r="C618" t="s">
        <v>44</v>
      </c>
      <c r="D618" t="s">
        <v>106</v>
      </c>
      <c r="E618" t="s">
        <v>163</v>
      </c>
      <c r="F618" t="s">
        <v>30</v>
      </c>
      <c r="G618" t="s">
        <v>184</v>
      </c>
      <c r="H618" t="s">
        <v>71</v>
      </c>
      <c r="I618" t="s">
        <v>72</v>
      </c>
      <c r="J618" t="s">
        <v>1891</v>
      </c>
      <c r="K618" t="s">
        <v>1892</v>
      </c>
      <c r="L618" t="s">
        <v>92</v>
      </c>
      <c r="M618" t="s">
        <v>67</v>
      </c>
      <c r="N618" t="s">
        <v>192</v>
      </c>
      <c r="O618" t="s">
        <v>92</v>
      </c>
      <c r="P618" t="s">
        <v>39</v>
      </c>
      <c r="Q618" t="s">
        <v>129</v>
      </c>
      <c r="R618">
        <v>86</v>
      </c>
      <c r="S618">
        <v>1</v>
      </c>
      <c r="T618" t="s">
        <v>41</v>
      </c>
      <c r="U618" t="s">
        <v>42</v>
      </c>
      <c r="V618">
        <v>2.93</v>
      </c>
      <c r="W618">
        <v>4.3499999999999996</v>
      </c>
      <c r="X618">
        <v>4.3</v>
      </c>
      <c r="Y618">
        <v>21.5</v>
      </c>
      <c r="Z618">
        <v>9.9</v>
      </c>
    </row>
    <row r="619" spans="1:26" x14ac:dyDescent="0.45">
      <c r="A619" t="s">
        <v>1893</v>
      </c>
      <c r="B619">
        <v>35</v>
      </c>
      <c r="C619" t="s">
        <v>45</v>
      </c>
      <c r="D619" t="s">
        <v>28</v>
      </c>
      <c r="E619" t="s">
        <v>30</v>
      </c>
      <c r="F619" t="s">
        <v>47</v>
      </c>
      <c r="G619" t="s">
        <v>164</v>
      </c>
      <c r="H619" t="s">
        <v>32</v>
      </c>
      <c r="I619" t="s">
        <v>33</v>
      </c>
      <c r="J619" t="s">
        <v>1894</v>
      </c>
      <c r="K619" t="s">
        <v>1895</v>
      </c>
      <c r="L619" t="s">
        <v>36</v>
      </c>
      <c r="M619" t="s">
        <v>446</v>
      </c>
      <c r="N619" t="s">
        <v>595</v>
      </c>
      <c r="O619" t="s">
        <v>36</v>
      </c>
      <c r="P619" t="s">
        <v>39</v>
      </c>
      <c r="Q619" t="s">
        <v>67</v>
      </c>
      <c r="R619">
        <v>88</v>
      </c>
      <c r="S619">
        <v>1</v>
      </c>
      <c r="T619" t="s">
        <v>85</v>
      </c>
      <c r="U619" t="s">
        <v>57</v>
      </c>
      <c r="V619">
        <v>2.31</v>
      </c>
      <c r="W619">
        <v>2.82</v>
      </c>
      <c r="X619">
        <v>7.9</v>
      </c>
      <c r="Y619">
        <v>8.3000000000000007</v>
      </c>
      <c r="Z619">
        <v>6.3</v>
      </c>
    </row>
    <row r="620" spans="1:26" x14ac:dyDescent="0.45">
      <c r="A620" t="s">
        <v>1896</v>
      </c>
      <c r="B620">
        <v>18</v>
      </c>
      <c r="C620" t="s">
        <v>44</v>
      </c>
      <c r="D620" t="s">
        <v>87</v>
      </c>
      <c r="E620" t="s">
        <v>29</v>
      </c>
      <c r="F620" t="s">
        <v>30</v>
      </c>
      <c r="G620" t="s">
        <v>246</v>
      </c>
      <c r="H620" t="s">
        <v>71</v>
      </c>
      <c r="I620" t="s">
        <v>33</v>
      </c>
      <c r="J620" t="s">
        <v>1897</v>
      </c>
      <c r="K620" t="s">
        <v>149</v>
      </c>
      <c r="L620" t="s">
        <v>64</v>
      </c>
      <c r="M620" t="s">
        <v>282</v>
      </c>
      <c r="N620" t="s">
        <v>1220</v>
      </c>
      <c r="O620" t="s">
        <v>64</v>
      </c>
      <c r="P620" t="s">
        <v>55</v>
      </c>
      <c r="Q620" t="s">
        <v>67</v>
      </c>
      <c r="R620">
        <v>81</v>
      </c>
      <c r="S620">
        <v>0</v>
      </c>
      <c r="T620" t="s">
        <v>85</v>
      </c>
      <c r="U620" t="s">
        <v>57</v>
      </c>
      <c r="V620">
        <v>4.8099999999999996</v>
      </c>
      <c r="W620">
        <v>1.7</v>
      </c>
      <c r="X620">
        <v>6.1</v>
      </c>
      <c r="Y620">
        <v>16.399999999999999</v>
      </c>
      <c r="Z620">
        <v>11.3</v>
      </c>
    </row>
    <row r="621" spans="1:26" x14ac:dyDescent="0.45">
      <c r="A621" t="s">
        <v>1898</v>
      </c>
      <c r="B621">
        <v>60</v>
      </c>
      <c r="C621" t="s">
        <v>27</v>
      </c>
      <c r="D621" t="s">
        <v>28</v>
      </c>
      <c r="E621" t="s">
        <v>30</v>
      </c>
      <c r="F621" t="s">
        <v>59</v>
      </c>
      <c r="G621" t="s">
        <v>440</v>
      </c>
      <c r="H621" t="s">
        <v>61</v>
      </c>
      <c r="I621" t="s">
        <v>33</v>
      </c>
      <c r="J621" t="s">
        <v>1899</v>
      </c>
      <c r="K621" t="s">
        <v>1900</v>
      </c>
      <c r="L621" t="s">
        <v>36</v>
      </c>
      <c r="M621" t="s">
        <v>67</v>
      </c>
      <c r="N621" t="s">
        <v>76</v>
      </c>
      <c r="O621" t="s">
        <v>36</v>
      </c>
      <c r="P621" t="s">
        <v>39</v>
      </c>
      <c r="Q621" t="s">
        <v>40</v>
      </c>
      <c r="R621">
        <v>57</v>
      </c>
      <c r="S621">
        <v>1</v>
      </c>
      <c r="T621" t="s">
        <v>41</v>
      </c>
      <c r="U621" t="s">
        <v>42</v>
      </c>
      <c r="V621">
        <v>3.58</v>
      </c>
      <c r="W621">
        <v>1.92</v>
      </c>
      <c r="X621">
        <v>6</v>
      </c>
      <c r="Y621">
        <v>12.7</v>
      </c>
      <c r="Z621">
        <v>14.2</v>
      </c>
    </row>
    <row r="622" spans="1:26" x14ac:dyDescent="0.45">
      <c r="A622" t="s">
        <v>1901</v>
      </c>
      <c r="B622">
        <v>56</v>
      </c>
      <c r="C622" t="s">
        <v>45</v>
      </c>
      <c r="D622" t="s">
        <v>106</v>
      </c>
      <c r="E622" t="s">
        <v>29</v>
      </c>
      <c r="F622" t="s">
        <v>30</v>
      </c>
      <c r="G622" t="s">
        <v>194</v>
      </c>
      <c r="H622" t="s">
        <v>81</v>
      </c>
      <c r="I622" t="s">
        <v>49</v>
      </c>
      <c r="J622" t="s">
        <v>530</v>
      </c>
      <c r="K622" t="s">
        <v>531</v>
      </c>
      <c r="L622" t="s">
        <v>52</v>
      </c>
      <c r="M622" t="s">
        <v>1427</v>
      </c>
      <c r="N622" t="s">
        <v>240</v>
      </c>
      <c r="O622" t="s">
        <v>52</v>
      </c>
      <c r="P622" t="s">
        <v>39</v>
      </c>
      <c r="Q622" t="s">
        <v>30</v>
      </c>
      <c r="R622">
        <v>82</v>
      </c>
      <c r="S622">
        <v>1</v>
      </c>
      <c r="T622" t="s">
        <v>56</v>
      </c>
      <c r="U622" t="s">
        <v>57</v>
      </c>
      <c r="V622">
        <v>1.56</v>
      </c>
      <c r="W622">
        <v>3.28</v>
      </c>
      <c r="X622">
        <v>2.7</v>
      </c>
      <c r="Y622">
        <v>11</v>
      </c>
      <c r="Z622">
        <v>6.7</v>
      </c>
    </row>
    <row r="623" spans="1:26" x14ac:dyDescent="0.45">
      <c r="A623" t="s">
        <v>1902</v>
      </c>
      <c r="B623">
        <v>59</v>
      </c>
      <c r="C623" t="s">
        <v>44</v>
      </c>
      <c r="D623" t="s">
        <v>95</v>
      </c>
      <c r="E623" t="s">
        <v>29</v>
      </c>
      <c r="F623" t="s">
        <v>30</v>
      </c>
      <c r="G623" t="s">
        <v>70</v>
      </c>
      <c r="H623" t="s">
        <v>81</v>
      </c>
      <c r="I623" t="s">
        <v>132</v>
      </c>
      <c r="J623" t="s">
        <v>1903</v>
      </c>
      <c r="K623" t="s">
        <v>1134</v>
      </c>
      <c r="L623" t="s">
        <v>92</v>
      </c>
      <c r="M623" t="s">
        <v>75</v>
      </c>
      <c r="N623" t="s">
        <v>1904</v>
      </c>
      <c r="O623" t="s">
        <v>92</v>
      </c>
      <c r="P623" t="s">
        <v>39</v>
      </c>
      <c r="Q623" t="s">
        <v>30</v>
      </c>
      <c r="R623">
        <v>30</v>
      </c>
      <c r="S623">
        <v>1</v>
      </c>
      <c r="T623" t="s">
        <v>137</v>
      </c>
      <c r="U623" t="s">
        <v>57</v>
      </c>
      <c r="V623">
        <v>1.73</v>
      </c>
      <c r="W623">
        <v>4.3</v>
      </c>
      <c r="X623">
        <v>3.6</v>
      </c>
      <c r="Y623">
        <v>22.7</v>
      </c>
      <c r="Z623">
        <v>19.5</v>
      </c>
    </row>
    <row r="624" spans="1:26" x14ac:dyDescent="0.45">
      <c r="A624" t="s">
        <v>1905</v>
      </c>
      <c r="B624">
        <v>66</v>
      </c>
      <c r="C624" t="s">
        <v>45</v>
      </c>
      <c r="D624" t="s">
        <v>45</v>
      </c>
      <c r="E624" t="s">
        <v>46</v>
      </c>
      <c r="F624" t="s">
        <v>59</v>
      </c>
      <c r="G624" t="s">
        <v>89</v>
      </c>
      <c r="H624" t="s">
        <v>71</v>
      </c>
      <c r="I624" t="s">
        <v>33</v>
      </c>
      <c r="J624" t="s">
        <v>1906</v>
      </c>
      <c r="K624" t="s">
        <v>990</v>
      </c>
      <c r="L624" t="s">
        <v>92</v>
      </c>
      <c r="M624" t="s">
        <v>451</v>
      </c>
      <c r="N624" t="s">
        <v>1038</v>
      </c>
      <c r="O624" t="s">
        <v>92</v>
      </c>
      <c r="P624" t="s">
        <v>39</v>
      </c>
      <c r="Q624" t="s">
        <v>30</v>
      </c>
      <c r="R624">
        <v>146</v>
      </c>
      <c r="S624">
        <v>1</v>
      </c>
      <c r="T624" t="s">
        <v>41</v>
      </c>
      <c r="U624" t="s">
        <v>42</v>
      </c>
      <c r="V624">
        <v>3.29</v>
      </c>
      <c r="W624">
        <v>1.57</v>
      </c>
      <c r="X624">
        <v>4.4000000000000004</v>
      </c>
      <c r="Y624">
        <v>20.399999999999999</v>
      </c>
      <c r="Z624">
        <v>9.1999999999999993</v>
      </c>
    </row>
    <row r="625" spans="1:26" x14ac:dyDescent="0.45">
      <c r="A625" t="s">
        <v>1907</v>
      </c>
      <c r="B625">
        <v>21</v>
      </c>
      <c r="C625" t="s">
        <v>44</v>
      </c>
      <c r="D625" t="s">
        <v>106</v>
      </c>
      <c r="E625" t="s">
        <v>163</v>
      </c>
      <c r="F625" t="s">
        <v>79</v>
      </c>
      <c r="G625" t="s">
        <v>440</v>
      </c>
      <c r="H625" t="s">
        <v>32</v>
      </c>
      <c r="I625" t="s">
        <v>132</v>
      </c>
      <c r="J625" t="s">
        <v>1908</v>
      </c>
      <c r="K625" t="s">
        <v>1822</v>
      </c>
      <c r="L625" t="s">
        <v>92</v>
      </c>
      <c r="M625" t="s">
        <v>249</v>
      </c>
      <c r="N625" t="s">
        <v>525</v>
      </c>
      <c r="O625" t="s">
        <v>92</v>
      </c>
      <c r="P625" t="s">
        <v>110</v>
      </c>
      <c r="Q625" t="s">
        <v>40</v>
      </c>
      <c r="R625">
        <v>37</v>
      </c>
      <c r="S625">
        <v>0</v>
      </c>
      <c r="T625" t="s">
        <v>123</v>
      </c>
      <c r="U625" t="s">
        <v>57</v>
      </c>
      <c r="V625">
        <v>1.35</v>
      </c>
      <c r="W625">
        <v>3.23</v>
      </c>
      <c r="X625">
        <v>8.6</v>
      </c>
      <c r="Y625">
        <v>20.3</v>
      </c>
      <c r="Z625">
        <v>6</v>
      </c>
    </row>
    <row r="626" spans="1:26" x14ac:dyDescent="0.45">
      <c r="A626" t="s">
        <v>1909</v>
      </c>
      <c r="B626">
        <v>73</v>
      </c>
      <c r="C626" t="s">
        <v>44</v>
      </c>
      <c r="D626" t="s">
        <v>95</v>
      </c>
      <c r="E626" t="s">
        <v>46</v>
      </c>
      <c r="F626" t="s">
        <v>30</v>
      </c>
      <c r="G626" t="s">
        <v>80</v>
      </c>
      <c r="H626" t="s">
        <v>61</v>
      </c>
      <c r="I626" t="s">
        <v>49</v>
      </c>
      <c r="J626" t="s">
        <v>1910</v>
      </c>
      <c r="K626" t="s">
        <v>1665</v>
      </c>
      <c r="L626" t="s">
        <v>36</v>
      </c>
      <c r="M626" t="s">
        <v>30</v>
      </c>
      <c r="N626" t="s">
        <v>513</v>
      </c>
      <c r="O626" t="s">
        <v>36</v>
      </c>
      <c r="P626" t="s">
        <v>110</v>
      </c>
      <c r="Q626" t="s">
        <v>30</v>
      </c>
      <c r="R626">
        <v>78</v>
      </c>
      <c r="S626">
        <v>0</v>
      </c>
      <c r="T626" t="s">
        <v>41</v>
      </c>
      <c r="U626" t="s">
        <v>57</v>
      </c>
      <c r="V626">
        <v>3.69</v>
      </c>
      <c r="W626">
        <v>1.88</v>
      </c>
      <c r="X626">
        <v>3</v>
      </c>
      <c r="Y626">
        <v>21.7</v>
      </c>
      <c r="Z626">
        <v>7.2</v>
      </c>
    </row>
    <row r="627" spans="1:26" x14ac:dyDescent="0.45">
      <c r="A627" t="s">
        <v>1911</v>
      </c>
      <c r="B627">
        <v>18</v>
      </c>
      <c r="C627" t="s">
        <v>45</v>
      </c>
      <c r="D627" t="s">
        <v>87</v>
      </c>
      <c r="E627" t="s">
        <v>29</v>
      </c>
      <c r="F627" t="s">
        <v>30</v>
      </c>
      <c r="G627" t="s">
        <v>48</v>
      </c>
      <c r="H627" t="s">
        <v>81</v>
      </c>
      <c r="I627" t="s">
        <v>72</v>
      </c>
      <c r="J627" t="s">
        <v>911</v>
      </c>
      <c r="K627" t="s">
        <v>1663</v>
      </c>
      <c r="L627" t="s">
        <v>64</v>
      </c>
      <c r="M627" t="s">
        <v>1291</v>
      </c>
      <c r="N627" t="s">
        <v>208</v>
      </c>
      <c r="O627" t="s">
        <v>64</v>
      </c>
      <c r="P627" t="s">
        <v>110</v>
      </c>
      <c r="Q627" t="s">
        <v>30</v>
      </c>
      <c r="R627">
        <v>171</v>
      </c>
      <c r="S627">
        <v>0</v>
      </c>
      <c r="T627" t="s">
        <v>85</v>
      </c>
      <c r="U627" t="s">
        <v>42</v>
      </c>
      <c r="V627">
        <v>2.0499999999999998</v>
      </c>
      <c r="W627">
        <v>1</v>
      </c>
      <c r="X627">
        <v>8.8000000000000007</v>
      </c>
      <c r="Y627">
        <v>20.3</v>
      </c>
      <c r="Z627">
        <v>13.7</v>
      </c>
    </row>
    <row r="628" spans="1:26" x14ac:dyDescent="0.45">
      <c r="A628" t="s">
        <v>1912</v>
      </c>
      <c r="B628">
        <v>59</v>
      </c>
      <c r="C628" t="s">
        <v>45</v>
      </c>
      <c r="D628" t="s">
        <v>28</v>
      </c>
      <c r="E628" t="s">
        <v>78</v>
      </c>
      <c r="F628" t="s">
        <v>47</v>
      </c>
      <c r="G628" t="s">
        <v>194</v>
      </c>
      <c r="H628" t="s">
        <v>81</v>
      </c>
      <c r="I628" t="s">
        <v>132</v>
      </c>
      <c r="J628" t="s">
        <v>1913</v>
      </c>
      <c r="K628" t="s">
        <v>1914</v>
      </c>
      <c r="L628" t="s">
        <v>36</v>
      </c>
      <c r="M628" t="s">
        <v>1526</v>
      </c>
      <c r="N628" t="s">
        <v>946</v>
      </c>
      <c r="O628" t="s">
        <v>36</v>
      </c>
      <c r="P628" t="s">
        <v>39</v>
      </c>
      <c r="Q628" t="s">
        <v>75</v>
      </c>
      <c r="R628">
        <v>94</v>
      </c>
      <c r="S628">
        <v>1</v>
      </c>
      <c r="T628" t="s">
        <v>41</v>
      </c>
      <c r="U628" t="s">
        <v>57</v>
      </c>
      <c r="V628">
        <v>4</v>
      </c>
      <c r="W628">
        <v>1.61</v>
      </c>
      <c r="X628">
        <v>5.0999999999999996</v>
      </c>
      <c r="Y628">
        <v>12.3</v>
      </c>
      <c r="Z628">
        <v>4.5999999999999996</v>
      </c>
    </row>
    <row r="629" spans="1:26" x14ac:dyDescent="0.45">
      <c r="A629" t="s">
        <v>1915</v>
      </c>
      <c r="B629">
        <v>63</v>
      </c>
      <c r="C629" t="s">
        <v>45</v>
      </c>
      <c r="D629" t="s">
        <v>95</v>
      </c>
      <c r="E629" t="s">
        <v>78</v>
      </c>
      <c r="F629" t="s">
        <v>30</v>
      </c>
      <c r="G629" t="s">
        <v>112</v>
      </c>
      <c r="H629" t="s">
        <v>61</v>
      </c>
      <c r="I629" t="s">
        <v>132</v>
      </c>
      <c r="J629" t="s">
        <v>1916</v>
      </c>
      <c r="K629" t="s">
        <v>1917</v>
      </c>
      <c r="L629" t="s">
        <v>64</v>
      </c>
      <c r="M629" t="s">
        <v>249</v>
      </c>
      <c r="N629" t="s">
        <v>161</v>
      </c>
      <c r="O629" t="s">
        <v>64</v>
      </c>
      <c r="P629" t="s">
        <v>55</v>
      </c>
      <c r="Q629" t="s">
        <v>129</v>
      </c>
      <c r="R629">
        <v>137</v>
      </c>
      <c r="S629">
        <v>0</v>
      </c>
      <c r="T629" t="s">
        <v>123</v>
      </c>
      <c r="U629" t="s">
        <v>42</v>
      </c>
      <c r="V629">
        <v>2.94</v>
      </c>
      <c r="W629">
        <v>4.68</v>
      </c>
      <c r="X629">
        <v>1.4</v>
      </c>
      <c r="Y629">
        <v>11.2</v>
      </c>
      <c r="Z629">
        <v>6.5</v>
      </c>
    </row>
    <row r="630" spans="1:26" x14ac:dyDescent="0.45">
      <c r="A630" t="s">
        <v>1918</v>
      </c>
      <c r="B630">
        <v>84</v>
      </c>
      <c r="C630" t="s">
        <v>27</v>
      </c>
      <c r="D630" t="s">
        <v>45</v>
      </c>
      <c r="E630" t="s">
        <v>163</v>
      </c>
      <c r="F630" t="s">
        <v>69</v>
      </c>
      <c r="G630" t="s">
        <v>112</v>
      </c>
      <c r="H630" t="s">
        <v>71</v>
      </c>
      <c r="I630" t="s">
        <v>132</v>
      </c>
      <c r="J630" t="s">
        <v>1919</v>
      </c>
      <c r="K630" t="s">
        <v>1920</v>
      </c>
      <c r="L630" t="s">
        <v>64</v>
      </c>
      <c r="M630" t="s">
        <v>216</v>
      </c>
      <c r="N630" t="s">
        <v>612</v>
      </c>
      <c r="O630" t="s">
        <v>64</v>
      </c>
      <c r="P630" t="s">
        <v>55</v>
      </c>
      <c r="Q630" t="s">
        <v>40</v>
      </c>
      <c r="R630">
        <v>57</v>
      </c>
      <c r="S630">
        <v>0</v>
      </c>
      <c r="T630" t="s">
        <v>41</v>
      </c>
      <c r="U630" t="s">
        <v>57</v>
      </c>
      <c r="V630">
        <v>1.95</v>
      </c>
      <c r="W630">
        <v>4.63</v>
      </c>
      <c r="X630">
        <v>5.2</v>
      </c>
      <c r="Y630">
        <v>14.4</v>
      </c>
      <c r="Z630">
        <v>15.9</v>
      </c>
    </row>
    <row r="631" spans="1:26" x14ac:dyDescent="0.45">
      <c r="A631" t="s">
        <v>1921</v>
      </c>
      <c r="B631">
        <v>37</v>
      </c>
      <c r="C631" t="s">
        <v>45</v>
      </c>
      <c r="D631" t="s">
        <v>106</v>
      </c>
      <c r="E631" t="s">
        <v>163</v>
      </c>
      <c r="F631" t="s">
        <v>30</v>
      </c>
      <c r="G631" t="s">
        <v>246</v>
      </c>
      <c r="H631" t="s">
        <v>61</v>
      </c>
      <c r="I631" t="s">
        <v>33</v>
      </c>
      <c r="J631" t="s">
        <v>1922</v>
      </c>
      <c r="K631" t="s">
        <v>887</v>
      </c>
      <c r="L631" t="s">
        <v>52</v>
      </c>
      <c r="M631" t="s">
        <v>53</v>
      </c>
      <c r="N631" t="s">
        <v>1074</v>
      </c>
      <c r="O631" t="s">
        <v>52</v>
      </c>
      <c r="P631" t="s">
        <v>110</v>
      </c>
      <c r="Q631" t="s">
        <v>129</v>
      </c>
      <c r="R631">
        <v>78</v>
      </c>
      <c r="S631">
        <v>0</v>
      </c>
      <c r="T631" t="s">
        <v>123</v>
      </c>
      <c r="U631" t="s">
        <v>42</v>
      </c>
      <c r="V631">
        <v>1.62</v>
      </c>
      <c r="W631">
        <v>2.95</v>
      </c>
      <c r="X631">
        <v>4.9000000000000004</v>
      </c>
      <c r="Y631">
        <v>16.7</v>
      </c>
      <c r="Z631">
        <v>20</v>
      </c>
    </row>
    <row r="632" spans="1:26" x14ac:dyDescent="0.45">
      <c r="A632" t="s">
        <v>1923</v>
      </c>
      <c r="B632">
        <v>21</v>
      </c>
      <c r="C632" t="s">
        <v>44</v>
      </c>
      <c r="D632" t="s">
        <v>87</v>
      </c>
      <c r="E632" t="s">
        <v>46</v>
      </c>
      <c r="F632" t="s">
        <v>88</v>
      </c>
      <c r="G632" t="s">
        <v>125</v>
      </c>
      <c r="H632" t="s">
        <v>32</v>
      </c>
      <c r="I632" t="s">
        <v>33</v>
      </c>
      <c r="J632" t="s">
        <v>1924</v>
      </c>
      <c r="K632" t="s">
        <v>1925</v>
      </c>
      <c r="L632" t="s">
        <v>36</v>
      </c>
      <c r="M632" t="s">
        <v>75</v>
      </c>
      <c r="N632" t="s">
        <v>100</v>
      </c>
      <c r="O632" t="s">
        <v>36</v>
      </c>
      <c r="P632" t="s">
        <v>55</v>
      </c>
      <c r="Q632" t="s">
        <v>40</v>
      </c>
      <c r="R632">
        <v>125</v>
      </c>
      <c r="S632">
        <v>0</v>
      </c>
      <c r="T632" t="s">
        <v>41</v>
      </c>
      <c r="U632" t="s">
        <v>57</v>
      </c>
      <c r="V632">
        <v>4.08</v>
      </c>
      <c r="W632">
        <v>2.59</v>
      </c>
      <c r="X632">
        <v>8.4</v>
      </c>
      <c r="Y632">
        <v>9.1</v>
      </c>
      <c r="Z632">
        <v>3.5</v>
      </c>
    </row>
    <row r="633" spans="1:26" x14ac:dyDescent="0.45">
      <c r="A633" t="s">
        <v>1926</v>
      </c>
      <c r="B633">
        <v>72</v>
      </c>
      <c r="C633" t="s">
        <v>45</v>
      </c>
      <c r="D633" t="s">
        <v>45</v>
      </c>
      <c r="E633" t="s">
        <v>78</v>
      </c>
      <c r="F633" t="s">
        <v>30</v>
      </c>
      <c r="G633" t="s">
        <v>80</v>
      </c>
      <c r="H633" t="s">
        <v>61</v>
      </c>
      <c r="I633" t="s">
        <v>33</v>
      </c>
      <c r="J633" t="s">
        <v>1371</v>
      </c>
      <c r="K633" t="s">
        <v>265</v>
      </c>
      <c r="L633" t="s">
        <v>92</v>
      </c>
      <c r="M633" t="s">
        <v>500</v>
      </c>
      <c r="N633" t="s">
        <v>1235</v>
      </c>
      <c r="O633" t="s">
        <v>92</v>
      </c>
      <c r="P633" t="s">
        <v>110</v>
      </c>
      <c r="Q633" t="s">
        <v>129</v>
      </c>
      <c r="R633">
        <v>138</v>
      </c>
      <c r="S633">
        <v>0</v>
      </c>
      <c r="T633" t="s">
        <v>85</v>
      </c>
      <c r="U633" t="s">
        <v>57</v>
      </c>
      <c r="V633">
        <v>1.82</v>
      </c>
      <c r="W633">
        <v>2.36</v>
      </c>
      <c r="X633">
        <v>5.6</v>
      </c>
      <c r="Y633">
        <v>17.100000000000001</v>
      </c>
      <c r="Z633">
        <v>18.5</v>
      </c>
    </row>
    <row r="634" spans="1:26" x14ac:dyDescent="0.45">
      <c r="A634" t="s">
        <v>1927</v>
      </c>
      <c r="B634">
        <v>80</v>
      </c>
      <c r="C634" t="s">
        <v>27</v>
      </c>
      <c r="D634" t="s">
        <v>95</v>
      </c>
      <c r="E634" t="s">
        <v>163</v>
      </c>
      <c r="F634" t="s">
        <v>30</v>
      </c>
      <c r="G634" t="s">
        <v>125</v>
      </c>
      <c r="H634" t="s">
        <v>81</v>
      </c>
      <c r="I634" t="s">
        <v>132</v>
      </c>
      <c r="J634" t="s">
        <v>1928</v>
      </c>
      <c r="K634" t="s">
        <v>1929</v>
      </c>
      <c r="L634" t="s">
        <v>92</v>
      </c>
      <c r="M634" t="s">
        <v>295</v>
      </c>
      <c r="N634" t="s">
        <v>852</v>
      </c>
      <c r="O634" t="s">
        <v>92</v>
      </c>
      <c r="P634" t="s">
        <v>110</v>
      </c>
      <c r="Q634" t="s">
        <v>40</v>
      </c>
      <c r="R634">
        <v>38</v>
      </c>
      <c r="S634">
        <v>0</v>
      </c>
      <c r="T634" t="s">
        <v>137</v>
      </c>
      <c r="U634" t="s">
        <v>57</v>
      </c>
      <c r="V634">
        <v>3.04</v>
      </c>
      <c r="W634">
        <v>3.01</v>
      </c>
      <c r="X634">
        <v>1.5</v>
      </c>
      <c r="Y634">
        <v>6.6</v>
      </c>
      <c r="Z634">
        <v>12.4</v>
      </c>
    </row>
    <row r="635" spans="1:26" x14ac:dyDescent="0.45">
      <c r="A635" t="s">
        <v>1930</v>
      </c>
      <c r="B635">
        <v>75</v>
      </c>
      <c r="C635" t="s">
        <v>27</v>
      </c>
      <c r="D635" t="s">
        <v>45</v>
      </c>
      <c r="E635" t="s">
        <v>78</v>
      </c>
      <c r="F635" t="s">
        <v>79</v>
      </c>
      <c r="G635" t="s">
        <v>80</v>
      </c>
      <c r="H635" t="s">
        <v>61</v>
      </c>
      <c r="I635" t="s">
        <v>33</v>
      </c>
      <c r="J635" t="s">
        <v>1931</v>
      </c>
      <c r="K635" t="s">
        <v>1932</v>
      </c>
      <c r="L635" t="s">
        <v>64</v>
      </c>
      <c r="M635" t="s">
        <v>1933</v>
      </c>
      <c r="N635" t="s">
        <v>142</v>
      </c>
      <c r="O635" t="s">
        <v>64</v>
      </c>
      <c r="P635" t="s">
        <v>110</v>
      </c>
      <c r="Q635" t="s">
        <v>129</v>
      </c>
      <c r="R635">
        <v>94</v>
      </c>
      <c r="S635">
        <v>0</v>
      </c>
      <c r="T635" t="s">
        <v>85</v>
      </c>
      <c r="U635" t="s">
        <v>42</v>
      </c>
      <c r="V635">
        <v>2.75</v>
      </c>
      <c r="W635">
        <v>4.3600000000000003</v>
      </c>
      <c r="X635">
        <v>2.4</v>
      </c>
      <c r="Y635">
        <v>6.4</v>
      </c>
      <c r="Z635">
        <v>10.6</v>
      </c>
    </row>
    <row r="636" spans="1:26" x14ac:dyDescent="0.45">
      <c r="A636" t="s">
        <v>1934</v>
      </c>
      <c r="B636">
        <v>84</v>
      </c>
      <c r="C636" t="s">
        <v>44</v>
      </c>
      <c r="D636" t="s">
        <v>106</v>
      </c>
      <c r="E636" t="s">
        <v>78</v>
      </c>
      <c r="F636" t="s">
        <v>79</v>
      </c>
      <c r="G636" t="s">
        <v>118</v>
      </c>
      <c r="H636" t="s">
        <v>32</v>
      </c>
      <c r="I636" t="s">
        <v>132</v>
      </c>
      <c r="J636" t="s">
        <v>1297</v>
      </c>
      <c r="K636" t="s">
        <v>1935</v>
      </c>
      <c r="L636" t="s">
        <v>92</v>
      </c>
      <c r="M636" t="s">
        <v>40</v>
      </c>
      <c r="N636" t="s">
        <v>1565</v>
      </c>
      <c r="O636" t="s">
        <v>92</v>
      </c>
      <c r="P636" t="s">
        <v>39</v>
      </c>
      <c r="Q636" t="s">
        <v>129</v>
      </c>
      <c r="R636">
        <v>129</v>
      </c>
      <c r="S636">
        <v>1</v>
      </c>
      <c r="T636" t="s">
        <v>41</v>
      </c>
      <c r="U636" t="s">
        <v>57</v>
      </c>
      <c r="V636">
        <v>1.95</v>
      </c>
      <c r="W636">
        <v>1.2</v>
      </c>
      <c r="X636">
        <v>7.5</v>
      </c>
      <c r="Y636">
        <v>8</v>
      </c>
      <c r="Z636">
        <v>13.3</v>
      </c>
    </row>
    <row r="637" spans="1:26" x14ac:dyDescent="0.45">
      <c r="A637" t="s">
        <v>1936</v>
      </c>
      <c r="B637">
        <v>23</v>
      </c>
      <c r="C637" t="s">
        <v>44</v>
      </c>
      <c r="D637" t="s">
        <v>106</v>
      </c>
      <c r="E637" t="s">
        <v>46</v>
      </c>
      <c r="F637" t="s">
        <v>69</v>
      </c>
      <c r="G637" t="s">
        <v>70</v>
      </c>
      <c r="H637" t="s">
        <v>71</v>
      </c>
      <c r="I637" t="s">
        <v>33</v>
      </c>
      <c r="J637" t="s">
        <v>1937</v>
      </c>
      <c r="K637" t="s">
        <v>1938</v>
      </c>
      <c r="L637" t="s">
        <v>52</v>
      </c>
      <c r="M637" t="s">
        <v>362</v>
      </c>
      <c r="N637" t="s">
        <v>1696</v>
      </c>
      <c r="O637" t="s">
        <v>52</v>
      </c>
      <c r="P637" t="s">
        <v>55</v>
      </c>
      <c r="Q637" t="s">
        <v>40</v>
      </c>
      <c r="R637">
        <v>35</v>
      </c>
      <c r="S637">
        <v>0</v>
      </c>
      <c r="T637" t="s">
        <v>85</v>
      </c>
      <c r="U637" t="s">
        <v>57</v>
      </c>
      <c r="V637">
        <v>2.12</v>
      </c>
      <c r="W637">
        <v>1.69</v>
      </c>
      <c r="X637">
        <v>4.4000000000000004</v>
      </c>
      <c r="Y637">
        <v>20.399999999999999</v>
      </c>
      <c r="Z637">
        <v>9.6999999999999993</v>
      </c>
    </row>
    <row r="638" spans="1:26" x14ac:dyDescent="0.45">
      <c r="A638" t="s">
        <v>1939</v>
      </c>
      <c r="B638">
        <v>31</v>
      </c>
      <c r="C638" t="s">
        <v>44</v>
      </c>
      <c r="D638" t="s">
        <v>95</v>
      </c>
      <c r="E638" t="s">
        <v>163</v>
      </c>
      <c r="F638" t="s">
        <v>69</v>
      </c>
      <c r="G638" t="s">
        <v>48</v>
      </c>
      <c r="H638" t="s">
        <v>61</v>
      </c>
      <c r="I638" t="s">
        <v>49</v>
      </c>
      <c r="J638" t="s">
        <v>1940</v>
      </c>
      <c r="K638" t="s">
        <v>1713</v>
      </c>
      <c r="L638" t="s">
        <v>36</v>
      </c>
      <c r="M638" t="s">
        <v>155</v>
      </c>
      <c r="N638" t="s">
        <v>146</v>
      </c>
      <c r="O638" t="s">
        <v>36</v>
      </c>
      <c r="P638" t="s">
        <v>39</v>
      </c>
      <c r="Q638" t="s">
        <v>129</v>
      </c>
      <c r="R638">
        <v>71</v>
      </c>
      <c r="S638">
        <v>1</v>
      </c>
      <c r="T638" t="s">
        <v>123</v>
      </c>
      <c r="U638" t="s">
        <v>42</v>
      </c>
      <c r="V638">
        <v>4</v>
      </c>
      <c r="W638">
        <v>1.5</v>
      </c>
      <c r="X638">
        <v>8</v>
      </c>
      <c r="Y638">
        <v>10.3</v>
      </c>
      <c r="Z638">
        <v>14.5</v>
      </c>
    </row>
    <row r="639" spans="1:26" x14ac:dyDescent="0.45">
      <c r="A639" t="s">
        <v>1941</v>
      </c>
      <c r="B639">
        <v>43</v>
      </c>
      <c r="C639" t="s">
        <v>44</v>
      </c>
      <c r="D639" t="s">
        <v>45</v>
      </c>
      <c r="E639" t="s">
        <v>30</v>
      </c>
      <c r="F639" t="s">
        <v>30</v>
      </c>
      <c r="G639" t="s">
        <v>70</v>
      </c>
      <c r="H639" t="s">
        <v>61</v>
      </c>
      <c r="I639" t="s">
        <v>72</v>
      </c>
      <c r="J639" t="s">
        <v>51</v>
      </c>
      <c r="K639" t="s">
        <v>1942</v>
      </c>
      <c r="L639" t="s">
        <v>92</v>
      </c>
      <c r="M639" t="s">
        <v>67</v>
      </c>
      <c r="N639" t="s">
        <v>714</v>
      </c>
      <c r="O639" t="s">
        <v>92</v>
      </c>
      <c r="P639" t="s">
        <v>55</v>
      </c>
      <c r="Q639" t="s">
        <v>67</v>
      </c>
      <c r="R639">
        <v>130</v>
      </c>
      <c r="S639">
        <v>0</v>
      </c>
      <c r="T639" t="s">
        <v>123</v>
      </c>
      <c r="U639" t="s">
        <v>57</v>
      </c>
      <c r="V639">
        <v>3.26</v>
      </c>
      <c r="W639">
        <v>4.72</v>
      </c>
      <c r="X639">
        <v>4.5</v>
      </c>
      <c r="Y639">
        <v>7.2</v>
      </c>
      <c r="Z639">
        <v>3.3</v>
      </c>
    </row>
    <row r="640" spans="1:26" x14ac:dyDescent="0.45">
      <c r="A640" t="s">
        <v>1943</v>
      </c>
      <c r="B640">
        <v>25</v>
      </c>
      <c r="C640" t="s">
        <v>45</v>
      </c>
      <c r="D640" t="s">
        <v>87</v>
      </c>
      <c r="E640" t="s">
        <v>163</v>
      </c>
      <c r="F640" t="s">
        <v>30</v>
      </c>
      <c r="G640" t="s">
        <v>184</v>
      </c>
      <c r="H640" t="s">
        <v>61</v>
      </c>
      <c r="I640" t="s">
        <v>132</v>
      </c>
      <c r="J640" t="s">
        <v>425</v>
      </c>
      <c r="K640" t="s">
        <v>545</v>
      </c>
      <c r="L640" t="s">
        <v>52</v>
      </c>
      <c r="M640" t="s">
        <v>40</v>
      </c>
      <c r="N640" t="s">
        <v>192</v>
      </c>
      <c r="O640" t="s">
        <v>52</v>
      </c>
      <c r="P640" t="s">
        <v>55</v>
      </c>
      <c r="Q640" t="s">
        <v>67</v>
      </c>
      <c r="R640">
        <v>55</v>
      </c>
      <c r="S640">
        <v>0</v>
      </c>
      <c r="T640" t="s">
        <v>41</v>
      </c>
      <c r="U640" t="s">
        <v>57</v>
      </c>
      <c r="V640">
        <v>4.3099999999999996</v>
      </c>
      <c r="W640">
        <v>3.1</v>
      </c>
      <c r="X640">
        <v>8</v>
      </c>
      <c r="Y640">
        <v>10.199999999999999</v>
      </c>
      <c r="Z640">
        <v>8.9</v>
      </c>
    </row>
    <row r="641" spans="1:26" x14ac:dyDescent="0.45">
      <c r="A641" t="s">
        <v>1944</v>
      </c>
      <c r="B641">
        <v>27</v>
      </c>
      <c r="C641" t="s">
        <v>27</v>
      </c>
      <c r="D641" t="s">
        <v>106</v>
      </c>
      <c r="E641" t="s">
        <v>29</v>
      </c>
      <c r="F641" t="s">
        <v>88</v>
      </c>
      <c r="G641" t="s">
        <v>70</v>
      </c>
      <c r="H641" t="s">
        <v>61</v>
      </c>
      <c r="I641" t="s">
        <v>72</v>
      </c>
      <c r="J641" t="s">
        <v>1945</v>
      </c>
      <c r="K641" t="s">
        <v>256</v>
      </c>
      <c r="L641" t="s">
        <v>64</v>
      </c>
      <c r="M641" t="s">
        <v>30</v>
      </c>
      <c r="N641" t="s">
        <v>1544</v>
      </c>
      <c r="O641" t="s">
        <v>64</v>
      </c>
      <c r="P641" t="s">
        <v>39</v>
      </c>
      <c r="Q641" t="s">
        <v>40</v>
      </c>
      <c r="R641">
        <v>40</v>
      </c>
      <c r="S641">
        <v>1</v>
      </c>
      <c r="T641" t="s">
        <v>137</v>
      </c>
      <c r="U641" t="s">
        <v>57</v>
      </c>
      <c r="V641">
        <v>1.1200000000000001</v>
      </c>
      <c r="W641">
        <v>4.8499999999999996</v>
      </c>
      <c r="X641">
        <v>7</v>
      </c>
      <c r="Y641">
        <v>22.8</v>
      </c>
      <c r="Z641">
        <v>7.5</v>
      </c>
    </row>
    <row r="642" spans="1:26" x14ac:dyDescent="0.45">
      <c r="A642" t="s">
        <v>1946</v>
      </c>
      <c r="B642">
        <v>21</v>
      </c>
      <c r="C642" t="s">
        <v>27</v>
      </c>
      <c r="D642" t="s">
        <v>28</v>
      </c>
      <c r="E642" t="s">
        <v>78</v>
      </c>
      <c r="F642" t="s">
        <v>79</v>
      </c>
      <c r="G642" t="s">
        <v>96</v>
      </c>
      <c r="H642" t="s">
        <v>81</v>
      </c>
      <c r="I642" t="s">
        <v>33</v>
      </c>
      <c r="J642" t="s">
        <v>768</v>
      </c>
      <c r="K642" t="s">
        <v>1682</v>
      </c>
      <c r="L642" t="s">
        <v>64</v>
      </c>
      <c r="M642" t="s">
        <v>135</v>
      </c>
      <c r="N642" t="s">
        <v>1115</v>
      </c>
      <c r="O642" t="s">
        <v>64</v>
      </c>
      <c r="P642" t="s">
        <v>39</v>
      </c>
      <c r="Q642" t="s">
        <v>40</v>
      </c>
      <c r="R642">
        <v>46</v>
      </c>
      <c r="S642">
        <v>1</v>
      </c>
      <c r="T642" t="s">
        <v>85</v>
      </c>
      <c r="U642" t="s">
        <v>42</v>
      </c>
      <c r="V642">
        <v>3.45</v>
      </c>
      <c r="W642">
        <v>3.71</v>
      </c>
      <c r="X642">
        <v>3.9</v>
      </c>
      <c r="Y642">
        <v>21.3</v>
      </c>
      <c r="Z642">
        <v>19.100000000000001</v>
      </c>
    </row>
    <row r="643" spans="1:26" x14ac:dyDescent="0.45">
      <c r="A643" t="s">
        <v>1947</v>
      </c>
      <c r="B643">
        <v>36</v>
      </c>
      <c r="C643" t="s">
        <v>45</v>
      </c>
      <c r="D643" t="s">
        <v>87</v>
      </c>
      <c r="E643" t="s">
        <v>30</v>
      </c>
      <c r="F643" t="s">
        <v>59</v>
      </c>
      <c r="G643" t="s">
        <v>440</v>
      </c>
      <c r="H643" t="s">
        <v>32</v>
      </c>
      <c r="I643" t="s">
        <v>132</v>
      </c>
      <c r="J643" t="s">
        <v>1158</v>
      </c>
      <c r="K643" t="s">
        <v>1948</v>
      </c>
      <c r="L643" t="s">
        <v>36</v>
      </c>
      <c r="M643" t="s">
        <v>357</v>
      </c>
      <c r="N643" t="s">
        <v>595</v>
      </c>
      <c r="O643" t="s">
        <v>36</v>
      </c>
      <c r="P643" t="s">
        <v>110</v>
      </c>
      <c r="Q643" t="s">
        <v>75</v>
      </c>
      <c r="R643">
        <v>176</v>
      </c>
      <c r="S643">
        <v>0</v>
      </c>
      <c r="T643" t="s">
        <v>41</v>
      </c>
      <c r="U643" t="s">
        <v>57</v>
      </c>
      <c r="V643">
        <v>4.54</v>
      </c>
      <c r="W643">
        <v>3.96</v>
      </c>
      <c r="X643">
        <v>3.5</v>
      </c>
      <c r="Y643">
        <v>11.1</v>
      </c>
      <c r="Z643">
        <v>19.399999999999999</v>
      </c>
    </row>
    <row r="644" spans="1:26" x14ac:dyDescent="0.45">
      <c r="A644" t="s">
        <v>1949</v>
      </c>
      <c r="B644">
        <v>61</v>
      </c>
      <c r="C644" t="s">
        <v>27</v>
      </c>
      <c r="D644" t="s">
        <v>95</v>
      </c>
      <c r="E644" t="s">
        <v>30</v>
      </c>
      <c r="F644" t="s">
        <v>30</v>
      </c>
      <c r="G644" t="s">
        <v>152</v>
      </c>
      <c r="H644" t="s">
        <v>61</v>
      </c>
      <c r="I644" t="s">
        <v>132</v>
      </c>
      <c r="J644" t="s">
        <v>1950</v>
      </c>
      <c r="K644" t="s">
        <v>1951</v>
      </c>
      <c r="L644" t="s">
        <v>52</v>
      </c>
      <c r="M644" t="s">
        <v>53</v>
      </c>
      <c r="N644" t="s">
        <v>235</v>
      </c>
      <c r="O644" t="s">
        <v>52</v>
      </c>
      <c r="P644" t="s">
        <v>39</v>
      </c>
      <c r="Q644" t="s">
        <v>30</v>
      </c>
      <c r="R644">
        <v>108</v>
      </c>
      <c r="S644">
        <v>1</v>
      </c>
      <c r="T644" t="s">
        <v>41</v>
      </c>
      <c r="U644" t="s">
        <v>57</v>
      </c>
      <c r="V644">
        <v>1.04</v>
      </c>
      <c r="W644">
        <v>3.86</v>
      </c>
      <c r="X644">
        <v>7.4</v>
      </c>
      <c r="Y644">
        <v>17.2</v>
      </c>
      <c r="Z644">
        <v>19.8</v>
      </c>
    </row>
    <row r="645" spans="1:26" x14ac:dyDescent="0.45">
      <c r="A645" t="s">
        <v>1952</v>
      </c>
      <c r="B645">
        <v>84</v>
      </c>
      <c r="C645" t="s">
        <v>45</v>
      </c>
      <c r="D645" t="s">
        <v>95</v>
      </c>
      <c r="E645" t="s">
        <v>30</v>
      </c>
      <c r="F645" t="s">
        <v>47</v>
      </c>
      <c r="G645" t="s">
        <v>89</v>
      </c>
      <c r="H645" t="s">
        <v>71</v>
      </c>
      <c r="I645" t="s">
        <v>132</v>
      </c>
      <c r="J645" t="s">
        <v>1953</v>
      </c>
      <c r="K645" t="s">
        <v>1954</v>
      </c>
      <c r="L645" t="s">
        <v>64</v>
      </c>
      <c r="M645" t="s">
        <v>40</v>
      </c>
      <c r="N645" t="s">
        <v>788</v>
      </c>
      <c r="O645" t="s">
        <v>64</v>
      </c>
      <c r="P645" t="s">
        <v>110</v>
      </c>
      <c r="Q645" t="s">
        <v>67</v>
      </c>
      <c r="R645">
        <v>60</v>
      </c>
      <c r="S645">
        <v>0</v>
      </c>
      <c r="T645" t="s">
        <v>137</v>
      </c>
      <c r="U645" t="s">
        <v>42</v>
      </c>
      <c r="V645">
        <v>2.25</v>
      </c>
      <c r="W645">
        <v>2.36</v>
      </c>
      <c r="X645">
        <v>1.7</v>
      </c>
      <c r="Y645">
        <v>14</v>
      </c>
      <c r="Z645">
        <v>7.4</v>
      </c>
    </row>
    <row r="646" spans="1:26" x14ac:dyDescent="0.45">
      <c r="A646" t="s">
        <v>1955</v>
      </c>
      <c r="B646">
        <v>44</v>
      </c>
      <c r="C646" t="s">
        <v>45</v>
      </c>
      <c r="D646" t="s">
        <v>28</v>
      </c>
      <c r="E646" t="s">
        <v>46</v>
      </c>
      <c r="F646" t="s">
        <v>30</v>
      </c>
      <c r="G646" t="s">
        <v>70</v>
      </c>
      <c r="H646" t="s">
        <v>32</v>
      </c>
      <c r="I646" t="s">
        <v>72</v>
      </c>
      <c r="J646" t="s">
        <v>1646</v>
      </c>
      <c r="K646" t="s">
        <v>1860</v>
      </c>
      <c r="L646" t="s">
        <v>36</v>
      </c>
      <c r="M646" t="s">
        <v>640</v>
      </c>
      <c r="N646" t="s">
        <v>567</v>
      </c>
      <c r="O646" t="s">
        <v>36</v>
      </c>
      <c r="P646" t="s">
        <v>39</v>
      </c>
      <c r="Q646" t="s">
        <v>30</v>
      </c>
      <c r="R646">
        <v>61</v>
      </c>
      <c r="S646">
        <v>1</v>
      </c>
      <c r="T646" t="s">
        <v>56</v>
      </c>
      <c r="U646" t="s">
        <v>57</v>
      </c>
      <c r="V646">
        <v>2.37</v>
      </c>
      <c r="W646">
        <v>4.34</v>
      </c>
      <c r="X646">
        <v>9.4</v>
      </c>
      <c r="Y646">
        <v>9.3000000000000007</v>
      </c>
      <c r="Z646">
        <v>9.3000000000000007</v>
      </c>
    </row>
    <row r="647" spans="1:26" x14ac:dyDescent="0.45">
      <c r="A647" t="s">
        <v>1956</v>
      </c>
      <c r="B647">
        <v>18</v>
      </c>
      <c r="C647" t="s">
        <v>27</v>
      </c>
      <c r="D647" t="s">
        <v>106</v>
      </c>
      <c r="E647" t="s">
        <v>30</v>
      </c>
      <c r="F647" t="s">
        <v>30</v>
      </c>
      <c r="G647" t="s">
        <v>440</v>
      </c>
      <c r="H647" t="s">
        <v>32</v>
      </c>
      <c r="I647" t="s">
        <v>33</v>
      </c>
      <c r="J647" t="s">
        <v>1957</v>
      </c>
      <c r="K647" t="s">
        <v>1958</v>
      </c>
      <c r="L647" t="s">
        <v>36</v>
      </c>
      <c r="M647" t="s">
        <v>723</v>
      </c>
      <c r="N647" t="s">
        <v>582</v>
      </c>
      <c r="O647" t="s">
        <v>36</v>
      </c>
      <c r="P647" t="s">
        <v>55</v>
      </c>
      <c r="Q647" t="s">
        <v>129</v>
      </c>
      <c r="R647">
        <v>65</v>
      </c>
      <c r="S647">
        <v>0</v>
      </c>
      <c r="T647" t="s">
        <v>41</v>
      </c>
      <c r="U647" t="s">
        <v>42</v>
      </c>
      <c r="V647">
        <v>4.71</v>
      </c>
      <c r="W647">
        <v>1.25</v>
      </c>
      <c r="X647">
        <v>1.8</v>
      </c>
      <c r="Y647">
        <v>8.9</v>
      </c>
      <c r="Z647">
        <v>13.1</v>
      </c>
    </row>
    <row r="648" spans="1:26" x14ac:dyDescent="0.45">
      <c r="A648" t="s">
        <v>1959</v>
      </c>
      <c r="B648">
        <v>64</v>
      </c>
      <c r="C648" t="s">
        <v>27</v>
      </c>
      <c r="D648" t="s">
        <v>87</v>
      </c>
      <c r="E648" t="s">
        <v>163</v>
      </c>
      <c r="F648" t="s">
        <v>69</v>
      </c>
      <c r="G648" t="s">
        <v>178</v>
      </c>
      <c r="H648" t="s">
        <v>32</v>
      </c>
      <c r="I648" t="s">
        <v>72</v>
      </c>
      <c r="J648" t="s">
        <v>1960</v>
      </c>
      <c r="K648" t="s">
        <v>774</v>
      </c>
      <c r="L648" t="s">
        <v>52</v>
      </c>
      <c r="M648" t="s">
        <v>75</v>
      </c>
      <c r="N648" t="s">
        <v>244</v>
      </c>
      <c r="O648" t="s">
        <v>52</v>
      </c>
      <c r="P648" t="s">
        <v>39</v>
      </c>
      <c r="Q648" t="s">
        <v>129</v>
      </c>
      <c r="R648">
        <v>116</v>
      </c>
      <c r="S648">
        <v>1</v>
      </c>
      <c r="T648" t="s">
        <v>85</v>
      </c>
      <c r="U648" t="s">
        <v>57</v>
      </c>
      <c r="V648">
        <v>1.6</v>
      </c>
      <c r="W648">
        <v>4.87</v>
      </c>
      <c r="X648">
        <v>5</v>
      </c>
      <c r="Y648">
        <v>15</v>
      </c>
      <c r="Z648">
        <v>7.2</v>
      </c>
    </row>
    <row r="649" spans="1:26" x14ac:dyDescent="0.45">
      <c r="A649" t="s">
        <v>1961</v>
      </c>
      <c r="B649">
        <v>54</v>
      </c>
      <c r="C649" t="s">
        <v>44</v>
      </c>
      <c r="D649" t="s">
        <v>106</v>
      </c>
      <c r="E649" t="s">
        <v>46</v>
      </c>
      <c r="F649" t="s">
        <v>69</v>
      </c>
      <c r="G649" t="s">
        <v>80</v>
      </c>
      <c r="H649" t="s">
        <v>32</v>
      </c>
      <c r="I649" t="s">
        <v>132</v>
      </c>
      <c r="J649" t="s">
        <v>1324</v>
      </c>
      <c r="K649" t="s">
        <v>1962</v>
      </c>
      <c r="L649" t="s">
        <v>64</v>
      </c>
      <c r="M649" t="s">
        <v>67</v>
      </c>
      <c r="N649" t="s">
        <v>1631</v>
      </c>
      <c r="O649" t="s">
        <v>64</v>
      </c>
      <c r="P649" t="s">
        <v>39</v>
      </c>
      <c r="Q649" t="s">
        <v>75</v>
      </c>
      <c r="R649">
        <v>34</v>
      </c>
      <c r="S649">
        <v>1</v>
      </c>
      <c r="T649" t="s">
        <v>41</v>
      </c>
      <c r="U649" t="s">
        <v>42</v>
      </c>
      <c r="V649">
        <v>2.88</v>
      </c>
      <c r="W649">
        <v>3.65</v>
      </c>
      <c r="X649">
        <v>7.8</v>
      </c>
      <c r="Y649">
        <v>19.600000000000001</v>
      </c>
      <c r="Z649">
        <v>12.8</v>
      </c>
    </row>
    <row r="650" spans="1:26" x14ac:dyDescent="0.45">
      <c r="A650" t="s">
        <v>1963</v>
      </c>
      <c r="B650">
        <v>52</v>
      </c>
      <c r="C650" t="s">
        <v>44</v>
      </c>
      <c r="D650" t="s">
        <v>87</v>
      </c>
      <c r="E650" t="s">
        <v>163</v>
      </c>
      <c r="F650" t="s">
        <v>47</v>
      </c>
      <c r="G650" t="s">
        <v>60</v>
      </c>
      <c r="H650" t="s">
        <v>71</v>
      </c>
      <c r="I650" t="s">
        <v>33</v>
      </c>
      <c r="J650" t="s">
        <v>1964</v>
      </c>
      <c r="K650" t="s">
        <v>1408</v>
      </c>
      <c r="L650" t="s">
        <v>64</v>
      </c>
      <c r="M650" t="s">
        <v>129</v>
      </c>
      <c r="N650" t="s">
        <v>852</v>
      </c>
      <c r="O650" t="s">
        <v>64</v>
      </c>
      <c r="P650" t="s">
        <v>110</v>
      </c>
      <c r="Q650" t="s">
        <v>30</v>
      </c>
      <c r="R650">
        <v>141</v>
      </c>
      <c r="S650">
        <v>0</v>
      </c>
      <c r="T650" t="s">
        <v>85</v>
      </c>
      <c r="U650" t="s">
        <v>57</v>
      </c>
      <c r="V650">
        <v>4.62</v>
      </c>
      <c r="W650">
        <v>4.2699999999999996</v>
      </c>
      <c r="X650">
        <v>7.8</v>
      </c>
      <c r="Y650">
        <v>7</v>
      </c>
      <c r="Z650">
        <v>3.1</v>
      </c>
    </row>
    <row r="651" spans="1:26" x14ac:dyDescent="0.45">
      <c r="A651" t="s">
        <v>1965</v>
      </c>
      <c r="B651">
        <v>75</v>
      </c>
      <c r="C651" t="s">
        <v>27</v>
      </c>
      <c r="D651" t="s">
        <v>106</v>
      </c>
      <c r="E651" t="s">
        <v>163</v>
      </c>
      <c r="F651" t="s">
        <v>30</v>
      </c>
      <c r="G651" t="s">
        <v>48</v>
      </c>
      <c r="H651" t="s">
        <v>81</v>
      </c>
      <c r="I651" t="s">
        <v>33</v>
      </c>
      <c r="J651" t="s">
        <v>1966</v>
      </c>
      <c r="K651" t="s">
        <v>580</v>
      </c>
      <c r="L651" t="s">
        <v>36</v>
      </c>
      <c r="M651" t="s">
        <v>75</v>
      </c>
      <c r="N651" t="s">
        <v>930</v>
      </c>
      <c r="O651" t="s">
        <v>36</v>
      </c>
      <c r="P651" t="s">
        <v>55</v>
      </c>
      <c r="Q651" t="s">
        <v>67</v>
      </c>
      <c r="R651">
        <v>155</v>
      </c>
      <c r="S651">
        <v>0</v>
      </c>
      <c r="T651" t="s">
        <v>56</v>
      </c>
      <c r="U651" t="s">
        <v>57</v>
      </c>
      <c r="V651">
        <v>1.85</v>
      </c>
      <c r="W651">
        <v>3.65</v>
      </c>
      <c r="X651">
        <v>4.7</v>
      </c>
      <c r="Y651">
        <v>13.2</v>
      </c>
      <c r="Z651">
        <v>18</v>
      </c>
    </row>
    <row r="652" spans="1:26" x14ac:dyDescent="0.45">
      <c r="A652" t="s">
        <v>1967</v>
      </c>
      <c r="B652">
        <v>59</v>
      </c>
      <c r="C652" t="s">
        <v>27</v>
      </c>
      <c r="D652" t="s">
        <v>95</v>
      </c>
      <c r="E652" t="s">
        <v>29</v>
      </c>
      <c r="F652" t="s">
        <v>30</v>
      </c>
      <c r="G652" t="s">
        <v>440</v>
      </c>
      <c r="H652" t="s">
        <v>71</v>
      </c>
      <c r="I652" t="s">
        <v>132</v>
      </c>
      <c r="J652" t="s">
        <v>1465</v>
      </c>
      <c r="K652" t="s">
        <v>1968</v>
      </c>
      <c r="L652" t="s">
        <v>36</v>
      </c>
      <c r="M652" t="s">
        <v>40</v>
      </c>
      <c r="N652" t="s">
        <v>987</v>
      </c>
      <c r="O652" t="s">
        <v>36</v>
      </c>
      <c r="P652" t="s">
        <v>39</v>
      </c>
      <c r="Q652" t="s">
        <v>30</v>
      </c>
      <c r="R652">
        <v>120</v>
      </c>
      <c r="S652">
        <v>1</v>
      </c>
      <c r="T652" t="s">
        <v>56</v>
      </c>
      <c r="U652" t="s">
        <v>57</v>
      </c>
      <c r="V652">
        <v>4.58</v>
      </c>
      <c r="W652">
        <v>4.6399999999999997</v>
      </c>
      <c r="X652">
        <v>3.8</v>
      </c>
      <c r="Y652">
        <v>18.399999999999999</v>
      </c>
      <c r="Z652">
        <v>7.6</v>
      </c>
    </row>
    <row r="653" spans="1:26" x14ac:dyDescent="0.45">
      <c r="A653" t="s">
        <v>1969</v>
      </c>
      <c r="B653">
        <v>49</v>
      </c>
      <c r="C653" t="s">
        <v>45</v>
      </c>
      <c r="D653" t="s">
        <v>28</v>
      </c>
      <c r="E653" t="s">
        <v>46</v>
      </c>
      <c r="F653" t="s">
        <v>47</v>
      </c>
      <c r="G653" t="s">
        <v>164</v>
      </c>
      <c r="H653" t="s">
        <v>71</v>
      </c>
      <c r="I653" t="s">
        <v>49</v>
      </c>
      <c r="J653" t="s">
        <v>174</v>
      </c>
      <c r="K653" t="s">
        <v>1970</v>
      </c>
      <c r="L653" t="s">
        <v>36</v>
      </c>
      <c r="M653" t="s">
        <v>1547</v>
      </c>
      <c r="N653" t="s">
        <v>626</v>
      </c>
      <c r="O653" t="s">
        <v>36</v>
      </c>
      <c r="P653" t="s">
        <v>55</v>
      </c>
      <c r="Q653" t="s">
        <v>40</v>
      </c>
      <c r="R653">
        <v>144</v>
      </c>
      <c r="S653">
        <v>0</v>
      </c>
      <c r="T653" t="s">
        <v>56</v>
      </c>
      <c r="U653" t="s">
        <v>42</v>
      </c>
      <c r="V653">
        <v>1.76</v>
      </c>
      <c r="W653">
        <v>1.74</v>
      </c>
      <c r="X653">
        <v>4.0999999999999996</v>
      </c>
      <c r="Y653">
        <v>13.7</v>
      </c>
      <c r="Z653">
        <v>17.100000000000001</v>
      </c>
    </row>
    <row r="654" spans="1:26" x14ac:dyDescent="0.45">
      <c r="A654" t="s">
        <v>1971</v>
      </c>
      <c r="B654">
        <v>73</v>
      </c>
      <c r="C654" t="s">
        <v>44</v>
      </c>
      <c r="D654" t="s">
        <v>28</v>
      </c>
      <c r="E654" t="s">
        <v>46</v>
      </c>
      <c r="F654" t="s">
        <v>59</v>
      </c>
      <c r="G654" t="s">
        <v>70</v>
      </c>
      <c r="H654" t="s">
        <v>71</v>
      </c>
      <c r="I654" t="s">
        <v>72</v>
      </c>
      <c r="J654" t="s">
        <v>114</v>
      </c>
      <c r="K654" t="s">
        <v>1972</v>
      </c>
      <c r="L654" t="s">
        <v>52</v>
      </c>
      <c r="M654" t="s">
        <v>40</v>
      </c>
      <c r="N654" t="s">
        <v>667</v>
      </c>
      <c r="O654" t="s">
        <v>52</v>
      </c>
      <c r="P654" t="s">
        <v>39</v>
      </c>
      <c r="Q654" t="s">
        <v>67</v>
      </c>
      <c r="R654">
        <v>53</v>
      </c>
      <c r="S654">
        <v>1</v>
      </c>
      <c r="T654" t="s">
        <v>41</v>
      </c>
      <c r="U654" t="s">
        <v>42</v>
      </c>
      <c r="V654">
        <v>1.48</v>
      </c>
      <c r="W654">
        <v>3.94</v>
      </c>
      <c r="X654">
        <v>5.8</v>
      </c>
      <c r="Y654">
        <v>11.2</v>
      </c>
      <c r="Z654">
        <v>11.4</v>
      </c>
    </row>
    <row r="655" spans="1:26" x14ac:dyDescent="0.45">
      <c r="A655" t="s">
        <v>1973</v>
      </c>
      <c r="B655">
        <v>24</v>
      </c>
      <c r="C655" t="s">
        <v>44</v>
      </c>
      <c r="D655" t="s">
        <v>87</v>
      </c>
      <c r="E655" t="s">
        <v>29</v>
      </c>
      <c r="F655" t="s">
        <v>30</v>
      </c>
      <c r="G655" t="s">
        <v>440</v>
      </c>
      <c r="H655" t="s">
        <v>71</v>
      </c>
      <c r="I655" t="s">
        <v>132</v>
      </c>
      <c r="J655" t="s">
        <v>857</v>
      </c>
      <c r="K655" t="s">
        <v>1750</v>
      </c>
      <c r="L655" t="s">
        <v>52</v>
      </c>
      <c r="M655" t="s">
        <v>53</v>
      </c>
      <c r="N655" t="s">
        <v>1132</v>
      </c>
      <c r="O655" t="s">
        <v>52</v>
      </c>
      <c r="P655" t="s">
        <v>39</v>
      </c>
      <c r="Q655" t="s">
        <v>67</v>
      </c>
      <c r="R655">
        <v>53</v>
      </c>
      <c r="S655">
        <v>1</v>
      </c>
      <c r="T655" t="s">
        <v>85</v>
      </c>
      <c r="U655" t="s">
        <v>42</v>
      </c>
      <c r="V655">
        <v>2.2000000000000002</v>
      </c>
      <c r="W655">
        <v>3.38</v>
      </c>
      <c r="X655">
        <v>4.9000000000000004</v>
      </c>
      <c r="Y655">
        <v>9</v>
      </c>
      <c r="Z655">
        <v>5</v>
      </c>
    </row>
    <row r="656" spans="1:26" x14ac:dyDescent="0.45">
      <c r="A656" t="s">
        <v>1974</v>
      </c>
      <c r="B656">
        <v>40</v>
      </c>
      <c r="C656" t="s">
        <v>44</v>
      </c>
      <c r="D656" t="s">
        <v>45</v>
      </c>
      <c r="E656" t="s">
        <v>78</v>
      </c>
      <c r="F656" t="s">
        <v>30</v>
      </c>
      <c r="G656" t="s">
        <v>112</v>
      </c>
      <c r="H656" t="s">
        <v>71</v>
      </c>
      <c r="I656" t="s">
        <v>49</v>
      </c>
      <c r="J656" t="s">
        <v>1355</v>
      </c>
      <c r="K656" t="s">
        <v>949</v>
      </c>
      <c r="L656" t="s">
        <v>92</v>
      </c>
      <c r="M656" t="s">
        <v>30</v>
      </c>
      <c r="N656" t="s">
        <v>598</v>
      </c>
      <c r="O656" t="s">
        <v>92</v>
      </c>
      <c r="P656" t="s">
        <v>110</v>
      </c>
      <c r="Q656" t="s">
        <v>129</v>
      </c>
      <c r="R656">
        <v>148</v>
      </c>
      <c r="S656">
        <v>0</v>
      </c>
      <c r="T656" t="s">
        <v>85</v>
      </c>
      <c r="U656" t="s">
        <v>57</v>
      </c>
      <c r="V656">
        <v>3.19</v>
      </c>
      <c r="W656">
        <v>4.6100000000000003</v>
      </c>
      <c r="X656">
        <v>4.0999999999999996</v>
      </c>
      <c r="Y656">
        <v>19.2</v>
      </c>
      <c r="Z656">
        <v>14.2</v>
      </c>
    </row>
    <row r="657" spans="1:26" x14ac:dyDescent="0.45">
      <c r="A657" t="s">
        <v>1975</v>
      </c>
      <c r="B657">
        <v>40</v>
      </c>
      <c r="C657" t="s">
        <v>27</v>
      </c>
      <c r="D657" t="s">
        <v>45</v>
      </c>
      <c r="E657" t="s">
        <v>46</v>
      </c>
      <c r="F657" t="s">
        <v>88</v>
      </c>
      <c r="G657" t="s">
        <v>31</v>
      </c>
      <c r="H657" t="s">
        <v>71</v>
      </c>
      <c r="I657" t="s">
        <v>132</v>
      </c>
      <c r="J657" t="s">
        <v>1016</v>
      </c>
      <c r="K657" t="s">
        <v>74</v>
      </c>
      <c r="L657" t="s">
        <v>92</v>
      </c>
      <c r="M657" t="s">
        <v>339</v>
      </c>
      <c r="N657" t="s">
        <v>1904</v>
      </c>
      <c r="O657" t="s">
        <v>92</v>
      </c>
      <c r="P657" t="s">
        <v>55</v>
      </c>
      <c r="Q657" t="s">
        <v>67</v>
      </c>
      <c r="R657">
        <v>63</v>
      </c>
      <c r="S657">
        <v>0</v>
      </c>
      <c r="T657" t="s">
        <v>41</v>
      </c>
      <c r="U657" t="s">
        <v>57</v>
      </c>
      <c r="V657">
        <v>4.7300000000000004</v>
      </c>
      <c r="W657">
        <v>4.28</v>
      </c>
      <c r="X657">
        <v>6.1</v>
      </c>
      <c r="Y657">
        <v>17.8</v>
      </c>
      <c r="Z657">
        <v>18.3</v>
      </c>
    </row>
    <row r="658" spans="1:26" x14ac:dyDescent="0.45">
      <c r="A658" t="s">
        <v>1976</v>
      </c>
      <c r="B658">
        <v>53</v>
      </c>
      <c r="C658" t="s">
        <v>44</v>
      </c>
      <c r="D658" t="s">
        <v>106</v>
      </c>
      <c r="E658" t="s">
        <v>78</v>
      </c>
      <c r="F658" t="s">
        <v>88</v>
      </c>
      <c r="G658" t="s">
        <v>60</v>
      </c>
      <c r="H658" t="s">
        <v>71</v>
      </c>
      <c r="I658" t="s">
        <v>49</v>
      </c>
      <c r="J658" t="s">
        <v>1977</v>
      </c>
      <c r="K658" t="s">
        <v>330</v>
      </c>
      <c r="L658" t="s">
        <v>64</v>
      </c>
      <c r="M658" t="s">
        <v>378</v>
      </c>
      <c r="N658" t="s">
        <v>327</v>
      </c>
      <c r="O658" t="s">
        <v>64</v>
      </c>
      <c r="P658" t="s">
        <v>55</v>
      </c>
      <c r="Q658" t="s">
        <v>75</v>
      </c>
      <c r="R658">
        <v>168</v>
      </c>
      <c r="S658">
        <v>0</v>
      </c>
      <c r="T658" t="s">
        <v>56</v>
      </c>
      <c r="U658" t="s">
        <v>57</v>
      </c>
      <c r="V658">
        <v>2.6</v>
      </c>
      <c r="W658">
        <v>2.31</v>
      </c>
      <c r="X658">
        <v>1.1000000000000001</v>
      </c>
      <c r="Y658">
        <v>20.9</v>
      </c>
      <c r="Z658">
        <v>16.600000000000001</v>
      </c>
    </row>
    <row r="659" spans="1:26" x14ac:dyDescent="0.45">
      <c r="A659" t="s">
        <v>1978</v>
      </c>
      <c r="B659">
        <v>84</v>
      </c>
      <c r="C659" t="s">
        <v>44</v>
      </c>
      <c r="D659" t="s">
        <v>45</v>
      </c>
      <c r="E659" t="s">
        <v>29</v>
      </c>
      <c r="F659" t="s">
        <v>30</v>
      </c>
      <c r="G659" t="s">
        <v>131</v>
      </c>
      <c r="H659" t="s">
        <v>32</v>
      </c>
      <c r="I659" t="s">
        <v>33</v>
      </c>
      <c r="J659" t="s">
        <v>1207</v>
      </c>
      <c r="K659" t="s">
        <v>1979</v>
      </c>
      <c r="L659" t="s">
        <v>52</v>
      </c>
      <c r="M659" t="s">
        <v>67</v>
      </c>
      <c r="N659" t="s">
        <v>622</v>
      </c>
      <c r="O659" t="s">
        <v>52</v>
      </c>
      <c r="P659" t="s">
        <v>110</v>
      </c>
      <c r="Q659" t="s">
        <v>30</v>
      </c>
      <c r="R659">
        <v>106</v>
      </c>
      <c r="S659">
        <v>0</v>
      </c>
      <c r="T659" t="s">
        <v>123</v>
      </c>
      <c r="U659" t="s">
        <v>57</v>
      </c>
      <c r="V659">
        <v>1.42</v>
      </c>
      <c r="W659">
        <v>3.31</v>
      </c>
      <c r="X659">
        <v>5.2</v>
      </c>
      <c r="Y659">
        <v>8.1</v>
      </c>
      <c r="Z659">
        <v>19.7</v>
      </c>
    </row>
    <row r="660" spans="1:26" x14ac:dyDescent="0.45">
      <c r="A660" t="s">
        <v>1980</v>
      </c>
      <c r="B660">
        <v>66</v>
      </c>
      <c r="C660" t="s">
        <v>44</v>
      </c>
      <c r="D660" t="s">
        <v>28</v>
      </c>
      <c r="E660" t="s">
        <v>30</v>
      </c>
      <c r="F660" t="s">
        <v>47</v>
      </c>
      <c r="G660" t="s">
        <v>89</v>
      </c>
      <c r="H660" t="s">
        <v>61</v>
      </c>
      <c r="I660" t="s">
        <v>72</v>
      </c>
      <c r="J660" t="s">
        <v>824</v>
      </c>
      <c r="K660" t="s">
        <v>1153</v>
      </c>
      <c r="L660" t="s">
        <v>36</v>
      </c>
      <c r="M660" t="s">
        <v>863</v>
      </c>
      <c r="N660" t="s">
        <v>843</v>
      </c>
      <c r="O660" t="s">
        <v>36</v>
      </c>
      <c r="P660" t="s">
        <v>39</v>
      </c>
      <c r="Q660" t="s">
        <v>129</v>
      </c>
      <c r="R660">
        <v>88</v>
      </c>
      <c r="S660">
        <v>1</v>
      </c>
      <c r="T660" t="s">
        <v>56</v>
      </c>
      <c r="U660" t="s">
        <v>57</v>
      </c>
      <c r="V660">
        <v>1.86</v>
      </c>
      <c r="W660">
        <v>1.27</v>
      </c>
      <c r="X660">
        <v>6.4</v>
      </c>
      <c r="Y660">
        <v>19.3</v>
      </c>
      <c r="Z660">
        <v>3.6</v>
      </c>
    </row>
    <row r="661" spans="1:26" x14ac:dyDescent="0.45">
      <c r="A661" t="s">
        <v>1981</v>
      </c>
      <c r="B661">
        <v>80</v>
      </c>
      <c r="C661" t="s">
        <v>44</v>
      </c>
      <c r="D661" t="s">
        <v>95</v>
      </c>
      <c r="E661" t="s">
        <v>78</v>
      </c>
      <c r="F661" t="s">
        <v>79</v>
      </c>
      <c r="G661" t="s">
        <v>440</v>
      </c>
      <c r="H661" t="s">
        <v>71</v>
      </c>
      <c r="I661" t="s">
        <v>33</v>
      </c>
      <c r="J661" t="s">
        <v>329</v>
      </c>
      <c r="K661" t="s">
        <v>752</v>
      </c>
      <c r="L661" t="s">
        <v>92</v>
      </c>
      <c r="M661" t="s">
        <v>697</v>
      </c>
      <c r="N661" t="s">
        <v>954</v>
      </c>
      <c r="O661" t="s">
        <v>92</v>
      </c>
      <c r="P661" t="s">
        <v>55</v>
      </c>
      <c r="Q661" t="s">
        <v>40</v>
      </c>
      <c r="R661">
        <v>140</v>
      </c>
      <c r="S661">
        <v>0</v>
      </c>
      <c r="T661" t="s">
        <v>123</v>
      </c>
      <c r="U661" t="s">
        <v>57</v>
      </c>
      <c r="V661">
        <v>3.63</v>
      </c>
      <c r="W661">
        <v>3.13</v>
      </c>
      <c r="X661">
        <v>1.9</v>
      </c>
      <c r="Y661">
        <v>9.1</v>
      </c>
      <c r="Z661">
        <v>12.7</v>
      </c>
    </row>
    <row r="662" spans="1:26" x14ac:dyDescent="0.45">
      <c r="A662" t="s">
        <v>1982</v>
      </c>
      <c r="B662">
        <v>63</v>
      </c>
      <c r="C662" t="s">
        <v>45</v>
      </c>
      <c r="D662" t="s">
        <v>45</v>
      </c>
      <c r="E662" t="s">
        <v>78</v>
      </c>
      <c r="F662" t="s">
        <v>47</v>
      </c>
      <c r="G662" t="s">
        <v>125</v>
      </c>
      <c r="H662" t="s">
        <v>32</v>
      </c>
      <c r="I662" t="s">
        <v>132</v>
      </c>
      <c r="J662" t="s">
        <v>1983</v>
      </c>
      <c r="K662" t="s">
        <v>1984</v>
      </c>
      <c r="L662" t="s">
        <v>92</v>
      </c>
      <c r="M662" t="s">
        <v>67</v>
      </c>
      <c r="N662" t="s">
        <v>754</v>
      </c>
      <c r="O662" t="s">
        <v>92</v>
      </c>
      <c r="P662" t="s">
        <v>110</v>
      </c>
      <c r="Q662" t="s">
        <v>75</v>
      </c>
      <c r="R662">
        <v>99</v>
      </c>
      <c r="S662">
        <v>0</v>
      </c>
      <c r="T662" t="s">
        <v>123</v>
      </c>
      <c r="U662" t="s">
        <v>42</v>
      </c>
      <c r="V662">
        <v>2.19</v>
      </c>
      <c r="W662">
        <v>4.75</v>
      </c>
      <c r="X662">
        <v>8.4</v>
      </c>
      <c r="Y662">
        <v>23.7</v>
      </c>
      <c r="Z662">
        <v>7.4</v>
      </c>
    </row>
    <row r="663" spans="1:26" x14ac:dyDescent="0.45">
      <c r="A663" t="s">
        <v>1985</v>
      </c>
      <c r="B663">
        <v>83</v>
      </c>
      <c r="C663" t="s">
        <v>27</v>
      </c>
      <c r="D663" t="s">
        <v>45</v>
      </c>
      <c r="E663" t="s">
        <v>30</v>
      </c>
      <c r="F663" t="s">
        <v>47</v>
      </c>
      <c r="G663" t="s">
        <v>31</v>
      </c>
      <c r="H663" t="s">
        <v>81</v>
      </c>
      <c r="I663" t="s">
        <v>132</v>
      </c>
      <c r="J663" t="s">
        <v>1986</v>
      </c>
      <c r="K663" t="s">
        <v>686</v>
      </c>
      <c r="L663" t="s">
        <v>92</v>
      </c>
      <c r="M663" t="s">
        <v>362</v>
      </c>
      <c r="N663" t="s">
        <v>136</v>
      </c>
      <c r="O663" t="s">
        <v>92</v>
      </c>
      <c r="P663" t="s">
        <v>55</v>
      </c>
      <c r="Q663" t="s">
        <v>40</v>
      </c>
      <c r="R663">
        <v>161</v>
      </c>
      <c r="S663">
        <v>0</v>
      </c>
      <c r="T663" t="s">
        <v>123</v>
      </c>
      <c r="U663" t="s">
        <v>42</v>
      </c>
      <c r="V663">
        <v>4.88</v>
      </c>
      <c r="W663">
        <v>2.72</v>
      </c>
      <c r="X663">
        <v>4.0999999999999996</v>
      </c>
      <c r="Y663">
        <v>6.9</v>
      </c>
      <c r="Z663">
        <v>3.9</v>
      </c>
    </row>
    <row r="664" spans="1:26" x14ac:dyDescent="0.45">
      <c r="A664" t="s">
        <v>1987</v>
      </c>
      <c r="B664">
        <v>37</v>
      </c>
      <c r="C664" t="s">
        <v>44</v>
      </c>
      <c r="D664" t="s">
        <v>28</v>
      </c>
      <c r="E664" t="s">
        <v>78</v>
      </c>
      <c r="F664" t="s">
        <v>30</v>
      </c>
      <c r="G664" t="s">
        <v>184</v>
      </c>
      <c r="H664" t="s">
        <v>71</v>
      </c>
      <c r="I664" t="s">
        <v>72</v>
      </c>
      <c r="J664" t="s">
        <v>1903</v>
      </c>
      <c r="K664" t="s">
        <v>1988</v>
      </c>
      <c r="L664" t="s">
        <v>64</v>
      </c>
      <c r="M664" t="s">
        <v>37</v>
      </c>
      <c r="N664" t="s">
        <v>1989</v>
      </c>
      <c r="O664" t="s">
        <v>64</v>
      </c>
      <c r="P664" t="s">
        <v>55</v>
      </c>
      <c r="Q664" t="s">
        <v>129</v>
      </c>
      <c r="R664">
        <v>64</v>
      </c>
      <c r="S664">
        <v>0</v>
      </c>
      <c r="T664" t="s">
        <v>41</v>
      </c>
      <c r="U664" t="s">
        <v>57</v>
      </c>
      <c r="V664">
        <v>3.77</v>
      </c>
      <c r="W664">
        <v>2.83</v>
      </c>
      <c r="X664">
        <v>3</v>
      </c>
      <c r="Y664">
        <v>17.100000000000001</v>
      </c>
      <c r="Z664">
        <v>7.3</v>
      </c>
    </row>
    <row r="665" spans="1:26" x14ac:dyDescent="0.45">
      <c r="A665" t="s">
        <v>1990</v>
      </c>
      <c r="B665">
        <v>42</v>
      </c>
      <c r="C665" t="s">
        <v>44</v>
      </c>
      <c r="D665" t="s">
        <v>106</v>
      </c>
      <c r="E665" t="s">
        <v>78</v>
      </c>
      <c r="F665" t="s">
        <v>30</v>
      </c>
      <c r="G665" t="s">
        <v>184</v>
      </c>
      <c r="H665" t="s">
        <v>71</v>
      </c>
      <c r="I665" t="s">
        <v>49</v>
      </c>
      <c r="J665" t="s">
        <v>1270</v>
      </c>
      <c r="K665" t="s">
        <v>1991</v>
      </c>
      <c r="L665" t="s">
        <v>64</v>
      </c>
      <c r="M665" t="s">
        <v>517</v>
      </c>
      <c r="N665" t="s">
        <v>305</v>
      </c>
      <c r="O665" t="s">
        <v>64</v>
      </c>
      <c r="P665" t="s">
        <v>39</v>
      </c>
      <c r="Q665" t="s">
        <v>40</v>
      </c>
      <c r="R665">
        <v>59</v>
      </c>
      <c r="S665">
        <v>1</v>
      </c>
      <c r="T665" t="s">
        <v>123</v>
      </c>
      <c r="U665" t="s">
        <v>57</v>
      </c>
      <c r="V665">
        <v>3.31</v>
      </c>
      <c r="W665">
        <v>2.44</v>
      </c>
      <c r="X665">
        <v>8.4</v>
      </c>
      <c r="Y665">
        <v>20.8</v>
      </c>
      <c r="Z665">
        <v>11.1</v>
      </c>
    </row>
    <row r="666" spans="1:26" x14ac:dyDescent="0.45">
      <c r="A666" t="s">
        <v>1992</v>
      </c>
      <c r="B666">
        <v>61</v>
      </c>
      <c r="C666" t="s">
        <v>45</v>
      </c>
      <c r="D666" t="s">
        <v>28</v>
      </c>
      <c r="E666" t="s">
        <v>78</v>
      </c>
      <c r="F666" t="s">
        <v>30</v>
      </c>
      <c r="G666" t="s">
        <v>184</v>
      </c>
      <c r="H666" t="s">
        <v>32</v>
      </c>
      <c r="I666" t="s">
        <v>132</v>
      </c>
      <c r="J666" t="s">
        <v>1993</v>
      </c>
      <c r="K666" t="s">
        <v>1994</v>
      </c>
      <c r="L666" t="s">
        <v>64</v>
      </c>
      <c r="M666" t="s">
        <v>249</v>
      </c>
      <c r="N666" t="s">
        <v>1514</v>
      </c>
      <c r="O666" t="s">
        <v>64</v>
      </c>
      <c r="P666" t="s">
        <v>55</v>
      </c>
      <c r="Q666" t="s">
        <v>30</v>
      </c>
      <c r="R666">
        <v>114</v>
      </c>
      <c r="S666">
        <v>0</v>
      </c>
      <c r="T666" t="s">
        <v>85</v>
      </c>
      <c r="U666" t="s">
        <v>57</v>
      </c>
      <c r="V666">
        <v>2.4</v>
      </c>
      <c r="W666">
        <v>2.4500000000000002</v>
      </c>
      <c r="X666">
        <v>8.3000000000000007</v>
      </c>
      <c r="Y666">
        <v>11.9</v>
      </c>
      <c r="Z666">
        <v>6.6</v>
      </c>
    </row>
    <row r="667" spans="1:26" x14ac:dyDescent="0.45">
      <c r="A667" t="s">
        <v>1995</v>
      </c>
      <c r="B667">
        <v>81</v>
      </c>
      <c r="C667" t="s">
        <v>45</v>
      </c>
      <c r="D667" t="s">
        <v>95</v>
      </c>
      <c r="E667" t="s">
        <v>163</v>
      </c>
      <c r="F667" t="s">
        <v>30</v>
      </c>
      <c r="G667" t="s">
        <v>276</v>
      </c>
      <c r="H667" t="s">
        <v>32</v>
      </c>
      <c r="I667" t="s">
        <v>49</v>
      </c>
      <c r="J667" t="s">
        <v>1856</v>
      </c>
      <c r="K667" t="s">
        <v>411</v>
      </c>
      <c r="L667" t="s">
        <v>52</v>
      </c>
      <c r="M667" t="s">
        <v>40</v>
      </c>
      <c r="N667" t="s">
        <v>690</v>
      </c>
      <c r="O667" t="s">
        <v>52</v>
      </c>
      <c r="P667" t="s">
        <v>39</v>
      </c>
      <c r="Q667" t="s">
        <v>75</v>
      </c>
      <c r="R667">
        <v>159</v>
      </c>
      <c r="S667">
        <v>1</v>
      </c>
      <c r="T667" t="s">
        <v>137</v>
      </c>
      <c r="U667" t="s">
        <v>57</v>
      </c>
      <c r="V667">
        <v>1.34</v>
      </c>
      <c r="W667">
        <v>2.87</v>
      </c>
      <c r="X667">
        <v>5.3</v>
      </c>
      <c r="Y667">
        <v>21.1</v>
      </c>
      <c r="Z667">
        <v>6.8</v>
      </c>
    </row>
    <row r="668" spans="1:26" x14ac:dyDescent="0.45">
      <c r="A668" t="s">
        <v>1996</v>
      </c>
      <c r="B668">
        <v>69</v>
      </c>
      <c r="C668" t="s">
        <v>44</v>
      </c>
      <c r="D668" t="s">
        <v>45</v>
      </c>
      <c r="E668" t="s">
        <v>30</v>
      </c>
      <c r="F668" t="s">
        <v>79</v>
      </c>
      <c r="G668" t="s">
        <v>112</v>
      </c>
      <c r="H668" t="s">
        <v>81</v>
      </c>
      <c r="I668" t="s">
        <v>49</v>
      </c>
      <c r="J668" t="s">
        <v>1997</v>
      </c>
      <c r="K668" t="s">
        <v>1106</v>
      </c>
      <c r="L668" t="s">
        <v>36</v>
      </c>
      <c r="M668" t="s">
        <v>40</v>
      </c>
      <c r="N668" t="s">
        <v>1667</v>
      </c>
      <c r="O668" t="s">
        <v>36</v>
      </c>
      <c r="P668" t="s">
        <v>39</v>
      </c>
      <c r="Q668" t="s">
        <v>30</v>
      </c>
      <c r="R668">
        <v>124</v>
      </c>
      <c r="S668">
        <v>1</v>
      </c>
      <c r="T668" t="s">
        <v>123</v>
      </c>
      <c r="U668" t="s">
        <v>57</v>
      </c>
      <c r="V668">
        <v>2.52</v>
      </c>
      <c r="W668">
        <v>4.2300000000000004</v>
      </c>
      <c r="X668">
        <v>8.4</v>
      </c>
      <c r="Y668">
        <v>12.9</v>
      </c>
      <c r="Z668">
        <v>10.8</v>
      </c>
    </row>
    <row r="669" spans="1:26" x14ac:dyDescent="0.45">
      <c r="A669" t="s">
        <v>1998</v>
      </c>
      <c r="B669">
        <v>48</v>
      </c>
      <c r="C669" t="s">
        <v>44</v>
      </c>
      <c r="D669" t="s">
        <v>95</v>
      </c>
      <c r="E669" t="s">
        <v>78</v>
      </c>
      <c r="F669" t="s">
        <v>30</v>
      </c>
      <c r="G669" t="s">
        <v>131</v>
      </c>
      <c r="H669" t="s">
        <v>81</v>
      </c>
      <c r="I669" t="s">
        <v>72</v>
      </c>
      <c r="J669" t="s">
        <v>590</v>
      </c>
      <c r="K669" t="s">
        <v>1999</v>
      </c>
      <c r="L669" t="s">
        <v>52</v>
      </c>
      <c r="M669" t="s">
        <v>121</v>
      </c>
      <c r="N669" t="s">
        <v>784</v>
      </c>
      <c r="O669" t="s">
        <v>52</v>
      </c>
      <c r="P669" t="s">
        <v>55</v>
      </c>
      <c r="Q669" t="s">
        <v>129</v>
      </c>
      <c r="R669">
        <v>55</v>
      </c>
      <c r="S669">
        <v>0</v>
      </c>
      <c r="T669" t="s">
        <v>123</v>
      </c>
      <c r="U669" t="s">
        <v>42</v>
      </c>
      <c r="V669">
        <v>2.21</v>
      </c>
      <c r="W669">
        <v>4.7300000000000004</v>
      </c>
      <c r="X669">
        <v>2.1</v>
      </c>
      <c r="Y669">
        <v>22.8</v>
      </c>
      <c r="Z669">
        <v>14.6</v>
      </c>
    </row>
    <row r="670" spans="1:26" x14ac:dyDescent="0.45">
      <c r="A670" t="s">
        <v>2000</v>
      </c>
      <c r="B670">
        <v>19</v>
      </c>
      <c r="C670" t="s">
        <v>27</v>
      </c>
      <c r="D670" t="s">
        <v>45</v>
      </c>
      <c r="E670" t="s">
        <v>78</v>
      </c>
      <c r="F670" t="s">
        <v>88</v>
      </c>
      <c r="G670" t="s">
        <v>96</v>
      </c>
      <c r="H670" t="s">
        <v>61</v>
      </c>
      <c r="I670" t="s">
        <v>49</v>
      </c>
      <c r="J670" t="s">
        <v>2001</v>
      </c>
      <c r="K670" t="s">
        <v>1872</v>
      </c>
      <c r="L670" t="s">
        <v>64</v>
      </c>
      <c r="M670" t="s">
        <v>697</v>
      </c>
      <c r="N670" t="s">
        <v>459</v>
      </c>
      <c r="O670" t="s">
        <v>64</v>
      </c>
      <c r="P670" t="s">
        <v>39</v>
      </c>
      <c r="Q670" t="s">
        <v>30</v>
      </c>
      <c r="R670">
        <v>114</v>
      </c>
      <c r="S670">
        <v>1</v>
      </c>
      <c r="T670" t="s">
        <v>123</v>
      </c>
      <c r="U670" t="s">
        <v>42</v>
      </c>
      <c r="V670">
        <v>3.13</v>
      </c>
      <c r="W670">
        <v>1.1299999999999999</v>
      </c>
      <c r="X670">
        <v>5.3</v>
      </c>
      <c r="Y670">
        <v>13.3</v>
      </c>
      <c r="Z670">
        <v>5.7</v>
      </c>
    </row>
    <row r="671" spans="1:26" x14ac:dyDescent="0.45">
      <c r="A671" t="s">
        <v>2002</v>
      </c>
      <c r="B671">
        <v>28</v>
      </c>
      <c r="C671" t="s">
        <v>27</v>
      </c>
      <c r="D671" t="s">
        <v>45</v>
      </c>
      <c r="E671" t="s">
        <v>163</v>
      </c>
      <c r="F671" t="s">
        <v>30</v>
      </c>
      <c r="G671" t="s">
        <v>89</v>
      </c>
      <c r="H671" t="s">
        <v>71</v>
      </c>
      <c r="I671" t="s">
        <v>33</v>
      </c>
      <c r="J671" t="s">
        <v>990</v>
      </c>
      <c r="K671" t="s">
        <v>248</v>
      </c>
      <c r="L671" t="s">
        <v>64</v>
      </c>
      <c r="M671" t="s">
        <v>226</v>
      </c>
      <c r="N671" t="s">
        <v>452</v>
      </c>
      <c r="O671" t="s">
        <v>64</v>
      </c>
      <c r="P671" t="s">
        <v>39</v>
      </c>
      <c r="Q671" t="s">
        <v>129</v>
      </c>
      <c r="R671">
        <v>148</v>
      </c>
      <c r="S671">
        <v>1</v>
      </c>
      <c r="T671" t="s">
        <v>85</v>
      </c>
      <c r="U671" t="s">
        <v>57</v>
      </c>
      <c r="V671">
        <v>3.63</v>
      </c>
      <c r="W671">
        <v>4.88</v>
      </c>
      <c r="X671">
        <v>6.1</v>
      </c>
      <c r="Y671">
        <v>18.899999999999999</v>
      </c>
      <c r="Z671">
        <v>4.2</v>
      </c>
    </row>
    <row r="672" spans="1:26" x14ac:dyDescent="0.45">
      <c r="A672" t="s">
        <v>2003</v>
      </c>
      <c r="B672">
        <v>38</v>
      </c>
      <c r="C672" t="s">
        <v>45</v>
      </c>
      <c r="D672" t="s">
        <v>45</v>
      </c>
      <c r="E672" t="s">
        <v>163</v>
      </c>
      <c r="F672" t="s">
        <v>79</v>
      </c>
      <c r="G672" t="s">
        <v>276</v>
      </c>
      <c r="H672" t="s">
        <v>61</v>
      </c>
      <c r="I672" t="s">
        <v>33</v>
      </c>
      <c r="J672" t="s">
        <v>1055</v>
      </c>
      <c r="K672" t="s">
        <v>2004</v>
      </c>
      <c r="L672" t="s">
        <v>36</v>
      </c>
      <c r="M672" t="s">
        <v>427</v>
      </c>
      <c r="N672" t="s">
        <v>491</v>
      </c>
      <c r="O672" t="s">
        <v>36</v>
      </c>
      <c r="P672" t="s">
        <v>110</v>
      </c>
      <c r="Q672" t="s">
        <v>40</v>
      </c>
      <c r="R672">
        <v>137</v>
      </c>
      <c r="S672">
        <v>0</v>
      </c>
      <c r="T672" t="s">
        <v>41</v>
      </c>
      <c r="U672" t="s">
        <v>57</v>
      </c>
      <c r="V672">
        <v>2.67</v>
      </c>
      <c r="W672">
        <v>1.47</v>
      </c>
      <c r="X672">
        <v>6.5</v>
      </c>
      <c r="Y672">
        <v>22.9</v>
      </c>
      <c r="Z672">
        <v>14.3</v>
      </c>
    </row>
    <row r="673" spans="1:26" x14ac:dyDescent="0.45">
      <c r="A673" t="s">
        <v>2005</v>
      </c>
      <c r="B673">
        <v>59</v>
      </c>
      <c r="C673" t="s">
        <v>27</v>
      </c>
      <c r="D673" t="s">
        <v>106</v>
      </c>
      <c r="E673" t="s">
        <v>78</v>
      </c>
      <c r="F673" t="s">
        <v>79</v>
      </c>
      <c r="G673" t="s">
        <v>118</v>
      </c>
      <c r="H673" t="s">
        <v>61</v>
      </c>
      <c r="I673" t="s">
        <v>49</v>
      </c>
      <c r="J673" t="s">
        <v>2006</v>
      </c>
      <c r="K673" t="s">
        <v>119</v>
      </c>
      <c r="L673" t="s">
        <v>36</v>
      </c>
      <c r="M673" t="s">
        <v>67</v>
      </c>
      <c r="N673" t="s">
        <v>812</v>
      </c>
      <c r="O673" t="s">
        <v>36</v>
      </c>
      <c r="P673" t="s">
        <v>39</v>
      </c>
      <c r="Q673" t="s">
        <v>30</v>
      </c>
      <c r="R673">
        <v>115</v>
      </c>
      <c r="S673">
        <v>1</v>
      </c>
      <c r="T673" t="s">
        <v>137</v>
      </c>
      <c r="U673" t="s">
        <v>42</v>
      </c>
      <c r="V673">
        <v>1.31</v>
      </c>
      <c r="W673">
        <v>2.42</v>
      </c>
      <c r="X673">
        <v>6</v>
      </c>
      <c r="Y673">
        <v>13.3</v>
      </c>
      <c r="Z673">
        <v>17.2</v>
      </c>
    </row>
    <row r="674" spans="1:26" x14ac:dyDescent="0.45">
      <c r="A674" t="s">
        <v>2007</v>
      </c>
      <c r="B674">
        <v>79</v>
      </c>
      <c r="C674" t="s">
        <v>44</v>
      </c>
      <c r="D674" t="s">
        <v>95</v>
      </c>
      <c r="E674" t="s">
        <v>163</v>
      </c>
      <c r="F674" t="s">
        <v>30</v>
      </c>
      <c r="G674" t="s">
        <v>178</v>
      </c>
      <c r="H674" t="s">
        <v>32</v>
      </c>
      <c r="I674" t="s">
        <v>72</v>
      </c>
      <c r="J674" t="s">
        <v>1872</v>
      </c>
      <c r="K674" t="s">
        <v>444</v>
      </c>
      <c r="L674" t="s">
        <v>52</v>
      </c>
      <c r="M674" t="s">
        <v>121</v>
      </c>
      <c r="N674" t="s">
        <v>776</v>
      </c>
      <c r="O674" t="s">
        <v>52</v>
      </c>
      <c r="P674" t="s">
        <v>39</v>
      </c>
      <c r="Q674" t="s">
        <v>129</v>
      </c>
      <c r="R674">
        <v>94</v>
      </c>
      <c r="S674">
        <v>1</v>
      </c>
      <c r="T674" t="s">
        <v>56</v>
      </c>
      <c r="U674" t="s">
        <v>42</v>
      </c>
      <c r="V674">
        <v>4.26</v>
      </c>
      <c r="W674">
        <v>3.45</v>
      </c>
      <c r="X674">
        <v>4.4000000000000004</v>
      </c>
      <c r="Y674">
        <v>10.6</v>
      </c>
      <c r="Z674">
        <v>4.8</v>
      </c>
    </row>
    <row r="675" spans="1:26" x14ac:dyDescent="0.45">
      <c r="A675" t="s">
        <v>2008</v>
      </c>
      <c r="B675">
        <v>81</v>
      </c>
      <c r="C675" t="s">
        <v>44</v>
      </c>
      <c r="D675" t="s">
        <v>95</v>
      </c>
      <c r="E675" t="s">
        <v>30</v>
      </c>
      <c r="F675" t="s">
        <v>59</v>
      </c>
      <c r="G675" t="s">
        <v>48</v>
      </c>
      <c r="H675" t="s">
        <v>32</v>
      </c>
      <c r="I675" t="s">
        <v>72</v>
      </c>
      <c r="J675" t="s">
        <v>1796</v>
      </c>
      <c r="K675" t="s">
        <v>1797</v>
      </c>
      <c r="L675" t="s">
        <v>92</v>
      </c>
      <c r="M675" t="s">
        <v>53</v>
      </c>
      <c r="N675" t="s">
        <v>459</v>
      </c>
      <c r="O675" t="s">
        <v>92</v>
      </c>
      <c r="P675" t="s">
        <v>39</v>
      </c>
      <c r="Q675" t="s">
        <v>67</v>
      </c>
      <c r="R675">
        <v>161</v>
      </c>
      <c r="S675">
        <v>1</v>
      </c>
      <c r="T675" t="s">
        <v>85</v>
      </c>
      <c r="U675" t="s">
        <v>57</v>
      </c>
      <c r="V675">
        <v>2.42</v>
      </c>
      <c r="W675">
        <v>2.65</v>
      </c>
      <c r="X675">
        <v>7.1</v>
      </c>
      <c r="Y675">
        <v>17.8</v>
      </c>
      <c r="Z675">
        <v>4.2</v>
      </c>
    </row>
    <row r="676" spans="1:26" x14ac:dyDescent="0.45">
      <c r="A676" t="s">
        <v>2009</v>
      </c>
      <c r="B676">
        <v>53</v>
      </c>
      <c r="C676" t="s">
        <v>27</v>
      </c>
      <c r="D676" t="s">
        <v>106</v>
      </c>
      <c r="E676" t="s">
        <v>78</v>
      </c>
      <c r="F676" t="s">
        <v>88</v>
      </c>
      <c r="G676" t="s">
        <v>194</v>
      </c>
      <c r="H676" t="s">
        <v>32</v>
      </c>
      <c r="I676" t="s">
        <v>132</v>
      </c>
      <c r="J676" t="s">
        <v>1282</v>
      </c>
      <c r="K676" t="s">
        <v>917</v>
      </c>
      <c r="L676" t="s">
        <v>52</v>
      </c>
      <c r="M676" t="s">
        <v>67</v>
      </c>
      <c r="N676" t="s">
        <v>1062</v>
      </c>
      <c r="O676" t="s">
        <v>52</v>
      </c>
      <c r="P676" t="s">
        <v>110</v>
      </c>
      <c r="Q676" t="s">
        <v>75</v>
      </c>
      <c r="R676">
        <v>100</v>
      </c>
      <c r="S676">
        <v>0</v>
      </c>
      <c r="T676" t="s">
        <v>85</v>
      </c>
      <c r="U676" t="s">
        <v>57</v>
      </c>
      <c r="V676">
        <v>2.58</v>
      </c>
      <c r="W676">
        <v>1.73</v>
      </c>
      <c r="X676">
        <v>2.4</v>
      </c>
      <c r="Y676">
        <v>20.9</v>
      </c>
      <c r="Z676">
        <v>3.7</v>
      </c>
    </row>
    <row r="677" spans="1:26" x14ac:dyDescent="0.45">
      <c r="A677" t="s">
        <v>2010</v>
      </c>
      <c r="B677">
        <v>85</v>
      </c>
      <c r="C677" t="s">
        <v>45</v>
      </c>
      <c r="D677" t="s">
        <v>45</v>
      </c>
      <c r="E677" t="s">
        <v>29</v>
      </c>
      <c r="F677" t="s">
        <v>88</v>
      </c>
      <c r="G677" t="s">
        <v>440</v>
      </c>
      <c r="H677" t="s">
        <v>32</v>
      </c>
      <c r="I677" t="s">
        <v>33</v>
      </c>
      <c r="J677" t="s">
        <v>728</v>
      </c>
      <c r="K677" t="s">
        <v>2011</v>
      </c>
      <c r="L677" t="s">
        <v>36</v>
      </c>
      <c r="M677" t="s">
        <v>723</v>
      </c>
      <c r="N677" t="s">
        <v>971</v>
      </c>
      <c r="O677" t="s">
        <v>36</v>
      </c>
      <c r="P677" t="s">
        <v>110</v>
      </c>
      <c r="Q677" t="s">
        <v>75</v>
      </c>
      <c r="R677">
        <v>89</v>
      </c>
      <c r="S677">
        <v>0</v>
      </c>
      <c r="T677" t="s">
        <v>137</v>
      </c>
      <c r="U677" t="s">
        <v>42</v>
      </c>
      <c r="V677">
        <v>2.68</v>
      </c>
      <c r="W677">
        <v>1.67</v>
      </c>
      <c r="X677">
        <v>8.9</v>
      </c>
      <c r="Y677">
        <v>16</v>
      </c>
      <c r="Z677">
        <v>6.9</v>
      </c>
    </row>
    <row r="678" spans="1:26" x14ac:dyDescent="0.45">
      <c r="A678" t="s">
        <v>2012</v>
      </c>
      <c r="B678">
        <v>75</v>
      </c>
      <c r="C678" t="s">
        <v>44</v>
      </c>
      <c r="D678" t="s">
        <v>28</v>
      </c>
      <c r="E678" t="s">
        <v>163</v>
      </c>
      <c r="F678" t="s">
        <v>30</v>
      </c>
      <c r="G678" t="s">
        <v>80</v>
      </c>
      <c r="H678" t="s">
        <v>32</v>
      </c>
      <c r="I678" t="s">
        <v>33</v>
      </c>
      <c r="J678" t="s">
        <v>1984</v>
      </c>
      <c r="K678" t="s">
        <v>1652</v>
      </c>
      <c r="L678" t="s">
        <v>92</v>
      </c>
      <c r="M678" t="s">
        <v>40</v>
      </c>
      <c r="N678" t="s">
        <v>852</v>
      </c>
      <c r="O678" t="s">
        <v>92</v>
      </c>
      <c r="P678" t="s">
        <v>55</v>
      </c>
      <c r="Q678" t="s">
        <v>129</v>
      </c>
      <c r="R678">
        <v>140</v>
      </c>
      <c r="S678">
        <v>0</v>
      </c>
      <c r="T678" t="s">
        <v>123</v>
      </c>
      <c r="U678" t="s">
        <v>42</v>
      </c>
      <c r="V678">
        <v>3.01</v>
      </c>
      <c r="W678">
        <v>3.93</v>
      </c>
      <c r="X678">
        <v>9.6</v>
      </c>
      <c r="Y678">
        <v>10</v>
      </c>
      <c r="Z678">
        <v>18.100000000000001</v>
      </c>
    </row>
    <row r="679" spans="1:26" x14ac:dyDescent="0.45">
      <c r="A679" t="s">
        <v>2013</v>
      </c>
      <c r="B679">
        <v>53</v>
      </c>
      <c r="C679" t="s">
        <v>45</v>
      </c>
      <c r="D679" t="s">
        <v>45</v>
      </c>
      <c r="E679" t="s">
        <v>78</v>
      </c>
      <c r="F679" t="s">
        <v>59</v>
      </c>
      <c r="G679" t="s">
        <v>152</v>
      </c>
      <c r="H679" t="s">
        <v>61</v>
      </c>
      <c r="I679" t="s">
        <v>33</v>
      </c>
      <c r="J679" t="s">
        <v>385</v>
      </c>
      <c r="K679" t="s">
        <v>1725</v>
      </c>
      <c r="L679" t="s">
        <v>64</v>
      </c>
      <c r="M679" t="s">
        <v>67</v>
      </c>
      <c r="N679" t="s">
        <v>582</v>
      </c>
      <c r="O679" t="s">
        <v>64</v>
      </c>
      <c r="P679" t="s">
        <v>110</v>
      </c>
      <c r="Q679" t="s">
        <v>30</v>
      </c>
      <c r="R679">
        <v>75</v>
      </c>
      <c r="S679">
        <v>0</v>
      </c>
      <c r="T679" t="s">
        <v>85</v>
      </c>
      <c r="U679" t="s">
        <v>42</v>
      </c>
      <c r="V679">
        <v>4.74</v>
      </c>
      <c r="W679">
        <v>4.67</v>
      </c>
      <c r="X679">
        <v>6.7</v>
      </c>
      <c r="Y679">
        <v>17.3</v>
      </c>
      <c r="Z679">
        <v>9.9</v>
      </c>
    </row>
    <row r="680" spans="1:26" x14ac:dyDescent="0.45">
      <c r="A680" t="s">
        <v>2014</v>
      </c>
      <c r="B680">
        <v>19</v>
      </c>
      <c r="C680" t="s">
        <v>45</v>
      </c>
      <c r="D680" t="s">
        <v>95</v>
      </c>
      <c r="E680" t="s">
        <v>163</v>
      </c>
      <c r="F680" t="s">
        <v>79</v>
      </c>
      <c r="G680" t="s">
        <v>70</v>
      </c>
      <c r="H680" t="s">
        <v>61</v>
      </c>
      <c r="I680" t="s">
        <v>49</v>
      </c>
      <c r="J680" t="s">
        <v>482</v>
      </c>
      <c r="K680" t="s">
        <v>2015</v>
      </c>
      <c r="L680" t="s">
        <v>52</v>
      </c>
      <c r="M680" t="s">
        <v>1547</v>
      </c>
      <c r="N680" t="s">
        <v>1083</v>
      </c>
      <c r="O680" t="s">
        <v>52</v>
      </c>
      <c r="P680" t="s">
        <v>55</v>
      </c>
      <c r="Q680" t="s">
        <v>67</v>
      </c>
      <c r="R680">
        <v>71</v>
      </c>
      <c r="S680">
        <v>0</v>
      </c>
      <c r="T680" t="s">
        <v>137</v>
      </c>
      <c r="U680" t="s">
        <v>42</v>
      </c>
      <c r="V680">
        <v>4.01</v>
      </c>
      <c r="W680">
        <v>3.13</v>
      </c>
      <c r="X680">
        <v>7.1</v>
      </c>
      <c r="Y680">
        <v>13.7</v>
      </c>
      <c r="Z680">
        <v>15.4</v>
      </c>
    </row>
    <row r="681" spans="1:26" x14ac:dyDescent="0.45">
      <c r="A681" t="s">
        <v>2016</v>
      </c>
      <c r="B681">
        <v>54</v>
      </c>
      <c r="C681" t="s">
        <v>44</v>
      </c>
      <c r="D681" t="s">
        <v>45</v>
      </c>
      <c r="E681" t="s">
        <v>29</v>
      </c>
      <c r="F681" t="s">
        <v>30</v>
      </c>
      <c r="G681" t="s">
        <v>125</v>
      </c>
      <c r="H681" t="s">
        <v>71</v>
      </c>
      <c r="I681" t="s">
        <v>49</v>
      </c>
      <c r="J681" t="s">
        <v>2017</v>
      </c>
      <c r="K681" t="s">
        <v>2018</v>
      </c>
      <c r="L681" t="s">
        <v>64</v>
      </c>
      <c r="M681" t="s">
        <v>129</v>
      </c>
      <c r="N681" t="s">
        <v>930</v>
      </c>
      <c r="O681" t="s">
        <v>64</v>
      </c>
      <c r="P681" t="s">
        <v>55</v>
      </c>
      <c r="Q681" t="s">
        <v>30</v>
      </c>
      <c r="R681">
        <v>61</v>
      </c>
      <c r="S681">
        <v>0</v>
      </c>
      <c r="T681" t="s">
        <v>85</v>
      </c>
      <c r="U681" t="s">
        <v>57</v>
      </c>
      <c r="V681">
        <v>4.3</v>
      </c>
      <c r="W681">
        <v>1.59</v>
      </c>
      <c r="X681">
        <v>8.5</v>
      </c>
      <c r="Y681">
        <v>15.7</v>
      </c>
      <c r="Z681">
        <v>17.399999999999999</v>
      </c>
    </row>
    <row r="682" spans="1:26" x14ac:dyDescent="0.45">
      <c r="A682" t="s">
        <v>2019</v>
      </c>
      <c r="B682">
        <v>83</v>
      </c>
      <c r="C682" t="s">
        <v>27</v>
      </c>
      <c r="D682" t="s">
        <v>95</v>
      </c>
      <c r="E682" t="s">
        <v>29</v>
      </c>
      <c r="F682" t="s">
        <v>88</v>
      </c>
      <c r="G682" t="s">
        <v>194</v>
      </c>
      <c r="H682" t="s">
        <v>61</v>
      </c>
      <c r="I682" t="s">
        <v>132</v>
      </c>
      <c r="J682" t="s">
        <v>2020</v>
      </c>
      <c r="K682" t="s">
        <v>539</v>
      </c>
      <c r="L682" t="s">
        <v>64</v>
      </c>
      <c r="M682" t="s">
        <v>446</v>
      </c>
      <c r="N682" t="s">
        <v>1083</v>
      </c>
      <c r="O682" t="s">
        <v>64</v>
      </c>
      <c r="P682" t="s">
        <v>39</v>
      </c>
      <c r="Q682" t="s">
        <v>30</v>
      </c>
      <c r="R682">
        <v>71</v>
      </c>
      <c r="S682">
        <v>1</v>
      </c>
      <c r="T682" t="s">
        <v>85</v>
      </c>
      <c r="U682" t="s">
        <v>42</v>
      </c>
      <c r="V682">
        <v>2.73</v>
      </c>
      <c r="W682">
        <v>2.52</v>
      </c>
      <c r="X682">
        <v>9.1999999999999993</v>
      </c>
      <c r="Y682">
        <v>10.5</v>
      </c>
      <c r="Z682">
        <v>17.399999999999999</v>
      </c>
    </row>
    <row r="683" spans="1:26" x14ac:dyDescent="0.45">
      <c r="A683" t="s">
        <v>2021</v>
      </c>
      <c r="B683">
        <v>79</v>
      </c>
      <c r="C683" t="s">
        <v>45</v>
      </c>
      <c r="D683" t="s">
        <v>28</v>
      </c>
      <c r="E683" t="s">
        <v>163</v>
      </c>
      <c r="F683" t="s">
        <v>47</v>
      </c>
      <c r="G683" t="s">
        <v>48</v>
      </c>
      <c r="H683" t="s">
        <v>61</v>
      </c>
      <c r="I683" t="s">
        <v>33</v>
      </c>
      <c r="J683" t="s">
        <v>1728</v>
      </c>
      <c r="K683" t="s">
        <v>2022</v>
      </c>
      <c r="L683" t="s">
        <v>36</v>
      </c>
      <c r="M683" t="s">
        <v>807</v>
      </c>
      <c r="N683" t="s">
        <v>412</v>
      </c>
      <c r="O683" t="s">
        <v>36</v>
      </c>
      <c r="P683" t="s">
        <v>55</v>
      </c>
      <c r="Q683" t="s">
        <v>75</v>
      </c>
      <c r="R683">
        <v>147</v>
      </c>
      <c r="S683">
        <v>0</v>
      </c>
      <c r="T683" t="s">
        <v>56</v>
      </c>
      <c r="U683" t="s">
        <v>57</v>
      </c>
      <c r="V683">
        <v>2.94</v>
      </c>
      <c r="W683">
        <v>3.06</v>
      </c>
      <c r="X683">
        <v>3.8</v>
      </c>
      <c r="Y683">
        <v>16.3</v>
      </c>
      <c r="Z683">
        <v>8.5</v>
      </c>
    </row>
    <row r="684" spans="1:26" x14ac:dyDescent="0.45">
      <c r="A684" t="s">
        <v>2023</v>
      </c>
      <c r="B684">
        <v>65</v>
      </c>
      <c r="C684" t="s">
        <v>27</v>
      </c>
      <c r="D684" t="s">
        <v>87</v>
      </c>
      <c r="E684" t="s">
        <v>163</v>
      </c>
      <c r="F684" t="s">
        <v>88</v>
      </c>
      <c r="G684" t="s">
        <v>80</v>
      </c>
      <c r="H684" t="s">
        <v>32</v>
      </c>
      <c r="I684" t="s">
        <v>49</v>
      </c>
      <c r="J684" t="s">
        <v>1168</v>
      </c>
      <c r="K684" t="s">
        <v>1882</v>
      </c>
      <c r="L684" t="s">
        <v>92</v>
      </c>
      <c r="M684" t="s">
        <v>187</v>
      </c>
      <c r="N684" t="s">
        <v>227</v>
      </c>
      <c r="O684" t="s">
        <v>92</v>
      </c>
      <c r="P684" t="s">
        <v>39</v>
      </c>
      <c r="Q684" t="s">
        <v>75</v>
      </c>
      <c r="R684">
        <v>163</v>
      </c>
      <c r="S684">
        <v>1</v>
      </c>
      <c r="T684" t="s">
        <v>85</v>
      </c>
      <c r="U684" t="s">
        <v>42</v>
      </c>
      <c r="V684">
        <v>1.1599999999999999</v>
      </c>
      <c r="W684">
        <v>2.09</v>
      </c>
      <c r="X684">
        <v>1.1000000000000001</v>
      </c>
      <c r="Y684">
        <v>23.6</v>
      </c>
      <c r="Z684">
        <v>19.399999999999999</v>
      </c>
    </row>
    <row r="685" spans="1:26" x14ac:dyDescent="0.45">
      <c r="A685" t="s">
        <v>2024</v>
      </c>
      <c r="B685">
        <v>35</v>
      </c>
      <c r="C685" t="s">
        <v>44</v>
      </c>
      <c r="D685" t="s">
        <v>95</v>
      </c>
      <c r="E685" t="s">
        <v>29</v>
      </c>
      <c r="F685" t="s">
        <v>30</v>
      </c>
      <c r="G685" t="s">
        <v>31</v>
      </c>
      <c r="H685" t="s">
        <v>61</v>
      </c>
      <c r="I685" t="s">
        <v>49</v>
      </c>
      <c r="J685" t="s">
        <v>597</v>
      </c>
      <c r="K685" t="s">
        <v>1606</v>
      </c>
      <c r="L685" t="s">
        <v>36</v>
      </c>
      <c r="M685" t="s">
        <v>451</v>
      </c>
      <c r="N685" t="s">
        <v>296</v>
      </c>
      <c r="O685" t="s">
        <v>36</v>
      </c>
      <c r="P685" t="s">
        <v>55</v>
      </c>
      <c r="Q685" t="s">
        <v>67</v>
      </c>
      <c r="R685">
        <v>96</v>
      </c>
      <c r="S685">
        <v>0</v>
      </c>
      <c r="T685" t="s">
        <v>56</v>
      </c>
      <c r="U685" t="s">
        <v>42</v>
      </c>
      <c r="V685">
        <v>2.58</v>
      </c>
      <c r="W685">
        <v>3.91</v>
      </c>
      <c r="X685">
        <v>4.0999999999999996</v>
      </c>
      <c r="Y685">
        <v>18.100000000000001</v>
      </c>
      <c r="Z685">
        <v>16.7</v>
      </c>
    </row>
    <row r="686" spans="1:26" x14ac:dyDescent="0.45">
      <c r="A686" t="s">
        <v>2025</v>
      </c>
      <c r="B686">
        <v>53</v>
      </c>
      <c r="C686" t="s">
        <v>44</v>
      </c>
      <c r="D686" t="s">
        <v>95</v>
      </c>
      <c r="E686" t="s">
        <v>163</v>
      </c>
      <c r="F686" t="s">
        <v>30</v>
      </c>
      <c r="G686" t="s">
        <v>194</v>
      </c>
      <c r="H686" t="s">
        <v>61</v>
      </c>
      <c r="I686" t="s">
        <v>33</v>
      </c>
      <c r="J686" t="s">
        <v>1910</v>
      </c>
      <c r="K686" t="s">
        <v>2026</v>
      </c>
      <c r="L686" t="s">
        <v>92</v>
      </c>
      <c r="M686" t="s">
        <v>30</v>
      </c>
      <c r="N686" t="s">
        <v>222</v>
      </c>
      <c r="O686" t="s">
        <v>92</v>
      </c>
      <c r="P686" t="s">
        <v>39</v>
      </c>
      <c r="Q686" t="s">
        <v>129</v>
      </c>
      <c r="R686">
        <v>65</v>
      </c>
      <c r="S686">
        <v>1</v>
      </c>
      <c r="T686" t="s">
        <v>85</v>
      </c>
      <c r="U686" t="s">
        <v>42</v>
      </c>
      <c r="V686">
        <v>4.79</v>
      </c>
      <c r="W686">
        <v>2.6</v>
      </c>
      <c r="X686">
        <v>8</v>
      </c>
      <c r="Y686">
        <v>10.8</v>
      </c>
      <c r="Z686">
        <v>19.8</v>
      </c>
    </row>
    <row r="687" spans="1:26" x14ac:dyDescent="0.45">
      <c r="A687" t="s">
        <v>2027</v>
      </c>
      <c r="B687">
        <v>64</v>
      </c>
      <c r="C687" t="s">
        <v>27</v>
      </c>
      <c r="D687" t="s">
        <v>87</v>
      </c>
      <c r="E687" t="s">
        <v>30</v>
      </c>
      <c r="F687" t="s">
        <v>30</v>
      </c>
      <c r="G687" t="s">
        <v>31</v>
      </c>
      <c r="H687" t="s">
        <v>61</v>
      </c>
      <c r="I687" t="s">
        <v>72</v>
      </c>
      <c r="J687" t="s">
        <v>1759</v>
      </c>
      <c r="K687" t="s">
        <v>1792</v>
      </c>
      <c r="L687" t="s">
        <v>92</v>
      </c>
      <c r="M687" t="s">
        <v>129</v>
      </c>
      <c r="N687" t="s">
        <v>398</v>
      </c>
      <c r="O687" t="s">
        <v>92</v>
      </c>
      <c r="P687" t="s">
        <v>55</v>
      </c>
      <c r="Q687" t="s">
        <v>75</v>
      </c>
      <c r="R687">
        <v>168</v>
      </c>
      <c r="S687">
        <v>0</v>
      </c>
      <c r="T687" t="s">
        <v>123</v>
      </c>
      <c r="U687" t="s">
        <v>57</v>
      </c>
      <c r="V687">
        <v>1.1000000000000001</v>
      </c>
      <c r="W687">
        <v>3.41</v>
      </c>
      <c r="X687">
        <v>6.9</v>
      </c>
      <c r="Y687">
        <v>18.399999999999999</v>
      </c>
      <c r="Z687">
        <v>5</v>
      </c>
    </row>
    <row r="688" spans="1:26" x14ac:dyDescent="0.45">
      <c r="A688" t="s">
        <v>2028</v>
      </c>
      <c r="B688">
        <v>56</v>
      </c>
      <c r="C688" t="s">
        <v>27</v>
      </c>
      <c r="D688" t="s">
        <v>95</v>
      </c>
      <c r="E688" t="s">
        <v>163</v>
      </c>
      <c r="F688" t="s">
        <v>47</v>
      </c>
      <c r="G688" t="s">
        <v>125</v>
      </c>
      <c r="H688" t="s">
        <v>32</v>
      </c>
      <c r="I688" t="s">
        <v>132</v>
      </c>
      <c r="J688" t="s">
        <v>2029</v>
      </c>
      <c r="K688" t="s">
        <v>2030</v>
      </c>
      <c r="L688" t="s">
        <v>92</v>
      </c>
      <c r="M688" t="s">
        <v>40</v>
      </c>
      <c r="N688" t="s">
        <v>459</v>
      </c>
      <c r="O688" t="s">
        <v>92</v>
      </c>
      <c r="P688" t="s">
        <v>55</v>
      </c>
      <c r="Q688" t="s">
        <v>30</v>
      </c>
      <c r="R688">
        <v>133</v>
      </c>
      <c r="S688">
        <v>0</v>
      </c>
      <c r="T688" t="s">
        <v>85</v>
      </c>
      <c r="U688" t="s">
        <v>42</v>
      </c>
      <c r="V688">
        <v>4.75</v>
      </c>
      <c r="W688">
        <v>1.72</v>
      </c>
      <c r="X688">
        <v>6.6</v>
      </c>
      <c r="Y688">
        <v>10</v>
      </c>
      <c r="Z688">
        <v>8.1999999999999993</v>
      </c>
    </row>
    <row r="689" spans="1:26" x14ac:dyDescent="0.45">
      <c r="A689" t="s">
        <v>2031</v>
      </c>
      <c r="B689">
        <v>51</v>
      </c>
      <c r="C689" t="s">
        <v>27</v>
      </c>
      <c r="D689" t="s">
        <v>45</v>
      </c>
      <c r="E689" t="s">
        <v>29</v>
      </c>
      <c r="F689" t="s">
        <v>30</v>
      </c>
      <c r="G689" t="s">
        <v>60</v>
      </c>
      <c r="H689" t="s">
        <v>61</v>
      </c>
      <c r="I689" t="s">
        <v>132</v>
      </c>
      <c r="J689" t="s">
        <v>373</v>
      </c>
      <c r="K689" t="s">
        <v>2032</v>
      </c>
      <c r="L689" t="s">
        <v>92</v>
      </c>
      <c r="M689" t="s">
        <v>304</v>
      </c>
      <c r="N689" t="s">
        <v>1215</v>
      </c>
      <c r="O689" t="s">
        <v>92</v>
      </c>
      <c r="P689" t="s">
        <v>110</v>
      </c>
      <c r="Q689" t="s">
        <v>67</v>
      </c>
      <c r="R689">
        <v>73</v>
      </c>
      <c r="S689">
        <v>0</v>
      </c>
      <c r="T689" t="s">
        <v>85</v>
      </c>
      <c r="U689" t="s">
        <v>42</v>
      </c>
      <c r="V689">
        <v>3.19</v>
      </c>
      <c r="W689">
        <v>2.67</v>
      </c>
      <c r="X689">
        <v>2.4</v>
      </c>
      <c r="Y689">
        <v>9.1</v>
      </c>
      <c r="Z689">
        <v>10.1</v>
      </c>
    </row>
    <row r="690" spans="1:26" x14ac:dyDescent="0.45">
      <c r="A690" t="s">
        <v>2033</v>
      </c>
      <c r="B690">
        <v>70</v>
      </c>
      <c r="C690" t="s">
        <v>27</v>
      </c>
      <c r="D690" t="s">
        <v>45</v>
      </c>
      <c r="E690" t="s">
        <v>30</v>
      </c>
      <c r="F690" t="s">
        <v>30</v>
      </c>
      <c r="G690" t="s">
        <v>89</v>
      </c>
      <c r="H690" t="s">
        <v>81</v>
      </c>
      <c r="I690" t="s">
        <v>72</v>
      </c>
      <c r="J690" t="s">
        <v>1127</v>
      </c>
      <c r="K690" t="s">
        <v>2034</v>
      </c>
      <c r="L690" t="s">
        <v>36</v>
      </c>
      <c r="M690" t="s">
        <v>75</v>
      </c>
      <c r="N690" t="s">
        <v>198</v>
      </c>
      <c r="O690" t="s">
        <v>36</v>
      </c>
      <c r="P690" t="s">
        <v>55</v>
      </c>
      <c r="Q690" t="s">
        <v>67</v>
      </c>
      <c r="R690">
        <v>133</v>
      </c>
      <c r="S690">
        <v>0</v>
      </c>
      <c r="T690" t="s">
        <v>85</v>
      </c>
      <c r="U690" t="s">
        <v>57</v>
      </c>
      <c r="V690">
        <v>4.03</v>
      </c>
      <c r="W690">
        <v>4.59</v>
      </c>
      <c r="X690">
        <v>1.8</v>
      </c>
      <c r="Y690">
        <v>13.1</v>
      </c>
      <c r="Z690">
        <v>4.7</v>
      </c>
    </row>
    <row r="691" spans="1:26" x14ac:dyDescent="0.45">
      <c r="A691" t="s">
        <v>2035</v>
      </c>
      <c r="B691">
        <v>54</v>
      </c>
      <c r="C691" t="s">
        <v>44</v>
      </c>
      <c r="D691" t="s">
        <v>106</v>
      </c>
      <c r="E691" t="s">
        <v>29</v>
      </c>
      <c r="F691" t="s">
        <v>30</v>
      </c>
      <c r="G691" t="s">
        <v>102</v>
      </c>
      <c r="H691" t="s">
        <v>81</v>
      </c>
      <c r="I691" t="s">
        <v>132</v>
      </c>
      <c r="J691" t="s">
        <v>334</v>
      </c>
      <c r="K691" t="s">
        <v>1368</v>
      </c>
      <c r="L691" t="s">
        <v>36</v>
      </c>
      <c r="M691" t="s">
        <v>1597</v>
      </c>
      <c r="N691" t="s">
        <v>1124</v>
      </c>
      <c r="O691" t="s">
        <v>36</v>
      </c>
      <c r="P691" t="s">
        <v>110</v>
      </c>
      <c r="Q691" t="s">
        <v>67</v>
      </c>
      <c r="R691">
        <v>178</v>
      </c>
      <c r="S691">
        <v>0</v>
      </c>
      <c r="T691" t="s">
        <v>123</v>
      </c>
      <c r="U691" t="s">
        <v>42</v>
      </c>
      <c r="V691">
        <v>1.07</v>
      </c>
      <c r="W691">
        <v>3.65</v>
      </c>
      <c r="X691">
        <v>6.4</v>
      </c>
      <c r="Y691">
        <v>8.9</v>
      </c>
      <c r="Z691">
        <v>7</v>
      </c>
    </row>
    <row r="692" spans="1:26" x14ac:dyDescent="0.45">
      <c r="A692" t="s">
        <v>2036</v>
      </c>
      <c r="B692">
        <v>34</v>
      </c>
      <c r="C692" t="s">
        <v>45</v>
      </c>
      <c r="D692" t="s">
        <v>87</v>
      </c>
      <c r="E692" t="s">
        <v>46</v>
      </c>
      <c r="F692" t="s">
        <v>30</v>
      </c>
      <c r="G692" t="s">
        <v>118</v>
      </c>
      <c r="H692" t="s">
        <v>61</v>
      </c>
      <c r="I692" t="s">
        <v>33</v>
      </c>
      <c r="J692" t="s">
        <v>1146</v>
      </c>
      <c r="K692" t="s">
        <v>2037</v>
      </c>
      <c r="L692" t="s">
        <v>92</v>
      </c>
      <c r="M692" t="s">
        <v>1279</v>
      </c>
      <c r="N692" t="s">
        <v>182</v>
      </c>
      <c r="O692" t="s">
        <v>92</v>
      </c>
      <c r="P692" t="s">
        <v>55</v>
      </c>
      <c r="Q692" t="s">
        <v>129</v>
      </c>
      <c r="R692">
        <v>117</v>
      </c>
      <c r="S692">
        <v>0</v>
      </c>
      <c r="T692" t="s">
        <v>41</v>
      </c>
      <c r="U692" t="s">
        <v>57</v>
      </c>
      <c r="V692">
        <v>1.0900000000000001</v>
      </c>
      <c r="W692">
        <v>4.34</v>
      </c>
      <c r="X692">
        <v>9.8000000000000007</v>
      </c>
      <c r="Y692">
        <v>8.4</v>
      </c>
      <c r="Z692">
        <v>6.9</v>
      </c>
    </row>
    <row r="693" spans="1:26" x14ac:dyDescent="0.45">
      <c r="A693" t="s">
        <v>2038</v>
      </c>
      <c r="B693">
        <v>36</v>
      </c>
      <c r="C693" t="s">
        <v>27</v>
      </c>
      <c r="D693" t="s">
        <v>87</v>
      </c>
      <c r="E693" t="s">
        <v>30</v>
      </c>
      <c r="F693" t="s">
        <v>47</v>
      </c>
      <c r="G693" t="s">
        <v>131</v>
      </c>
      <c r="H693" t="s">
        <v>32</v>
      </c>
      <c r="I693" t="s">
        <v>33</v>
      </c>
      <c r="J693" t="s">
        <v>2039</v>
      </c>
      <c r="K693" t="s">
        <v>2040</v>
      </c>
      <c r="L693" t="s">
        <v>36</v>
      </c>
      <c r="M693" t="s">
        <v>339</v>
      </c>
      <c r="N693" t="s">
        <v>408</v>
      </c>
      <c r="O693" t="s">
        <v>36</v>
      </c>
      <c r="P693" t="s">
        <v>55</v>
      </c>
      <c r="Q693" t="s">
        <v>30</v>
      </c>
      <c r="R693">
        <v>141</v>
      </c>
      <c r="S693">
        <v>0</v>
      </c>
      <c r="T693" t="s">
        <v>123</v>
      </c>
      <c r="U693" t="s">
        <v>57</v>
      </c>
      <c r="V693">
        <v>4.47</v>
      </c>
      <c r="W693">
        <v>4.71</v>
      </c>
      <c r="X693">
        <v>4.8</v>
      </c>
      <c r="Y693">
        <v>6.9</v>
      </c>
      <c r="Z693">
        <v>3.7</v>
      </c>
    </row>
    <row r="694" spans="1:26" x14ac:dyDescent="0.45">
      <c r="A694" t="s">
        <v>2041</v>
      </c>
      <c r="B694">
        <v>18</v>
      </c>
      <c r="C694" t="s">
        <v>44</v>
      </c>
      <c r="D694" t="s">
        <v>95</v>
      </c>
      <c r="E694" t="s">
        <v>46</v>
      </c>
      <c r="F694" t="s">
        <v>88</v>
      </c>
      <c r="G694" t="s">
        <v>440</v>
      </c>
      <c r="H694" t="s">
        <v>32</v>
      </c>
      <c r="I694" t="s">
        <v>72</v>
      </c>
      <c r="J694" t="s">
        <v>165</v>
      </c>
      <c r="K694" t="s">
        <v>166</v>
      </c>
      <c r="L694" t="s">
        <v>64</v>
      </c>
      <c r="M694" t="s">
        <v>469</v>
      </c>
      <c r="N694" t="s">
        <v>571</v>
      </c>
      <c r="O694" t="s">
        <v>64</v>
      </c>
      <c r="P694" t="s">
        <v>39</v>
      </c>
      <c r="Q694" t="s">
        <v>40</v>
      </c>
      <c r="R694">
        <v>165</v>
      </c>
      <c r="S694">
        <v>1</v>
      </c>
      <c r="T694" t="s">
        <v>123</v>
      </c>
      <c r="U694" t="s">
        <v>57</v>
      </c>
      <c r="V694">
        <v>3.3</v>
      </c>
      <c r="W694">
        <v>2.57</v>
      </c>
      <c r="X694">
        <v>1.3</v>
      </c>
      <c r="Y694">
        <v>16.5</v>
      </c>
      <c r="Z694">
        <v>3.2</v>
      </c>
    </row>
    <row r="695" spans="1:26" x14ac:dyDescent="0.45">
      <c r="A695" t="s">
        <v>2042</v>
      </c>
      <c r="B695">
        <v>62</v>
      </c>
      <c r="C695" t="s">
        <v>44</v>
      </c>
      <c r="D695" t="s">
        <v>106</v>
      </c>
      <c r="E695" t="s">
        <v>78</v>
      </c>
      <c r="F695" t="s">
        <v>59</v>
      </c>
      <c r="G695" t="s">
        <v>70</v>
      </c>
      <c r="H695" t="s">
        <v>81</v>
      </c>
      <c r="I695" t="s">
        <v>132</v>
      </c>
      <c r="J695" t="s">
        <v>2043</v>
      </c>
      <c r="K695" t="s">
        <v>1570</v>
      </c>
      <c r="L695" t="s">
        <v>52</v>
      </c>
      <c r="M695" t="s">
        <v>67</v>
      </c>
      <c r="N695" t="s">
        <v>122</v>
      </c>
      <c r="O695" t="s">
        <v>52</v>
      </c>
      <c r="P695" t="s">
        <v>55</v>
      </c>
      <c r="Q695" t="s">
        <v>40</v>
      </c>
      <c r="R695">
        <v>86</v>
      </c>
      <c r="S695">
        <v>0</v>
      </c>
      <c r="T695" t="s">
        <v>85</v>
      </c>
      <c r="U695" t="s">
        <v>42</v>
      </c>
      <c r="V695">
        <v>4.1500000000000004</v>
      </c>
      <c r="W695">
        <v>2.23</v>
      </c>
      <c r="X695">
        <v>1.4</v>
      </c>
      <c r="Y695">
        <v>16.600000000000001</v>
      </c>
      <c r="Z695">
        <v>9.8000000000000007</v>
      </c>
    </row>
    <row r="696" spans="1:26" x14ac:dyDescent="0.45">
      <c r="A696" t="s">
        <v>2044</v>
      </c>
      <c r="B696">
        <v>32</v>
      </c>
      <c r="C696" t="s">
        <v>44</v>
      </c>
      <c r="D696" t="s">
        <v>28</v>
      </c>
      <c r="E696" t="s">
        <v>29</v>
      </c>
      <c r="F696" t="s">
        <v>88</v>
      </c>
      <c r="G696" t="s">
        <v>184</v>
      </c>
      <c r="H696" t="s">
        <v>32</v>
      </c>
      <c r="I696" t="s">
        <v>33</v>
      </c>
      <c r="J696" t="s">
        <v>2045</v>
      </c>
      <c r="K696" t="s">
        <v>914</v>
      </c>
      <c r="L696" t="s">
        <v>52</v>
      </c>
      <c r="M696" t="s">
        <v>53</v>
      </c>
      <c r="N696" t="s">
        <v>168</v>
      </c>
      <c r="O696" t="s">
        <v>52</v>
      </c>
      <c r="P696" t="s">
        <v>110</v>
      </c>
      <c r="Q696" t="s">
        <v>75</v>
      </c>
      <c r="R696">
        <v>177</v>
      </c>
      <c r="S696">
        <v>0</v>
      </c>
      <c r="T696" t="s">
        <v>85</v>
      </c>
      <c r="U696" t="s">
        <v>42</v>
      </c>
      <c r="V696">
        <v>4.9000000000000004</v>
      </c>
      <c r="W696">
        <v>3.18</v>
      </c>
      <c r="X696">
        <v>3.5</v>
      </c>
      <c r="Y696">
        <v>18.8</v>
      </c>
      <c r="Z696">
        <v>7.6</v>
      </c>
    </row>
    <row r="697" spans="1:26" x14ac:dyDescent="0.45">
      <c r="A697" t="s">
        <v>2046</v>
      </c>
      <c r="B697">
        <v>81</v>
      </c>
      <c r="C697" t="s">
        <v>45</v>
      </c>
      <c r="D697" t="s">
        <v>87</v>
      </c>
      <c r="E697" t="s">
        <v>46</v>
      </c>
      <c r="F697" t="s">
        <v>30</v>
      </c>
      <c r="G697" t="s">
        <v>31</v>
      </c>
      <c r="H697" t="s">
        <v>81</v>
      </c>
      <c r="I697" t="s">
        <v>132</v>
      </c>
      <c r="J697" t="s">
        <v>2047</v>
      </c>
      <c r="K697" t="s">
        <v>600</v>
      </c>
      <c r="L697" t="s">
        <v>92</v>
      </c>
      <c r="M697" t="s">
        <v>115</v>
      </c>
      <c r="N697" t="s">
        <v>156</v>
      </c>
      <c r="O697" t="s">
        <v>92</v>
      </c>
      <c r="P697" t="s">
        <v>55</v>
      </c>
      <c r="Q697" t="s">
        <v>75</v>
      </c>
      <c r="R697">
        <v>81</v>
      </c>
      <c r="S697">
        <v>0</v>
      </c>
      <c r="T697" t="s">
        <v>56</v>
      </c>
      <c r="U697" t="s">
        <v>57</v>
      </c>
      <c r="V697">
        <v>4.62</v>
      </c>
      <c r="W697">
        <v>2.5</v>
      </c>
      <c r="X697">
        <v>5.9</v>
      </c>
      <c r="Y697">
        <v>6.9</v>
      </c>
      <c r="Z697">
        <v>10.199999999999999</v>
      </c>
    </row>
    <row r="698" spans="1:26" x14ac:dyDescent="0.45">
      <c r="A698" t="s">
        <v>2048</v>
      </c>
      <c r="B698">
        <v>30</v>
      </c>
      <c r="C698" t="s">
        <v>44</v>
      </c>
      <c r="D698" t="s">
        <v>95</v>
      </c>
      <c r="E698" t="s">
        <v>29</v>
      </c>
      <c r="F698" t="s">
        <v>79</v>
      </c>
      <c r="G698" t="s">
        <v>31</v>
      </c>
      <c r="H698" t="s">
        <v>61</v>
      </c>
      <c r="I698" t="s">
        <v>132</v>
      </c>
      <c r="J698" t="s">
        <v>2049</v>
      </c>
      <c r="K698" t="s">
        <v>257</v>
      </c>
      <c r="L698" t="s">
        <v>64</v>
      </c>
      <c r="M698" t="s">
        <v>469</v>
      </c>
      <c r="N698" t="s">
        <v>578</v>
      </c>
      <c r="O698" t="s">
        <v>64</v>
      </c>
      <c r="P698" t="s">
        <v>39</v>
      </c>
      <c r="Q698" t="s">
        <v>129</v>
      </c>
      <c r="R698">
        <v>56</v>
      </c>
      <c r="S698">
        <v>1</v>
      </c>
      <c r="T698" t="s">
        <v>85</v>
      </c>
      <c r="U698" t="s">
        <v>42</v>
      </c>
      <c r="V698">
        <v>4.33</v>
      </c>
      <c r="W698">
        <v>4.22</v>
      </c>
      <c r="X698">
        <v>3</v>
      </c>
      <c r="Y698">
        <v>10.1</v>
      </c>
      <c r="Z698">
        <v>16.899999999999999</v>
      </c>
    </row>
    <row r="699" spans="1:26" x14ac:dyDescent="0.45">
      <c r="A699" t="s">
        <v>2050</v>
      </c>
      <c r="B699">
        <v>47</v>
      </c>
      <c r="C699" t="s">
        <v>44</v>
      </c>
      <c r="D699" t="s">
        <v>87</v>
      </c>
      <c r="E699" t="s">
        <v>46</v>
      </c>
      <c r="F699" t="s">
        <v>69</v>
      </c>
      <c r="G699" t="s">
        <v>125</v>
      </c>
      <c r="H699" t="s">
        <v>61</v>
      </c>
      <c r="I699" t="s">
        <v>33</v>
      </c>
      <c r="J699" t="s">
        <v>2051</v>
      </c>
      <c r="K699" t="s">
        <v>2052</v>
      </c>
      <c r="L699" t="s">
        <v>52</v>
      </c>
      <c r="M699" t="s">
        <v>451</v>
      </c>
      <c r="N699" t="s">
        <v>818</v>
      </c>
      <c r="O699" t="s">
        <v>52</v>
      </c>
      <c r="P699" t="s">
        <v>39</v>
      </c>
      <c r="Q699" t="s">
        <v>75</v>
      </c>
      <c r="R699">
        <v>134</v>
      </c>
      <c r="S699">
        <v>1</v>
      </c>
      <c r="T699" t="s">
        <v>123</v>
      </c>
      <c r="U699" t="s">
        <v>57</v>
      </c>
      <c r="V699">
        <v>4.72</v>
      </c>
      <c r="W699">
        <v>1.38</v>
      </c>
      <c r="X699">
        <v>5.0999999999999996</v>
      </c>
      <c r="Y699">
        <v>12.1</v>
      </c>
      <c r="Z699">
        <v>17.8</v>
      </c>
    </row>
    <row r="700" spans="1:26" x14ac:dyDescent="0.45">
      <c r="A700" t="s">
        <v>2053</v>
      </c>
      <c r="B700">
        <v>75</v>
      </c>
      <c r="C700" t="s">
        <v>27</v>
      </c>
      <c r="D700" t="s">
        <v>87</v>
      </c>
      <c r="E700" t="s">
        <v>30</v>
      </c>
      <c r="F700" t="s">
        <v>30</v>
      </c>
      <c r="G700" t="s">
        <v>152</v>
      </c>
      <c r="H700" t="s">
        <v>61</v>
      </c>
      <c r="I700" t="s">
        <v>49</v>
      </c>
      <c r="J700" t="s">
        <v>2054</v>
      </c>
      <c r="K700" t="s">
        <v>214</v>
      </c>
      <c r="L700" t="s">
        <v>52</v>
      </c>
      <c r="M700" t="s">
        <v>40</v>
      </c>
      <c r="N700" t="s">
        <v>447</v>
      </c>
      <c r="O700" t="s">
        <v>52</v>
      </c>
      <c r="P700" t="s">
        <v>55</v>
      </c>
      <c r="Q700" t="s">
        <v>75</v>
      </c>
      <c r="R700">
        <v>72</v>
      </c>
      <c r="S700">
        <v>0</v>
      </c>
      <c r="T700" t="s">
        <v>123</v>
      </c>
      <c r="U700" t="s">
        <v>57</v>
      </c>
      <c r="V700">
        <v>1.33</v>
      </c>
      <c r="W700">
        <v>1.84</v>
      </c>
      <c r="X700">
        <v>7.8</v>
      </c>
      <c r="Y700">
        <v>6.9</v>
      </c>
      <c r="Z700">
        <v>11.4</v>
      </c>
    </row>
    <row r="701" spans="1:26" x14ac:dyDescent="0.45">
      <c r="A701" t="s">
        <v>2055</v>
      </c>
      <c r="B701">
        <v>45</v>
      </c>
      <c r="C701" t="s">
        <v>44</v>
      </c>
      <c r="D701" t="s">
        <v>28</v>
      </c>
      <c r="E701" t="s">
        <v>163</v>
      </c>
      <c r="F701" t="s">
        <v>69</v>
      </c>
      <c r="G701" t="s">
        <v>60</v>
      </c>
      <c r="H701" t="s">
        <v>32</v>
      </c>
      <c r="I701" t="s">
        <v>49</v>
      </c>
      <c r="J701" t="s">
        <v>790</v>
      </c>
      <c r="K701" t="s">
        <v>2056</v>
      </c>
      <c r="L701" t="s">
        <v>36</v>
      </c>
      <c r="M701" t="s">
        <v>1279</v>
      </c>
      <c r="N701" t="s">
        <v>212</v>
      </c>
      <c r="O701" t="s">
        <v>36</v>
      </c>
      <c r="P701" t="s">
        <v>110</v>
      </c>
      <c r="Q701" t="s">
        <v>75</v>
      </c>
      <c r="R701">
        <v>35</v>
      </c>
      <c r="S701">
        <v>0</v>
      </c>
      <c r="T701" t="s">
        <v>137</v>
      </c>
      <c r="U701" t="s">
        <v>42</v>
      </c>
      <c r="V701">
        <v>2.77</v>
      </c>
      <c r="W701">
        <v>2.34</v>
      </c>
      <c r="X701">
        <v>4.5999999999999996</v>
      </c>
      <c r="Y701">
        <v>15.5</v>
      </c>
      <c r="Z701">
        <v>5.7</v>
      </c>
    </row>
    <row r="702" spans="1:26" x14ac:dyDescent="0.45">
      <c r="A702" t="s">
        <v>2057</v>
      </c>
      <c r="B702">
        <v>40</v>
      </c>
      <c r="C702" t="s">
        <v>27</v>
      </c>
      <c r="D702" t="s">
        <v>106</v>
      </c>
      <c r="E702" t="s">
        <v>163</v>
      </c>
      <c r="F702" t="s">
        <v>30</v>
      </c>
      <c r="G702" t="s">
        <v>89</v>
      </c>
      <c r="H702" t="s">
        <v>71</v>
      </c>
      <c r="I702" t="s">
        <v>72</v>
      </c>
      <c r="J702" t="s">
        <v>1618</v>
      </c>
      <c r="K702" t="s">
        <v>1395</v>
      </c>
      <c r="L702" t="s">
        <v>36</v>
      </c>
      <c r="M702" t="s">
        <v>75</v>
      </c>
      <c r="N702" t="s">
        <v>227</v>
      </c>
      <c r="O702" t="s">
        <v>36</v>
      </c>
      <c r="P702" t="s">
        <v>39</v>
      </c>
      <c r="Q702" t="s">
        <v>129</v>
      </c>
      <c r="R702">
        <v>82</v>
      </c>
      <c r="S702">
        <v>1</v>
      </c>
      <c r="T702" t="s">
        <v>137</v>
      </c>
      <c r="U702" t="s">
        <v>57</v>
      </c>
      <c r="V702">
        <v>3.29</v>
      </c>
      <c r="W702">
        <v>4.22</v>
      </c>
      <c r="X702">
        <v>7.8</v>
      </c>
      <c r="Y702">
        <v>8.8000000000000007</v>
      </c>
      <c r="Z702">
        <v>5.5</v>
      </c>
    </row>
    <row r="703" spans="1:26" x14ac:dyDescent="0.45">
      <c r="A703" t="s">
        <v>2058</v>
      </c>
      <c r="B703">
        <v>73</v>
      </c>
      <c r="C703" t="s">
        <v>27</v>
      </c>
      <c r="D703" t="s">
        <v>87</v>
      </c>
      <c r="E703" t="s">
        <v>46</v>
      </c>
      <c r="F703" t="s">
        <v>88</v>
      </c>
      <c r="G703" t="s">
        <v>112</v>
      </c>
      <c r="H703" t="s">
        <v>32</v>
      </c>
      <c r="I703" t="s">
        <v>49</v>
      </c>
      <c r="J703" t="s">
        <v>1993</v>
      </c>
      <c r="K703" t="s">
        <v>2059</v>
      </c>
      <c r="L703" t="s">
        <v>92</v>
      </c>
      <c r="M703" t="s">
        <v>67</v>
      </c>
      <c r="N703" t="s">
        <v>335</v>
      </c>
      <c r="O703" t="s">
        <v>92</v>
      </c>
      <c r="P703" t="s">
        <v>39</v>
      </c>
      <c r="Q703" t="s">
        <v>67</v>
      </c>
      <c r="R703">
        <v>136</v>
      </c>
      <c r="S703">
        <v>1</v>
      </c>
      <c r="T703" t="s">
        <v>123</v>
      </c>
      <c r="U703" t="s">
        <v>57</v>
      </c>
      <c r="V703">
        <v>2.0699999999999998</v>
      </c>
      <c r="W703">
        <v>2.44</v>
      </c>
      <c r="X703">
        <v>4.7</v>
      </c>
      <c r="Y703">
        <v>18.2</v>
      </c>
      <c r="Z703">
        <v>4</v>
      </c>
    </row>
    <row r="704" spans="1:26" x14ac:dyDescent="0.45">
      <c r="A704" t="s">
        <v>2060</v>
      </c>
      <c r="B704">
        <v>47</v>
      </c>
      <c r="C704" t="s">
        <v>45</v>
      </c>
      <c r="D704" t="s">
        <v>106</v>
      </c>
      <c r="E704" t="s">
        <v>30</v>
      </c>
      <c r="F704" t="s">
        <v>30</v>
      </c>
      <c r="G704" t="s">
        <v>178</v>
      </c>
      <c r="H704" t="s">
        <v>32</v>
      </c>
      <c r="I704" t="s">
        <v>33</v>
      </c>
      <c r="J704" t="s">
        <v>779</v>
      </c>
      <c r="K704" t="s">
        <v>493</v>
      </c>
      <c r="L704" t="s">
        <v>52</v>
      </c>
      <c r="M704" t="s">
        <v>1291</v>
      </c>
      <c r="N704" t="s">
        <v>484</v>
      </c>
      <c r="O704" t="s">
        <v>52</v>
      </c>
      <c r="P704" t="s">
        <v>55</v>
      </c>
      <c r="Q704" t="s">
        <v>30</v>
      </c>
      <c r="R704">
        <v>110</v>
      </c>
      <c r="S704">
        <v>0</v>
      </c>
      <c r="T704" t="s">
        <v>137</v>
      </c>
      <c r="U704" t="s">
        <v>42</v>
      </c>
      <c r="V704">
        <v>1.1399999999999999</v>
      </c>
      <c r="W704">
        <v>2.57</v>
      </c>
      <c r="X704">
        <v>7.3</v>
      </c>
      <c r="Y704">
        <v>9.5</v>
      </c>
      <c r="Z704">
        <v>13.9</v>
      </c>
    </row>
    <row r="705" spans="1:26" x14ac:dyDescent="0.45">
      <c r="A705" t="s">
        <v>2061</v>
      </c>
      <c r="B705">
        <v>20</v>
      </c>
      <c r="C705" t="s">
        <v>27</v>
      </c>
      <c r="D705" t="s">
        <v>95</v>
      </c>
      <c r="E705" t="s">
        <v>30</v>
      </c>
      <c r="F705" t="s">
        <v>69</v>
      </c>
      <c r="G705" t="s">
        <v>440</v>
      </c>
      <c r="H705" t="s">
        <v>61</v>
      </c>
      <c r="I705" t="s">
        <v>49</v>
      </c>
      <c r="J705" t="s">
        <v>1344</v>
      </c>
      <c r="K705" t="s">
        <v>2062</v>
      </c>
      <c r="L705" t="s">
        <v>92</v>
      </c>
      <c r="M705" t="s">
        <v>357</v>
      </c>
      <c r="N705" t="s">
        <v>788</v>
      </c>
      <c r="O705" t="s">
        <v>92</v>
      </c>
      <c r="P705" t="s">
        <v>110</v>
      </c>
      <c r="Q705" t="s">
        <v>67</v>
      </c>
      <c r="R705">
        <v>43</v>
      </c>
      <c r="S705">
        <v>0</v>
      </c>
      <c r="T705" t="s">
        <v>85</v>
      </c>
      <c r="U705" t="s">
        <v>42</v>
      </c>
      <c r="V705">
        <v>2.04</v>
      </c>
      <c r="W705">
        <v>4.54</v>
      </c>
      <c r="X705">
        <v>9.1</v>
      </c>
      <c r="Y705">
        <v>11.4</v>
      </c>
      <c r="Z705">
        <v>6.9</v>
      </c>
    </row>
    <row r="706" spans="1:26" x14ac:dyDescent="0.45">
      <c r="A706" t="s">
        <v>2063</v>
      </c>
      <c r="B706">
        <v>47</v>
      </c>
      <c r="C706" t="s">
        <v>27</v>
      </c>
      <c r="D706" t="s">
        <v>106</v>
      </c>
      <c r="E706" t="s">
        <v>163</v>
      </c>
      <c r="F706" t="s">
        <v>30</v>
      </c>
      <c r="G706" t="s">
        <v>152</v>
      </c>
      <c r="H706" t="s">
        <v>61</v>
      </c>
      <c r="I706" t="s">
        <v>72</v>
      </c>
      <c r="J706" t="s">
        <v>2064</v>
      </c>
      <c r="K706" t="s">
        <v>2065</v>
      </c>
      <c r="L706" t="s">
        <v>92</v>
      </c>
      <c r="M706" t="s">
        <v>427</v>
      </c>
      <c r="N706" t="s">
        <v>1836</v>
      </c>
      <c r="O706" t="s">
        <v>92</v>
      </c>
      <c r="P706" t="s">
        <v>39</v>
      </c>
      <c r="Q706" t="s">
        <v>67</v>
      </c>
      <c r="R706">
        <v>41</v>
      </c>
      <c r="S706">
        <v>1</v>
      </c>
      <c r="T706" t="s">
        <v>56</v>
      </c>
      <c r="U706" t="s">
        <v>57</v>
      </c>
      <c r="V706">
        <v>2.65</v>
      </c>
      <c r="W706">
        <v>1.96</v>
      </c>
      <c r="X706">
        <v>7.1</v>
      </c>
      <c r="Y706">
        <v>20.9</v>
      </c>
      <c r="Z706">
        <v>14.4</v>
      </c>
    </row>
    <row r="707" spans="1:26" x14ac:dyDescent="0.45">
      <c r="A707" t="s">
        <v>2066</v>
      </c>
      <c r="B707">
        <v>44</v>
      </c>
      <c r="C707" t="s">
        <v>27</v>
      </c>
      <c r="D707" t="s">
        <v>106</v>
      </c>
      <c r="E707" t="s">
        <v>163</v>
      </c>
      <c r="F707" t="s">
        <v>30</v>
      </c>
      <c r="G707" t="s">
        <v>152</v>
      </c>
      <c r="H707" t="s">
        <v>81</v>
      </c>
      <c r="I707" t="s">
        <v>49</v>
      </c>
      <c r="J707" t="s">
        <v>475</v>
      </c>
      <c r="K707" t="s">
        <v>2067</v>
      </c>
      <c r="L707" t="s">
        <v>92</v>
      </c>
      <c r="M707" t="s">
        <v>431</v>
      </c>
      <c r="N707" t="s">
        <v>654</v>
      </c>
      <c r="O707" t="s">
        <v>92</v>
      </c>
      <c r="P707" t="s">
        <v>55</v>
      </c>
      <c r="Q707" t="s">
        <v>30</v>
      </c>
      <c r="R707">
        <v>37</v>
      </c>
      <c r="S707">
        <v>0</v>
      </c>
      <c r="T707" t="s">
        <v>123</v>
      </c>
      <c r="U707" t="s">
        <v>42</v>
      </c>
      <c r="V707">
        <v>4.3</v>
      </c>
      <c r="W707">
        <v>2.59</v>
      </c>
      <c r="X707">
        <v>2.4</v>
      </c>
      <c r="Y707">
        <v>19.3</v>
      </c>
      <c r="Z707">
        <v>9.1</v>
      </c>
    </row>
    <row r="708" spans="1:26" x14ac:dyDescent="0.45">
      <c r="A708" t="s">
        <v>2068</v>
      </c>
      <c r="B708">
        <v>21</v>
      </c>
      <c r="C708" t="s">
        <v>45</v>
      </c>
      <c r="D708" t="s">
        <v>87</v>
      </c>
      <c r="E708" t="s">
        <v>163</v>
      </c>
      <c r="F708" t="s">
        <v>79</v>
      </c>
      <c r="G708" t="s">
        <v>80</v>
      </c>
      <c r="H708" t="s">
        <v>61</v>
      </c>
      <c r="I708" t="s">
        <v>49</v>
      </c>
      <c r="J708" t="s">
        <v>2069</v>
      </c>
      <c r="K708" t="s">
        <v>2070</v>
      </c>
      <c r="L708" t="s">
        <v>36</v>
      </c>
      <c r="M708" t="s">
        <v>348</v>
      </c>
      <c r="N708" t="s">
        <v>2071</v>
      </c>
      <c r="O708" t="s">
        <v>36</v>
      </c>
      <c r="P708" t="s">
        <v>110</v>
      </c>
      <c r="Q708" t="s">
        <v>129</v>
      </c>
      <c r="R708">
        <v>68</v>
      </c>
      <c r="S708">
        <v>0</v>
      </c>
      <c r="T708" t="s">
        <v>137</v>
      </c>
      <c r="U708" t="s">
        <v>57</v>
      </c>
      <c r="V708">
        <v>3.69</v>
      </c>
      <c r="W708">
        <v>2.08</v>
      </c>
      <c r="X708">
        <v>1.7</v>
      </c>
      <c r="Y708">
        <v>23.9</v>
      </c>
      <c r="Z708">
        <v>5.7</v>
      </c>
    </row>
    <row r="709" spans="1:26" x14ac:dyDescent="0.45">
      <c r="A709" t="s">
        <v>2072</v>
      </c>
      <c r="B709">
        <v>66</v>
      </c>
      <c r="C709" t="s">
        <v>45</v>
      </c>
      <c r="D709" t="s">
        <v>87</v>
      </c>
      <c r="E709" t="s">
        <v>29</v>
      </c>
      <c r="F709" t="s">
        <v>30</v>
      </c>
      <c r="G709" t="s">
        <v>276</v>
      </c>
      <c r="H709" t="s">
        <v>32</v>
      </c>
      <c r="I709" t="s">
        <v>72</v>
      </c>
      <c r="J709" t="s">
        <v>2073</v>
      </c>
      <c r="K709" t="s">
        <v>1332</v>
      </c>
      <c r="L709" t="s">
        <v>36</v>
      </c>
      <c r="M709" t="s">
        <v>187</v>
      </c>
      <c r="N709" t="s">
        <v>116</v>
      </c>
      <c r="O709" t="s">
        <v>36</v>
      </c>
      <c r="P709" t="s">
        <v>39</v>
      </c>
      <c r="Q709" t="s">
        <v>30</v>
      </c>
      <c r="R709">
        <v>158</v>
      </c>
      <c r="S709">
        <v>1</v>
      </c>
      <c r="T709" t="s">
        <v>85</v>
      </c>
      <c r="U709" t="s">
        <v>42</v>
      </c>
      <c r="V709">
        <v>4.95</v>
      </c>
      <c r="W709">
        <v>4.91</v>
      </c>
      <c r="X709">
        <v>8.1</v>
      </c>
      <c r="Y709">
        <v>17.899999999999999</v>
      </c>
      <c r="Z709">
        <v>12.8</v>
      </c>
    </row>
    <row r="710" spans="1:26" x14ac:dyDescent="0.45">
      <c r="A710" t="s">
        <v>2074</v>
      </c>
      <c r="B710">
        <v>58</v>
      </c>
      <c r="C710" t="s">
        <v>44</v>
      </c>
      <c r="D710" t="s">
        <v>95</v>
      </c>
      <c r="E710" t="s">
        <v>163</v>
      </c>
      <c r="F710" t="s">
        <v>30</v>
      </c>
      <c r="G710" t="s">
        <v>440</v>
      </c>
      <c r="H710" t="s">
        <v>61</v>
      </c>
      <c r="I710" t="s">
        <v>49</v>
      </c>
      <c r="J710" t="s">
        <v>1003</v>
      </c>
      <c r="K710" t="s">
        <v>2075</v>
      </c>
      <c r="L710" t="s">
        <v>64</v>
      </c>
      <c r="M710" t="s">
        <v>40</v>
      </c>
      <c r="N710" t="s">
        <v>291</v>
      </c>
      <c r="O710" t="s">
        <v>64</v>
      </c>
      <c r="P710" t="s">
        <v>110</v>
      </c>
      <c r="Q710" t="s">
        <v>30</v>
      </c>
      <c r="R710">
        <v>52</v>
      </c>
      <c r="S710">
        <v>0</v>
      </c>
      <c r="T710" t="s">
        <v>137</v>
      </c>
      <c r="U710" t="s">
        <v>57</v>
      </c>
      <c r="V710">
        <v>4.46</v>
      </c>
      <c r="W710">
        <v>2.16</v>
      </c>
      <c r="X710">
        <v>5.2</v>
      </c>
      <c r="Y710">
        <v>17.100000000000001</v>
      </c>
      <c r="Z710">
        <v>10</v>
      </c>
    </row>
    <row r="711" spans="1:26" x14ac:dyDescent="0.45">
      <c r="A711" t="s">
        <v>2076</v>
      </c>
      <c r="B711">
        <v>85</v>
      </c>
      <c r="C711" t="s">
        <v>27</v>
      </c>
      <c r="D711" t="s">
        <v>95</v>
      </c>
      <c r="E711" t="s">
        <v>78</v>
      </c>
      <c r="F711" t="s">
        <v>30</v>
      </c>
      <c r="G711" t="s">
        <v>60</v>
      </c>
      <c r="H711" t="s">
        <v>81</v>
      </c>
      <c r="I711" t="s">
        <v>72</v>
      </c>
      <c r="J711" t="s">
        <v>1570</v>
      </c>
      <c r="K711" t="s">
        <v>2077</v>
      </c>
      <c r="L711" t="s">
        <v>64</v>
      </c>
      <c r="M711" t="s">
        <v>65</v>
      </c>
      <c r="N711" t="s">
        <v>958</v>
      </c>
      <c r="O711" t="s">
        <v>64</v>
      </c>
      <c r="P711" t="s">
        <v>110</v>
      </c>
      <c r="Q711" t="s">
        <v>40</v>
      </c>
      <c r="R711">
        <v>40</v>
      </c>
      <c r="S711">
        <v>0</v>
      </c>
      <c r="T711" t="s">
        <v>85</v>
      </c>
      <c r="U711" t="s">
        <v>42</v>
      </c>
      <c r="V711">
        <v>2.71</v>
      </c>
      <c r="W711">
        <v>2.3199999999999998</v>
      </c>
      <c r="X711">
        <v>6.1</v>
      </c>
      <c r="Y711">
        <v>21.3</v>
      </c>
      <c r="Z711">
        <v>6.4</v>
      </c>
    </row>
    <row r="712" spans="1:26" x14ac:dyDescent="0.45">
      <c r="A712" t="s">
        <v>2078</v>
      </c>
      <c r="B712">
        <v>78</v>
      </c>
      <c r="C712" t="s">
        <v>27</v>
      </c>
      <c r="D712" t="s">
        <v>95</v>
      </c>
      <c r="E712" t="s">
        <v>46</v>
      </c>
      <c r="F712" t="s">
        <v>69</v>
      </c>
      <c r="G712" t="s">
        <v>152</v>
      </c>
      <c r="H712" t="s">
        <v>81</v>
      </c>
      <c r="I712" t="s">
        <v>132</v>
      </c>
      <c r="J712" t="s">
        <v>902</v>
      </c>
      <c r="K712" t="s">
        <v>2079</v>
      </c>
      <c r="L712" t="s">
        <v>52</v>
      </c>
      <c r="M712" t="s">
        <v>129</v>
      </c>
      <c r="N712" t="s">
        <v>244</v>
      </c>
      <c r="O712" t="s">
        <v>52</v>
      </c>
      <c r="P712" t="s">
        <v>55</v>
      </c>
      <c r="Q712" t="s">
        <v>129</v>
      </c>
      <c r="R712">
        <v>61</v>
      </c>
      <c r="S712">
        <v>0</v>
      </c>
      <c r="T712" t="s">
        <v>56</v>
      </c>
      <c r="U712" t="s">
        <v>57</v>
      </c>
      <c r="V712">
        <v>4.74</v>
      </c>
      <c r="W712">
        <v>3.76</v>
      </c>
      <c r="X712">
        <v>8.4</v>
      </c>
      <c r="Y712">
        <v>16</v>
      </c>
      <c r="Z712">
        <v>16.3</v>
      </c>
    </row>
    <row r="713" spans="1:26" x14ac:dyDescent="0.45">
      <c r="A713" t="s">
        <v>2080</v>
      </c>
      <c r="B713">
        <v>85</v>
      </c>
      <c r="C713" t="s">
        <v>27</v>
      </c>
      <c r="D713" t="s">
        <v>45</v>
      </c>
      <c r="E713" t="s">
        <v>29</v>
      </c>
      <c r="F713" t="s">
        <v>30</v>
      </c>
      <c r="G713" t="s">
        <v>184</v>
      </c>
      <c r="H713" t="s">
        <v>32</v>
      </c>
      <c r="I713" t="s">
        <v>72</v>
      </c>
      <c r="J713" t="s">
        <v>2081</v>
      </c>
      <c r="K713" t="s">
        <v>35</v>
      </c>
      <c r="L713" t="s">
        <v>52</v>
      </c>
      <c r="M713" t="s">
        <v>37</v>
      </c>
      <c r="N713" t="s">
        <v>780</v>
      </c>
      <c r="O713" t="s">
        <v>52</v>
      </c>
      <c r="P713" t="s">
        <v>55</v>
      </c>
      <c r="Q713" t="s">
        <v>67</v>
      </c>
      <c r="R713">
        <v>69</v>
      </c>
      <c r="S713">
        <v>0</v>
      </c>
      <c r="T713" t="s">
        <v>123</v>
      </c>
      <c r="U713" t="s">
        <v>42</v>
      </c>
      <c r="V713">
        <v>1.06</v>
      </c>
      <c r="W713">
        <v>4.2699999999999996</v>
      </c>
      <c r="X713">
        <v>1.4</v>
      </c>
      <c r="Y713">
        <v>22</v>
      </c>
      <c r="Z713">
        <v>19.899999999999999</v>
      </c>
    </row>
    <row r="714" spans="1:26" x14ac:dyDescent="0.45">
      <c r="A714" t="s">
        <v>2082</v>
      </c>
      <c r="B714">
        <v>69</v>
      </c>
      <c r="C714" t="s">
        <v>45</v>
      </c>
      <c r="D714" t="s">
        <v>28</v>
      </c>
      <c r="E714" t="s">
        <v>46</v>
      </c>
      <c r="F714" t="s">
        <v>30</v>
      </c>
      <c r="G714" t="s">
        <v>276</v>
      </c>
      <c r="H714" t="s">
        <v>81</v>
      </c>
      <c r="I714" t="s">
        <v>132</v>
      </c>
      <c r="J714" t="s">
        <v>1344</v>
      </c>
      <c r="K714" t="s">
        <v>548</v>
      </c>
      <c r="L714" t="s">
        <v>52</v>
      </c>
      <c r="M714" t="s">
        <v>378</v>
      </c>
      <c r="N714" t="s">
        <v>335</v>
      </c>
      <c r="O714" t="s">
        <v>52</v>
      </c>
      <c r="P714" t="s">
        <v>39</v>
      </c>
      <c r="Q714" t="s">
        <v>30</v>
      </c>
      <c r="R714">
        <v>94</v>
      </c>
      <c r="S714">
        <v>1</v>
      </c>
      <c r="T714" t="s">
        <v>123</v>
      </c>
      <c r="U714" t="s">
        <v>57</v>
      </c>
      <c r="V714">
        <v>2.1800000000000002</v>
      </c>
      <c r="W714">
        <v>1.84</v>
      </c>
      <c r="X714">
        <v>7.9</v>
      </c>
      <c r="Y714">
        <v>10.6</v>
      </c>
      <c r="Z714">
        <v>17.7</v>
      </c>
    </row>
    <row r="715" spans="1:26" x14ac:dyDescent="0.45">
      <c r="A715" t="s">
        <v>2083</v>
      </c>
      <c r="B715">
        <v>23</v>
      </c>
      <c r="C715" t="s">
        <v>44</v>
      </c>
      <c r="D715" t="s">
        <v>28</v>
      </c>
      <c r="E715" t="s">
        <v>78</v>
      </c>
      <c r="F715" t="s">
        <v>59</v>
      </c>
      <c r="G715" t="s">
        <v>276</v>
      </c>
      <c r="H715" t="s">
        <v>61</v>
      </c>
      <c r="I715" t="s">
        <v>72</v>
      </c>
      <c r="J715" t="s">
        <v>2084</v>
      </c>
      <c r="K715" t="s">
        <v>2085</v>
      </c>
      <c r="L715" t="s">
        <v>64</v>
      </c>
      <c r="M715" t="s">
        <v>155</v>
      </c>
      <c r="N715" t="s">
        <v>491</v>
      </c>
      <c r="O715" t="s">
        <v>64</v>
      </c>
      <c r="P715" t="s">
        <v>39</v>
      </c>
      <c r="Q715" t="s">
        <v>129</v>
      </c>
      <c r="R715">
        <v>51</v>
      </c>
      <c r="S715">
        <v>1</v>
      </c>
      <c r="T715" t="s">
        <v>56</v>
      </c>
      <c r="U715" t="s">
        <v>57</v>
      </c>
      <c r="V715">
        <v>1.41</v>
      </c>
      <c r="W715">
        <v>1.5</v>
      </c>
      <c r="X715">
        <v>9.8000000000000007</v>
      </c>
      <c r="Y715">
        <v>18.100000000000001</v>
      </c>
      <c r="Z715">
        <v>17.399999999999999</v>
      </c>
    </row>
    <row r="716" spans="1:26" x14ac:dyDescent="0.45">
      <c r="A716" t="s">
        <v>2086</v>
      </c>
      <c r="B716">
        <v>57</v>
      </c>
      <c r="C716" t="s">
        <v>44</v>
      </c>
      <c r="D716" t="s">
        <v>28</v>
      </c>
      <c r="E716" t="s">
        <v>30</v>
      </c>
      <c r="F716" t="s">
        <v>30</v>
      </c>
      <c r="G716" t="s">
        <v>246</v>
      </c>
      <c r="H716" t="s">
        <v>61</v>
      </c>
      <c r="I716" t="s">
        <v>72</v>
      </c>
      <c r="J716" t="s">
        <v>2087</v>
      </c>
      <c r="K716" t="s">
        <v>2043</v>
      </c>
      <c r="L716" t="s">
        <v>52</v>
      </c>
      <c r="M716" t="s">
        <v>53</v>
      </c>
      <c r="N716" t="s">
        <v>305</v>
      </c>
      <c r="O716" t="s">
        <v>52</v>
      </c>
      <c r="P716" t="s">
        <v>110</v>
      </c>
      <c r="Q716" t="s">
        <v>129</v>
      </c>
      <c r="R716">
        <v>117</v>
      </c>
      <c r="S716">
        <v>0</v>
      </c>
      <c r="T716" t="s">
        <v>123</v>
      </c>
      <c r="U716" t="s">
        <v>57</v>
      </c>
      <c r="V716">
        <v>2.2999999999999998</v>
      </c>
      <c r="W716">
        <v>3.71</v>
      </c>
      <c r="X716">
        <v>6.3</v>
      </c>
      <c r="Y716">
        <v>16.899999999999999</v>
      </c>
      <c r="Z716">
        <v>14.6</v>
      </c>
    </row>
    <row r="717" spans="1:26" x14ac:dyDescent="0.45">
      <c r="A717" t="s">
        <v>2088</v>
      </c>
      <c r="B717">
        <v>25</v>
      </c>
      <c r="C717" t="s">
        <v>44</v>
      </c>
      <c r="D717" t="s">
        <v>106</v>
      </c>
      <c r="E717" t="s">
        <v>46</v>
      </c>
      <c r="F717" t="s">
        <v>30</v>
      </c>
      <c r="G717" t="s">
        <v>89</v>
      </c>
      <c r="H717" t="s">
        <v>32</v>
      </c>
      <c r="I717" t="s">
        <v>72</v>
      </c>
      <c r="J717" t="s">
        <v>2089</v>
      </c>
      <c r="K717" t="s">
        <v>2090</v>
      </c>
      <c r="L717" t="s">
        <v>92</v>
      </c>
      <c r="M717" t="s">
        <v>339</v>
      </c>
      <c r="N717" t="s">
        <v>1199</v>
      </c>
      <c r="O717" t="s">
        <v>92</v>
      </c>
      <c r="P717" t="s">
        <v>39</v>
      </c>
      <c r="Q717" t="s">
        <v>129</v>
      </c>
      <c r="R717">
        <v>146</v>
      </c>
      <c r="S717">
        <v>1</v>
      </c>
      <c r="T717" t="s">
        <v>85</v>
      </c>
      <c r="U717" t="s">
        <v>57</v>
      </c>
      <c r="V717">
        <v>3.3</v>
      </c>
      <c r="W717">
        <v>2.72</v>
      </c>
      <c r="X717">
        <v>3.5</v>
      </c>
      <c r="Y717">
        <v>19.8</v>
      </c>
      <c r="Z717">
        <v>6.8</v>
      </c>
    </row>
    <row r="718" spans="1:26" x14ac:dyDescent="0.45">
      <c r="A718" t="s">
        <v>2091</v>
      </c>
      <c r="B718">
        <v>33</v>
      </c>
      <c r="C718" t="s">
        <v>45</v>
      </c>
      <c r="D718" t="s">
        <v>87</v>
      </c>
      <c r="E718" t="s">
        <v>29</v>
      </c>
      <c r="F718" t="s">
        <v>30</v>
      </c>
      <c r="G718" t="s">
        <v>60</v>
      </c>
      <c r="H718" t="s">
        <v>61</v>
      </c>
      <c r="I718" t="s">
        <v>72</v>
      </c>
      <c r="J718" t="s">
        <v>982</v>
      </c>
      <c r="K718" t="s">
        <v>660</v>
      </c>
      <c r="L718" t="s">
        <v>64</v>
      </c>
      <c r="M718" t="s">
        <v>129</v>
      </c>
      <c r="N718" t="s">
        <v>1544</v>
      </c>
      <c r="O718" t="s">
        <v>64</v>
      </c>
      <c r="P718" t="s">
        <v>39</v>
      </c>
      <c r="Q718" t="s">
        <v>129</v>
      </c>
      <c r="R718">
        <v>51</v>
      </c>
      <c r="S718">
        <v>1</v>
      </c>
      <c r="T718" t="s">
        <v>85</v>
      </c>
      <c r="U718" t="s">
        <v>57</v>
      </c>
      <c r="V718">
        <v>3.77</v>
      </c>
      <c r="W718">
        <v>1.93</v>
      </c>
      <c r="X718">
        <v>6.6</v>
      </c>
      <c r="Y718">
        <v>19.399999999999999</v>
      </c>
      <c r="Z718">
        <v>6.7</v>
      </c>
    </row>
    <row r="719" spans="1:26" x14ac:dyDescent="0.45">
      <c r="A719" t="s">
        <v>2092</v>
      </c>
      <c r="B719">
        <v>59</v>
      </c>
      <c r="C719" t="s">
        <v>44</v>
      </c>
      <c r="D719" t="s">
        <v>87</v>
      </c>
      <c r="E719" t="s">
        <v>78</v>
      </c>
      <c r="F719" t="s">
        <v>30</v>
      </c>
      <c r="G719" t="s">
        <v>48</v>
      </c>
      <c r="H719" t="s">
        <v>61</v>
      </c>
      <c r="I719" t="s">
        <v>49</v>
      </c>
      <c r="J719" t="s">
        <v>2093</v>
      </c>
      <c r="K719" t="s">
        <v>530</v>
      </c>
      <c r="L719" t="s">
        <v>92</v>
      </c>
      <c r="M719" t="s">
        <v>65</v>
      </c>
      <c r="N719" t="s">
        <v>76</v>
      </c>
      <c r="O719" t="s">
        <v>92</v>
      </c>
      <c r="P719" t="s">
        <v>110</v>
      </c>
      <c r="Q719" t="s">
        <v>67</v>
      </c>
      <c r="R719">
        <v>164</v>
      </c>
      <c r="S719">
        <v>0</v>
      </c>
      <c r="T719" t="s">
        <v>123</v>
      </c>
      <c r="U719" t="s">
        <v>42</v>
      </c>
      <c r="V719">
        <v>1.24</v>
      </c>
      <c r="W719">
        <v>1.52</v>
      </c>
      <c r="X719">
        <v>6.5</v>
      </c>
      <c r="Y719">
        <v>21.3</v>
      </c>
      <c r="Z719">
        <v>3.8</v>
      </c>
    </row>
    <row r="720" spans="1:26" x14ac:dyDescent="0.45">
      <c r="A720" t="s">
        <v>2094</v>
      </c>
      <c r="B720">
        <v>66</v>
      </c>
      <c r="C720" t="s">
        <v>44</v>
      </c>
      <c r="D720" t="s">
        <v>95</v>
      </c>
      <c r="E720" t="s">
        <v>78</v>
      </c>
      <c r="F720" t="s">
        <v>59</v>
      </c>
      <c r="G720" t="s">
        <v>152</v>
      </c>
      <c r="H720" t="s">
        <v>61</v>
      </c>
      <c r="I720" t="s">
        <v>33</v>
      </c>
      <c r="J720" t="s">
        <v>608</v>
      </c>
      <c r="K720" t="s">
        <v>2095</v>
      </c>
      <c r="L720" t="s">
        <v>36</v>
      </c>
      <c r="M720" t="s">
        <v>282</v>
      </c>
      <c r="N720" t="s">
        <v>227</v>
      </c>
      <c r="O720" t="s">
        <v>36</v>
      </c>
      <c r="P720" t="s">
        <v>39</v>
      </c>
      <c r="Q720" t="s">
        <v>129</v>
      </c>
      <c r="R720">
        <v>109</v>
      </c>
      <c r="S720">
        <v>1</v>
      </c>
      <c r="T720" t="s">
        <v>85</v>
      </c>
      <c r="U720" t="s">
        <v>42</v>
      </c>
      <c r="V720">
        <v>3.94</v>
      </c>
      <c r="W720">
        <v>2.37</v>
      </c>
      <c r="X720">
        <v>5.3</v>
      </c>
      <c r="Y720">
        <v>22.7</v>
      </c>
      <c r="Z720">
        <v>8.6</v>
      </c>
    </row>
    <row r="721" spans="1:26" x14ac:dyDescent="0.45">
      <c r="A721" t="s">
        <v>2096</v>
      </c>
      <c r="B721">
        <v>33</v>
      </c>
      <c r="C721" t="s">
        <v>45</v>
      </c>
      <c r="D721" t="s">
        <v>45</v>
      </c>
      <c r="E721" t="s">
        <v>30</v>
      </c>
      <c r="F721" t="s">
        <v>59</v>
      </c>
      <c r="G721" t="s">
        <v>60</v>
      </c>
      <c r="H721" t="s">
        <v>71</v>
      </c>
      <c r="I721" t="s">
        <v>33</v>
      </c>
      <c r="J721" t="s">
        <v>2097</v>
      </c>
      <c r="K721" t="s">
        <v>875</v>
      </c>
      <c r="L721" t="s">
        <v>52</v>
      </c>
      <c r="M721" t="s">
        <v>339</v>
      </c>
      <c r="N721" t="s">
        <v>812</v>
      </c>
      <c r="O721" t="s">
        <v>52</v>
      </c>
      <c r="P721" t="s">
        <v>39</v>
      </c>
      <c r="Q721" t="s">
        <v>67</v>
      </c>
      <c r="R721">
        <v>159</v>
      </c>
      <c r="S721">
        <v>1</v>
      </c>
      <c r="T721" t="s">
        <v>41</v>
      </c>
      <c r="U721" t="s">
        <v>42</v>
      </c>
      <c r="V721">
        <v>2.86</v>
      </c>
      <c r="W721">
        <v>1.05</v>
      </c>
      <c r="X721">
        <v>1.7</v>
      </c>
      <c r="Y721">
        <v>10.7</v>
      </c>
      <c r="Z721">
        <v>3.5</v>
      </c>
    </row>
    <row r="722" spans="1:26" x14ac:dyDescent="0.45">
      <c r="A722" t="s">
        <v>2098</v>
      </c>
      <c r="B722">
        <v>48</v>
      </c>
      <c r="C722" t="s">
        <v>44</v>
      </c>
      <c r="D722" t="s">
        <v>28</v>
      </c>
      <c r="E722" t="s">
        <v>30</v>
      </c>
      <c r="F722" t="s">
        <v>88</v>
      </c>
      <c r="G722" t="s">
        <v>125</v>
      </c>
      <c r="H722" t="s">
        <v>32</v>
      </c>
      <c r="I722" t="s">
        <v>49</v>
      </c>
      <c r="J722" t="s">
        <v>2099</v>
      </c>
      <c r="K722" t="s">
        <v>2100</v>
      </c>
      <c r="L722" t="s">
        <v>36</v>
      </c>
      <c r="M722" t="s">
        <v>202</v>
      </c>
      <c r="N722" t="s">
        <v>626</v>
      </c>
      <c r="O722" t="s">
        <v>36</v>
      </c>
      <c r="P722" t="s">
        <v>55</v>
      </c>
      <c r="Q722" t="s">
        <v>67</v>
      </c>
      <c r="R722">
        <v>156</v>
      </c>
      <c r="S722">
        <v>0</v>
      </c>
      <c r="T722" t="s">
        <v>56</v>
      </c>
      <c r="U722" t="s">
        <v>57</v>
      </c>
      <c r="V722">
        <v>3.53</v>
      </c>
      <c r="W722">
        <v>2.71</v>
      </c>
      <c r="X722">
        <v>5.9</v>
      </c>
      <c r="Y722">
        <v>9.1</v>
      </c>
      <c r="Z722">
        <v>8</v>
      </c>
    </row>
    <row r="723" spans="1:26" x14ac:dyDescent="0.45">
      <c r="A723" t="s">
        <v>2101</v>
      </c>
      <c r="B723">
        <v>73</v>
      </c>
      <c r="C723" t="s">
        <v>45</v>
      </c>
      <c r="D723" t="s">
        <v>87</v>
      </c>
      <c r="E723" t="s">
        <v>29</v>
      </c>
      <c r="F723" t="s">
        <v>30</v>
      </c>
      <c r="G723" t="s">
        <v>102</v>
      </c>
      <c r="H723" t="s">
        <v>71</v>
      </c>
      <c r="I723" t="s">
        <v>33</v>
      </c>
      <c r="J723" t="s">
        <v>2102</v>
      </c>
      <c r="K723" t="s">
        <v>1127</v>
      </c>
      <c r="L723" t="s">
        <v>52</v>
      </c>
      <c r="M723" t="s">
        <v>500</v>
      </c>
      <c r="N723" t="s">
        <v>567</v>
      </c>
      <c r="O723" t="s">
        <v>52</v>
      </c>
      <c r="P723" t="s">
        <v>39</v>
      </c>
      <c r="Q723" t="s">
        <v>129</v>
      </c>
      <c r="R723">
        <v>128</v>
      </c>
      <c r="S723">
        <v>1</v>
      </c>
      <c r="T723" t="s">
        <v>41</v>
      </c>
      <c r="U723" t="s">
        <v>57</v>
      </c>
      <c r="V723">
        <v>3.66</v>
      </c>
      <c r="W723">
        <v>4.8600000000000003</v>
      </c>
      <c r="X723">
        <v>1.5</v>
      </c>
      <c r="Y723">
        <v>22</v>
      </c>
      <c r="Z723">
        <v>12.8</v>
      </c>
    </row>
    <row r="724" spans="1:26" x14ac:dyDescent="0.45">
      <c r="A724" t="s">
        <v>2103</v>
      </c>
      <c r="B724">
        <v>27</v>
      </c>
      <c r="C724" t="s">
        <v>44</v>
      </c>
      <c r="D724" t="s">
        <v>106</v>
      </c>
      <c r="E724" t="s">
        <v>163</v>
      </c>
      <c r="F724" t="s">
        <v>30</v>
      </c>
      <c r="G724" t="s">
        <v>89</v>
      </c>
      <c r="H724" t="s">
        <v>32</v>
      </c>
      <c r="I724" t="s">
        <v>132</v>
      </c>
      <c r="J724" t="s">
        <v>2104</v>
      </c>
      <c r="K724" t="s">
        <v>2105</v>
      </c>
      <c r="L724" t="s">
        <v>52</v>
      </c>
      <c r="M724" t="s">
        <v>536</v>
      </c>
      <c r="N724" t="s">
        <v>1565</v>
      </c>
      <c r="O724" t="s">
        <v>52</v>
      </c>
      <c r="P724" t="s">
        <v>110</v>
      </c>
      <c r="Q724" t="s">
        <v>40</v>
      </c>
      <c r="R724">
        <v>138</v>
      </c>
      <c r="S724">
        <v>0</v>
      </c>
      <c r="T724" t="s">
        <v>85</v>
      </c>
      <c r="U724" t="s">
        <v>42</v>
      </c>
      <c r="V724">
        <v>3.26</v>
      </c>
      <c r="W724">
        <v>3</v>
      </c>
      <c r="X724">
        <v>1.6</v>
      </c>
      <c r="Y724">
        <v>7.6</v>
      </c>
      <c r="Z724">
        <v>13.2</v>
      </c>
    </row>
    <row r="725" spans="1:26" x14ac:dyDescent="0.45">
      <c r="A725" t="s">
        <v>2106</v>
      </c>
      <c r="B725">
        <v>44</v>
      </c>
      <c r="C725" t="s">
        <v>45</v>
      </c>
      <c r="D725" t="s">
        <v>28</v>
      </c>
      <c r="E725" t="s">
        <v>30</v>
      </c>
      <c r="F725" t="s">
        <v>30</v>
      </c>
      <c r="G725" t="s">
        <v>118</v>
      </c>
      <c r="H725" t="s">
        <v>61</v>
      </c>
      <c r="I725" t="s">
        <v>72</v>
      </c>
      <c r="J725" t="s">
        <v>1612</v>
      </c>
      <c r="K725" t="s">
        <v>1410</v>
      </c>
      <c r="L725" t="s">
        <v>36</v>
      </c>
      <c r="M725" t="s">
        <v>30</v>
      </c>
      <c r="N725" t="s">
        <v>100</v>
      </c>
      <c r="O725" t="s">
        <v>36</v>
      </c>
      <c r="P725" t="s">
        <v>39</v>
      </c>
      <c r="Q725" t="s">
        <v>40</v>
      </c>
      <c r="R725">
        <v>170</v>
      </c>
      <c r="S725">
        <v>1</v>
      </c>
      <c r="T725" t="s">
        <v>85</v>
      </c>
      <c r="U725" t="s">
        <v>42</v>
      </c>
      <c r="V725">
        <v>2.36</v>
      </c>
      <c r="W725">
        <v>4.67</v>
      </c>
      <c r="X725">
        <v>4.7</v>
      </c>
      <c r="Y725">
        <v>8.6</v>
      </c>
      <c r="Z725">
        <v>15.2</v>
      </c>
    </row>
    <row r="726" spans="1:26" x14ac:dyDescent="0.45">
      <c r="A726" t="s">
        <v>2107</v>
      </c>
      <c r="B726">
        <v>70</v>
      </c>
      <c r="C726" t="s">
        <v>27</v>
      </c>
      <c r="D726" t="s">
        <v>106</v>
      </c>
      <c r="E726" t="s">
        <v>46</v>
      </c>
      <c r="F726" t="s">
        <v>30</v>
      </c>
      <c r="G726" t="s">
        <v>152</v>
      </c>
      <c r="H726" t="s">
        <v>61</v>
      </c>
      <c r="I726" t="s">
        <v>49</v>
      </c>
      <c r="J726" t="s">
        <v>2108</v>
      </c>
      <c r="K726" t="s">
        <v>2109</v>
      </c>
      <c r="L726" t="s">
        <v>92</v>
      </c>
      <c r="M726" t="s">
        <v>202</v>
      </c>
      <c r="N726" t="s">
        <v>788</v>
      </c>
      <c r="O726" t="s">
        <v>92</v>
      </c>
      <c r="P726" t="s">
        <v>110</v>
      </c>
      <c r="Q726" t="s">
        <v>129</v>
      </c>
      <c r="R726">
        <v>104</v>
      </c>
      <c r="S726">
        <v>0</v>
      </c>
      <c r="T726" t="s">
        <v>137</v>
      </c>
      <c r="U726" t="s">
        <v>42</v>
      </c>
      <c r="V726">
        <v>2.17</v>
      </c>
      <c r="W726">
        <v>3.1</v>
      </c>
      <c r="X726">
        <v>7.3</v>
      </c>
      <c r="Y726">
        <v>22.2</v>
      </c>
      <c r="Z726">
        <v>16.5</v>
      </c>
    </row>
    <row r="727" spans="1:26" x14ac:dyDescent="0.45">
      <c r="A727" t="s">
        <v>2110</v>
      </c>
      <c r="B727">
        <v>20</v>
      </c>
      <c r="C727" t="s">
        <v>45</v>
      </c>
      <c r="D727" t="s">
        <v>95</v>
      </c>
      <c r="E727" t="s">
        <v>30</v>
      </c>
      <c r="F727" t="s">
        <v>30</v>
      </c>
      <c r="G727" t="s">
        <v>112</v>
      </c>
      <c r="H727" t="s">
        <v>81</v>
      </c>
      <c r="I727" t="s">
        <v>33</v>
      </c>
      <c r="J727" t="s">
        <v>159</v>
      </c>
      <c r="K727" t="s">
        <v>2111</v>
      </c>
      <c r="L727" t="s">
        <v>64</v>
      </c>
      <c r="M727" t="s">
        <v>566</v>
      </c>
      <c r="N727" t="s">
        <v>1132</v>
      </c>
      <c r="O727" t="s">
        <v>64</v>
      </c>
      <c r="P727" t="s">
        <v>55</v>
      </c>
      <c r="Q727" t="s">
        <v>67</v>
      </c>
      <c r="R727">
        <v>167</v>
      </c>
      <c r="S727">
        <v>0</v>
      </c>
      <c r="T727" t="s">
        <v>137</v>
      </c>
      <c r="U727" t="s">
        <v>57</v>
      </c>
      <c r="V727">
        <v>3.71</v>
      </c>
      <c r="W727">
        <v>3.72</v>
      </c>
      <c r="X727">
        <v>9.5</v>
      </c>
      <c r="Y727">
        <v>11.3</v>
      </c>
      <c r="Z727">
        <v>3</v>
      </c>
    </row>
    <row r="728" spans="1:26" x14ac:dyDescent="0.45">
      <c r="A728" t="s">
        <v>2112</v>
      </c>
      <c r="B728">
        <v>49</v>
      </c>
      <c r="C728" t="s">
        <v>27</v>
      </c>
      <c r="D728" t="s">
        <v>28</v>
      </c>
      <c r="E728" t="s">
        <v>29</v>
      </c>
      <c r="F728" t="s">
        <v>88</v>
      </c>
      <c r="G728" t="s">
        <v>246</v>
      </c>
      <c r="H728" t="s">
        <v>32</v>
      </c>
      <c r="I728" t="s">
        <v>72</v>
      </c>
      <c r="J728" t="s">
        <v>1101</v>
      </c>
      <c r="K728" t="s">
        <v>855</v>
      </c>
      <c r="L728" t="s">
        <v>52</v>
      </c>
      <c r="M728" t="s">
        <v>469</v>
      </c>
      <c r="N728" t="s">
        <v>217</v>
      </c>
      <c r="O728" t="s">
        <v>52</v>
      </c>
      <c r="P728" t="s">
        <v>110</v>
      </c>
      <c r="Q728" t="s">
        <v>75</v>
      </c>
      <c r="R728">
        <v>44</v>
      </c>
      <c r="S728">
        <v>0</v>
      </c>
      <c r="T728" t="s">
        <v>56</v>
      </c>
      <c r="U728" t="s">
        <v>42</v>
      </c>
      <c r="V728">
        <v>2.09</v>
      </c>
      <c r="W728">
        <v>1.87</v>
      </c>
      <c r="X728">
        <v>7</v>
      </c>
      <c r="Y728">
        <v>17.399999999999999</v>
      </c>
      <c r="Z728">
        <v>13.1</v>
      </c>
    </row>
    <row r="729" spans="1:26" x14ac:dyDescent="0.45">
      <c r="A729" t="s">
        <v>2113</v>
      </c>
      <c r="B729">
        <v>78</v>
      </c>
      <c r="C729" t="s">
        <v>27</v>
      </c>
      <c r="D729" t="s">
        <v>95</v>
      </c>
      <c r="E729" t="s">
        <v>163</v>
      </c>
      <c r="F729" t="s">
        <v>47</v>
      </c>
      <c r="G729" t="s">
        <v>164</v>
      </c>
      <c r="H729" t="s">
        <v>81</v>
      </c>
      <c r="I729" t="s">
        <v>72</v>
      </c>
      <c r="J729" t="s">
        <v>2114</v>
      </c>
      <c r="K729" t="s">
        <v>2054</v>
      </c>
      <c r="L729" t="s">
        <v>52</v>
      </c>
      <c r="M729" t="s">
        <v>207</v>
      </c>
      <c r="N729" t="s">
        <v>532</v>
      </c>
      <c r="O729" t="s">
        <v>52</v>
      </c>
      <c r="P729" t="s">
        <v>110</v>
      </c>
      <c r="Q729" t="s">
        <v>75</v>
      </c>
      <c r="R729">
        <v>122</v>
      </c>
      <c r="S729">
        <v>0</v>
      </c>
      <c r="T729" t="s">
        <v>41</v>
      </c>
      <c r="U729" t="s">
        <v>42</v>
      </c>
      <c r="V729">
        <v>1.06</v>
      </c>
      <c r="W729">
        <v>3.92</v>
      </c>
      <c r="X729">
        <v>3.9</v>
      </c>
      <c r="Y729">
        <v>18</v>
      </c>
      <c r="Z729">
        <v>12.5</v>
      </c>
    </row>
    <row r="730" spans="1:26" x14ac:dyDescent="0.45">
      <c r="A730" t="s">
        <v>2115</v>
      </c>
      <c r="B730">
        <v>20</v>
      </c>
      <c r="C730" t="s">
        <v>44</v>
      </c>
      <c r="D730" t="s">
        <v>87</v>
      </c>
      <c r="E730" t="s">
        <v>30</v>
      </c>
      <c r="F730" t="s">
        <v>30</v>
      </c>
      <c r="G730" t="s">
        <v>102</v>
      </c>
      <c r="H730" t="s">
        <v>71</v>
      </c>
      <c r="I730" t="s">
        <v>33</v>
      </c>
      <c r="J730" t="s">
        <v>2116</v>
      </c>
      <c r="K730" t="s">
        <v>2117</v>
      </c>
      <c r="L730" t="s">
        <v>52</v>
      </c>
      <c r="M730" t="s">
        <v>282</v>
      </c>
      <c r="N730" t="s">
        <v>2118</v>
      </c>
      <c r="O730" t="s">
        <v>52</v>
      </c>
      <c r="P730" t="s">
        <v>110</v>
      </c>
      <c r="Q730" t="s">
        <v>67</v>
      </c>
      <c r="R730">
        <v>141</v>
      </c>
      <c r="S730">
        <v>0</v>
      </c>
      <c r="T730" t="s">
        <v>137</v>
      </c>
      <c r="U730" t="s">
        <v>42</v>
      </c>
      <c r="V730">
        <v>2.37</v>
      </c>
      <c r="W730">
        <v>1.54</v>
      </c>
      <c r="X730">
        <v>1.8</v>
      </c>
      <c r="Y730">
        <v>21</v>
      </c>
      <c r="Z730">
        <v>18.600000000000001</v>
      </c>
    </row>
    <row r="731" spans="1:26" x14ac:dyDescent="0.45">
      <c r="A731" t="s">
        <v>2119</v>
      </c>
      <c r="B731">
        <v>66</v>
      </c>
      <c r="C731" t="s">
        <v>45</v>
      </c>
      <c r="D731" t="s">
        <v>95</v>
      </c>
      <c r="E731" t="s">
        <v>30</v>
      </c>
      <c r="F731" t="s">
        <v>88</v>
      </c>
      <c r="G731" t="s">
        <v>89</v>
      </c>
      <c r="H731" t="s">
        <v>61</v>
      </c>
      <c r="I731" t="s">
        <v>33</v>
      </c>
      <c r="J731" t="s">
        <v>1297</v>
      </c>
      <c r="K731" t="s">
        <v>2120</v>
      </c>
      <c r="L731" t="s">
        <v>52</v>
      </c>
      <c r="M731" t="s">
        <v>75</v>
      </c>
      <c r="N731" t="s">
        <v>521</v>
      </c>
      <c r="O731" t="s">
        <v>52</v>
      </c>
      <c r="P731" t="s">
        <v>110</v>
      </c>
      <c r="Q731" t="s">
        <v>30</v>
      </c>
      <c r="R731">
        <v>60</v>
      </c>
      <c r="S731">
        <v>0</v>
      </c>
      <c r="T731" t="s">
        <v>137</v>
      </c>
      <c r="U731" t="s">
        <v>42</v>
      </c>
      <c r="V731">
        <v>3.6</v>
      </c>
      <c r="W731">
        <v>1.41</v>
      </c>
      <c r="X731">
        <v>4.5999999999999996</v>
      </c>
      <c r="Y731">
        <v>19.100000000000001</v>
      </c>
      <c r="Z731">
        <v>16.3</v>
      </c>
    </row>
    <row r="732" spans="1:26" x14ac:dyDescent="0.45">
      <c r="A732" t="s">
        <v>2121</v>
      </c>
      <c r="B732">
        <v>52</v>
      </c>
      <c r="C732" t="s">
        <v>44</v>
      </c>
      <c r="D732" t="s">
        <v>45</v>
      </c>
      <c r="E732" t="s">
        <v>46</v>
      </c>
      <c r="F732" t="s">
        <v>59</v>
      </c>
      <c r="G732" t="s">
        <v>246</v>
      </c>
      <c r="H732" t="s">
        <v>32</v>
      </c>
      <c r="I732" t="s">
        <v>49</v>
      </c>
      <c r="J732" t="s">
        <v>2122</v>
      </c>
      <c r="K732" t="s">
        <v>735</v>
      </c>
      <c r="L732" t="s">
        <v>52</v>
      </c>
      <c r="M732" t="s">
        <v>129</v>
      </c>
      <c r="N732" t="s">
        <v>254</v>
      </c>
      <c r="O732" t="s">
        <v>52</v>
      </c>
      <c r="P732" t="s">
        <v>110</v>
      </c>
      <c r="Q732" t="s">
        <v>40</v>
      </c>
      <c r="R732">
        <v>130</v>
      </c>
      <c r="S732">
        <v>0</v>
      </c>
      <c r="T732" t="s">
        <v>56</v>
      </c>
      <c r="U732" t="s">
        <v>42</v>
      </c>
      <c r="V732">
        <v>1.47</v>
      </c>
      <c r="W732">
        <v>1</v>
      </c>
      <c r="X732">
        <v>7.4</v>
      </c>
      <c r="Y732">
        <v>12.4</v>
      </c>
      <c r="Z732">
        <v>7.3</v>
      </c>
    </row>
    <row r="733" spans="1:26" x14ac:dyDescent="0.45">
      <c r="A733" t="s">
        <v>2123</v>
      </c>
      <c r="B733">
        <v>25</v>
      </c>
      <c r="C733" t="s">
        <v>27</v>
      </c>
      <c r="D733" t="s">
        <v>95</v>
      </c>
      <c r="E733" t="s">
        <v>29</v>
      </c>
      <c r="F733" t="s">
        <v>88</v>
      </c>
      <c r="G733" t="s">
        <v>89</v>
      </c>
      <c r="H733" t="s">
        <v>32</v>
      </c>
      <c r="I733" t="s">
        <v>49</v>
      </c>
      <c r="J733" t="s">
        <v>2124</v>
      </c>
      <c r="K733" t="s">
        <v>2125</v>
      </c>
      <c r="L733" t="s">
        <v>92</v>
      </c>
      <c r="M733" t="s">
        <v>2126</v>
      </c>
      <c r="N733" t="s">
        <v>340</v>
      </c>
      <c r="O733" t="s">
        <v>92</v>
      </c>
      <c r="P733" t="s">
        <v>110</v>
      </c>
      <c r="Q733" t="s">
        <v>129</v>
      </c>
      <c r="R733">
        <v>112</v>
      </c>
      <c r="S733">
        <v>0</v>
      </c>
      <c r="T733" t="s">
        <v>123</v>
      </c>
      <c r="U733" t="s">
        <v>57</v>
      </c>
      <c r="V733">
        <v>1.05</v>
      </c>
      <c r="W733">
        <v>3.16</v>
      </c>
      <c r="X733">
        <v>8.6999999999999993</v>
      </c>
      <c r="Y733">
        <v>23.2</v>
      </c>
      <c r="Z733">
        <v>12.6</v>
      </c>
    </row>
    <row r="734" spans="1:26" x14ac:dyDescent="0.45">
      <c r="A734" t="s">
        <v>2127</v>
      </c>
      <c r="B734">
        <v>70</v>
      </c>
      <c r="C734" t="s">
        <v>27</v>
      </c>
      <c r="D734" t="s">
        <v>45</v>
      </c>
      <c r="E734" t="s">
        <v>46</v>
      </c>
      <c r="F734" t="s">
        <v>30</v>
      </c>
      <c r="G734" t="s">
        <v>440</v>
      </c>
      <c r="H734" t="s">
        <v>81</v>
      </c>
      <c r="I734" t="s">
        <v>72</v>
      </c>
      <c r="J734" t="s">
        <v>1663</v>
      </c>
      <c r="K734" t="s">
        <v>1085</v>
      </c>
      <c r="L734" t="s">
        <v>64</v>
      </c>
      <c r="M734" t="s">
        <v>135</v>
      </c>
      <c r="N734" t="s">
        <v>366</v>
      </c>
      <c r="O734" t="s">
        <v>64</v>
      </c>
      <c r="P734" t="s">
        <v>55</v>
      </c>
      <c r="Q734" t="s">
        <v>75</v>
      </c>
      <c r="R734">
        <v>102</v>
      </c>
      <c r="S734">
        <v>0</v>
      </c>
      <c r="T734" t="s">
        <v>56</v>
      </c>
      <c r="U734" t="s">
        <v>42</v>
      </c>
      <c r="V734">
        <v>3.06</v>
      </c>
      <c r="W734">
        <v>1.34</v>
      </c>
      <c r="X734">
        <v>5.9</v>
      </c>
      <c r="Y734">
        <v>12.8</v>
      </c>
      <c r="Z734">
        <v>13.3</v>
      </c>
    </row>
    <row r="735" spans="1:26" x14ac:dyDescent="0.45">
      <c r="A735" t="s">
        <v>2128</v>
      </c>
      <c r="B735">
        <v>25</v>
      </c>
      <c r="C735" t="s">
        <v>45</v>
      </c>
      <c r="D735" t="s">
        <v>95</v>
      </c>
      <c r="E735" t="s">
        <v>46</v>
      </c>
      <c r="F735" t="s">
        <v>30</v>
      </c>
      <c r="G735" t="s">
        <v>48</v>
      </c>
      <c r="H735" t="s">
        <v>71</v>
      </c>
      <c r="I735" t="s">
        <v>72</v>
      </c>
      <c r="J735" t="s">
        <v>2116</v>
      </c>
      <c r="K735" t="s">
        <v>2117</v>
      </c>
      <c r="L735" t="s">
        <v>92</v>
      </c>
      <c r="M735" t="s">
        <v>1398</v>
      </c>
      <c r="N735" t="s">
        <v>1904</v>
      </c>
      <c r="O735" t="s">
        <v>92</v>
      </c>
      <c r="P735" t="s">
        <v>39</v>
      </c>
      <c r="Q735" t="s">
        <v>75</v>
      </c>
      <c r="R735">
        <v>47</v>
      </c>
      <c r="S735">
        <v>1</v>
      </c>
      <c r="T735" t="s">
        <v>137</v>
      </c>
      <c r="U735" t="s">
        <v>42</v>
      </c>
      <c r="V735">
        <v>2.5499999999999998</v>
      </c>
      <c r="W735">
        <v>1.96</v>
      </c>
      <c r="X735">
        <v>1.9</v>
      </c>
      <c r="Y735">
        <v>11.7</v>
      </c>
      <c r="Z735">
        <v>4.5999999999999996</v>
      </c>
    </row>
    <row r="736" spans="1:26" x14ac:dyDescent="0.45">
      <c r="A736" t="s">
        <v>2129</v>
      </c>
      <c r="B736">
        <v>68</v>
      </c>
      <c r="C736" t="s">
        <v>45</v>
      </c>
      <c r="D736" t="s">
        <v>45</v>
      </c>
      <c r="E736" t="s">
        <v>30</v>
      </c>
      <c r="F736" t="s">
        <v>79</v>
      </c>
      <c r="G736" t="s">
        <v>89</v>
      </c>
      <c r="H736" t="s">
        <v>71</v>
      </c>
      <c r="I736" t="s">
        <v>33</v>
      </c>
      <c r="J736" t="s">
        <v>795</v>
      </c>
      <c r="K736" t="s">
        <v>842</v>
      </c>
      <c r="L736" t="s">
        <v>64</v>
      </c>
      <c r="M736" t="s">
        <v>352</v>
      </c>
      <c r="N736" t="s">
        <v>780</v>
      </c>
      <c r="O736" t="s">
        <v>64</v>
      </c>
      <c r="P736" t="s">
        <v>39</v>
      </c>
      <c r="Q736" t="s">
        <v>40</v>
      </c>
      <c r="R736">
        <v>169</v>
      </c>
      <c r="S736">
        <v>1</v>
      </c>
      <c r="T736" t="s">
        <v>123</v>
      </c>
      <c r="U736" t="s">
        <v>57</v>
      </c>
      <c r="V736">
        <v>1.71</v>
      </c>
      <c r="W736">
        <v>4.95</v>
      </c>
      <c r="X736">
        <v>5</v>
      </c>
      <c r="Y736">
        <v>15.6</v>
      </c>
      <c r="Z736">
        <v>17.899999999999999</v>
      </c>
    </row>
    <row r="737" spans="1:26" x14ac:dyDescent="0.45">
      <c r="A737" t="s">
        <v>2130</v>
      </c>
      <c r="B737">
        <v>19</v>
      </c>
      <c r="C737" t="s">
        <v>27</v>
      </c>
      <c r="D737" t="s">
        <v>106</v>
      </c>
      <c r="E737" t="s">
        <v>163</v>
      </c>
      <c r="F737" t="s">
        <v>79</v>
      </c>
      <c r="G737" t="s">
        <v>164</v>
      </c>
      <c r="H737" t="s">
        <v>81</v>
      </c>
      <c r="I737" t="s">
        <v>49</v>
      </c>
      <c r="J737" t="s">
        <v>2131</v>
      </c>
      <c r="K737" t="s">
        <v>1570</v>
      </c>
      <c r="L737" t="s">
        <v>64</v>
      </c>
      <c r="M737" t="s">
        <v>40</v>
      </c>
      <c r="N737" t="s">
        <v>1444</v>
      </c>
      <c r="O737" t="s">
        <v>64</v>
      </c>
      <c r="P737" t="s">
        <v>110</v>
      </c>
      <c r="Q737" t="s">
        <v>75</v>
      </c>
      <c r="R737">
        <v>118</v>
      </c>
      <c r="S737">
        <v>0</v>
      </c>
      <c r="T737" t="s">
        <v>56</v>
      </c>
      <c r="U737" t="s">
        <v>42</v>
      </c>
      <c r="V737">
        <v>4.9800000000000004</v>
      </c>
      <c r="W737">
        <v>3.33</v>
      </c>
      <c r="X737">
        <v>8.3000000000000007</v>
      </c>
      <c r="Y737">
        <v>11.9</v>
      </c>
      <c r="Z737">
        <v>8.1999999999999993</v>
      </c>
    </row>
    <row r="738" spans="1:26" x14ac:dyDescent="0.45">
      <c r="A738" t="s">
        <v>2132</v>
      </c>
      <c r="B738">
        <v>42</v>
      </c>
      <c r="C738" t="s">
        <v>27</v>
      </c>
      <c r="D738" t="s">
        <v>95</v>
      </c>
      <c r="E738" t="s">
        <v>163</v>
      </c>
      <c r="F738" t="s">
        <v>30</v>
      </c>
      <c r="G738" t="s">
        <v>178</v>
      </c>
      <c r="H738" t="s">
        <v>32</v>
      </c>
      <c r="I738" t="s">
        <v>132</v>
      </c>
      <c r="J738" t="s">
        <v>2133</v>
      </c>
      <c r="K738" t="s">
        <v>2134</v>
      </c>
      <c r="L738" t="s">
        <v>52</v>
      </c>
      <c r="M738" t="s">
        <v>892</v>
      </c>
      <c r="N738" t="s">
        <v>525</v>
      </c>
      <c r="O738" t="s">
        <v>52</v>
      </c>
      <c r="P738" t="s">
        <v>55</v>
      </c>
      <c r="Q738" t="s">
        <v>75</v>
      </c>
      <c r="R738">
        <v>41</v>
      </c>
      <c r="S738">
        <v>0</v>
      </c>
      <c r="T738" t="s">
        <v>123</v>
      </c>
      <c r="U738" t="s">
        <v>57</v>
      </c>
      <c r="V738">
        <v>2.61</v>
      </c>
      <c r="W738">
        <v>3.69</v>
      </c>
      <c r="X738">
        <v>7.1</v>
      </c>
      <c r="Y738">
        <v>11.7</v>
      </c>
      <c r="Z738">
        <v>5.3</v>
      </c>
    </row>
    <row r="739" spans="1:26" x14ac:dyDescent="0.45">
      <c r="A739" t="s">
        <v>2135</v>
      </c>
      <c r="B739">
        <v>53</v>
      </c>
      <c r="C739" t="s">
        <v>44</v>
      </c>
      <c r="D739" t="s">
        <v>87</v>
      </c>
      <c r="E739" t="s">
        <v>46</v>
      </c>
      <c r="F739" t="s">
        <v>59</v>
      </c>
      <c r="G739" t="s">
        <v>102</v>
      </c>
      <c r="H739" t="s">
        <v>81</v>
      </c>
      <c r="I739" t="s">
        <v>33</v>
      </c>
      <c r="J739" t="s">
        <v>2006</v>
      </c>
      <c r="K739" t="s">
        <v>1040</v>
      </c>
      <c r="L739" t="s">
        <v>36</v>
      </c>
      <c r="M739" t="s">
        <v>309</v>
      </c>
      <c r="N739" t="s">
        <v>331</v>
      </c>
      <c r="O739" t="s">
        <v>36</v>
      </c>
      <c r="P739" t="s">
        <v>39</v>
      </c>
      <c r="Q739" t="s">
        <v>67</v>
      </c>
      <c r="R739">
        <v>53</v>
      </c>
      <c r="S739">
        <v>1</v>
      </c>
      <c r="T739" t="s">
        <v>56</v>
      </c>
      <c r="U739" t="s">
        <v>42</v>
      </c>
      <c r="V739">
        <v>3.53</v>
      </c>
      <c r="W739">
        <v>1.51</v>
      </c>
      <c r="X739">
        <v>6.2</v>
      </c>
      <c r="Y739">
        <v>18.5</v>
      </c>
      <c r="Z739">
        <v>14.9</v>
      </c>
    </row>
    <row r="740" spans="1:26" x14ac:dyDescent="0.45">
      <c r="A740" t="s">
        <v>2136</v>
      </c>
      <c r="B740">
        <v>31</v>
      </c>
      <c r="C740" t="s">
        <v>45</v>
      </c>
      <c r="D740" t="s">
        <v>106</v>
      </c>
      <c r="E740" t="s">
        <v>30</v>
      </c>
      <c r="F740" t="s">
        <v>30</v>
      </c>
      <c r="G740" t="s">
        <v>48</v>
      </c>
      <c r="H740" t="s">
        <v>71</v>
      </c>
      <c r="I740" t="s">
        <v>132</v>
      </c>
      <c r="J740" t="s">
        <v>2137</v>
      </c>
      <c r="K740" t="s">
        <v>2059</v>
      </c>
      <c r="L740" t="s">
        <v>36</v>
      </c>
      <c r="M740" t="s">
        <v>40</v>
      </c>
      <c r="N740" t="s">
        <v>661</v>
      </c>
      <c r="O740" t="s">
        <v>36</v>
      </c>
      <c r="P740" t="s">
        <v>110</v>
      </c>
      <c r="Q740" t="s">
        <v>67</v>
      </c>
      <c r="R740">
        <v>59</v>
      </c>
      <c r="S740">
        <v>0</v>
      </c>
      <c r="T740" t="s">
        <v>85</v>
      </c>
      <c r="U740" t="s">
        <v>42</v>
      </c>
      <c r="V740">
        <v>4.01</v>
      </c>
      <c r="W740">
        <v>4.49</v>
      </c>
      <c r="X740">
        <v>5.5</v>
      </c>
      <c r="Y740">
        <v>19.100000000000001</v>
      </c>
      <c r="Z740">
        <v>13.5</v>
      </c>
    </row>
    <row r="741" spans="1:26" x14ac:dyDescent="0.45">
      <c r="A741" t="s">
        <v>2138</v>
      </c>
      <c r="B741">
        <v>58</v>
      </c>
      <c r="C741" t="s">
        <v>44</v>
      </c>
      <c r="D741" t="s">
        <v>87</v>
      </c>
      <c r="E741" t="s">
        <v>30</v>
      </c>
      <c r="F741" t="s">
        <v>47</v>
      </c>
      <c r="G741" t="s">
        <v>164</v>
      </c>
      <c r="H741" t="s">
        <v>81</v>
      </c>
      <c r="I741" t="s">
        <v>33</v>
      </c>
      <c r="J741" t="s">
        <v>50</v>
      </c>
      <c r="K741" t="s">
        <v>1583</v>
      </c>
      <c r="L741" t="s">
        <v>36</v>
      </c>
      <c r="M741" t="s">
        <v>723</v>
      </c>
      <c r="N741" t="s">
        <v>387</v>
      </c>
      <c r="O741" t="s">
        <v>36</v>
      </c>
      <c r="P741" t="s">
        <v>55</v>
      </c>
      <c r="Q741" t="s">
        <v>75</v>
      </c>
      <c r="R741">
        <v>67</v>
      </c>
      <c r="S741">
        <v>0</v>
      </c>
      <c r="T741" t="s">
        <v>123</v>
      </c>
      <c r="U741" t="s">
        <v>57</v>
      </c>
      <c r="V741">
        <v>1.75</v>
      </c>
      <c r="W741">
        <v>1.1000000000000001</v>
      </c>
      <c r="X741">
        <v>3.6</v>
      </c>
      <c r="Y741">
        <v>14</v>
      </c>
      <c r="Z741">
        <v>13.5</v>
      </c>
    </row>
    <row r="742" spans="1:26" x14ac:dyDescent="0.45">
      <c r="A742" t="s">
        <v>2139</v>
      </c>
      <c r="B742">
        <v>18</v>
      </c>
      <c r="C742" t="s">
        <v>44</v>
      </c>
      <c r="D742" t="s">
        <v>45</v>
      </c>
      <c r="E742" t="s">
        <v>46</v>
      </c>
      <c r="F742" t="s">
        <v>79</v>
      </c>
      <c r="G742" t="s">
        <v>112</v>
      </c>
      <c r="H742" t="s">
        <v>71</v>
      </c>
      <c r="I742" t="s">
        <v>132</v>
      </c>
      <c r="J742" t="s">
        <v>1055</v>
      </c>
      <c r="K742" t="s">
        <v>2140</v>
      </c>
      <c r="L742" t="s">
        <v>36</v>
      </c>
      <c r="M742" t="s">
        <v>2126</v>
      </c>
      <c r="N742" t="s">
        <v>1074</v>
      </c>
      <c r="O742" t="s">
        <v>36</v>
      </c>
      <c r="P742" t="s">
        <v>55</v>
      </c>
      <c r="Q742" t="s">
        <v>129</v>
      </c>
      <c r="R742">
        <v>97</v>
      </c>
      <c r="S742">
        <v>0</v>
      </c>
      <c r="T742" t="s">
        <v>56</v>
      </c>
      <c r="U742" t="s">
        <v>42</v>
      </c>
      <c r="V742">
        <v>4.4000000000000004</v>
      </c>
      <c r="W742">
        <v>1.78</v>
      </c>
      <c r="X742">
        <v>2.1</v>
      </c>
      <c r="Y742">
        <v>23.3</v>
      </c>
      <c r="Z742">
        <v>4.8</v>
      </c>
    </row>
    <row r="743" spans="1:26" x14ac:dyDescent="0.45">
      <c r="A743" t="s">
        <v>2141</v>
      </c>
      <c r="B743">
        <v>27</v>
      </c>
      <c r="C743" t="s">
        <v>45</v>
      </c>
      <c r="D743" t="s">
        <v>106</v>
      </c>
      <c r="E743" t="s">
        <v>163</v>
      </c>
      <c r="F743" t="s">
        <v>30</v>
      </c>
      <c r="G743" t="s">
        <v>96</v>
      </c>
      <c r="H743" t="s">
        <v>32</v>
      </c>
      <c r="I743" t="s">
        <v>33</v>
      </c>
      <c r="J743" t="s">
        <v>2142</v>
      </c>
      <c r="K743" t="s">
        <v>935</v>
      </c>
      <c r="L743" t="s">
        <v>64</v>
      </c>
      <c r="M743" t="s">
        <v>40</v>
      </c>
      <c r="N743" t="s">
        <v>797</v>
      </c>
      <c r="O743" t="s">
        <v>64</v>
      </c>
      <c r="P743" t="s">
        <v>110</v>
      </c>
      <c r="Q743" t="s">
        <v>75</v>
      </c>
      <c r="R743">
        <v>103</v>
      </c>
      <c r="S743">
        <v>0</v>
      </c>
      <c r="T743" t="s">
        <v>85</v>
      </c>
      <c r="U743" t="s">
        <v>42</v>
      </c>
      <c r="V743">
        <v>2.91</v>
      </c>
      <c r="W743">
        <v>3.34</v>
      </c>
      <c r="X743">
        <v>5.9</v>
      </c>
      <c r="Y743">
        <v>7.5</v>
      </c>
      <c r="Z743">
        <v>4</v>
      </c>
    </row>
    <row r="744" spans="1:26" x14ac:dyDescent="0.45">
      <c r="A744" t="s">
        <v>2143</v>
      </c>
      <c r="B744">
        <v>38</v>
      </c>
      <c r="C744" t="s">
        <v>27</v>
      </c>
      <c r="D744" t="s">
        <v>87</v>
      </c>
      <c r="E744" t="s">
        <v>30</v>
      </c>
      <c r="F744" t="s">
        <v>30</v>
      </c>
      <c r="G744" t="s">
        <v>152</v>
      </c>
      <c r="H744" t="s">
        <v>71</v>
      </c>
      <c r="I744" t="s">
        <v>33</v>
      </c>
      <c r="J744" t="s">
        <v>2144</v>
      </c>
      <c r="K744" t="s">
        <v>2145</v>
      </c>
      <c r="L744" t="s">
        <v>64</v>
      </c>
      <c r="M744" t="s">
        <v>1597</v>
      </c>
      <c r="N744" t="s">
        <v>962</v>
      </c>
      <c r="O744" t="s">
        <v>64</v>
      </c>
      <c r="P744" t="s">
        <v>110</v>
      </c>
      <c r="Q744" t="s">
        <v>75</v>
      </c>
      <c r="R744">
        <v>161</v>
      </c>
      <c r="S744">
        <v>0</v>
      </c>
      <c r="T744" t="s">
        <v>85</v>
      </c>
      <c r="U744" t="s">
        <v>42</v>
      </c>
      <c r="V744">
        <v>1.42</v>
      </c>
      <c r="W744">
        <v>3.34</v>
      </c>
      <c r="X744">
        <v>5.9</v>
      </c>
      <c r="Y744">
        <v>10.199999999999999</v>
      </c>
      <c r="Z744">
        <v>13.8</v>
      </c>
    </row>
    <row r="745" spans="1:26" x14ac:dyDescent="0.45">
      <c r="A745" t="s">
        <v>2146</v>
      </c>
      <c r="B745">
        <v>28</v>
      </c>
      <c r="C745" t="s">
        <v>44</v>
      </c>
      <c r="D745" t="s">
        <v>28</v>
      </c>
      <c r="E745" t="s">
        <v>78</v>
      </c>
      <c r="F745" t="s">
        <v>30</v>
      </c>
      <c r="G745" t="s">
        <v>246</v>
      </c>
      <c r="H745" t="s">
        <v>81</v>
      </c>
      <c r="I745" t="s">
        <v>49</v>
      </c>
      <c r="J745" t="s">
        <v>2147</v>
      </c>
      <c r="K745" t="s">
        <v>707</v>
      </c>
      <c r="L745" t="s">
        <v>52</v>
      </c>
      <c r="M745" t="s">
        <v>1398</v>
      </c>
      <c r="N745" t="s">
        <v>192</v>
      </c>
      <c r="O745" t="s">
        <v>52</v>
      </c>
      <c r="P745" t="s">
        <v>39</v>
      </c>
      <c r="Q745" t="s">
        <v>75</v>
      </c>
      <c r="R745">
        <v>77</v>
      </c>
      <c r="S745">
        <v>1</v>
      </c>
      <c r="T745" t="s">
        <v>123</v>
      </c>
      <c r="U745" t="s">
        <v>57</v>
      </c>
      <c r="V745">
        <v>4.28</v>
      </c>
      <c r="W745">
        <v>1.17</v>
      </c>
      <c r="X745">
        <v>5.5</v>
      </c>
      <c r="Y745">
        <v>18.399999999999999</v>
      </c>
      <c r="Z745">
        <v>7.3</v>
      </c>
    </row>
    <row r="746" spans="1:26" x14ac:dyDescent="0.45">
      <c r="A746" t="s">
        <v>2148</v>
      </c>
      <c r="B746">
        <v>53</v>
      </c>
      <c r="C746" t="s">
        <v>44</v>
      </c>
      <c r="D746" t="s">
        <v>87</v>
      </c>
      <c r="E746" t="s">
        <v>29</v>
      </c>
      <c r="F746" t="s">
        <v>47</v>
      </c>
      <c r="G746" t="s">
        <v>70</v>
      </c>
      <c r="H746" t="s">
        <v>81</v>
      </c>
      <c r="I746" t="s">
        <v>33</v>
      </c>
      <c r="J746" t="s">
        <v>127</v>
      </c>
      <c r="K746" t="s">
        <v>430</v>
      </c>
      <c r="L746" t="s">
        <v>36</v>
      </c>
      <c r="M746" t="s">
        <v>676</v>
      </c>
      <c r="N746" t="s">
        <v>358</v>
      </c>
      <c r="O746" t="s">
        <v>36</v>
      </c>
      <c r="P746" t="s">
        <v>110</v>
      </c>
      <c r="Q746" t="s">
        <v>75</v>
      </c>
      <c r="R746">
        <v>80</v>
      </c>
      <c r="S746">
        <v>0</v>
      </c>
      <c r="T746" t="s">
        <v>56</v>
      </c>
      <c r="U746" t="s">
        <v>42</v>
      </c>
      <c r="V746">
        <v>2.23</v>
      </c>
      <c r="W746">
        <v>3.45</v>
      </c>
      <c r="X746">
        <v>9.1</v>
      </c>
      <c r="Y746">
        <v>20.6</v>
      </c>
      <c r="Z746">
        <v>12.9</v>
      </c>
    </row>
    <row r="747" spans="1:26" x14ac:dyDescent="0.45">
      <c r="A747" t="s">
        <v>2149</v>
      </c>
      <c r="B747">
        <v>58</v>
      </c>
      <c r="C747" t="s">
        <v>45</v>
      </c>
      <c r="D747" t="s">
        <v>45</v>
      </c>
      <c r="E747" t="s">
        <v>163</v>
      </c>
      <c r="F747" t="s">
        <v>79</v>
      </c>
      <c r="G747" t="s">
        <v>60</v>
      </c>
      <c r="H747" t="s">
        <v>32</v>
      </c>
      <c r="I747" t="s">
        <v>49</v>
      </c>
      <c r="J747" t="s">
        <v>1892</v>
      </c>
      <c r="K747" t="s">
        <v>2150</v>
      </c>
      <c r="L747" t="s">
        <v>36</v>
      </c>
      <c r="M747" t="s">
        <v>282</v>
      </c>
      <c r="N747" t="s">
        <v>501</v>
      </c>
      <c r="O747" t="s">
        <v>36</v>
      </c>
      <c r="P747" t="s">
        <v>55</v>
      </c>
      <c r="Q747" t="s">
        <v>75</v>
      </c>
      <c r="R747">
        <v>39</v>
      </c>
      <c r="S747">
        <v>0</v>
      </c>
      <c r="T747" t="s">
        <v>123</v>
      </c>
      <c r="U747" t="s">
        <v>42</v>
      </c>
      <c r="V747">
        <v>3.92</v>
      </c>
      <c r="W747">
        <v>2.46</v>
      </c>
      <c r="X747">
        <v>6.8</v>
      </c>
      <c r="Y747">
        <v>14.4</v>
      </c>
      <c r="Z747">
        <v>6.2</v>
      </c>
    </row>
    <row r="748" spans="1:26" x14ac:dyDescent="0.45">
      <c r="A748" t="s">
        <v>2151</v>
      </c>
      <c r="B748">
        <v>39</v>
      </c>
      <c r="C748" t="s">
        <v>44</v>
      </c>
      <c r="D748" t="s">
        <v>45</v>
      </c>
      <c r="E748" t="s">
        <v>46</v>
      </c>
      <c r="F748" t="s">
        <v>30</v>
      </c>
      <c r="G748" t="s">
        <v>31</v>
      </c>
      <c r="H748" t="s">
        <v>32</v>
      </c>
      <c r="I748" t="s">
        <v>132</v>
      </c>
      <c r="J748" t="s">
        <v>2099</v>
      </c>
      <c r="K748" t="s">
        <v>2152</v>
      </c>
      <c r="L748" t="s">
        <v>36</v>
      </c>
      <c r="M748" t="s">
        <v>676</v>
      </c>
      <c r="N748" t="s">
        <v>1552</v>
      </c>
      <c r="O748" t="s">
        <v>36</v>
      </c>
      <c r="P748" t="s">
        <v>110</v>
      </c>
      <c r="Q748" t="s">
        <v>30</v>
      </c>
      <c r="R748">
        <v>77</v>
      </c>
      <c r="S748">
        <v>0</v>
      </c>
      <c r="T748" t="s">
        <v>41</v>
      </c>
      <c r="U748" t="s">
        <v>42</v>
      </c>
      <c r="V748">
        <v>3.81</v>
      </c>
      <c r="W748">
        <v>3.23</v>
      </c>
      <c r="X748">
        <v>4.2</v>
      </c>
      <c r="Y748">
        <v>22.4</v>
      </c>
      <c r="Z748">
        <v>3.4</v>
      </c>
    </row>
    <row r="749" spans="1:26" x14ac:dyDescent="0.45">
      <c r="A749" t="s">
        <v>2153</v>
      </c>
      <c r="B749">
        <v>52</v>
      </c>
      <c r="C749" t="s">
        <v>44</v>
      </c>
      <c r="D749" t="s">
        <v>106</v>
      </c>
      <c r="E749" t="s">
        <v>46</v>
      </c>
      <c r="F749" t="s">
        <v>30</v>
      </c>
      <c r="G749" t="s">
        <v>80</v>
      </c>
      <c r="H749" t="s">
        <v>61</v>
      </c>
      <c r="I749" t="s">
        <v>132</v>
      </c>
      <c r="J749" t="s">
        <v>2154</v>
      </c>
      <c r="K749" t="s">
        <v>461</v>
      </c>
      <c r="L749" t="s">
        <v>64</v>
      </c>
      <c r="M749" t="s">
        <v>75</v>
      </c>
      <c r="N749" t="s">
        <v>136</v>
      </c>
      <c r="O749" t="s">
        <v>64</v>
      </c>
      <c r="P749" t="s">
        <v>55</v>
      </c>
      <c r="Q749" t="s">
        <v>40</v>
      </c>
      <c r="R749">
        <v>75</v>
      </c>
      <c r="S749">
        <v>0</v>
      </c>
      <c r="T749" t="s">
        <v>137</v>
      </c>
      <c r="U749" t="s">
        <v>57</v>
      </c>
      <c r="V749">
        <v>2.2599999999999998</v>
      </c>
      <c r="W749">
        <v>1.23</v>
      </c>
      <c r="X749">
        <v>7.9</v>
      </c>
      <c r="Y749">
        <v>18.600000000000001</v>
      </c>
      <c r="Z749">
        <v>8.6</v>
      </c>
    </row>
    <row r="750" spans="1:26" x14ac:dyDescent="0.45">
      <c r="A750" t="s">
        <v>2155</v>
      </c>
      <c r="B750">
        <v>39</v>
      </c>
      <c r="C750" t="s">
        <v>45</v>
      </c>
      <c r="D750" t="s">
        <v>106</v>
      </c>
      <c r="E750" t="s">
        <v>78</v>
      </c>
      <c r="F750" t="s">
        <v>30</v>
      </c>
      <c r="G750" t="s">
        <v>60</v>
      </c>
      <c r="H750" t="s">
        <v>71</v>
      </c>
      <c r="I750" t="s">
        <v>132</v>
      </c>
      <c r="J750" t="s">
        <v>159</v>
      </c>
      <c r="K750" t="s">
        <v>2156</v>
      </c>
      <c r="L750" t="s">
        <v>64</v>
      </c>
      <c r="M750" t="s">
        <v>67</v>
      </c>
      <c r="N750" t="s">
        <v>759</v>
      </c>
      <c r="O750" t="s">
        <v>64</v>
      </c>
      <c r="P750" t="s">
        <v>39</v>
      </c>
      <c r="Q750" t="s">
        <v>75</v>
      </c>
      <c r="R750">
        <v>130</v>
      </c>
      <c r="S750">
        <v>1</v>
      </c>
      <c r="T750" t="s">
        <v>137</v>
      </c>
      <c r="U750" t="s">
        <v>57</v>
      </c>
      <c r="V750">
        <v>3.7</v>
      </c>
      <c r="W750">
        <v>2.58</v>
      </c>
      <c r="X750">
        <v>7.8</v>
      </c>
      <c r="Y750">
        <v>14.2</v>
      </c>
      <c r="Z750">
        <v>10</v>
      </c>
    </row>
    <row r="751" spans="1:26" x14ac:dyDescent="0.45">
      <c r="A751" t="s">
        <v>2157</v>
      </c>
      <c r="B751">
        <v>21</v>
      </c>
      <c r="C751" t="s">
        <v>45</v>
      </c>
      <c r="D751" t="s">
        <v>95</v>
      </c>
      <c r="E751" t="s">
        <v>29</v>
      </c>
      <c r="F751" t="s">
        <v>47</v>
      </c>
      <c r="G751" t="s">
        <v>178</v>
      </c>
      <c r="H751" t="s">
        <v>32</v>
      </c>
      <c r="I751" t="s">
        <v>49</v>
      </c>
      <c r="J751" t="s">
        <v>1234</v>
      </c>
      <c r="K751" t="s">
        <v>2158</v>
      </c>
      <c r="L751" t="s">
        <v>64</v>
      </c>
      <c r="M751" t="s">
        <v>37</v>
      </c>
      <c r="N751" t="s">
        <v>537</v>
      </c>
      <c r="O751" t="s">
        <v>64</v>
      </c>
      <c r="P751" t="s">
        <v>55</v>
      </c>
      <c r="Q751" t="s">
        <v>75</v>
      </c>
      <c r="R751">
        <v>60</v>
      </c>
      <c r="S751">
        <v>0</v>
      </c>
      <c r="T751" t="s">
        <v>85</v>
      </c>
      <c r="U751" t="s">
        <v>42</v>
      </c>
      <c r="V751">
        <v>4.74</v>
      </c>
      <c r="W751">
        <v>2</v>
      </c>
      <c r="X751">
        <v>2.1</v>
      </c>
      <c r="Y751">
        <v>16.5</v>
      </c>
      <c r="Z751">
        <v>19.5</v>
      </c>
    </row>
    <row r="752" spans="1:26" x14ac:dyDescent="0.45">
      <c r="A752" t="s">
        <v>2159</v>
      </c>
      <c r="B752">
        <v>32</v>
      </c>
      <c r="C752" t="s">
        <v>44</v>
      </c>
      <c r="D752" t="s">
        <v>45</v>
      </c>
      <c r="E752" t="s">
        <v>78</v>
      </c>
      <c r="F752" t="s">
        <v>79</v>
      </c>
      <c r="G752" t="s">
        <v>246</v>
      </c>
      <c r="H752" t="s">
        <v>32</v>
      </c>
      <c r="I752" t="s">
        <v>72</v>
      </c>
      <c r="J752" t="s">
        <v>2160</v>
      </c>
      <c r="K752" t="s">
        <v>1361</v>
      </c>
      <c r="L752" t="s">
        <v>52</v>
      </c>
      <c r="M752" t="s">
        <v>697</v>
      </c>
      <c r="N752" t="s">
        <v>222</v>
      </c>
      <c r="O752" t="s">
        <v>52</v>
      </c>
      <c r="P752" t="s">
        <v>55</v>
      </c>
      <c r="Q752" t="s">
        <v>40</v>
      </c>
      <c r="R752">
        <v>57</v>
      </c>
      <c r="S752">
        <v>0</v>
      </c>
      <c r="T752" t="s">
        <v>137</v>
      </c>
      <c r="U752" t="s">
        <v>57</v>
      </c>
      <c r="V752">
        <v>2.5099999999999998</v>
      </c>
      <c r="W752">
        <v>1.25</v>
      </c>
      <c r="X752">
        <v>4.0999999999999996</v>
      </c>
      <c r="Y752">
        <v>15.1</v>
      </c>
      <c r="Z752">
        <v>5.8</v>
      </c>
    </row>
    <row r="753" spans="1:26" x14ac:dyDescent="0.45">
      <c r="A753" t="s">
        <v>2161</v>
      </c>
      <c r="B753">
        <v>43</v>
      </c>
      <c r="C753" t="s">
        <v>27</v>
      </c>
      <c r="D753" t="s">
        <v>106</v>
      </c>
      <c r="E753" t="s">
        <v>46</v>
      </c>
      <c r="F753" t="s">
        <v>79</v>
      </c>
      <c r="G753" t="s">
        <v>48</v>
      </c>
      <c r="H753" t="s">
        <v>81</v>
      </c>
      <c r="I753" t="s">
        <v>49</v>
      </c>
      <c r="J753" t="s">
        <v>561</v>
      </c>
      <c r="K753" t="s">
        <v>210</v>
      </c>
      <c r="L753" t="s">
        <v>92</v>
      </c>
      <c r="M753" t="s">
        <v>75</v>
      </c>
      <c r="N753" t="s">
        <v>1025</v>
      </c>
      <c r="O753" t="s">
        <v>92</v>
      </c>
      <c r="P753" t="s">
        <v>39</v>
      </c>
      <c r="Q753" t="s">
        <v>129</v>
      </c>
      <c r="R753">
        <v>102</v>
      </c>
      <c r="S753">
        <v>1</v>
      </c>
      <c r="T753" t="s">
        <v>123</v>
      </c>
      <c r="U753" t="s">
        <v>42</v>
      </c>
      <c r="V753">
        <v>3.63</v>
      </c>
      <c r="W753">
        <v>4.99</v>
      </c>
      <c r="X753">
        <v>5.0999999999999996</v>
      </c>
      <c r="Y753">
        <v>12.4</v>
      </c>
      <c r="Z753">
        <v>9.8000000000000007</v>
      </c>
    </row>
    <row r="754" spans="1:26" x14ac:dyDescent="0.45">
      <c r="A754" t="s">
        <v>2162</v>
      </c>
      <c r="B754">
        <v>63</v>
      </c>
      <c r="C754" t="s">
        <v>27</v>
      </c>
      <c r="D754" t="s">
        <v>95</v>
      </c>
      <c r="E754" t="s">
        <v>78</v>
      </c>
      <c r="F754" t="s">
        <v>30</v>
      </c>
      <c r="G754" t="s">
        <v>102</v>
      </c>
      <c r="H754" t="s">
        <v>81</v>
      </c>
      <c r="I754" t="s">
        <v>49</v>
      </c>
      <c r="J754" t="s">
        <v>2163</v>
      </c>
      <c r="K754" t="s">
        <v>2164</v>
      </c>
      <c r="L754" t="s">
        <v>36</v>
      </c>
      <c r="M754" t="s">
        <v>30</v>
      </c>
      <c r="N754" t="s">
        <v>188</v>
      </c>
      <c r="O754" t="s">
        <v>36</v>
      </c>
      <c r="P754" t="s">
        <v>39</v>
      </c>
      <c r="Q754" t="s">
        <v>67</v>
      </c>
      <c r="R754">
        <v>161</v>
      </c>
      <c r="S754">
        <v>1</v>
      </c>
      <c r="T754" t="s">
        <v>85</v>
      </c>
      <c r="U754" t="s">
        <v>57</v>
      </c>
      <c r="V754">
        <v>1.46</v>
      </c>
      <c r="W754">
        <v>4.53</v>
      </c>
      <c r="X754">
        <v>4.7</v>
      </c>
      <c r="Y754">
        <v>13</v>
      </c>
      <c r="Z754">
        <v>14.2</v>
      </c>
    </row>
    <row r="755" spans="1:26" x14ac:dyDescent="0.45">
      <c r="A755" t="s">
        <v>2165</v>
      </c>
      <c r="B755">
        <v>69</v>
      </c>
      <c r="C755" t="s">
        <v>27</v>
      </c>
      <c r="D755" t="s">
        <v>106</v>
      </c>
      <c r="E755" t="s">
        <v>30</v>
      </c>
      <c r="F755" t="s">
        <v>30</v>
      </c>
      <c r="G755" t="s">
        <v>48</v>
      </c>
      <c r="H755" t="s">
        <v>81</v>
      </c>
      <c r="I755" t="s">
        <v>49</v>
      </c>
      <c r="J755" t="s">
        <v>1652</v>
      </c>
      <c r="K755" t="s">
        <v>2166</v>
      </c>
      <c r="L755" t="s">
        <v>36</v>
      </c>
      <c r="M755" t="s">
        <v>167</v>
      </c>
      <c r="N755" t="s">
        <v>2167</v>
      </c>
      <c r="O755" t="s">
        <v>36</v>
      </c>
      <c r="P755" t="s">
        <v>39</v>
      </c>
      <c r="Q755" t="s">
        <v>40</v>
      </c>
      <c r="R755">
        <v>116</v>
      </c>
      <c r="S755">
        <v>1</v>
      </c>
      <c r="T755" t="s">
        <v>85</v>
      </c>
      <c r="U755" t="s">
        <v>57</v>
      </c>
      <c r="V755">
        <v>2.77</v>
      </c>
      <c r="W755">
        <v>3.59</v>
      </c>
      <c r="X755">
        <v>1.6</v>
      </c>
      <c r="Y755">
        <v>20.6</v>
      </c>
      <c r="Z755">
        <v>19</v>
      </c>
    </row>
    <row r="756" spans="1:26" x14ac:dyDescent="0.45">
      <c r="A756" t="s">
        <v>2168</v>
      </c>
      <c r="B756">
        <v>53</v>
      </c>
      <c r="C756" t="s">
        <v>45</v>
      </c>
      <c r="D756" t="s">
        <v>28</v>
      </c>
      <c r="E756" t="s">
        <v>29</v>
      </c>
      <c r="F756" t="s">
        <v>59</v>
      </c>
      <c r="G756" t="s">
        <v>31</v>
      </c>
      <c r="H756" t="s">
        <v>32</v>
      </c>
      <c r="I756" t="s">
        <v>72</v>
      </c>
      <c r="J756" t="s">
        <v>2169</v>
      </c>
      <c r="K756" t="s">
        <v>2170</v>
      </c>
      <c r="L756" t="s">
        <v>92</v>
      </c>
      <c r="M756" t="s">
        <v>40</v>
      </c>
      <c r="N756" t="s">
        <v>1062</v>
      </c>
      <c r="O756" t="s">
        <v>92</v>
      </c>
      <c r="P756" t="s">
        <v>39</v>
      </c>
      <c r="Q756" t="s">
        <v>67</v>
      </c>
      <c r="R756">
        <v>31</v>
      </c>
      <c r="S756">
        <v>1</v>
      </c>
      <c r="T756" t="s">
        <v>123</v>
      </c>
      <c r="U756" t="s">
        <v>42</v>
      </c>
      <c r="V756">
        <v>3.6</v>
      </c>
      <c r="W756">
        <v>4.82</v>
      </c>
      <c r="X756">
        <v>2.4</v>
      </c>
      <c r="Y756">
        <v>14.6</v>
      </c>
      <c r="Z756">
        <v>13.2</v>
      </c>
    </row>
    <row r="757" spans="1:26" x14ac:dyDescent="0.45">
      <c r="A757" t="s">
        <v>2171</v>
      </c>
      <c r="B757">
        <v>37</v>
      </c>
      <c r="C757" t="s">
        <v>44</v>
      </c>
      <c r="D757" t="s">
        <v>28</v>
      </c>
      <c r="E757" t="s">
        <v>46</v>
      </c>
      <c r="F757" t="s">
        <v>30</v>
      </c>
      <c r="G757" t="s">
        <v>60</v>
      </c>
      <c r="H757" t="s">
        <v>61</v>
      </c>
      <c r="I757" t="s">
        <v>72</v>
      </c>
      <c r="J757" t="s">
        <v>2172</v>
      </c>
      <c r="K757" t="s">
        <v>771</v>
      </c>
      <c r="L757" t="s">
        <v>64</v>
      </c>
      <c r="M757" t="s">
        <v>274</v>
      </c>
      <c r="N757" t="s">
        <v>54</v>
      </c>
      <c r="O757" t="s">
        <v>64</v>
      </c>
      <c r="P757" t="s">
        <v>55</v>
      </c>
      <c r="Q757" t="s">
        <v>30</v>
      </c>
      <c r="R757">
        <v>153</v>
      </c>
      <c r="S757">
        <v>0</v>
      </c>
      <c r="T757" t="s">
        <v>123</v>
      </c>
      <c r="U757" t="s">
        <v>42</v>
      </c>
      <c r="V757">
        <v>3.33</v>
      </c>
      <c r="W757">
        <v>2.61</v>
      </c>
      <c r="X757">
        <v>4</v>
      </c>
      <c r="Y757">
        <v>8.3000000000000007</v>
      </c>
      <c r="Z757">
        <v>9.6999999999999993</v>
      </c>
    </row>
    <row r="758" spans="1:26" x14ac:dyDescent="0.45">
      <c r="A758" t="s">
        <v>2173</v>
      </c>
      <c r="B758">
        <v>72</v>
      </c>
      <c r="C758" t="s">
        <v>45</v>
      </c>
      <c r="D758" t="s">
        <v>106</v>
      </c>
      <c r="E758" t="s">
        <v>163</v>
      </c>
      <c r="F758" t="s">
        <v>59</v>
      </c>
      <c r="G758" t="s">
        <v>246</v>
      </c>
      <c r="H758" t="s">
        <v>81</v>
      </c>
      <c r="I758" t="s">
        <v>33</v>
      </c>
      <c r="J758" t="s">
        <v>2174</v>
      </c>
      <c r="K758" t="s">
        <v>1240</v>
      </c>
      <c r="L758" t="s">
        <v>52</v>
      </c>
      <c r="M758" t="s">
        <v>469</v>
      </c>
      <c r="N758" t="s">
        <v>711</v>
      </c>
      <c r="O758" t="s">
        <v>52</v>
      </c>
      <c r="P758" t="s">
        <v>110</v>
      </c>
      <c r="Q758" t="s">
        <v>40</v>
      </c>
      <c r="R758">
        <v>104</v>
      </c>
      <c r="S758">
        <v>0</v>
      </c>
      <c r="T758" t="s">
        <v>56</v>
      </c>
      <c r="U758" t="s">
        <v>42</v>
      </c>
      <c r="V758">
        <v>1.65</v>
      </c>
      <c r="W758">
        <v>3.94</v>
      </c>
      <c r="X758">
        <v>2.9</v>
      </c>
      <c r="Y758">
        <v>7.1</v>
      </c>
      <c r="Z758">
        <v>12.4</v>
      </c>
    </row>
    <row r="759" spans="1:26" x14ac:dyDescent="0.45">
      <c r="A759" t="s">
        <v>2175</v>
      </c>
      <c r="B759">
        <v>18</v>
      </c>
      <c r="C759" t="s">
        <v>27</v>
      </c>
      <c r="D759" t="s">
        <v>28</v>
      </c>
      <c r="E759" t="s">
        <v>29</v>
      </c>
      <c r="F759" t="s">
        <v>30</v>
      </c>
      <c r="G759" t="s">
        <v>112</v>
      </c>
      <c r="H759" t="s">
        <v>32</v>
      </c>
      <c r="I759" t="s">
        <v>132</v>
      </c>
      <c r="J759" t="s">
        <v>2176</v>
      </c>
      <c r="K759" t="s">
        <v>666</v>
      </c>
      <c r="L759" t="s">
        <v>52</v>
      </c>
      <c r="M759" t="s">
        <v>226</v>
      </c>
      <c r="N759" t="s">
        <v>227</v>
      </c>
      <c r="O759" t="s">
        <v>52</v>
      </c>
      <c r="P759" t="s">
        <v>39</v>
      </c>
      <c r="Q759" t="s">
        <v>129</v>
      </c>
      <c r="R759">
        <v>62</v>
      </c>
      <c r="S759">
        <v>1</v>
      </c>
      <c r="T759" t="s">
        <v>41</v>
      </c>
      <c r="U759" t="s">
        <v>42</v>
      </c>
      <c r="V759">
        <v>3.38</v>
      </c>
      <c r="W759">
        <v>4.49</v>
      </c>
      <c r="X759">
        <v>6.2</v>
      </c>
      <c r="Y759">
        <v>12.2</v>
      </c>
      <c r="Z759">
        <v>16.7</v>
      </c>
    </row>
    <row r="760" spans="1:26" x14ac:dyDescent="0.45">
      <c r="A760" t="s">
        <v>2177</v>
      </c>
      <c r="B760">
        <v>18</v>
      </c>
      <c r="C760" t="s">
        <v>45</v>
      </c>
      <c r="D760" t="s">
        <v>28</v>
      </c>
      <c r="E760" t="s">
        <v>29</v>
      </c>
      <c r="F760" t="s">
        <v>47</v>
      </c>
      <c r="G760" t="s">
        <v>164</v>
      </c>
      <c r="H760" t="s">
        <v>61</v>
      </c>
      <c r="I760" t="s">
        <v>72</v>
      </c>
      <c r="J760" t="s">
        <v>2178</v>
      </c>
      <c r="K760" t="s">
        <v>2179</v>
      </c>
      <c r="L760" t="s">
        <v>52</v>
      </c>
      <c r="M760" t="s">
        <v>1526</v>
      </c>
      <c r="N760" t="s">
        <v>513</v>
      </c>
      <c r="O760" t="s">
        <v>52</v>
      </c>
      <c r="P760" t="s">
        <v>110</v>
      </c>
      <c r="Q760" t="s">
        <v>67</v>
      </c>
      <c r="R760">
        <v>150</v>
      </c>
      <c r="S760">
        <v>0</v>
      </c>
      <c r="T760" t="s">
        <v>56</v>
      </c>
      <c r="U760" t="s">
        <v>42</v>
      </c>
      <c r="V760">
        <v>3.16</v>
      </c>
      <c r="W760">
        <v>1.32</v>
      </c>
      <c r="X760">
        <v>6.1</v>
      </c>
      <c r="Y760">
        <v>22.3</v>
      </c>
      <c r="Z760">
        <v>9.6999999999999993</v>
      </c>
    </row>
    <row r="761" spans="1:26" x14ac:dyDescent="0.45">
      <c r="A761" t="s">
        <v>2180</v>
      </c>
      <c r="B761">
        <v>76</v>
      </c>
      <c r="C761" t="s">
        <v>27</v>
      </c>
      <c r="D761" t="s">
        <v>106</v>
      </c>
      <c r="E761" t="s">
        <v>30</v>
      </c>
      <c r="F761" t="s">
        <v>59</v>
      </c>
      <c r="G761" t="s">
        <v>184</v>
      </c>
      <c r="H761" t="s">
        <v>32</v>
      </c>
      <c r="I761" t="s">
        <v>132</v>
      </c>
      <c r="J761" t="s">
        <v>580</v>
      </c>
      <c r="K761" t="s">
        <v>2181</v>
      </c>
      <c r="L761" t="s">
        <v>92</v>
      </c>
      <c r="M761" t="s">
        <v>37</v>
      </c>
      <c r="N761" t="s">
        <v>1220</v>
      </c>
      <c r="O761" t="s">
        <v>92</v>
      </c>
      <c r="P761" t="s">
        <v>110</v>
      </c>
      <c r="Q761" t="s">
        <v>40</v>
      </c>
      <c r="R761">
        <v>127</v>
      </c>
      <c r="S761">
        <v>0</v>
      </c>
      <c r="T761" t="s">
        <v>85</v>
      </c>
      <c r="U761" t="s">
        <v>42</v>
      </c>
      <c r="V761">
        <v>2.19</v>
      </c>
      <c r="W761">
        <v>1.57</v>
      </c>
      <c r="X761">
        <v>2.4</v>
      </c>
      <c r="Y761">
        <v>13.8</v>
      </c>
      <c r="Z761">
        <v>13.1</v>
      </c>
    </row>
    <row r="762" spans="1:26" x14ac:dyDescent="0.45">
      <c r="A762" t="s">
        <v>2182</v>
      </c>
      <c r="B762">
        <v>31</v>
      </c>
      <c r="C762" t="s">
        <v>44</v>
      </c>
      <c r="D762" t="s">
        <v>87</v>
      </c>
      <c r="E762" t="s">
        <v>29</v>
      </c>
      <c r="F762" t="s">
        <v>30</v>
      </c>
      <c r="G762" t="s">
        <v>440</v>
      </c>
      <c r="H762" t="s">
        <v>61</v>
      </c>
      <c r="I762" t="s">
        <v>33</v>
      </c>
      <c r="J762" t="s">
        <v>1810</v>
      </c>
      <c r="K762" t="s">
        <v>210</v>
      </c>
      <c r="L762" t="s">
        <v>52</v>
      </c>
      <c r="M762" t="s">
        <v>40</v>
      </c>
      <c r="N762" t="s">
        <v>353</v>
      </c>
      <c r="O762" t="s">
        <v>52</v>
      </c>
      <c r="P762" t="s">
        <v>110</v>
      </c>
      <c r="Q762" t="s">
        <v>67</v>
      </c>
      <c r="R762">
        <v>174</v>
      </c>
      <c r="S762">
        <v>0</v>
      </c>
      <c r="T762" t="s">
        <v>85</v>
      </c>
      <c r="U762" t="s">
        <v>42</v>
      </c>
      <c r="V762">
        <v>1.32</v>
      </c>
      <c r="W762">
        <v>4.76</v>
      </c>
      <c r="X762">
        <v>7.8</v>
      </c>
      <c r="Y762">
        <v>16.600000000000001</v>
      </c>
      <c r="Z762">
        <v>17.100000000000001</v>
      </c>
    </row>
    <row r="763" spans="1:26" x14ac:dyDescent="0.45">
      <c r="A763" t="s">
        <v>2183</v>
      </c>
      <c r="B763">
        <v>21</v>
      </c>
      <c r="C763" t="s">
        <v>44</v>
      </c>
      <c r="D763" t="s">
        <v>106</v>
      </c>
      <c r="E763" t="s">
        <v>46</v>
      </c>
      <c r="F763" t="s">
        <v>69</v>
      </c>
      <c r="G763" t="s">
        <v>152</v>
      </c>
      <c r="H763" t="s">
        <v>71</v>
      </c>
      <c r="I763" t="s">
        <v>33</v>
      </c>
      <c r="J763" t="s">
        <v>2184</v>
      </c>
      <c r="K763" t="s">
        <v>2185</v>
      </c>
      <c r="L763" t="s">
        <v>64</v>
      </c>
      <c r="M763" t="s">
        <v>226</v>
      </c>
      <c r="N763" t="s">
        <v>1038</v>
      </c>
      <c r="O763" t="s">
        <v>64</v>
      </c>
      <c r="P763" t="s">
        <v>39</v>
      </c>
      <c r="Q763" t="s">
        <v>75</v>
      </c>
      <c r="R763">
        <v>170</v>
      </c>
      <c r="S763">
        <v>1</v>
      </c>
      <c r="T763" t="s">
        <v>41</v>
      </c>
      <c r="U763" t="s">
        <v>42</v>
      </c>
      <c r="V763">
        <v>1.32</v>
      </c>
      <c r="W763">
        <v>2.91</v>
      </c>
      <c r="X763">
        <v>6.7</v>
      </c>
      <c r="Y763">
        <v>20.9</v>
      </c>
      <c r="Z763">
        <v>16.3</v>
      </c>
    </row>
    <row r="764" spans="1:26" x14ac:dyDescent="0.45">
      <c r="A764" t="s">
        <v>2186</v>
      </c>
      <c r="B764">
        <v>39</v>
      </c>
      <c r="C764" t="s">
        <v>44</v>
      </c>
      <c r="D764" t="s">
        <v>28</v>
      </c>
      <c r="E764" t="s">
        <v>46</v>
      </c>
      <c r="F764" t="s">
        <v>30</v>
      </c>
      <c r="G764" t="s">
        <v>178</v>
      </c>
      <c r="H764" t="s">
        <v>71</v>
      </c>
      <c r="I764" t="s">
        <v>132</v>
      </c>
      <c r="J764" t="s">
        <v>248</v>
      </c>
      <c r="K764" t="s">
        <v>2187</v>
      </c>
      <c r="L764" t="s">
        <v>92</v>
      </c>
      <c r="M764" t="s">
        <v>500</v>
      </c>
      <c r="N764" t="s">
        <v>1253</v>
      </c>
      <c r="O764" t="s">
        <v>92</v>
      </c>
      <c r="P764" t="s">
        <v>39</v>
      </c>
      <c r="Q764" t="s">
        <v>40</v>
      </c>
      <c r="R764">
        <v>104</v>
      </c>
      <c r="S764">
        <v>1</v>
      </c>
      <c r="T764" t="s">
        <v>41</v>
      </c>
      <c r="U764" t="s">
        <v>42</v>
      </c>
      <c r="V764">
        <v>2.11</v>
      </c>
      <c r="W764">
        <v>4.76</v>
      </c>
      <c r="X764">
        <v>2.1</v>
      </c>
      <c r="Y764">
        <v>21.8</v>
      </c>
      <c r="Z764">
        <v>19.5</v>
      </c>
    </row>
    <row r="765" spans="1:26" x14ac:dyDescent="0.45">
      <c r="A765" t="s">
        <v>2188</v>
      </c>
      <c r="B765">
        <v>60</v>
      </c>
      <c r="C765" t="s">
        <v>44</v>
      </c>
      <c r="D765" t="s">
        <v>28</v>
      </c>
      <c r="E765" t="s">
        <v>29</v>
      </c>
      <c r="F765" t="s">
        <v>30</v>
      </c>
      <c r="G765" t="s">
        <v>70</v>
      </c>
      <c r="H765" t="s">
        <v>61</v>
      </c>
      <c r="I765" t="s">
        <v>72</v>
      </c>
      <c r="J765" t="s">
        <v>1815</v>
      </c>
      <c r="K765" t="s">
        <v>1093</v>
      </c>
      <c r="L765" t="s">
        <v>36</v>
      </c>
      <c r="M765" t="s">
        <v>67</v>
      </c>
      <c r="N765" t="s">
        <v>507</v>
      </c>
      <c r="O765" t="s">
        <v>36</v>
      </c>
      <c r="P765" t="s">
        <v>39</v>
      </c>
      <c r="Q765" t="s">
        <v>40</v>
      </c>
      <c r="R765">
        <v>47</v>
      </c>
      <c r="S765">
        <v>1</v>
      </c>
      <c r="T765" t="s">
        <v>41</v>
      </c>
      <c r="U765" t="s">
        <v>42</v>
      </c>
      <c r="V765">
        <v>1.71</v>
      </c>
      <c r="W765">
        <v>3.89</v>
      </c>
      <c r="X765">
        <v>1.4</v>
      </c>
      <c r="Y765">
        <v>13.3</v>
      </c>
      <c r="Z765">
        <v>11.8</v>
      </c>
    </row>
    <row r="766" spans="1:26" x14ac:dyDescent="0.45">
      <c r="A766" t="s">
        <v>2189</v>
      </c>
      <c r="B766">
        <v>60</v>
      </c>
      <c r="C766" t="s">
        <v>27</v>
      </c>
      <c r="D766" t="s">
        <v>45</v>
      </c>
      <c r="E766" t="s">
        <v>78</v>
      </c>
      <c r="F766" t="s">
        <v>30</v>
      </c>
      <c r="G766" t="s">
        <v>70</v>
      </c>
      <c r="H766" t="s">
        <v>61</v>
      </c>
      <c r="I766" t="s">
        <v>72</v>
      </c>
      <c r="J766" t="s">
        <v>980</v>
      </c>
      <c r="K766" t="s">
        <v>2190</v>
      </c>
      <c r="L766" t="s">
        <v>52</v>
      </c>
      <c r="M766" t="s">
        <v>309</v>
      </c>
      <c r="N766" t="s">
        <v>116</v>
      </c>
      <c r="O766" t="s">
        <v>52</v>
      </c>
      <c r="P766" t="s">
        <v>39</v>
      </c>
      <c r="Q766" t="s">
        <v>129</v>
      </c>
      <c r="R766">
        <v>64</v>
      </c>
      <c r="S766">
        <v>1</v>
      </c>
      <c r="T766" t="s">
        <v>137</v>
      </c>
      <c r="U766" t="s">
        <v>57</v>
      </c>
      <c r="V766">
        <v>3.32</v>
      </c>
      <c r="W766">
        <v>4.74</v>
      </c>
      <c r="X766">
        <v>7.1</v>
      </c>
      <c r="Y766">
        <v>14.7</v>
      </c>
      <c r="Z766">
        <v>16.8</v>
      </c>
    </row>
    <row r="767" spans="1:26" x14ac:dyDescent="0.45">
      <c r="A767" t="s">
        <v>2191</v>
      </c>
      <c r="B767">
        <v>24</v>
      </c>
      <c r="C767" t="s">
        <v>45</v>
      </c>
      <c r="D767" t="s">
        <v>106</v>
      </c>
      <c r="E767" t="s">
        <v>46</v>
      </c>
      <c r="F767" t="s">
        <v>88</v>
      </c>
      <c r="G767" t="s">
        <v>184</v>
      </c>
      <c r="H767" t="s">
        <v>81</v>
      </c>
      <c r="I767" t="s">
        <v>33</v>
      </c>
      <c r="J767" t="s">
        <v>2192</v>
      </c>
      <c r="K767" t="s">
        <v>2193</v>
      </c>
      <c r="L767" t="s">
        <v>36</v>
      </c>
      <c r="M767" t="s">
        <v>121</v>
      </c>
      <c r="N767" t="s">
        <v>254</v>
      </c>
      <c r="O767" t="s">
        <v>36</v>
      </c>
      <c r="P767" t="s">
        <v>110</v>
      </c>
      <c r="Q767" t="s">
        <v>30</v>
      </c>
      <c r="R767">
        <v>77</v>
      </c>
      <c r="S767">
        <v>0</v>
      </c>
      <c r="T767" t="s">
        <v>41</v>
      </c>
      <c r="U767" t="s">
        <v>57</v>
      </c>
      <c r="V767">
        <v>4.8</v>
      </c>
      <c r="W767">
        <v>1.0900000000000001</v>
      </c>
      <c r="X767">
        <v>9.8000000000000007</v>
      </c>
      <c r="Y767">
        <v>7.6</v>
      </c>
      <c r="Z767">
        <v>16.8</v>
      </c>
    </row>
    <row r="768" spans="1:26" x14ac:dyDescent="0.45">
      <c r="A768" t="s">
        <v>2194</v>
      </c>
      <c r="B768">
        <v>25</v>
      </c>
      <c r="C768" t="s">
        <v>27</v>
      </c>
      <c r="D768" t="s">
        <v>106</v>
      </c>
      <c r="E768" t="s">
        <v>163</v>
      </c>
      <c r="F768" t="s">
        <v>59</v>
      </c>
      <c r="G768" t="s">
        <v>60</v>
      </c>
      <c r="H768" t="s">
        <v>81</v>
      </c>
      <c r="I768" t="s">
        <v>49</v>
      </c>
      <c r="J768" t="s">
        <v>1158</v>
      </c>
      <c r="K768" t="s">
        <v>2195</v>
      </c>
      <c r="L768" t="s">
        <v>36</v>
      </c>
      <c r="M768" t="s">
        <v>30</v>
      </c>
      <c r="N768" t="s">
        <v>1083</v>
      </c>
      <c r="O768" t="s">
        <v>36</v>
      </c>
      <c r="P768" t="s">
        <v>39</v>
      </c>
      <c r="Q768" t="s">
        <v>75</v>
      </c>
      <c r="R768">
        <v>53</v>
      </c>
      <c r="S768">
        <v>1</v>
      </c>
      <c r="T768" t="s">
        <v>123</v>
      </c>
      <c r="U768" t="s">
        <v>42</v>
      </c>
      <c r="V768">
        <v>2.12</v>
      </c>
      <c r="W768">
        <v>1.53</v>
      </c>
      <c r="X768">
        <v>5</v>
      </c>
      <c r="Y768">
        <v>17.600000000000001</v>
      </c>
      <c r="Z768">
        <v>9.5</v>
      </c>
    </row>
    <row r="769" spans="1:26" x14ac:dyDescent="0.45">
      <c r="A769" t="s">
        <v>2196</v>
      </c>
      <c r="B769">
        <v>39</v>
      </c>
      <c r="C769" t="s">
        <v>45</v>
      </c>
      <c r="D769" t="s">
        <v>45</v>
      </c>
      <c r="E769" t="s">
        <v>30</v>
      </c>
      <c r="F769" t="s">
        <v>30</v>
      </c>
      <c r="G769" t="s">
        <v>125</v>
      </c>
      <c r="H769" t="s">
        <v>32</v>
      </c>
      <c r="I769" t="s">
        <v>72</v>
      </c>
      <c r="J769" t="s">
        <v>836</v>
      </c>
      <c r="K769" t="s">
        <v>1065</v>
      </c>
      <c r="L769" t="s">
        <v>52</v>
      </c>
      <c r="M769" t="s">
        <v>75</v>
      </c>
      <c r="N769" t="s">
        <v>997</v>
      </c>
      <c r="O769" t="s">
        <v>52</v>
      </c>
      <c r="P769" t="s">
        <v>39</v>
      </c>
      <c r="Q769" t="s">
        <v>75</v>
      </c>
      <c r="R769">
        <v>136</v>
      </c>
      <c r="S769">
        <v>1</v>
      </c>
      <c r="T769" t="s">
        <v>56</v>
      </c>
      <c r="U769" t="s">
        <v>42</v>
      </c>
      <c r="V769">
        <v>1.22</v>
      </c>
      <c r="W769">
        <v>3.4</v>
      </c>
      <c r="X769">
        <v>9.1</v>
      </c>
      <c r="Y769">
        <v>12.9</v>
      </c>
      <c r="Z769">
        <v>6.7</v>
      </c>
    </row>
    <row r="770" spans="1:26" x14ac:dyDescent="0.45">
      <c r="A770" t="s">
        <v>2197</v>
      </c>
      <c r="B770">
        <v>44</v>
      </c>
      <c r="C770" t="s">
        <v>45</v>
      </c>
      <c r="D770" t="s">
        <v>45</v>
      </c>
      <c r="E770" t="s">
        <v>78</v>
      </c>
      <c r="F770" t="s">
        <v>88</v>
      </c>
      <c r="G770" t="s">
        <v>96</v>
      </c>
      <c r="H770" t="s">
        <v>81</v>
      </c>
      <c r="I770" t="s">
        <v>49</v>
      </c>
      <c r="J770" t="s">
        <v>506</v>
      </c>
      <c r="K770" t="s">
        <v>2198</v>
      </c>
      <c r="L770" t="s">
        <v>52</v>
      </c>
      <c r="M770" t="s">
        <v>129</v>
      </c>
      <c r="N770" t="s">
        <v>501</v>
      </c>
      <c r="O770" t="s">
        <v>52</v>
      </c>
      <c r="P770" t="s">
        <v>110</v>
      </c>
      <c r="Q770" t="s">
        <v>40</v>
      </c>
      <c r="R770">
        <v>134</v>
      </c>
      <c r="S770">
        <v>0</v>
      </c>
      <c r="T770" t="s">
        <v>56</v>
      </c>
      <c r="U770" t="s">
        <v>42</v>
      </c>
      <c r="V770">
        <v>2.77</v>
      </c>
      <c r="W770">
        <v>1.19</v>
      </c>
      <c r="X770">
        <v>8.4</v>
      </c>
      <c r="Y770">
        <v>20.9</v>
      </c>
      <c r="Z770">
        <v>13</v>
      </c>
    </row>
    <row r="771" spans="1:26" x14ac:dyDescent="0.45">
      <c r="A771" t="s">
        <v>2199</v>
      </c>
      <c r="B771">
        <v>24</v>
      </c>
      <c r="C771" t="s">
        <v>27</v>
      </c>
      <c r="D771" t="s">
        <v>45</v>
      </c>
      <c r="E771" t="s">
        <v>163</v>
      </c>
      <c r="F771" t="s">
        <v>47</v>
      </c>
      <c r="G771" t="s">
        <v>131</v>
      </c>
      <c r="H771" t="s">
        <v>61</v>
      </c>
      <c r="I771" t="s">
        <v>72</v>
      </c>
      <c r="J771" t="s">
        <v>1261</v>
      </c>
      <c r="K771" t="s">
        <v>675</v>
      </c>
      <c r="L771" t="s">
        <v>92</v>
      </c>
      <c r="M771" t="s">
        <v>121</v>
      </c>
      <c r="N771" t="s">
        <v>1031</v>
      </c>
      <c r="O771" t="s">
        <v>92</v>
      </c>
      <c r="P771" t="s">
        <v>110</v>
      </c>
      <c r="Q771" t="s">
        <v>75</v>
      </c>
      <c r="R771">
        <v>142</v>
      </c>
      <c r="S771">
        <v>0</v>
      </c>
      <c r="T771" t="s">
        <v>41</v>
      </c>
      <c r="U771" t="s">
        <v>42</v>
      </c>
      <c r="V771">
        <v>2.41</v>
      </c>
      <c r="W771">
        <v>4.2</v>
      </c>
      <c r="X771">
        <v>6</v>
      </c>
      <c r="Y771">
        <v>20.9</v>
      </c>
      <c r="Z771">
        <v>13.7</v>
      </c>
    </row>
    <row r="772" spans="1:26" x14ac:dyDescent="0.45">
      <c r="A772" t="s">
        <v>2200</v>
      </c>
      <c r="B772">
        <v>45</v>
      </c>
      <c r="C772" t="s">
        <v>27</v>
      </c>
      <c r="D772" t="s">
        <v>28</v>
      </c>
      <c r="E772" t="s">
        <v>29</v>
      </c>
      <c r="F772" t="s">
        <v>47</v>
      </c>
      <c r="G772" t="s">
        <v>31</v>
      </c>
      <c r="H772" t="s">
        <v>71</v>
      </c>
      <c r="I772" t="s">
        <v>49</v>
      </c>
      <c r="J772" t="s">
        <v>229</v>
      </c>
      <c r="K772" t="s">
        <v>1972</v>
      </c>
      <c r="L772" t="s">
        <v>64</v>
      </c>
      <c r="M772" t="s">
        <v>221</v>
      </c>
      <c r="N772" t="s">
        <v>598</v>
      </c>
      <c r="O772" t="s">
        <v>64</v>
      </c>
      <c r="P772" t="s">
        <v>39</v>
      </c>
      <c r="Q772" t="s">
        <v>129</v>
      </c>
      <c r="R772">
        <v>102</v>
      </c>
      <c r="S772">
        <v>1</v>
      </c>
      <c r="T772" t="s">
        <v>123</v>
      </c>
      <c r="U772" t="s">
        <v>57</v>
      </c>
      <c r="V772">
        <v>4.1399999999999997</v>
      </c>
      <c r="W772">
        <v>3.39</v>
      </c>
      <c r="X772">
        <v>4.7</v>
      </c>
      <c r="Y772">
        <v>23.2</v>
      </c>
      <c r="Z772">
        <v>12.2</v>
      </c>
    </row>
    <row r="773" spans="1:26" x14ac:dyDescent="0.45">
      <c r="A773" t="s">
        <v>2201</v>
      </c>
      <c r="B773">
        <v>85</v>
      </c>
      <c r="C773" t="s">
        <v>27</v>
      </c>
      <c r="D773" t="s">
        <v>28</v>
      </c>
      <c r="E773" t="s">
        <v>163</v>
      </c>
      <c r="F773" t="s">
        <v>30</v>
      </c>
      <c r="G773" t="s">
        <v>31</v>
      </c>
      <c r="H773" t="s">
        <v>71</v>
      </c>
      <c r="I773" t="s">
        <v>72</v>
      </c>
      <c r="J773" t="s">
        <v>604</v>
      </c>
      <c r="K773" t="s">
        <v>407</v>
      </c>
      <c r="L773" t="s">
        <v>92</v>
      </c>
      <c r="M773" t="s">
        <v>863</v>
      </c>
      <c r="N773" t="s">
        <v>150</v>
      </c>
      <c r="O773" t="s">
        <v>92</v>
      </c>
      <c r="P773" t="s">
        <v>55</v>
      </c>
      <c r="Q773" t="s">
        <v>129</v>
      </c>
      <c r="R773">
        <v>30</v>
      </c>
      <c r="S773">
        <v>0</v>
      </c>
      <c r="T773" t="s">
        <v>41</v>
      </c>
      <c r="U773" t="s">
        <v>57</v>
      </c>
      <c r="V773">
        <v>3.42</v>
      </c>
      <c r="W773">
        <v>1.88</v>
      </c>
      <c r="X773">
        <v>6.6</v>
      </c>
      <c r="Y773">
        <v>16.3</v>
      </c>
      <c r="Z773">
        <v>6.1</v>
      </c>
    </row>
    <row r="774" spans="1:26" x14ac:dyDescent="0.45">
      <c r="A774" t="s">
        <v>2202</v>
      </c>
      <c r="B774">
        <v>34</v>
      </c>
      <c r="C774" t="s">
        <v>45</v>
      </c>
      <c r="D774" t="s">
        <v>45</v>
      </c>
      <c r="E774" t="s">
        <v>78</v>
      </c>
      <c r="F774" t="s">
        <v>30</v>
      </c>
      <c r="G774" t="s">
        <v>102</v>
      </c>
      <c r="H774" t="s">
        <v>71</v>
      </c>
      <c r="I774" t="s">
        <v>33</v>
      </c>
      <c r="J774" t="s">
        <v>1796</v>
      </c>
      <c r="K774" t="s">
        <v>1471</v>
      </c>
      <c r="L774" t="s">
        <v>36</v>
      </c>
      <c r="M774" t="s">
        <v>282</v>
      </c>
      <c r="N774" t="s">
        <v>1074</v>
      </c>
      <c r="O774" t="s">
        <v>36</v>
      </c>
      <c r="P774" t="s">
        <v>55</v>
      </c>
      <c r="Q774" t="s">
        <v>40</v>
      </c>
      <c r="R774">
        <v>108</v>
      </c>
      <c r="S774">
        <v>0</v>
      </c>
      <c r="T774" t="s">
        <v>41</v>
      </c>
      <c r="U774" t="s">
        <v>42</v>
      </c>
      <c r="V774">
        <v>1.24</v>
      </c>
      <c r="W774">
        <v>3.42</v>
      </c>
      <c r="X774">
        <v>7.9</v>
      </c>
      <c r="Y774">
        <v>15.4</v>
      </c>
      <c r="Z774">
        <v>6.9</v>
      </c>
    </row>
    <row r="775" spans="1:26" x14ac:dyDescent="0.45">
      <c r="A775" t="s">
        <v>2203</v>
      </c>
      <c r="B775">
        <v>21</v>
      </c>
      <c r="C775" t="s">
        <v>44</v>
      </c>
      <c r="D775" t="s">
        <v>87</v>
      </c>
      <c r="E775" t="s">
        <v>46</v>
      </c>
      <c r="F775" t="s">
        <v>47</v>
      </c>
      <c r="G775" t="s">
        <v>118</v>
      </c>
      <c r="H775" t="s">
        <v>81</v>
      </c>
      <c r="I775" t="s">
        <v>49</v>
      </c>
      <c r="J775" t="s">
        <v>2204</v>
      </c>
      <c r="K775" t="s">
        <v>1438</v>
      </c>
      <c r="L775" t="s">
        <v>52</v>
      </c>
      <c r="M775" t="s">
        <v>2205</v>
      </c>
      <c r="N775" t="s">
        <v>2167</v>
      </c>
      <c r="O775" t="s">
        <v>52</v>
      </c>
      <c r="P775" t="s">
        <v>110</v>
      </c>
      <c r="Q775" t="s">
        <v>75</v>
      </c>
      <c r="R775">
        <v>45</v>
      </c>
      <c r="S775">
        <v>0</v>
      </c>
      <c r="T775" t="s">
        <v>56</v>
      </c>
      <c r="U775" t="s">
        <v>42</v>
      </c>
      <c r="V775">
        <v>3.67</v>
      </c>
      <c r="W775">
        <v>1.32</v>
      </c>
      <c r="X775">
        <v>5</v>
      </c>
      <c r="Y775">
        <v>8.9</v>
      </c>
      <c r="Z775">
        <v>6.1</v>
      </c>
    </row>
    <row r="776" spans="1:26" x14ac:dyDescent="0.45">
      <c r="A776" t="s">
        <v>2206</v>
      </c>
      <c r="B776">
        <v>73</v>
      </c>
      <c r="C776" t="s">
        <v>44</v>
      </c>
      <c r="D776" t="s">
        <v>45</v>
      </c>
      <c r="E776" t="s">
        <v>163</v>
      </c>
      <c r="F776" t="s">
        <v>79</v>
      </c>
      <c r="G776" t="s">
        <v>96</v>
      </c>
      <c r="H776" t="s">
        <v>32</v>
      </c>
      <c r="I776" t="s">
        <v>49</v>
      </c>
      <c r="J776" t="s">
        <v>858</v>
      </c>
      <c r="K776" t="s">
        <v>990</v>
      </c>
      <c r="L776" t="s">
        <v>92</v>
      </c>
      <c r="M776" t="s">
        <v>30</v>
      </c>
      <c r="N776" t="s">
        <v>93</v>
      </c>
      <c r="O776" t="s">
        <v>92</v>
      </c>
      <c r="P776" t="s">
        <v>39</v>
      </c>
      <c r="Q776" t="s">
        <v>129</v>
      </c>
      <c r="R776">
        <v>61</v>
      </c>
      <c r="S776">
        <v>1</v>
      </c>
      <c r="T776" t="s">
        <v>123</v>
      </c>
      <c r="U776" t="s">
        <v>57</v>
      </c>
      <c r="V776">
        <v>1.81</v>
      </c>
      <c r="W776">
        <v>2.5499999999999998</v>
      </c>
      <c r="X776">
        <v>1.5</v>
      </c>
      <c r="Y776">
        <v>13.2</v>
      </c>
      <c r="Z776">
        <v>11.7</v>
      </c>
    </row>
    <row r="777" spans="1:26" x14ac:dyDescent="0.45">
      <c r="A777" t="s">
        <v>2207</v>
      </c>
      <c r="B777">
        <v>69</v>
      </c>
      <c r="C777" t="s">
        <v>44</v>
      </c>
      <c r="D777" t="s">
        <v>45</v>
      </c>
      <c r="E777" t="s">
        <v>78</v>
      </c>
      <c r="F777" t="s">
        <v>59</v>
      </c>
      <c r="G777" t="s">
        <v>152</v>
      </c>
      <c r="H777" t="s">
        <v>61</v>
      </c>
      <c r="I777" t="s">
        <v>132</v>
      </c>
      <c r="J777" t="s">
        <v>1935</v>
      </c>
      <c r="K777" t="s">
        <v>1223</v>
      </c>
      <c r="L777" t="s">
        <v>64</v>
      </c>
      <c r="M777" t="s">
        <v>317</v>
      </c>
      <c r="N777" t="s">
        <v>1211</v>
      </c>
      <c r="O777" t="s">
        <v>64</v>
      </c>
      <c r="P777" t="s">
        <v>39</v>
      </c>
      <c r="Q777" t="s">
        <v>30</v>
      </c>
      <c r="R777">
        <v>152</v>
      </c>
      <c r="S777">
        <v>1</v>
      </c>
      <c r="T777" t="s">
        <v>123</v>
      </c>
      <c r="U777" t="s">
        <v>42</v>
      </c>
      <c r="V777">
        <v>2.93</v>
      </c>
      <c r="W777">
        <v>2.5299999999999998</v>
      </c>
      <c r="X777">
        <v>8.6</v>
      </c>
      <c r="Y777">
        <v>8.6</v>
      </c>
      <c r="Z777">
        <v>11.6</v>
      </c>
    </row>
    <row r="778" spans="1:26" x14ac:dyDescent="0.45">
      <c r="A778" t="s">
        <v>2208</v>
      </c>
      <c r="B778">
        <v>50</v>
      </c>
      <c r="C778" t="s">
        <v>44</v>
      </c>
      <c r="D778" t="s">
        <v>95</v>
      </c>
      <c r="E778" t="s">
        <v>163</v>
      </c>
      <c r="F778" t="s">
        <v>69</v>
      </c>
      <c r="G778" t="s">
        <v>118</v>
      </c>
      <c r="H778" t="s">
        <v>61</v>
      </c>
      <c r="I778" t="s">
        <v>49</v>
      </c>
      <c r="J778" t="s">
        <v>2209</v>
      </c>
      <c r="K778" t="s">
        <v>2210</v>
      </c>
      <c r="L778" t="s">
        <v>36</v>
      </c>
      <c r="M778" t="s">
        <v>834</v>
      </c>
      <c r="N778" t="s">
        <v>780</v>
      </c>
      <c r="O778" t="s">
        <v>36</v>
      </c>
      <c r="P778" t="s">
        <v>55</v>
      </c>
      <c r="Q778" t="s">
        <v>129</v>
      </c>
      <c r="R778">
        <v>155</v>
      </c>
      <c r="S778">
        <v>0</v>
      </c>
      <c r="T778" t="s">
        <v>41</v>
      </c>
      <c r="U778" t="s">
        <v>57</v>
      </c>
      <c r="V778">
        <v>1.25</v>
      </c>
      <c r="W778">
        <v>1.28</v>
      </c>
      <c r="X778">
        <v>6.2</v>
      </c>
      <c r="Y778">
        <v>16.2</v>
      </c>
      <c r="Z778">
        <v>17.899999999999999</v>
      </c>
    </row>
    <row r="779" spans="1:26" x14ac:dyDescent="0.45">
      <c r="A779" t="s">
        <v>2211</v>
      </c>
      <c r="B779">
        <v>84</v>
      </c>
      <c r="C779" t="s">
        <v>27</v>
      </c>
      <c r="D779" t="s">
        <v>45</v>
      </c>
      <c r="E779" t="s">
        <v>163</v>
      </c>
      <c r="F779" t="s">
        <v>30</v>
      </c>
      <c r="G779" t="s">
        <v>194</v>
      </c>
      <c r="H779" t="s">
        <v>81</v>
      </c>
      <c r="I779" t="s">
        <v>49</v>
      </c>
      <c r="J779" t="s">
        <v>2210</v>
      </c>
      <c r="K779" t="s">
        <v>1002</v>
      </c>
      <c r="L779" t="s">
        <v>92</v>
      </c>
      <c r="M779" t="s">
        <v>135</v>
      </c>
      <c r="N779" t="s">
        <v>630</v>
      </c>
      <c r="O779" t="s">
        <v>92</v>
      </c>
      <c r="P779" t="s">
        <v>39</v>
      </c>
      <c r="Q779" t="s">
        <v>75</v>
      </c>
      <c r="R779">
        <v>40</v>
      </c>
      <c r="S779">
        <v>1</v>
      </c>
      <c r="T779" t="s">
        <v>56</v>
      </c>
      <c r="U779" t="s">
        <v>57</v>
      </c>
      <c r="V779">
        <v>3.23</v>
      </c>
      <c r="W779">
        <v>4.84</v>
      </c>
      <c r="X779">
        <v>1.4</v>
      </c>
      <c r="Y779">
        <v>7.8</v>
      </c>
      <c r="Z779">
        <v>3.7</v>
      </c>
    </row>
    <row r="780" spans="1:26" x14ac:dyDescent="0.45">
      <c r="A780" t="s">
        <v>2212</v>
      </c>
      <c r="B780">
        <v>31</v>
      </c>
      <c r="C780" t="s">
        <v>27</v>
      </c>
      <c r="D780" t="s">
        <v>87</v>
      </c>
      <c r="E780" t="s">
        <v>78</v>
      </c>
      <c r="F780" t="s">
        <v>30</v>
      </c>
      <c r="G780" t="s">
        <v>31</v>
      </c>
      <c r="H780" t="s">
        <v>61</v>
      </c>
      <c r="I780" t="s">
        <v>49</v>
      </c>
      <c r="J780" t="s">
        <v>2213</v>
      </c>
      <c r="K780" t="s">
        <v>2214</v>
      </c>
      <c r="L780" t="s">
        <v>36</v>
      </c>
      <c r="M780" t="s">
        <v>469</v>
      </c>
      <c r="N780" t="s">
        <v>1211</v>
      </c>
      <c r="O780" t="s">
        <v>36</v>
      </c>
      <c r="P780" t="s">
        <v>39</v>
      </c>
      <c r="Q780" t="s">
        <v>67</v>
      </c>
      <c r="R780">
        <v>36</v>
      </c>
      <c r="S780">
        <v>1</v>
      </c>
      <c r="T780" t="s">
        <v>123</v>
      </c>
      <c r="U780" t="s">
        <v>57</v>
      </c>
      <c r="V780">
        <v>1.74</v>
      </c>
      <c r="W780">
        <v>3.17</v>
      </c>
      <c r="X780">
        <v>6.8</v>
      </c>
      <c r="Y780">
        <v>6.8</v>
      </c>
      <c r="Z780">
        <v>19.100000000000001</v>
      </c>
    </row>
    <row r="781" spans="1:26" x14ac:dyDescent="0.45">
      <c r="A781" t="s">
        <v>2215</v>
      </c>
      <c r="B781">
        <v>41</v>
      </c>
      <c r="C781" t="s">
        <v>44</v>
      </c>
      <c r="D781" t="s">
        <v>45</v>
      </c>
      <c r="E781" t="s">
        <v>29</v>
      </c>
      <c r="F781" t="s">
        <v>30</v>
      </c>
      <c r="G781" t="s">
        <v>440</v>
      </c>
      <c r="H781" t="s">
        <v>81</v>
      </c>
      <c r="I781" t="s">
        <v>33</v>
      </c>
      <c r="J781" t="s">
        <v>1846</v>
      </c>
      <c r="K781" t="s">
        <v>2216</v>
      </c>
      <c r="L781" t="s">
        <v>52</v>
      </c>
      <c r="M781" t="s">
        <v>75</v>
      </c>
      <c r="N781" t="s">
        <v>54</v>
      </c>
      <c r="O781" t="s">
        <v>52</v>
      </c>
      <c r="P781" t="s">
        <v>55</v>
      </c>
      <c r="Q781" t="s">
        <v>67</v>
      </c>
      <c r="R781">
        <v>81</v>
      </c>
      <c r="S781">
        <v>0</v>
      </c>
      <c r="T781" t="s">
        <v>85</v>
      </c>
      <c r="U781" t="s">
        <v>57</v>
      </c>
      <c r="V781">
        <v>4.37</v>
      </c>
      <c r="W781">
        <v>2.19</v>
      </c>
      <c r="X781">
        <v>1.7</v>
      </c>
      <c r="Y781">
        <v>9.1</v>
      </c>
      <c r="Z781">
        <v>5.2</v>
      </c>
    </row>
    <row r="782" spans="1:26" x14ac:dyDescent="0.45">
      <c r="A782" t="s">
        <v>2217</v>
      </c>
      <c r="B782">
        <v>38</v>
      </c>
      <c r="C782" t="s">
        <v>44</v>
      </c>
      <c r="D782" t="s">
        <v>28</v>
      </c>
      <c r="E782" t="s">
        <v>78</v>
      </c>
      <c r="F782" t="s">
        <v>30</v>
      </c>
      <c r="G782" t="s">
        <v>48</v>
      </c>
      <c r="H782" t="s">
        <v>71</v>
      </c>
      <c r="I782" t="s">
        <v>49</v>
      </c>
      <c r="J782" t="s">
        <v>956</v>
      </c>
      <c r="K782" t="s">
        <v>2218</v>
      </c>
      <c r="L782" t="s">
        <v>52</v>
      </c>
      <c r="M782" t="s">
        <v>40</v>
      </c>
      <c r="N782" t="s">
        <v>258</v>
      </c>
      <c r="O782" t="s">
        <v>52</v>
      </c>
      <c r="P782" t="s">
        <v>39</v>
      </c>
      <c r="Q782" t="s">
        <v>129</v>
      </c>
      <c r="R782">
        <v>98</v>
      </c>
      <c r="S782">
        <v>1</v>
      </c>
      <c r="T782" t="s">
        <v>56</v>
      </c>
      <c r="U782" t="s">
        <v>57</v>
      </c>
      <c r="V782">
        <v>1.49</v>
      </c>
      <c r="W782">
        <v>3.07</v>
      </c>
      <c r="X782">
        <v>3.2</v>
      </c>
      <c r="Y782">
        <v>12.4</v>
      </c>
      <c r="Z782">
        <v>19.8</v>
      </c>
    </row>
    <row r="783" spans="1:26" x14ac:dyDescent="0.45">
      <c r="A783" t="s">
        <v>2219</v>
      </c>
      <c r="B783">
        <v>72</v>
      </c>
      <c r="C783" t="s">
        <v>27</v>
      </c>
      <c r="D783" t="s">
        <v>28</v>
      </c>
      <c r="E783" t="s">
        <v>30</v>
      </c>
      <c r="F783" t="s">
        <v>30</v>
      </c>
      <c r="G783" t="s">
        <v>164</v>
      </c>
      <c r="H783" t="s">
        <v>61</v>
      </c>
      <c r="I783" t="s">
        <v>49</v>
      </c>
      <c r="J783" t="s">
        <v>1043</v>
      </c>
      <c r="K783" t="s">
        <v>1555</v>
      </c>
      <c r="L783" t="s">
        <v>36</v>
      </c>
      <c r="M783" t="s">
        <v>30</v>
      </c>
      <c r="N783" t="s">
        <v>300</v>
      </c>
      <c r="O783" t="s">
        <v>36</v>
      </c>
      <c r="P783" t="s">
        <v>39</v>
      </c>
      <c r="Q783" t="s">
        <v>30</v>
      </c>
      <c r="R783">
        <v>179</v>
      </c>
      <c r="S783">
        <v>1</v>
      </c>
      <c r="T783" t="s">
        <v>41</v>
      </c>
      <c r="U783" t="s">
        <v>42</v>
      </c>
      <c r="V783">
        <v>3.74</v>
      </c>
      <c r="W783">
        <v>4.8</v>
      </c>
      <c r="X783">
        <v>2.2999999999999998</v>
      </c>
      <c r="Y783">
        <v>12.9</v>
      </c>
      <c r="Z783">
        <v>12.4</v>
      </c>
    </row>
    <row r="784" spans="1:26" x14ac:dyDescent="0.45">
      <c r="A784" t="s">
        <v>2220</v>
      </c>
      <c r="B784">
        <v>52</v>
      </c>
      <c r="C784" t="s">
        <v>45</v>
      </c>
      <c r="D784" t="s">
        <v>87</v>
      </c>
      <c r="E784" t="s">
        <v>30</v>
      </c>
      <c r="F784" t="s">
        <v>88</v>
      </c>
      <c r="G784" t="s">
        <v>31</v>
      </c>
      <c r="H784" t="s">
        <v>71</v>
      </c>
      <c r="I784" t="s">
        <v>49</v>
      </c>
      <c r="J784" t="s">
        <v>2221</v>
      </c>
      <c r="K784" t="s">
        <v>1006</v>
      </c>
      <c r="L784" t="s">
        <v>92</v>
      </c>
      <c r="M784" t="s">
        <v>115</v>
      </c>
      <c r="N784" t="s">
        <v>567</v>
      </c>
      <c r="O784" t="s">
        <v>92</v>
      </c>
      <c r="P784" t="s">
        <v>110</v>
      </c>
      <c r="Q784" t="s">
        <v>40</v>
      </c>
      <c r="R784">
        <v>87</v>
      </c>
      <c r="S784">
        <v>0</v>
      </c>
      <c r="T784" t="s">
        <v>123</v>
      </c>
      <c r="U784" t="s">
        <v>42</v>
      </c>
      <c r="V784">
        <v>1.31</v>
      </c>
      <c r="W784">
        <v>1.02</v>
      </c>
      <c r="X784">
        <v>7</v>
      </c>
      <c r="Y784">
        <v>17.600000000000001</v>
      </c>
      <c r="Z784">
        <v>10</v>
      </c>
    </row>
    <row r="785" spans="1:26" x14ac:dyDescent="0.45">
      <c r="A785" t="s">
        <v>2222</v>
      </c>
      <c r="B785">
        <v>77</v>
      </c>
      <c r="C785" t="s">
        <v>45</v>
      </c>
      <c r="D785" t="s">
        <v>95</v>
      </c>
      <c r="E785" t="s">
        <v>163</v>
      </c>
      <c r="F785" t="s">
        <v>30</v>
      </c>
      <c r="G785" t="s">
        <v>131</v>
      </c>
      <c r="H785" t="s">
        <v>32</v>
      </c>
      <c r="I785" t="s">
        <v>49</v>
      </c>
      <c r="J785" t="s">
        <v>277</v>
      </c>
      <c r="K785" t="s">
        <v>1679</v>
      </c>
      <c r="L785" t="s">
        <v>52</v>
      </c>
      <c r="M785" t="s">
        <v>697</v>
      </c>
      <c r="N785" t="s">
        <v>1565</v>
      </c>
      <c r="O785" t="s">
        <v>52</v>
      </c>
      <c r="P785" t="s">
        <v>55</v>
      </c>
      <c r="Q785" t="s">
        <v>75</v>
      </c>
      <c r="R785">
        <v>98</v>
      </c>
      <c r="S785">
        <v>0</v>
      </c>
      <c r="T785" t="s">
        <v>41</v>
      </c>
      <c r="U785" t="s">
        <v>42</v>
      </c>
      <c r="V785">
        <v>2.96</v>
      </c>
      <c r="W785">
        <v>2.66</v>
      </c>
      <c r="X785">
        <v>1.2</v>
      </c>
      <c r="Y785">
        <v>12</v>
      </c>
      <c r="Z785">
        <v>6</v>
      </c>
    </row>
    <row r="786" spans="1:26" x14ac:dyDescent="0.45">
      <c r="A786" t="s">
        <v>2223</v>
      </c>
      <c r="B786">
        <v>40</v>
      </c>
      <c r="C786" t="s">
        <v>44</v>
      </c>
      <c r="D786" t="s">
        <v>95</v>
      </c>
      <c r="E786" t="s">
        <v>46</v>
      </c>
      <c r="F786" t="s">
        <v>69</v>
      </c>
      <c r="G786" t="s">
        <v>80</v>
      </c>
      <c r="H786" t="s">
        <v>32</v>
      </c>
      <c r="I786" t="s">
        <v>49</v>
      </c>
      <c r="J786" t="s">
        <v>82</v>
      </c>
      <c r="K786" t="s">
        <v>83</v>
      </c>
      <c r="L786" t="s">
        <v>92</v>
      </c>
      <c r="M786" t="s">
        <v>640</v>
      </c>
      <c r="N786" t="s">
        <v>1031</v>
      </c>
      <c r="O786" t="s">
        <v>92</v>
      </c>
      <c r="P786" t="s">
        <v>39</v>
      </c>
      <c r="Q786" t="s">
        <v>129</v>
      </c>
      <c r="R786">
        <v>84</v>
      </c>
      <c r="S786">
        <v>1</v>
      </c>
      <c r="T786" t="s">
        <v>56</v>
      </c>
      <c r="U786" t="s">
        <v>42</v>
      </c>
      <c r="V786">
        <v>1.39</v>
      </c>
      <c r="W786">
        <v>4.83</v>
      </c>
      <c r="X786">
        <v>6.4</v>
      </c>
      <c r="Y786">
        <v>19.100000000000001</v>
      </c>
      <c r="Z786">
        <v>8.4</v>
      </c>
    </row>
    <row r="787" spans="1:26" x14ac:dyDescent="0.45">
      <c r="A787" t="s">
        <v>2224</v>
      </c>
      <c r="B787">
        <v>83</v>
      </c>
      <c r="C787" t="s">
        <v>44</v>
      </c>
      <c r="D787" t="s">
        <v>45</v>
      </c>
      <c r="E787" t="s">
        <v>46</v>
      </c>
      <c r="F787" t="s">
        <v>47</v>
      </c>
      <c r="G787" t="s">
        <v>118</v>
      </c>
      <c r="H787" t="s">
        <v>71</v>
      </c>
      <c r="I787" t="s">
        <v>49</v>
      </c>
      <c r="J787" t="s">
        <v>1863</v>
      </c>
      <c r="K787" t="s">
        <v>126</v>
      </c>
      <c r="L787" t="s">
        <v>92</v>
      </c>
      <c r="M787" t="s">
        <v>30</v>
      </c>
      <c r="N787" t="s">
        <v>501</v>
      </c>
      <c r="O787" t="s">
        <v>92</v>
      </c>
      <c r="P787" t="s">
        <v>110</v>
      </c>
      <c r="Q787" t="s">
        <v>75</v>
      </c>
      <c r="R787">
        <v>176</v>
      </c>
      <c r="S787">
        <v>0</v>
      </c>
      <c r="T787" t="s">
        <v>85</v>
      </c>
      <c r="U787" t="s">
        <v>57</v>
      </c>
      <c r="V787">
        <v>2.57</v>
      </c>
      <c r="W787">
        <v>1.95</v>
      </c>
      <c r="X787">
        <v>1.9</v>
      </c>
      <c r="Y787">
        <v>9.1999999999999993</v>
      </c>
      <c r="Z787">
        <v>16.600000000000001</v>
      </c>
    </row>
    <row r="788" spans="1:26" x14ac:dyDescent="0.45">
      <c r="A788" t="s">
        <v>2225</v>
      </c>
      <c r="B788">
        <v>36</v>
      </c>
      <c r="C788" t="s">
        <v>27</v>
      </c>
      <c r="D788" t="s">
        <v>87</v>
      </c>
      <c r="E788" t="s">
        <v>78</v>
      </c>
      <c r="F788" t="s">
        <v>30</v>
      </c>
      <c r="G788" t="s">
        <v>178</v>
      </c>
      <c r="H788" t="s">
        <v>32</v>
      </c>
      <c r="I788" t="s">
        <v>49</v>
      </c>
      <c r="J788" t="s">
        <v>2226</v>
      </c>
      <c r="K788" t="s">
        <v>1735</v>
      </c>
      <c r="L788" t="s">
        <v>64</v>
      </c>
      <c r="M788" t="s">
        <v>249</v>
      </c>
      <c r="N788" t="s">
        <v>1004</v>
      </c>
      <c r="O788" t="s">
        <v>64</v>
      </c>
      <c r="P788" t="s">
        <v>55</v>
      </c>
      <c r="Q788" t="s">
        <v>75</v>
      </c>
      <c r="R788">
        <v>161</v>
      </c>
      <c r="S788">
        <v>0</v>
      </c>
      <c r="T788" t="s">
        <v>41</v>
      </c>
      <c r="U788" t="s">
        <v>57</v>
      </c>
      <c r="V788">
        <v>3.71</v>
      </c>
      <c r="W788">
        <v>3.19</v>
      </c>
      <c r="X788">
        <v>5.3</v>
      </c>
      <c r="Y788">
        <v>22.6</v>
      </c>
      <c r="Z788">
        <v>4.2</v>
      </c>
    </row>
    <row r="789" spans="1:26" x14ac:dyDescent="0.45">
      <c r="A789" t="s">
        <v>2227</v>
      </c>
      <c r="B789">
        <v>82</v>
      </c>
      <c r="C789" t="s">
        <v>44</v>
      </c>
      <c r="D789" t="s">
        <v>95</v>
      </c>
      <c r="E789" t="s">
        <v>163</v>
      </c>
      <c r="F789" t="s">
        <v>30</v>
      </c>
      <c r="G789" t="s">
        <v>118</v>
      </c>
      <c r="H789" t="s">
        <v>61</v>
      </c>
      <c r="I789" t="s">
        <v>132</v>
      </c>
      <c r="J789" t="s">
        <v>2228</v>
      </c>
      <c r="K789" t="s">
        <v>643</v>
      </c>
      <c r="L789" t="s">
        <v>64</v>
      </c>
      <c r="M789" t="s">
        <v>274</v>
      </c>
      <c r="N789" t="s">
        <v>128</v>
      </c>
      <c r="O789" t="s">
        <v>64</v>
      </c>
      <c r="P789" t="s">
        <v>55</v>
      </c>
      <c r="Q789" t="s">
        <v>75</v>
      </c>
      <c r="R789">
        <v>51</v>
      </c>
      <c r="S789">
        <v>0</v>
      </c>
      <c r="T789" t="s">
        <v>137</v>
      </c>
      <c r="U789" t="s">
        <v>57</v>
      </c>
      <c r="V789">
        <v>2.12</v>
      </c>
      <c r="W789">
        <v>2.4</v>
      </c>
      <c r="X789">
        <v>8</v>
      </c>
      <c r="Y789">
        <v>23.9</v>
      </c>
      <c r="Z789">
        <v>7.1</v>
      </c>
    </row>
    <row r="790" spans="1:26" x14ac:dyDescent="0.45">
      <c r="A790" t="s">
        <v>2229</v>
      </c>
      <c r="B790">
        <v>29</v>
      </c>
      <c r="C790" t="s">
        <v>45</v>
      </c>
      <c r="D790" t="s">
        <v>87</v>
      </c>
      <c r="E790" t="s">
        <v>46</v>
      </c>
      <c r="F790" t="s">
        <v>30</v>
      </c>
      <c r="G790" t="s">
        <v>70</v>
      </c>
      <c r="H790" t="s">
        <v>32</v>
      </c>
      <c r="I790" t="s">
        <v>72</v>
      </c>
      <c r="J790" t="s">
        <v>242</v>
      </c>
      <c r="K790" t="s">
        <v>2230</v>
      </c>
      <c r="L790" t="s">
        <v>52</v>
      </c>
      <c r="M790" t="s">
        <v>500</v>
      </c>
      <c r="N790" t="s">
        <v>254</v>
      </c>
      <c r="O790" t="s">
        <v>52</v>
      </c>
      <c r="P790" t="s">
        <v>110</v>
      </c>
      <c r="Q790" t="s">
        <v>129</v>
      </c>
      <c r="R790">
        <v>98</v>
      </c>
      <c r="S790">
        <v>0</v>
      </c>
      <c r="T790" t="s">
        <v>123</v>
      </c>
      <c r="U790" t="s">
        <v>57</v>
      </c>
      <c r="V790">
        <v>4.5</v>
      </c>
      <c r="W790">
        <v>4.32</v>
      </c>
      <c r="X790">
        <v>3</v>
      </c>
      <c r="Y790">
        <v>13.2</v>
      </c>
      <c r="Z790">
        <v>10</v>
      </c>
    </row>
    <row r="791" spans="1:26" x14ac:dyDescent="0.45">
      <c r="A791" t="s">
        <v>2231</v>
      </c>
      <c r="B791">
        <v>47</v>
      </c>
      <c r="C791" t="s">
        <v>45</v>
      </c>
      <c r="D791" t="s">
        <v>87</v>
      </c>
      <c r="E791" t="s">
        <v>30</v>
      </c>
      <c r="F791" t="s">
        <v>30</v>
      </c>
      <c r="G791" t="s">
        <v>125</v>
      </c>
      <c r="H791" t="s">
        <v>81</v>
      </c>
      <c r="I791" t="s">
        <v>49</v>
      </c>
      <c r="J791" t="s">
        <v>738</v>
      </c>
      <c r="K791" t="s">
        <v>2232</v>
      </c>
      <c r="L791" t="s">
        <v>52</v>
      </c>
      <c r="M791" t="s">
        <v>40</v>
      </c>
      <c r="N791" t="s">
        <v>452</v>
      </c>
      <c r="O791" t="s">
        <v>52</v>
      </c>
      <c r="P791" t="s">
        <v>110</v>
      </c>
      <c r="Q791" t="s">
        <v>75</v>
      </c>
      <c r="R791">
        <v>172</v>
      </c>
      <c r="S791">
        <v>0</v>
      </c>
      <c r="T791" t="s">
        <v>41</v>
      </c>
      <c r="U791" t="s">
        <v>57</v>
      </c>
      <c r="V791">
        <v>4.91</v>
      </c>
      <c r="W791">
        <v>1.72</v>
      </c>
      <c r="X791">
        <v>8.1999999999999993</v>
      </c>
      <c r="Y791">
        <v>12</v>
      </c>
      <c r="Z791">
        <v>15.4</v>
      </c>
    </row>
    <row r="792" spans="1:26" x14ac:dyDescent="0.45">
      <c r="A792" t="s">
        <v>2233</v>
      </c>
      <c r="B792">
        <v>66</v>
      </c>
      <c r="C792" t="s">
        <v>44</v>
      </c>
      <c r="D792" t="s">
        <v>87</v>
      </c>
      <c r="E792" t="s">
        <v>78</v>
      </c>
      <c r="F792" t="s">
        <v>30</v>
      </c>
      <c r="G792" t="s">
        <v>131</v>
      </c>
      <c r="H792" t="s">
        <v>71</v>
      </c>
      <c r="I792" t="s">
        <v>132</v>
      </c>
      <c r="J792" t="s">
        <v>2234</v>
      </c>
      <c r="K792" t="s">
        <v>1103</v>
      </c>
      <c r="L792" t="s">
        <v>64</v>
      </c>
      <c r="M792" t="s">
        <v>357</v>
      </c>
      <c r="N792" t="s">
        <v>1571</v>
      </c>
      <c r="O792" t="s">
        <v>64</v>
      </c>
      <c r="P792" t="s">
        <v>110</v>
      </c>
      <c r="Q792" t="s">
        <v>30</v>
      </c>
      <c r="R792">
        <v>139</v>
      </c>
      <c r="S792">
        <v>0</v>
      </c>
      <c r="T792" t="s">
        <v>123</v>
      </c>
      <c r="U792" t="s">
        <v>57</v>
      </c>
      <c r="V792">
        <v>2.68</v>
      </c>
      <c r="W792">
        <v>3.31</v>
      </c>
      <c r="X792">
        <v>8.5</v>
      </c>
      <c r="Y792">
        <v>20.5</v>
      </c>
      <c r="Z792">
        <v>17.7</v>
      </c>
    </row>
    <row r="793" spans="1:26" x14ac:dyDescent="0.45">
      <c r="A793" t="s">
        <v>2235</v>
      </c>
      <c r="B793">
        <v>75</v>
      </c>
      <c r="C793" t="s">
        <v>45</v>
      </c>
      <c r="D793" t="s">
        <v>28</v>
      </c>
      <c r="E793" t="s">
        <v>46</v>
      </c>
      <c r="F793" t="s">
        <v>88</v>
      </c>
      <c r="G793" t="s">
        <v>96</v>
      </c>
      <c r="H793" t="s">
        <v>32</v>
      </c>
      <c r="I793" t="s">
        <v>49</v>
      </c>
      <c r="J793" t="s">
        <v>389</v>
      </c>
      <c r="K793" t="s">
        <v>1021</v>
      </c>
      <c r="L793" t="s">
        <v>52</v>
      </c>
      <c r="M793" t="s">
        <v>554</v>
      </c>
      <c r="N793" t="s">
        <v>2118</v>
      </c>
      <c r="O793" t="s">
        <v>52</v>
      </c>
      <c r="P793" t="s">
        <v>39</v>
      </c>
      <c r="Q793" t="s">
        <v>129</v>
      </c>
      <c r="R793">
        <v>158</v>
      </c>
      <c r="S793">
        <v>1</v>
      </c>
      <c r="T793" t="s">
        <v>85</v>
      </c>
      <c r="U793" t="s">
        <v>42</v>
      </c>
      <c r="V793">
        <v>1.24</v>
      </c>
      <c r="W793">
        <v>3.77</v>
      </c>
      <c r="X793">
        <v>2.2999999999999998</v>
      </c>
      <c r="Y793">
        <v>13.5</v>
      </c>
      <c r="Z793">
        <v>12.3</v>
      </c>
    </row>
    <row r="794" spans="1:26" x14ac:dyDescent="0.45">
      <c r="A794" t="s">
        <v>2236</v>
      </c>
      <c r="B794">
        <v>52</v>
      </c>
      <c r="C794" t="s">
        <v>45</v>
      </c>
      <c r="D794" t="s">
        <v>95</v>
      </c>
      <c r="E794" t="s">
        <v>29</v>
      </c>
      <c r="F794" t="s">
        <v>30</v>
      </c>
      <c r="G794" t="s">
        <v>60</v>
      </c>
      <c r="H794" t="s">
        <v>61</v>
      </c>
      <c r="I794" t="s">
        <v>33</v>
      </c>
      <c r="J794" t="s">
        <v>2237</v>
      </c>
      <c r="K794" t="s">
        <v>1068</v>
      </c>
      <c r="L794" t="s">
        <v>52</v>
      </c>
      <c r="M794" t="s">
        <v>908</v>
      </c>
      <c r="N794" t="s">
        <v>626</v>
      </c>
      <c r="O794" t="s">
        <v>52</v>
      </c>
      <c r="P794" t="s">
        <v>110</v>
      </c>
      <c r="Q794" t="s">
        <v>129</v>
      </c>
      <c r="R794">
        <v>52</v>
      </c>
      <c r="S794">
        <v>0</v>
      </c>
      <c r="T794" t="s">
        <v>137</v>
      </c>
      <c r="U794" t="s">
        <v>42</v>
      </c>
      <c r="V794">
        <v>2.61</v>
      </c>
      <c r="W794">
        <v>3.08</v>
      </c>
      <c r="X794">
        <v>10</v>
      </c>
      <c r="Y794">
        <v>8.4</v>
      </c>
      <c r="Z794">
        <v>14.5</v>
      </c>
    </row>
    <row r="795" spans="1:26" x14ac:dyDescent="0.45">
      <c r="A795" t="s">
        <v>2238</v>
      </c>
      <c r="B795">
        <v>45</v>
      </c>
      <c r="C795" t="s">
        <v>27</v>
      </c>
      <c r="D795" t="s">
        <v>45</v>
      </c>
      <c r="E795" t="s">
        <v>46</v>
      </c>
      <c r="F795" t="s">
        <v>69</v>
      </c>
      <c r="G795" t="s">
        <v>112</v>
      </c>
      <c r="H795" t="s">
        <v>71</v>
      </c>
      <c r="I795" t="s">
        <v>33</v>
      </c>
      <c r="J795" t="s">
        <v>2239</v>
      </c>
      <c r="K795" t="s">
        <v>2240</v>
      </c>
      <c r="L795" t="s">
        <v>36</v>
      </c>
      <c r="M795" t="s">
        <v>30</v>
      </c>
      <c r="N795" t="s">
        <v>383</v>
      </c>
      <c r="O795" t="s">
        <v>36</v>
      </c>
      <c r="P795" t="s">
        <v>39</v>
      </c>
      <c r="Q795" t="s">
        <v>129</v>
      </c>
      <c r="R795">
        <v>95</v>
      </c>
      <c r="S795">
        <v>1</v>
      </c>
      <c r="T795" t="s">
        <v>137</v>
      </c>
      <c r="U795" t="s">
        <v>42</v>
      </c>
      <c r="V795">
        <v>2.58</v>
      </c>
      <c r="W795">
        <v>1.53</v>
      </c>
      <c r="X795">
        <v>2.4</v>
      </c>
      <c r="Y795">
        <v>23.1</v>
      </c>
      <c r="Z795">
        <v>18</v>
      </c>
    </row>
    <row r="796" spans="1:26" x14ac:dyDescent="0.45">
      <c r="A796" t="s">
        <v>2241</v>
      </c>
      <c r="B796">
        <v>69</v>
      </c>
      <c r="C796" t="s">
        <v>44</v>
      </c>
      <c r="D796" t="s">
        <v>87</v>
      </c>
      <c r="E796" t="s">
        <v>46</v>
      </c>
      <c r="F796" t="s">
        <v>59</v>
      </c>
      <c r="G796" t="s">
        <v>276</v>
      </c>
      <c r="H796" t="s">
        <v>81</v>
      </c>
      <c r="I796" t="s">
        <v>72</v>
      </c>
      <c r="J796" t="s">
        <v>1988</v>
      </c>
      <c r="K796" t="s">
        <v>1071</v>
      </c>
      <c r="L796" t="s">
        <v>36</v>
      </c>
      <c r="M796" t="s">
        <v>274</v>
      </c>
      <c r="N796" t="s">
        <v>156</v>
      </c>
      <c r="O796" t="s">
        <v>36</v>
      </c>
      <c r="P796" t="s">
        <v>55</v>
      </c>
      <c r="Q796" t="s">
        <v>30</v>
      </c>
      <c r="R796">
        <v>37</v>
      </c>
      <c r="S796">
        <v>0</v>
      </c>
      <c r="T796" t="s">
        <v>85</v>
      </c>
      <c r="U796" t="s">
        <v>57</v>
      </c>
      <c r="V796">
        <v>4.63</v>
      </c>
      <c r="W796">
        <v>4.97</v>
      </c>
      <c r="X796">
        <v>2.9</v>
      </c>
      <c r="Y796">
        <v>12.4</v>
      </c>
      <c r="Z796">
        <v>14.4</v>
      </c>
    </row>
    <row r="797" spans="1:26" x14ac:dyDescent="0.45">
      <c r="A797" t="s">
        <v>2242</v>
      </c>
      <c r="B797">
        <v>69</v>
      </c>
      <c r="C797" t="s">
        <v>27</v>
      </c>
      <c r="D797" t="s">
        <v>95</v>
      </c>
      <c r="E797" t="s">
        <v>78</v>
      </c>
      <c r="F797" t="s">
        <v>30</v>
      </c>
      <c r="G797" t="s">
        <v>125</v>
      </c>
      <c r="H797" t="s">
        <v>71</v>
      </c>
      <c r="I797" t="s">
        <v>132</v>
      </c>
      <c r="J797" t="s">
        <v>552</v>
      </c>
      <c r="K797" t="s">
        <v>722</v>
      </c>
      <c r="L797" t="s">
        <v>92</v>
      </c>
      <c r="M797" t="s">
        <v>362</v>
      </c>
      <c r="N797" t="s">
        <v>971</v>
      </c>
      <c r="O797" t="s">
        <v>92</v>
      </c>
      <c r="P797" t="s">
        <v>110</v>
      </c>
      <c r="Q797" t="s">
        <v>67</v>
      </c>
      <c r="R797">
        <v>54</v>
      </c>
      <c r="S797">
        <v>0</v>
      </c>
      <c r="T797" t="s">
        <v>137</v>
      </c>
      <c r="U797" t="s">
        <v>42</v>
      </c>
      <c r="V797">
        <v>2.94</v>
      </c>
      <c r="W797">
        <v>2.67</v>
      </c>
      <c r="X797">
        <v>4.2</v>
      </c>
      <c r="Y797">
        <v>16.7</v>
      </c>
      <c r="Z797">
        <v>12.8</v>
      </c>
    </row>
    <row r="798" spans="1:26" x14ac:dyDescent="0.45">
      <c r="A798" t="s">
        <v>2243</v>
      </c>
      <c r="B798">
        <v>74</v>
      </c>
      <c r="C798" t="s">
        <v>44</v>
      </c>
      <c r="D798" t="s">
        <v>95</v>
      </c>
      <c r="E798" t="s">
        <v>29</v>
      </c>
      <c r="F798" t="s">
        <v>30</v>
      </c>
      <c r="G798" t="s">
        <v>102</v>
      </c>
      <c r="H798" t="s">
        <v>71</v>
      </c>
      <c r="I798" t="s">
        <v>132</v>
      </c>
      <c r="J798" t="s">
        <v>2244</v>
      </c>
      <c r="K798" t="s">
        <v>1183</v>
      </c>
      <c r="L798" t="s">
        <v>36</v>
      </c>
      <c r="M798" t="s">
        <v>378</v>
      </c>
      <c r="N798" t="s">
        <v>66</v>
      </c>
      <c r="O798" t="s">
        <v>36</v>
      </c>
      <c r="P798" t="s">
        <v>110</v>
      </c>
      <c r="Q798" t="s">
        <v>75</v>
      </c>
      <c r="R798">
        <v>93</v>
      </c>
      <c r="S798">
        <v>0</v>
      </c>
      <c r="T798" t="s">
        <v>85</v>
      </c>
      <c r="U798" t="s">
        <v>57</v>
      </c>
      <c r="V798">
        <v>1.65</v>
      </c>
      <c r="W798">
        <v>2.89</v>
      </c>
      <c r="X798">
        <v>6</v>
      </c>
      <c r="Y798">
        <v>16.3</v>
      </c>
      <c r="Z798">
        <v>6.6</v>
      </c>
    </row>
    <row r="799" spans="1:26" x14ac:dyDescent="0.45">
      <c r="A799" t="s">
        <v>2245</v>
      </c>
      <c r="B799">
        <v>74</v>
      </c>
      <c r="C799" t="s">
        <v>44</v>
      </c>
      <c r="D799" t="s">
        <v>45</v>
      </c>
      <c r="E799" t="s">
        <v>78</v>
      </c>
      <c r="F799" t="s">
        <v>30</v>
      </c>
      <c r="G799" t="s">
        <v>125</v>
      </c>
      <c r="H799" t="s">
        <v>32</v>
      </c>
      <c r="I799" t="s">
        <v>132</v>
      </c>
      <c r="J799" t="s">
        <v>2246</v>
      </c>
      <c r="K799" t="s">
        <v>2247</v>
      </c>
      <c r="L799" t="s">
        <v>92</v>
      </c>
      <c r="M799" t="s">
        <v>129</v>
      </c>
      <c r="N799" t="s">
        <v>66</v>
      </c>
      <c r="O799" t="s">
        <v>92</v>
      </c>
      <c r="P799" t="s">
        <v>39</v>
      </c>
      <c r="Q799" t="s">
        <v>75</v>
      </c>
      <c r="R799">
        <v>76</v>
      </c>
      <c r="S799">
        <v>1</v>
      </c>
      <c r="T799" t="s">
        <v>123</v>
      </c>
      <c r="U799" t="s">
        <v>57</v>
      </c>
      <c r="V799">
        <v>3.97</v>
      </c>
      <c r="W799">
        <v>1.1000000000000001</v>
      </c>
      <c r="X799">
        <v>4.2</v>
      </c>
      <c r="Y799">
        <v>20</v>
      </c>
      <c r="Z799">
        <v>12.6</v>
      </c>
    </row>
    <row r="800" spans="1:26" x14ac:dyDescent="0.45">
      <c r="A800" t="s">
        <v>2248</v>
      </c>
      <c r="B800">
        <v>64</v>
      </c>
      <c r="C800" t="s">
        <v>27</v>
      </c>
      <c r="D800" t="s">
        <v>95</v>
      </c>
      <c r="E800" t="s">
        <v>163</v>
      </c>
      <c r="F800" t="s">
        <v>88</v>
      </c>
      <c r="G800" t="s">
        <v>70</v>
      </c>
      <c r="H800" t="s">
        <v>61</v>
      </c>
      <c r="I800" t="s">
        <v>33</v>
      </c>
      <c r="J800" t="s">
        <v>2249</v>
      </c>
      <c r="K800" t="s">
        <v>1812</v>
      </c>
      <c r="L800" t="s">
        <v>36</v>
      </c>
      <c r="M800" t="s">
        <v>40</v>
      </c>
      <c r="N800" t="s">
        <v>521</v>
      </c>
      <c r="O800" t="s">
        <v>36</v>
      </c>
      <c r="P800" t="s">
        <v>39</v>
      </c>
      <c r="Q800" t="s">
        <v>40</v>
      </c>
      <c r="R800">
        <v>62</v>
      </c>
      <c r="S800">
        <v>1</v>
      </c>
      <c r="T800" t="s">
        <v>123</v>
      </c>
      <c r="U800" t="s">
        <v>57</v>
      </c>
      <c r="V800">
        <v>2.04</v>
      </c>
      <c r="W800">
        <v>3.78</v>
      </c>
      <c r="X800">
        <v>6.1</v>
      </c>
      <c r="Y800">
        <v>20.3</v>
      </c>
      <c r="Z800">
        <v>15.5</v>
      </c>
    </row>
    <row r="801" spans="1:26" x14ac:dyDescent="0.45">
      <c r="A801" t="s">
        <v>2250</v>
      </c>
      <c r="B801">
        <v>59</v>
      </c>
      <c r="C801" t="s">
        <v>44</v>
      </c>
      <c r="D801" t="s">
        <v>45</v>
      </c>
      <c r="E801" t="s">
        <v>163</v>
      </c>
      <c r="F801" t="s">
        <v>88</v>
      </c>
      <c r="G801" t="s">
        <v>118</v>
      </c>
      <c r="H801" t="s">
        <v>61</v>
      </c>
      <c r="I801" t="s">
        <v>132</v>
      </c>
      <c r="J801" t="s">
        <v>1983</v>
      </c>
      <c r="K801" t="s">
        <v>2251</v>
      </c>
      <c r="L801" t="s">
        <v>64</v>
      </c>
      <c r="M801" t="s">
        <v>129</v>
      </c>
      <c r="N801" t="s">
        <v>491</v>
      </c>
      <c r="O801" t="s">
        <v>64</v>
      </c>
      <c r="P801" t="s">
        <v>55</v>
      </c>
      <c r="Q801" t="s">
        <v>40</v>
      </c>
      <c r="R801">
        <v>100</v>
      </c>
      <c r="S801">
        <v>0</v>
      </c>
      <c r="T801" t="s">
        <v>85</v>
      </c>
      <c r="U801" t="s">
        <v>57</v>
      </c>
      <c r="V801">
        <v>3.44</v>
      </c>
      <c r="W801">
        <v>2.95</v>
      </c>
      <c r="X801">
        <v>2.2000000000000002</v>
      </c>
      <c r="Y801">
        <v>10.7</v>
      </c>
      <c r="Z801">
        <v>10.1</v>
      </c>
    </row>
    <row r="802" spans="1:26" x14ac:dyDescent="0.45">
      <c r="A802" t="s">
        <v>2252</v>
      </c>
      <c r="B802">
        <v>73</v>
      </c>
      <c r="C802" t="s">
        <v>44</v>
      </c>
      <c r="D802" t="s">
        <v>95</v>
      </c>
      <c r="E802" t="s">
        <v>163</v>
      </c>
      <c r="F802" t="s">
        <v>47</v>
      </c>
      <c r="G802" t="s">
        <v>184</v>
      </c>
      <c r="H802" t="s">
        <v>71</v>
      </c>
      <c r="I802" t="s">
        <v>49</v>
      </c>
      <c r="J802" t="s">
        <v>2253</v>
      </c>
      <c r="K802" t="s">
        <v>2254</v>
      </c>
      <c r="L802" t="s">
        <v>36</v>
      </c>
      <c r="M802" t="s">
        <v>697</v>
      </c>
      <c r="N802" t="s">
        <v>507</v>
      </c>
      <c r="O802" t="s">
        <v>36</v>
      </c>
      <c r="P802" t="s">
        <v>55</v>
      </c>
      <c r="Q802" t="s">
        <v>30</v>
      </c>
      <c r="R802">
        <v>111</v>
      </c>
      <c r="S802">
        <v>0</v>
      </c>
      <c r="T802" t="s">
        <v>41</v>
      </c>
      <c r="U802" t="s">
        <v>42</v>
      </c>
      <c r="V802">
        <v>3.4</v>
      </c>
      <c r="W802">
        <v>3.05</v>
      </c>
      <c r="X802">
        <v>3.6</v>
      </c>
      <c r="Y802">
        <v>6.1</v>
      </c>
      <c r="Z802">
        <v>11.4</v>
      </c>
    </row>
    <row r="803" spans="1:26" x14ac:dyDescent="0.45">
      <c r="A803" t="s">
        <v>2255</v>
      </c>
      <c r="B803">
        <v>82</v>
      </c>
      <c r="C803" t="s">
        <v>45</v>
      </c>
      <c r="D803" t="s">
        <v>87</v>
      </c>
      <c r="E803" t="s">
        <v>78</v>
      </c>
      <c r="F803" t="s">
        <v>59</v>
      </c>
      <c r="G803" t="s">
        <v>184</v>
      </c>
      <c r="H803" t="s">
        <v>81</v>
      </c>
      <c r="I803" t="s">
        <v>33</v>
      </c>
      <c r="J803" t="s">
        <v>2256</v>
      </c>
      <c r="K803" t="s">
        <v>62</v>
      </c>
      <c r="L803" t="s">
        <v>36</v>
      </c>
      <c r="M803" t="s">
        <v>697</v>
      </c>
      <c r="N803" t="s">
        <v>176</v>
      </c>
      <c r="O803" t="s">
        <v>36</v>
      </c>
      <c r="P803" t="s">
        <v>55</v>
      </c>
      <c r="Q803" t="s">
        <v>30</v>
      </c>
      <c r="R803">
        <v>118</v>
      </c>
      <c r="S803">
        <v>0</v>
      </c>
      <c r="T803" t="s">
        <v>41</v>
      </c>
      <c r="U803" t="s">
        <v>42</v>
      </c>
      <c r="V803">
        <v>2.14</v>
      </c>
      <c r="W803">
        <v>3.94</v>
      </c>
      <c r="X803">
        <v>1.2</v>
      </c>
      <c r="Y803">
        <v>16.5</v>
      </c>
      <c r="Z803">
        <v>19</v>
      </c>
    </row>
    <row r="804" spans="1:26" x14ac:dyDescent="0.45">
      <c r="A804" t="s">
        <v>2257</v>
      </c>
      <c r="B804">
        <v>19</v>
      </c>
      <c r="C804" t="s">
        <v>45</v>
      </c>
      <c r="D804" t="s">
        <v>95</v>
      </c>
      <c r="E804" t="s">
        <v>46</v>
      </c>
      <c r="F804" t="s">
        <v>30</v>
      </c>
      <c r="G804" t="s">
        <v>102</v>
      </c>
      <c r="H804" t="s">
        <v>71</v>
      </c>
      <c r="I804" t="s">
        <v>72</v>
      </c>
      <c r="J804" t="s">
        <v>2258</v>
      </c>
      <c r="K804" t="s">
        <v>628</v>
      </c>
      <c r="L804" t="s">
        <v>36</v>
      </c>
      <c r="M804" t="s">
        <v>500</v>
      </c>
      <c r="N804" t="s">
        <v>763</v>
      </c>
      <c r="O804" t="s">
        <v>36</v>
      </c>
      <c r="P804" t="s">
        <v>55</v>
      </c>
      <c r="Q804" t="s">
        <v>67</v>
      </c>
      <c r="R804">
        <v>110</v>
      </c>
      <c r="S804">
        <v>0</v>
      </c>
      <c r="T804" t="s">
        <v>85</v>
      </c>
      <c r="U804" t="s">
        <v>42</v>
      </c>
      <c r="V804">
        <v>1.7</v>
      </c>
      <c r="W804">
        <v>2.89</v>
      </c>
      <c r="X804">
        <v>1.8</v>
      </c>
      <c r="Y804">
        <v>17.3</v>
      </c>
      <c r="Z804">
        <v>12.4</v>
      </c>
    </row>
    <row r="805" spans="1:26" x14ac:dyDescent="0.45">
      <c r="A805" t="s">
        <v>2259</v>
      </c>
      <c r="B805">
        <v>67</v>
      </c>
      <c r="C805" t="s">
        <v>27</v>
      </c>
      <c r="D805" t="s">
        <v>87</v>
      </c>
      <c r="E805" t="s">
        <v>163</v>
      </c>
      <c r="F805" t="s">
        <v>88</v>
      </c>
      <c r="G805" t="s">
        <v>125</v>
      </c>
      <c r="H805" t="s">
        <v>32</v>
      </c>
      <c r="I805" t="s">
        <v>132</v>
      </c>
      <c r="J805" t="s">
        <v>1265</v>
      </c>
      <c r="K805" t="s">
        <v>2260</v>
      </c>
      <c r="L805" t="s">
        <v>92</v>
      </c>
      <c r="M805" t="s">
        <v>75</v>
      </c>
      <c r="N805" t="s">
        <v>182</v>
      </c>
      <c r="O805" t="s">
        <v>92</v>
      </c>
      <c r="P805" t="s">
        <v>39</v>
      </c>
      <c r="Q805" t="s">
        <v>40</v>
      </c>
      <c r="R805">
        <v>180</v>
      </c>
      <c r="S805">
        <v>1</v>
      </c>
      <c r="T805" t="s">
        <v>85</v>
      </c>
      <c r="U805" t="s">
        <v>57</v>
      </c>
      <c r="V805">
        <v>2.63</v>
      </c>
      <c r="W805">
        <v>3.09</v>
      </c>
      <c r="X805">
        <v>9.1</v>
      </c>
      <c r="Y805">
        <v>9.5</v>
      </c>
      <c r="Z805">
        <v>3.4</v>
      </c>
    </row>
    <row r="806" spans="1:26" x14ac:dyDescent="0.45">
      <c r="A806" t="s">
        <v>2261</v>
      </c>
      <c r="B806">
        <v>79</v>
      </c>
      <c r="C806" t="s">
        <v>45</v>
      </c>
      <c r="D806" t="s">
        <v>95</v>
      </c>
      <c r="E806" t="s">
        <v>29</v>
      </c>
      <c r="F806" t="s">
        <v>88</v>
      </c>
      <c r="G806" t="s">
        <v>112</v>
      </c>
      <c r="H806" t="s">
        <v>32</v>
      </c>
      <c r="I806" t="s">
        <v>33</v>
      </c>
      <c r="J806" t="s">
        <v>2262</v>
      </c>
      <c r="K806" t="s">
        <v>2263</v>
      </c>
      <c r="L806" t="s">
        <v>36</v>
      </c>
      <c r="M806" t="s">
        <v>469</v>
      </c>
      <c r="N806" t="s">
        <v>331</v>
      </c>
      <c r="O806" t="s">
        <v>36</v>
      </c>
      <c r="P806" t="s">
        <v>39</v>
      </c>
      <c r="Q806" t="s">
        <v>129</v>
      </c>
      <c r="R806">
        <v>72</v>
      </c>
      <c r="S806">
        <v>1</v>
      </c>
      <c r="T806" t="s">
        <v>123</v>
      </c>
      <c r="U806" t="s">
        <v>42</v>
      </c>
      <c r="V806">
        <v>4.45</v>
      </c>
      <c r="W806">
        <v>3.31</v>
      </c>
      <c r="X806">
        <v>9</v>
      </c>
      <c r="Y806">
        <v>16.7</v>
      </c>
      <c r="Z806">
        <v>16.8</v>
      </c>
    </row>
    <row r="807" spans="1:26" x14ac:dyDescent="0.45">
      <c r="A807" t="s">
        <v>2264</v>
      </c>
      <c r="B807">
        <v>85</v>
      </c>
      <c r="C807" t="s">
        <v>44</v>
      </c>
      <c r="D807" t="s">
        <v>106</v>
      </c>
      <c r="E807" t="s">
        <v>78</v>
      </c>
      <c r="F807" t="s">
        <v>47</v>
      </c>
      <c r="G807" t="s">
        <v>194</v>
      </c>
      <c r="H807" t="s">
        <v>81</v>
      </c>
      <c r="I807" t="s">
        <v>49</v>
      </c>
      <c r="J807" t="s">
        <v>1630</v>
      </c>
      <c r="K807" t="s">
        <v>570</v>
      </c>
      <c r="L807" t="s">
        <v>52</v>
      </c>
      <c r="M807" t="s">
        <v>53</v>
      </c>
      <c r="N807" t="s">
        <v>763</v>
      </c>
      <c r="O807" t="s">
        <v>52</v>
      </c>
      <c r="P807" t="s">
        <v>39</v>
      </c>
      <c r="Q807" t="s">
        <v>129</v>
      </c>
      <c r="R807">
        <v>172</v>
      </c>
      <c r="S807">
        <v>1</v>
      </c>
      <c r="T807" t="s">
        <v>41</v>
      </c>
      <c r="U807" t="s">
        <v>57</v>
      </c>
      <c r="V807">
        <v>2.72</v>
      </c>
      <c r="W807">
        <v>4</v>
      </c>
      <c r="X807">
        <v>9.1999999999999993</v>
      </c>
      <c r="Y807">
        <v>16.3</v>
      </c>
      <c r="Z807">
        <v>6.1</v>
      </c>
    </row>
    <row r="808" spans="1:26" x14ac:dyDescent="0.45">
      <c r="A808" t="s">
        <v>2265</v>
      </c>
      <c r="B808">
        <v>50</v>
      </c>
      <c r="C808" t="s">
        <v>44</v>
      </c>
      <c r="D808" t="s">
        <v>28</v>
      </c>
      <c r="E808" t="s">
        <v>163</v>
      </c>
      <c r="F808" t="s">
        <v>47</v>
      </c>
      <c r="G808" t="s">
        <v>184</v>
      </c>
      <c r="H808" t="s">
        <v>32</v>
      </c>
      <c r="I808" t="s">
        <v>132</v>
      </c>
      <c r="J808" t="s">
        <v>2266</v>
      </c>
      <c r="K808" t="s">
        <v>1341</v>
      </c>
      <c r="L808" t="s">
        <v>52</v>
      </c>
      <c r="M808" t="s">
        <v>129</v>
      </c>
      <c r="N808" t="s">
        <v>76</v>
      </c>
      <c r="O808" t="s">
        <v>52</v>
      </c>
      <c r="P808" t="s">
        <v>39</v>
      </c>
      <c r="Q808" t="s">
        <v>67</v>
      </c>
      <c r="R808">
        <v>69</v>
      </c>
      <c r="S808">
        <v>1</v>
      </c>
      <c r="T808" t="s">
        <v>56</v>
      </c>
      <c r="U808" t="s">
        <v>57</v>
      </c>
      <c r="V808">
        <v>2.08</v>
      </c>
      <c r="W808">
        <v>1.79</v>
      </c>
      <c r="X808">
        <v>3.2</v>
      </c>
      <c r="Y808">
        <v>11.5</v>
      </c>
      <c r="Z808">
        <v>12.4</v>
      </c>
    </row>
    <row r="809" spans="1:26" x14ac:dyDescent="0.45">
      <c r="A809" t="s">
        <v>2267</v>
      </c>
      <c r="B809">
        <v>80</v>
      </c>
      <c r="C809" t="s">
        <v>45</v>
      </c>
      <c r="D809" t="s">
        <v>45</v>
      </c>
      <c r="E809" t="s">
        <v>163</v>
      </c>
      <c r="F809" t="s">
        <v>47</v>
      </c>
      <c r="G809" t="s">
        <v>89</v>
      </c>
      <c r="H809" t="s">
        <v>71</v>
      </c>
      <c r="I809" t="s">
        <v>132</v>
      </c>
      <c r="J809" t="s">
        <v>2268</v>
      </c>
      <c r="K809" t="s">
        <v>2269</v>
      </c>
      <c r="L809" t="s">
        <v>52</v>
      </c>
      <c r="M809" t="s">
        <v>1933</v>
      </c>
      <c r="N809" t="s">
        <v>958</v>
      </c>
      <c r="O809" t="s">
        <v>52</v>
      </c>
      <c r="P809" t="s">
        <v>39</v>
      </c>
      <c r="Q809" t="s">
        <v>40</v>
      </c>
      <c r="R809">
        <v>120</v>
      </c>
      <c r="S809">
        <v>1</v>
      </c>
      <c r="T809" t="s">
        <v>123</v>
      </c>
      <c r="U809" t="s">
        <v>42</v>
      </c>
      <c r="V809">
        <v>3.35</v>
      </c>
      <c r="W809">
        <v>2.71</v>
      </c>
      <c r="X809">
        <v>6.5</v>
      </c>
      <c r="Y809">
        <v>7.5</v>
      </c>
      <c r="Z809">
        <v>4.5</v>
      </c>
    </row>
    <row r="810" spans="1:26" x14ac:dyDescent="0.45">
      <c r="A810" t="s">
        <v>2270</v>
      </c>
      <c r="B810">
        <v>26</v>
      </c>
      <c r="C810" t="s">
        <v>45</v>
      </c>
      <c r="D810" t="s">
        <v>95</v>
      </c>
      <c r="E810" t="s">
        <v>46</v>
      </c>
      <c r="F810" t="s">
        <v>30</v>
      </c>
      <c r="G810" t="s">
        <v>184</v>
      </c>
      <c r="H810" t="s">
        <v>32</v>
      </c>
      <c r="I810" t="s">
        <v>72</v>
      </c>
      <c r="J810" t="s">
        <v>2271</v>
      </c>
      <c r="K810" t="s">
        <v>1300</v>
      </c>
      <c r="L810" t="s">
        <v>52</v>
      </c>
      <c r="M810" t="s">
        <v>155</v>
      </c>
      <c r="N810" t="s">
        <v>1025</v>
      </c>
      <c r="O810" t="s">
        <v>52</v>
      </c>
      <c r="P810" t="s">
        <v>110</v>
      </c>
      <c r="Q810" t="s">
        <v>67</v>
      </c>
      <c r="R810">
        <v>114</v>
      </c>
      <c r="S810">
        <v>0</v>
      </c>
      <c r="T810" t="s">
        <v>41</v>
      </c>
      <c r="U810" t="s">
        <v>57</v>
      </c>
      <c r="V810">
        <v>1.69</v>
      </c>
      <c r="W810">
        <v>3.07</v>
      </c>
      <c r="X810">
        <v>2.9</v>
      </c>
      <c r="Y810">
        <v>11.1</v>
      </c>
      <c r="Z810">
        <v>9.8000000000000007</v>
      </c>
    </row>
    <row r="811" spans="1:26" x14ac:dyDescent="0.45">
      <c r="A811" t="s">
        <v>2272</v>
      </c>
      <c r="B811">
        <v>19</v>
      </c>
      <c r="C811" t="s">
        <v>27</v>
      </c>
      <c r="D811" t="s">
        <v>87</v>
      </c>
      <c r="E811" t="s">
        <v>29</v>
      </c>
      <c r="F811" t="s">
        <v>47</v>
      </c>
      <c r="G811" t="s">
        <v>440</v>
      </c>
      <c r="H811" t="s">
        <v>81</v>
      </c>
      <c r="I811" t="s">
        <v>132</v>
      </c>
      <c r="J811" t="s">
        <v>2273</v>
      </c>
      <c r="K811" t="s">
        <v>2274</v>
      </c>
      <c r="L811" t="s">
        <v>64</v>
      </c>
      <c r="M811" t="s">
        <v>30</v>
      </c>
      <c r="N811" t="s">
        <v>818</v>
      </c>
      <c r="O811" t="s">
        <v>64</v>
      </c>
      <c r="P811" t="s">
        <v>55</v>
      </c>
      <c r="Q811" t="s">
        <v>30</v>
      </c>
      <c r="R811">
        <v>96</v>
      </c>
      <c r="S811">
        <v>0</v>
      </c>
      <c r="T811" t="s">
        <v>137</v>
      </c>
      <c r="U811" t="s">
        <v>57</v>
      </c>
      <c r="V811">
        <v>4.25</v>
      </c>
      <c r="W811">
        <v>1.06</v>
      </c>
      <c r="X811">
        <v>6.8</v>
      </c>
      <c r="Y811">
        <v>18</v>
      </c>
      <c r="Z811">
        <v>16.600000000000001</v>
      </c>
    </row>
    <row r="812" spans="1:26" x14ac:dyDescent="0.45">
      <c r="A812" t="s">
        <v>2275</v>
      </c>
      <c r="B812">
        <v>24</v>
      </c>
      <c r="C812" t="s">
        <v>45</v>
      </c>
      <c r="D812" t="s">
        <v>106</v>
      </c>
      <c r="E812" t="s">
        <v>29</v>
      </c>
      <c r="F812" t="s">
        <v>30</v>
      </c>
      <c r="G812" t="s">
        <v>125</v>
      </c>
      <c r="H812" t="s">
        <v>81</v>
      </c>
      <c r="I812" t="s">
        <v>72</v>
      </c>
      <c r="J812" t="s">
        <v>174</v>
      </c>
      <c r="K812" t="s">
        <v>83</v>
      </c>
      <c r="L812" t="s">
        <v>92</v>
      </c>
      <c r="M812" t="s">
        <v>30</v>
      </c>
      <c r="N812" t="s">
        <v>852</v>
      </c>
      <c r="O812" t="s">
        <v>92</v>
      </c>
      <c r="P812" t="s">
        <v>110</v>
      </c>
      <c r="Q812" t="s">
        <v>75</v>
      </c>
      <c r="R812">
        <v>61</v>
      </c>
      <c r="S812">
        <v>0</v>
      </c>
      <c r="T812" t="s">
        <v>41</v>
      </c>
      <c r="U812" t="s">
        <v>57</v>
      </c>
      <c r="V812">
        <v>4.7300000000000004</v>
      </c>
      <c r="W812">
        <v>1.08</v>
      </c>
      <c r="X812">
        <v>2.4</v>
      </c>
      <c r="Y812">
        <v>22</v>
      </c>
      <c r="Z812">
        <v>10.8</v>
      </c>
    </row>
    <row r="813" spans="1:26" x14ac:dyDescent="0.45">
      <c r="A813" t="s">
        <v>2276</v>
      </c>
      <c r="B813">
        <v>82</v>
      </c>
      <c r="C813" t="s">
        <v>45</v>
      </c>
      <c r="D813" t="s">
        <v>28</v>
      </c>
      <c r="E813" t="s">
        <v>29</v>
      </c>
      <c r="F813" t="s">
        <v>30</v>
      </c>
      <c r="G813" t="s">
        <v>152</v>
      </c>
      <c r="H813" t="s">
        <v>81</v>
      </c>
      <c r="I813" t="s">
        <v>72</v>
      </c>
      <c r="J813" t="s">
        <v>1431</v>
      </c>
      <c r="K813" t="s">
        <v>498</v>
      </c>
      <c r="L813" t="s">
        <v>36</v>
      </c>
      <c r="M813" t="s">
        <v>266</v>
      </c>
      <c r="N813" t="s">
        <v>398</v>
      </c>
      <c r="O813" t="s">
        <v>36</v>
      </c>
      <c r="P813" t="s">
        <v>55</v>
      </c>
      <c r="Q813" t="s">
        <v>67</v>
      </c>
      <c r="R813">
        <v>94</v>
      </c>
      <c r="S813">
        <v>0</v>
      </c>
      <c r="T813" t="s">
        <v>56</v>
      </c>
      <c r="U813" t="s">
        <v>42</v>
      </c>
      <c r="V813">
        <v>3.26</v>
      </c>
      <c r="W813">
        <v>3.65</v>
      </c>
      <c r="X813">
        <v>7.1</v>
      </c>
      <c r="Y813">
        <v>22.8</v>
      </c>
      <c r="Z813">
        <v>19.899999999999999</v>
      </c>
    </row>
    <row r="814" spans="1:26" x14ac:dyDescent="0.45">
      <c r="A814" t="s">
        <v>2277</v>
      </c>
      <c r="B814">
        <v>22</v>
      </c>
      <c r="C814" t="s">
        <v>27</v>
      </c>
      <c r="D814" t="s">
        <v>45</v>
      </c>
      <c r="E814" t="s">
        <v>29</v>
      </c>
      <c r="F814" t="s">
        <v>30</v>
      </c>
      <c r="G814" t="s">
        <v>131</v>
      </c>
      <c r="H814" t="s">
        <v>32</v>
      </c>
      <c r="I814" t="s">
        <v>72</v>
      </c>
      <c r="J814" t="s">
        <v>285</v>
      </c>
      <c r="K814" t="s">
        <v>433</v>
      </c>
      <c r="L814" t="s">
        <v>52</v>
      </c>
      <c r="M814" t="s">
        <v>1263</v>
      </c>
      <c r="N814" t="s">
        <v>387</v>
      </c>
      <c r="O814" t="s">
        <v>52</v>
      </c>
      <c r="P814" t="s">
        <v>39</v>
      </c>
      <c r="Q814" t="s">
        <v>75</v>
      </c>
      <c r="R814">
        <v>56</v>
      </c>
      <c r="S814">
        <v>1</v>
      </c>
      <c r="T814" t="s">
        <v>41</v>
      </c>
      <c r="U814" t="s">
        <v>42</v>
      </c>
      <c r="V814">
        <v>3.88</v>
      </c>
      <c r="W814">
        <v>2.15</v>
      </c>
      <c r="X814">
        <v>8.9</v>
      </c>
      <c r="Y814">
        <v>6.9</v>
      </c>
      <c r="Z814">
        <v>6.9</v>
      </c>
    </row>
    <row r="815" spans="1:26" x14ac:dyDescent="0.45">
      <c r="A815" t="s">
        <v>2278</v>
      </c>
      <c r="B815">
        <v>81</v>
      </c>
      <c r="C815" t="s">
        <v>27</v>
      </c>
      <c r="D815" t="s">
        <v>95</v>
      </c>
      <c r="E815" t="s">
        <v>46</v>
      </c>
      <c r="F815" t="s">
        <v>30</v>
      </c>
      <c r="G815" t="s">
        <v>80</v>
      </c>
      <c r="H815" t="s">
        <v>71</v>
      </c>
      <c r="I815" t="s">
        <v>72</v>
      </c>
      <c r="J815" t="s">
        <v>2279</v>
      </c>
      <c r="K815" t="s">
        <v>2280</v>
      </c>
      <c r="L815" t="s">
        <v>52</v>
      </c>
      <c r="M815" t="s">
        <v>67</v>
      </c>
      <c r="N815" t="s">
        <v>619</v>
      </c>
      <c r="O815" t="s">
        <v>52</v>
      </c>
      <c r="P815" t="s">
        <v>39</v>
      </c>
      <c r="Q815" t="s">
        <v>129</v>
      </c>
      <c r="R815">
        <v>33</v>
      </c>
      <c r="S815">
        <v>1</v>
      </c>
      <c r="T815" t="s">
        <v>41</v>
      </c>
      <c r="U815" t="s">
        <v>42</v>
      </c>
      <c r="V815">
        <v>4.59</v>
      </c>
      <c r="W815">
        <v>2.02</v>
      </c>
      <c r="X815">
        <v>3</v>
      </c>
      <c r="Y815">
        <v>8.5</v>
      </c>
      <c r="Z815">
        <v>17.600000000000001</v>
      </c>
    </row>
    <row r="816" spans="1:26" x14ac:dyDescent="0.45">
      <c r="A816" t="s">
        <v>2281</v>
      </c>
      <c r="B816">
        <v>40</v>
      </c>
      <c r="C816" t="s">
        <v>27</v>
      </c>
      <c r="D816" t="s">
        <v>87</v>
      </c>
      <c r="E816" t="s">
        <v>163</v>
      </c>
      <c r="F816" t="s">
        <v>30</v>
      </c>
      <c r="G816" t="s">
        <v>131</v>
      </c>
      <c r="H816" t="s">
        <v>81</v>
      </c>
      <c r="I816" t="s">
        <v>33</v>
      </c>
      <c r="J816" t="s">
        <v>2282</v>
      </c>
      <c r="K816" t="s">
        <v>2232</v>
      </c>
      <c r="L816" t="s">
        <v>36</v>
      </c>
      <c r="M816" t="s">
        <v>517</v>
      </c>
      <c r="N816" t="s">
        <v>1836</v>
      </c>
      <c r="O816" t="s">
        <v>36</v>
      </c>
      <c r="P816" t="s">
        <v>39</v>
      </c>
      <c r="Q816" t="s">
        <v>30</v>
      </c>
      <c r="R816">
        <v>78</v>
      </c>
      <c r="S816">
        <v>1</v>
      </c>
      <c r="T816" t="s">
        <v>137</v>
      </c>
      <c r="U816" t="s">
        <v>57</v>
      </c>
      <c r="V816">
        <v>3</v>
      </c>
      <c r="W816">
        <v>3.7</v>
      </c>
      <c r="X816">
        <v>3.2</v>
      </c>
      <c r="Y816">
        <v>19.600000000000001</v>
      </c>
      <c r="Z816">
        <v>15.9</v>
      </c>
    </row>
    <row r="817" spans="1:26" x14ac:dyDescent="0.45">
      <c r="A817" t="s">
        <v>2283</v>
      </c>
      <c r="B817">
        <v>29</v>
      </c>
      <c r="C817" t="s">
        <v>44</v>
      </c>
      <c r="D817" t="s">
        <v>87</v>
      </c>
      <c r="E817" t="s">
        <v>46</v>
      </c>
      <c r="F817" t="s">
        <v>30</v>
      </c>
      <c r="G817" t="s">
        <v>276</v>
      </c>
      <c r="H817" t="s">
        <v>32</v>
      </c>
      <c r="I817" t="s">
        <v>72</v>
      </c>
      <c r="J817" t="s">
        <v>2284</v>
      </c>
      <c r="K817" t="s">
        <v>2285</v>
      </c>
      <c r="L817" t="s">
        <v>92</v>
      </c>
      <c r="M817" t="s">
        <v>317</v>
      </c>
      <c r="N817" t="s">
        <v>1235</v>
      </c>
      <c r="O817" t="s">
        <v>92</v>
      </c>
      <c r="P817" t="s">
        <v>110</v>
      </c>
      <c r="Q817" t="s">
        <v>67</v>
      </c>
      <c r="R817">
        <v>79</v>
      </c>
      <c r="S817">
        <v>0</v>
      </c>
      <c r="T817" t="s">
        <v>137</v>
      </c>
      <c r="U817" t="s">
        <v>57</v>
      </c>
      <c r="V817">
        <v>2.25</v>
      </c>
      <c r="W817">
        <v>2.64</v>
      </c>
      <c r="X817">
        <v>2.9</v>
      </c>
      <c r="Y817">
        <v>23.6</v>
      </c>
      <c r="Z817">
        <v>14</v>
      </c>
    </row>
    <row r="818" spans="1:26" x14ac:dyDescent="0.45">
      <c r="A818" t="s">
        <v>2286</v>
      </c>
      <c r="B818">
        <v>70</v>
      </c>
      <c r="C818" t="s">
        <v>45</v>
      </c>
      <c r="D818" t="s">
        <v>28</v>
      </c>
      <c r="E818" t="s">
        <v>163</v>
      </c>
      <c r="F818" t="s">
        <v>79</v>
      </c>
      <c r="G818" t="s">
        <v>164</v>
      </c>
      <c r="H818" t="s">
        <v>81</v>
      </c>
      <c r="I818" t="s">
        <v>33</v>
      </c>
      <c r="J818" t="s">
        <v>2287</v>
      </c>
      <c r="K818" t="s">
        <v>1925</v>
      </c>
      <c r="L818" t="s">
        <v>64</v>
      </c>
      <c r="M818" t="s">
        <v>1526</v>
      </c>
      <c r="N818" t="s">
        <v>331</v>
      </c>
      <c r="O818" t="s">
        <v>64</v>
      </c>
      <c r="P818" t="s">
        <v>55</v>
      </c>
      <c r="Q818" t="s">
        <v>129</v>
      </c>
      <c r="R818">
        <v>41</v>
      </c>
      <c r="S818">
        <v>0</v>
      </c>
      <c r="T818" t="s">
        <v>56</v>
      </c>
      <c r="U818" t="s">
        <v>57</v>
      </c>
      <c r="V818">
        <v>4.74</v>
      </c>
      <c r="W818">
        <v>2.21</v>
      </c>
      <c r="X818">
        <v>8</v>
      </c>
      <c r="Y818">
        <v>19.8</v>
      </c>
      <c r="Z818">
        <v>14.8</v>
      </c>
    </row>
    <row r="819" spans="1:26" x14ac:dyDescent="0.45">
      <c r="A819" t="s">
        <v>2288</v>
      </c>
      <c r="B819">
        <v>67</v>
      </c>
      <c r="C819" t="s">
        <v>44</v>
      </c>
      <c r="D819" t="s">
        <v>28</v>
      </c>
      <c r="E819" t="s">
        <v>163</v>
      </c>
      <c r="F819" t="s">
        <v>47</v>
      </c>
      <c r="G819" t="s">
        <v>194</v>
      </c>
      <c r="H819" t="s">
        <v>32</v>
      </c>
      <c r="I819" t="s">
        <v>49</v>
      </c>
      <c r="J819" t="s">
        <v>1781</v>
      </c>
      <c r="K819" t="s">
        <v>2289</v>
      </c>
      <c r="L819" t="s">
        <v>64</v>
      </c>
      <c r="M819" t="s">
        <v>40</v>
      </c>
      <c r="N819" t="s">
        <v>1074</v>
      </c>
      <c r="O819" t="s">
        <v>64</v>
      </c>
      <c r="P819" t="s">
        <v>55</v>
      </c>
      <c r="Q819" t="s">
        <v>129</v>
      </c>
      <c r="R819">
        <v>132</v>
      </c>
      <c r="S819">
        <v>0</v>
      </c>
      <c r="T819" t="s">
        <v>85</v>
      </c>
      <c r="U819" t="s">
        <v>57</v>
      </c>
      <c r="V819">
        <v>4.8600000000000003</v>
      </c>
      <c r="W819">
        <v>2.57</v>
      </c>
      <c r="X819">
        <v>2.2000000000000002</v>
      </c>
      <c r="Y819">
        <v>18.100000000000001</v>
      </c>
      <c r="Z819">
        <v>15.4</v>
      </c>
    </row>
    <row r="820" spans="1:26" x14ac:dyDescent="0.45">
      <c r="A820" t="s">
        <v>2290</v>
      </c>
      <c r="B820">
        <v>78</v>
      </c>
      <c r="C820" t="s">
        <v>27</v>
      </c>
      <c r="D820" t="s">
        <v>45</v>
      </c>
      <c r="E820" t="s">
        <v>29</v>
      </c>
      <c r="F820" t="s">
        <v>69</v>
      </c>
      <c r="G820" t="s">
        <v>89</v>
      </c>
      <c r="H820" t="s">
        <v>81</v>
      </c>
      <c r="I820" t="s">
        <v>33</v>
      </c>
      <c r="J820" t="s">
        <v>1052</v>
      </c>
      <c r="K820" t="s">
        <v>2170</v>
      </c>
      <c r="L820" t="s">
        <v>52</v>
      </c>
      <c r="M820" t="s">
        <v>378</v>
      </c>
      <c r="N820" t="s">
        <v>2291</v>
      </c>
      <c r="O820" t="s">
        <v>52</v>
      </c>
      <c r="P820" t="s">
        <v>55</v>
      </c>
      <c r="Q820" t="s">
        <v>75</v>
      </c>
      <c r="R820">
        <v>147</v>
      </c>
      <c r="S820">
        <v>0</v>
      </c>
      <c r="T820" t="s">
        <v>123</v>
      </c>
      <c r="U820" t="s">
        <v>42</v>
      </c>
      <c r="V820">
        <v>3.3</v>
      </c>
      <c r="W820">
        <v>1.83</v>
      </c>
      <c r="X820">
        <v>5.5</v>
      </c>
      <c r="Y820">
        <v>11.6</v>
      </c>
      <c r="Z820">
        <v>10.3</v>
      </c>
    </row>
    <row r="821" spans="1:26" x14ac:dyDescent="0.45">
      <c r="A821" t="s">
        <v>2292</v>
      </c>
      <c r="B821">
        <v>73</v>
      </c>
      <c r="C821" t="s">
        <v>45</v>
      </c>
      <c r="D821" t="s">
        <v>45</v>
      </c>
      <c r="E821" t="s">
        <v>29</v>
      </c>
      <c r="F821" t="s">
        <v>30</v>
      </c>
      <c r="G821" t="s">
        <v>80</v>
      </c>
      <c r="H821" t="s">
        <v>61</v>
      </c>
      <c r="I821" t="s">
        <v>33</v>
      </c>
      <c r="J821" t="s">
        <v>1899</v>
      </c>
      <c r="K821" t="s">
        <v>2293</v>
      </c>
      <c r="L821" t="s">
        <v>36</v>
      </c>
      <c r="M821" t="s">
        <v>1427</v>
      </c>
      <c r="N821" t="s">
        <v>1087</v>
      </c>
      <c r="O821" t="s">
        <v>36</v>
      </c>
      <c r="P821" t="s">
        <v>110</v>
      </c>
      <c r="Q821" t="s">
        <v>40</v>
      </c>
      <c r="R821">
        <v>76</v>
      </c>
      <c r="S821">
        <v>0</v>
      </c>
      <c r="T821" t="s">
        <v>137</v>
      </c>
      <c r="U821" t="s">
        <v>57</v>
      </c>
      <c r="V821">
        <v>3.58</v>
      </c>
      <c r="W821">
        <v>3.98</v>
      </c>
      <c r="X821">
        <v>3.1</v>
      </c>
      <c r="Y821">
        <v>13.3</v>
      </c>
      <c r="Z821">
        <v>7.6</v>
      </c>
    </row>
    <row r="822" spans="1:26" x14ac:dyDescent="0.45">
      <c r="A822" t="s">
        <v>2294</v>
      </c>
      <c r="B822">
        <v>27</v>
      </c>
      <c r="C822" t="s">
        <v>45</v>
      </c>
      <c r="D822" t="s">
        <v>95</v>
      </c>
      <c r="E822" t="s">
        <v>78</v>
      </c>
      <c r="F822" t="s">
        <v>69</v>
      </c>
      <c r="G822" t="s">
        <v>60</v>
      </c>
      <c r="H822" t="s">
        <v>71</v>
      </c>
      <c r="I822" t="s">
        <v>49</v>
      </c>
      <c r="J822" t="s">
        <v>185</v>
      </c>
      <c r="K822" t="s">
        <v>2295</v>
      </c>
      <c r="L822" t="s">
        <v>64</v>
      </c>
      <c r="M822" t="s">
        <v>155</v>
      </c>
      <c r="N822" t="s">
        <v>466</v>
      </c>
      <c r="O822" t="s">
        <v>64</v>
      </c>
      <c r="P822" t="s">
        <v>39</v>
      </c>
      <c r="Q822" t="s">
        <v>30</v>
      </c>
      <c r="R822">
        <v>50</v>
      </c>
      <c r="S822">
        <v>1</v>
      </c>
      <c r="T822" t="s">
        <v>85</v>
      </c>
      <c r="U822" t="s">
        <v>42</v>
      </c>
      <c r="V822">
        <v>1.79</v>
      </c>
      <c r="W822">
        <v>4.13</v>
      </c>
      <c r="X822">
        <v>9.1999999999999993</v>
      </c>
      <c r="Y822">
        <v>12.7</v>
      </c>
      <c r="Z822">
        <v>15.8</v>
      </c>
    </row>
    <row r="823" spans="1:26" x14ac:dyDescent="0.45">
      <c r="A823" t="s">
        <v>2296</v>
      </c>
      <c r="B823">
        <v>65</v>
      </c>
      <c r="C823" t="s">
        <v>27</v>
      </c>
      <c r="D823" t="s">
        <v>87</v>
      </c>
      <c r="E823" t="s">
        <v>78</v>
      </c>
      <c r="F823" t="s">
        <v>69</v>
      </c>
      <c r="G823" t="s">
        <v>31</v>
      </c>
      <c r="H823" t="s">
        <v>61</v>
      </c>
      <c r="I823" t="s">
        <v>33</v>
      </c>
      <c r="J823" t="s">
        <v>2297</v>
      </c>
      <c r="K823" t="s">
        <v>2298</v>
      </c>
      <c r="L823" t="s">
        <v>92</v>
      </c>
      <c r="M823" t="s">
        <v>231</v>
      </c>
      <c r="N823" t="s">
        <v>1631</v>
      </c>
      <c r="O823" t="s">
        <v>92</v>
      </c>
      <c r="P823" t="s">
        <v>110</v>
      </c>
      <c r="Q823" t="s">
        <v>67</v>
      </c>
      <c r="R823">
        <v>49</v>
      </c>
      <c r="S823">
        <v>0</v>
      </c>
      <c r="T823" t="s">
        <v>123</v>
      </c>
      <c r="U823" t="s">
        <v>42</v>
      </c>
      <c r="V823">
        <v>4.59</v>
      </c>
      <c r="W823">
        <v>4.38</v>
      </c>
      <c r="X823">
        <v>2.6</v>
      </c>
      <c r="Y823">
        <v>23.2</v>
      </c>
      <c r="Z823">
        <v>9.4</v>
      </c>
    </row>
    <row r="824" spans="1:26" x14ac:dyDescent="0.45">
      <c r="A824" t="s">
        <v>2299</v>
      </c>
      <c r="B824">
        <v>53</v>
      </c>
      <c r="C824" t="s">
        <v>27</v>
      </c>
      <c r="D824" t="s">
        <v>45</v>
      </c>
      <c r="E824" t="s">
        <v>29</v>
      </c>
      <c r="F824" t="s">
        <v>79</v>
      </c>
      <c r="G824" t="s">
        <v>48</v>
      </c>
      <c r="H824" t="s">
        <v>32</v>
      </c>
      <c r="I824" t="s">
        <v>72</v>
      </c>
      <c r="J824" t="s">
        <v>2300</v>
      </c>
      <c r="K824" t="s">
        <v>590</v>
      </c>
      <c r="L824" t="s">
        <v>64</v>
      </c>
      <c r="M824" t="s">
        <v>362</v>
      </c>
      <c r="N824" t="s">
        <v>804</v>
      </c>
      <c r="O824" t="s">
        <v>64</v>
      </c>
      <c r="P824" t="s">
        <v>110</v>
      </c>
      <c r="Q824" t="s">
        <v>30</v>
      </c>
      <c r="R824">
        <v>123</v>
      </c>
      <c r="S824">
        <v>0</v>
      </c>
      <c r="T824" t="s">
        <v>137</v>
      </c>
      <c r="U824" t="s">
        <v>42</v>
      </c>
      <c r="V824">
        <v>2.36</v>
      </c>
      <c r="W824">
        <v>1.25</v>
      </c>
      <c r="X824">
        <v>5.4</v>
      </c>
      <c r="Y824">
        <v>8</v>
      </c>
      <c r="Z824">
        <v>7.2</v>
      </c>
    </row>
    <row r="825" spans="1:26" x14ac:dyDescent="0.45">
      <c r="A825" t="s">
        <v>2301</v>
      </c>
      <c r="B825">
        <v>31</v>
      </c>
      <c r="C825" t="s">
        <v>45</v>
      </c>
      <c r="D825" t="s">
        <v>28</v>
      </c>
      <c r="E825" t="s">
        <v>30</v>
      </c>
      <c r="F825" t="s">
        <v>88</v>
      </c>
      <c r="G825" t="s">
        <v>31</v>
      </c>
      <c r="H825" t="s">
        <v>81</v>
      </c>
      <c r="I825" t="s">
        <v>72</v>
      </c>
      <c r="J825" t="s">
        <v>2302</v>
      </c>
      <c r="K825" t="s">
        <v>2303</v>
      </c>
      <c r="L825" t="s">
        <v>64</v>
      </c>
      <c r="M825" t="s">
        <v>451</v>
      </c>
      <c r="N825" t="s">
        <v>1280</v>
      </c>
      <c r="O825" t="s">
        <v>64</v>
      </c>
      <c r="P825" t="s">
        <v>39</v>
      </c>
      <c r="Q825" t="s">
        <v>129</v>
      </c>
      <c r="R825">
        <v>132</v>
      </c>
      <c r="S825">
        <v>1</v>
      </c>
      <c r="T825" t="s">
        <v>41</v>
      </c>
      <c r="U825" t="s">
        <v>57</v>
      </c>
      <c r="V825">
        <v>2.27</v>
      </c>
      <c r="W825">
        <v>4.24</v>
      </c>
      <c r="X825">
        <v>8.9</v>
      </c>
      <c r="Y825">
        <v>11.4</v>
      </c>
      <c r="Z825">
        <v>17.600000000000001</v>
      </c>
    </row>
    <row r="826" spans="1:26" x14ac:dyDescent="0.45">
      <c r="A826" t="s">
        <v>2304</v>
      </c>
      <c r="B826">
        <v>70</v>
      </c>
      <c r="C826" t="s">
        <v>44</v>
      </c>
      <c r="D826" t="s">
        <v>87</v>
      </c>
      <c r="E826" t="s">
        <v>78</v>
      </c>
      <c r="F826" t="s">
        <v>79</v>
      </c>
      <c r="G826" t="s">
        <v>184</v>
      </c>
      <c r="H826" t="s">
        <v>81</v>
      </c>
      <c r="I826" t="s">
        <v>72</v>
      </c>
      <c r="J826" t="s">
        <v>214</v>
      </c>
      <c r="K826" t="s">
        <v>1508</v>
      </c>
      <c r="L826" t="s">
        <v>64</v>
      </c>
      <c r="M826" t="s">
        <v>892</v>
      </c>
      <c r="N826" t="s">
        <v>1041</v>
      </c>
      <c r="O826" t="s">
        <v>64</v>
      </c>
      <c r="P826" t="s">
        <v>55</v>
      </c>
      <c r="Q826" t="s">
        <v>75</v>
      </c>
      <c r="R826">
        <v>162</v>
      </c>
      <c r="S826">
        <v>0</v>
      </c>
      <c r="T826" t="s">
        <v>41</v>
      </c>
      <c r="U826" t="s">
        <v>42</v>
      </c>
      <c r="V826">
        <v>4.43</v>
      </c>
      <c r="W826">
        <v>4.0599999999999996</v>
      </c>
      <c r="X826">
        <v>2.2999999999999998</v>
      </c>
      <c r="Y826">
        <v>18.399999999999999</v>
      </c>
      <c r="Z826">
        <v>19.100000000000001</v>
      </c>
    </row>
    <row r="827" spans="1:26" x14ac:dyDescent="0.45">
      <c r="A827" t="s">
        <v>2305</v>
      </c>
      <c r="B827">
        <v>51</v>
      </c>
      <c r="C827" t="s">
        <v>45</v>
      </c>
      <c r="D827" t="s">
        <v>95</v>
      </c>
      <c r="E827" t="s">
        <v>46</v>
      </c>
      <c r="F827" t="s">
        <v>47</v>
      </c>
      <c r="G827" t="s">
        <v>125</v>
      </c>
      <c r="H827" t="s">
        <v>81</v>
      </c>
      <c r="I827" t="s">
        <v>132</v>
      </c>
      <c r="J827" t="s">
        <v>1703</v>
      </c>
      <c r="K827" t="s">
        <v>2306</v>
      </c>
      <c r="L827" t="s">
        <v>64</v>
      </c>
      <c r="M827" t="s">
        <v>446</v>
      </c>
      <c r="N827" t="s">
        <v>612</v>
      </c>
      <c r="O827" t="s">
        <v>64</v>
      </c>
      <c r="P827" t="s">
        <v>55</v>
      </c>
      <c r="Q827" t="s">
        <v>129</v>
      </c>
      <c r="R827">
        <v>75</v>
      </c>
      <c r="S827">
        <v>0</v>
      </c>
      <c r="T827" t="s">
        <v>56</v>
      </c>
      <c r="U827" t="s">
        <v>42</v>
      </c>
      <c r="V827">
        <v>3.73</v>
      </c>
      <c r="W827">
        <v>2.33</v>
      </c>
      <c r="X827">
        <v>5.5</v>
      </c>
      <c r="Y827">
        <v>17.600000000000001</v>
      </c>
      <c r="Z827">
        <v>11.7</v>
      </c>
    </row>
    <row r="828" spans="1:26" x14ac:dyDescent="0.45">
      <c r="A828" t="s">
        <v>2307</v>
      </c>
      <c r="B828">
        <v>29</v>
      </c>
      <c r="C828" t="s">
        <v>44</v>
      </c>
      <c r="D828" t="s">
        <v>106</v>
      </c>
      <c r="E828" t="s">
        <v>78</v>
      </c>
      <c r="F828" t="s">
        <v>88</v>
      </c>
      <c r="G828" t="s">
        <v>194</v>
      </c>
      <c r="H828" t="s">
        <v>71</v>
      </c>
      <c r="I828" t="s">
        <v>33</v>
      </c>
      <c r="J828" t="s">
        <v>2302</v>
      </c>
      <c r="K828" t="s">
        <v>2308</v>
      </c>
      <c r="L828" t="s">
        <v>92</v>
      </c>
      <c r="M828" t="s">
        <v>40</v>
      </c>
      <c r="N828" t="s">
        <v>622</v>
      </c>
      <c r="O828" t="s">
        <v>92</v>
      </c>
      <c r="P828" t="s">
        <v>55</v>
      </c>
      <c r="Q828" t="s">
        <v>75</v>
      </c>
      <c r="R828">
        <v>110</v>
      </c>
      <c r="S828">
        <v>0</v>
      </c>
      <c r="T828" t="s">
        <v>123</v>
      </c>
      <c r="U828" t="s">
        <v>42</v>
      </c>
      <c r="V828">
        <v>1.48</v>
      </c>
      <c r="W828">
        <v>2.25</v>
      </c>
      <c r="X828">
        <v>8.1999999999999993</v>
      </c>
      <c r="Y828">
        <v>21.5</v>
      </c>
      <c r="Z828">
        <v>5.3</v>
      </c>
    </row>
    <row r="829" spans="1:26" x14ac:dyDescent="0.45">
      <c r="A829" t="s">
        <v>2309</v>
      </c>
      <c r="B829">
        <v>79</v>
      </c>
      <c r="C829" t="s">
        <v>44</v>
      </c>
      <c r="D829" t="s">
        <v>87</v>
      </c>
      <c r="E829" t="s">
        <v>29</v>
      </c>
      <c r="F829" t="s">
        <v>30</v>
      </c>
      <c r="G829" t="s">
        <v>276</v>
      </c>
      <c r="H829" t="s">
        <v>32</v>
      </c>
      <c r="I829" t="s">
        <v>132</v>
      </c>
      <c r="J829" t="s">
        <v>2039</v>
      </c>
      <c r="K829" t="s">
        <v>2310</v>
      </c>
      <c r="L829" t="s">
        <v>36</v>
      </c>
      <c r="M829" t="s">
        <v>155</v>
      </c>
      <c r="N829" t="s">
        <v>562</v>
      </c>
      <c r="O829" t="s">
        <v>36</v>
      </c>
      <c r="P829" t="s">
        <v>55</v>
      </c>
      <c r="Q829" t="s">
        <v>67</v>
      </c>
      <c r="R829">
        <v>95</v>
      </c>
      <c r="S829">
        <v>0</v>
      </c>
      <c r="T829" t="s">
        <v>137</v>
      </c>
      <c r="U829" t="s">
        <v>57</v>
      </c>
      <c r="V829">
        <v>4.8099999999999996</v>
      </c>
      <c r="W829">
        <v>2.3199999999999998</v>
      </c>
      <c r="X829">
        <v>7</v>
      </c>
      <c r="Y829">
        <v>19.5</v>
      </c>
      <c r="Z829">
        <v>16.8</v>
      </c>
    </row>
    <row r="830" spans="1:26" x14ac:dyDescent="0.45">
      <c r="A830" t="s">
        <v>2311</v>
      </c>
      <c r="B830">
        <v>32</v>
      </c>
      <c r="C830" t="s">
        <v>44</v>
      </c>
      <c r="D830" t="s">
        <v>87</v>
      </c>
      <c r="E830" t="s">
        <v>29</v>
      </c>
      <c r="F830" t="s">
        <v>30</v>
      </c>
      <c r="G830" t="s">
        <v>246</v>
      </c>
      <c r="H830" t="s">
        <v>71</v>
      </c>
      <c r="I830" t="s">
        <v>33</v>
      </c>
      <c r="J830" t="s">
        <v>404</v>
      </c>
      <c r="K830" t="s">
        <v>512</v>
      </c>
      <c r="L830" t="s">
        <v>92</v>
      </c>
      <c r="M830" t="s">
        <v>129</v>
      </c>
      <c r="N830" t="s">
        <v>300</v>
      </c>
      <c r="O830" t="s">
        <v>92</v>
      </c>
      <c r="P830" t="s">
        <v>55</v>
      </c>
      <c r="Q830" t="s">
        <v>30</v>
      </c>
      <c r="R830">
        <v>41</v>
      </c>
      <c r="S830">
        <v>0</v>
      </c>
      <c r="T830" t="s">
        <v>41</v>
      </c>
      <c r="U830" t="s">
        <v>57</v>
      </c>
      <c r="V830">
        <v>4.78</v>
      </c>
      <c r="W830">
        <v>2.25</v>
      </c>
      <c r="X830">
        <v>8.6999999999999993</v>
      </c>
      <c r="Y830">
        <v>8.4</v>
      </c>
      <c r="Z830">
        <v>15</v>
      </c>
    </row>
    <row r="831" spans="1:26" x14ac:dyDescent="0.45">
      <c r="A831" t="s">
        <v>2312</v>
      </c>
      <c r="B831">
        <v>69</v>
      </c>
      <c r="C831" t="s">
        <v>27</v>
      </c>
      <c r="D831" t="s">
        <v>106</v>
      </c>
      <c r="E831" t="s">
        <v>163</v>
      </c>
      <c r="F831" t="s">
        <v>59</v>
      </c>
      <c r="G831" t="s">
        <v>89</v>
      </c>
      <c r="H831" t="s">
        <v>32</v>
      </c>
      <c r="I831" t="s">
        <v>33</v>
      </c>
      <c r="J831" t="s">
        <v>2313</v>
      </c>
      <c r="K831" t="s">
        <v>2314</v>
      </c>
      <c r="L831" t="s">
        <v>64</v>
      </c>
      <c r="M831" t="s">
        <v>40</v>
      </c>
      <c r="N831" t="s">
        <v>344</v>
      </c>
      <c r="O831" t="s">
        <v>64</v>
      </c>
      <c r="P831" t="s">
        <v>39</v>
      </c>
      <c r="Q831" t="s">
        <v>40</v>
      </c>
      <c r="R831">
        <v>99</v>
      </c>
      <c r="S831">
        <v>1</v>
      </c>
      <c r="T831" t="s">
        <v>85</v>
      </c>
      <c r="U831" t="s">
        <v>57</v>
      </c>
      <c r="V831">
        <v>3.97</v>
      </c>
      <c r="W831">
        <v>3.71</v>
      </c>
      <c r="X831">
        <v>3.3</v>
      </c>
      <c r="Y831">
        <v>21.7</v>
      </c>
      <c r="Z831">
        <v>5.9</v>
      </c>
    </row>
    <row r="832" spans="1:26" x14ac:dyDescent="0.45">
      <c r="A832" t="s">
        <v>2315</v>
      </c>
      <c r="B832">
        <v>22</v>
      </c>
      <c r="C832" t="s">
        <v>45</v>
      </c>
      <c r="D832" t="s">
        <v>95</v>
      </c>
      <c r="E832" t="s">
        <v>78</v>
      </c>
      <c r="F832" t="s">
        <v>69</v>
      </c>
      <c r="G832" t="s">
        <v>60</v>
      </c>
      <c r="H832" t="s">
        <v>32</v>
      </c>
      <c r="I832" t="s">
        <v>132</v>
      </c>
      <c r="J832" t="s">
        <v>2316</v>
      </c>
      <c r="K832" t="s">
        <v>2317</v>
      </c>
      <c r="L832" t="s">
        <v>64</v>
      </c>
      <c r="M832" t="s">
        <v>30</v>
      </c>
      <c r="N832" t="s">
        <v>267</v>
      </c>
      <c r="O832" t="s">
        <v>64</v>
      </c>
      <c r="P832" t="s">
        <v>55</v>
      </c>
      <c r="Q832" t="s">
        <v>30</v>
      </c>
      <c r="R832">
        <v>133</v>
      </c>
      <c r="S832">
        <v>0</v>
      </c>
      <c r="T832" t="s">
        <v>41</v>
      </c>
      <c r="U832" t="s">
        <v>42</v>
      </c>
      <c r="V832">
        <v>1.21</v>
      </c>
      <c r="W832">
        <v>3.87</v>
      </c>
      <c r="X832">
        <v>5.3</v>
      </c>
      <c r="Y832">
        <v>21.3</v>
      </c>
      <c r="Z832">
        <v>9.5</v>
      </c>
    </row>
    <row r="833" spans="1:26" x14ac:dyDescent="0.45">
      <c r="A833" t="s">
        <v>2318</v>
      </c>
      <c r="B833">
        <v>60</v>
      </c>
      <c r="C833" t="s">
        <v>44</v>
      </c>
      <c r="D833" t="s">
        <v>87</v>
      </c>
      <c r="E833" t="s">
        <v>78</v>
      </c>
      <c r="F833" t="s">
        <v>30</v>
      </c>
      <c r="G833" t="s">
        <v>184</v>
      </c>
      <c r="H833" t="s">
        <v>61</v>
      </c>
      <c r="I833" t="s">
        <v>33</v>
      </c>
      <c r="J833" t="s">
        <v>224</v>
      </c>
      <c r="K833" t="s">
        <v>2319</v>
      </c>
      <c r="L833" t="s">
        <v>64</v>
      </c>
      <c r="M833" t="s">
        <v>30</v>
      </c>
      <c r="N833" t="s">
        <v>525</v>
      </c>
      <c r="O833" t="s">
        <v>64</v>
      </c>
      <c r="P833" t="s">
        <v>39</v>
      </c>
      <c r="Q833" t="s">
        <v>67</v>
      </c>
      <c r="R833">
        <v>174</v>
      </c>
      <c r="S833">
        <v>1</v>
      </c>
      <c r="T833" t="s">
        <v>41</v>
      </c>
      <c r="U833" t="s">
        <v>42</v>
      </c>
      <c r="V833">
        <v>1.67</v>
      </c>
      <c r="W833">
        <v>4.3499999999999996</v>
      </c>
      <c r="X833">
        <v>5.9</v>
      </c>
      <c r="Y833">
        <v>9.4</v>
      </c>
      <c r="Z833">
        <v>15.2</v>
      </c>
    </row>
    <row r="834" spans="1:26" x14ac:dyDescent="0.45">
      <c r="A834" t="s">
        <v>2320</v>
      </c>
      <c r="B834">
        <v>22</v>
      </c>
      <c r="C834" t="s">
        <v>45</v>
      </c>
      <c r="D834" t="s">
        <v>28</v>
      </c>
      <c r="E834" t="s">
        <v>30</v>
      </c>
      <c r="F834" t="s">
        <v>47</v>
      </c>
      <c r="G834" t="s">
        <v>276</v>
      </c>
      <c r="H834" t="s">
        <v>61</v>
      </c>
      <c r="I834" t="s">
        <v>49</v>
      </c>
      <c r="J834" t="s">
        <v>2306</v>
      </c>
      <c r="K834" t="s">
        <v>1704</v>
      </c>
      <c r="L834" t="s">
        <v>36</v>
      </c>
      <c r="M834" t="s">
        <v>1412</v>
      </c>
      <c r="N834" t="s">
        <v>501</v>
      </c>
      <c r="O834" t="s">
        <v>36</v>
      </c>
      <c r="P834" t="s">
        <v>39</v>
      </c>
      <c r="Q834" t="s">
        <v>67</v>
      </c>
      <c r="R834">
        <v>114</v>
      </c>
      <c r="S834">
        <v>1</v>
      </c>
      <c r="T834" t="s">
        <v>137</v>
      </c>
      <c r="U834" t="s">
        <v>57</v>
      </c>
      <c r="V834">
        <v>3.04</v>
      </c>
      <c r="W834">
        <v>3.42</v>
      </c>
      <c r="X834">
        <v>5.0999999999999996</v>
      </c>
      <c r="Y834">
        <v>20.9</v>
      </c>
      <c r="Z834">
        <v>17.100000000000001</v>
      </c>
    </row>
    <row r="835" spans="1:26" x14ac:dyDescent="0.45">
      <c r="A835" t="s">
        <v>2321</v>
      </c>
      <c r="B835">
        <v>67</v>
      </c>
      <c r="C835" t="s">
        <v>27</v>
      </c>
      <c r="D835" t="s">
        <v>106</v>
      </c>
      <c r="E835" t="s">
        <v>46</v>
      </c>
      <c r="F835" t="s">
        <v>30</v>
      </c>
      <c r="G835" t="s">
        <v>131</v>
      </c>
      <c r="H835" t="s">
        <v>32</v>
      </c>
      <c r="I835" t="s">
        <v>72</v>
      </c>
      <c r="J835" t="s">
        <v>949</v>
      </c>
      <c r="K835" t="s">
        <v>2322</v>
      </c>
      <c r="L835" t="s">
        <v>52</v>
      </c>
      <c r="M835" t="s">
        <v>129</v>
      </c>
      <c r="N835" t="s">
        <v>254</v>
      </c>
      <c r="O835" t="s">
        <v>52</v>
      </c>
      <c r="P835" t="s">
        <v>39</v>
      </c>
      <c r="Q835" t="s">
        <v>67</v>
      </c>
      <c r="R835">
        <v>142</v>
      </c>
      <c r="S835">
        <v>1</v>
      </c>
      <c r="T835" t="s">
        <v>137</v>
      </c>
      <c r="U835" t="s">
        <v>57</v>
      </c>
      <c r="V835">
        <v>3.84</v>
      </c>
      <c r="W835">
        <v>1.42</v>
      </c>
      <c r="X835">
        <v>8.5</v>
      </c>
      <c r="Y835">
        <v>18.100000000000001</v>
      </c>
      <c r="Z835">
        <v>14.8</v>
      </c>
    </row>
    <row r="836" spans="1:26" x14ac:dyDescent="0.45">
      <c r="A836" t="s">
        <v>2323</v>
      </c>
      <c r="B836">
        <v>25</v>
      </c>
      <c r="C836" t="s">
        <v>27</v>
      </c>
      <c r="D836" t="s">
        <v>106</v>
      </c>
      <c r="E836" t="s">
        <v>78</v>
      </c>
      <c r="F836" t="s">
        <v>30</v>
      </c>
      <c r="G836" t="s">
        <v>118</v>
      </c>
      <c r="H836" t="s">
        <v>61</v>
      </c>
      <c r="I836" t="s">
        <v>132</v>
      </c>
      <c r="J836" t="s">
        <v>1561</v>
      </c>
      <c r="K836" t="s">
        <v>1387</v>
      </c>
      <c r="L836" t="s">
        <v>52</v>
      </c>
      <c r="M836" t="s">
        <v>282</v>
      </c>
      <c r="N836" t="s">
        <v>366</v>
      </c>
      <c r="O836" t="s">
        <v>52</v>
      </c>
      <c r="P836" t="s">
        <v>110</v>
      </c>
      <c r="Q836" t="s">
        <v>75</v>
      </c>
      <c r="R836">
        <v>116</v>
      </c>
      <c r="S836">
        <v>0</v>
      </c>
      <c r="T836" t="s">
        <v>123</v>
      </c>
      <c r="U836" t="s">
        <v>57</v>
      </c>
      <c r="V836">
        <v>2.4500000000000002</v>
      </c>
      <c r="W836">
        <v>4.5199999999999996</v>
      </c>
      <c r="X836">
        <v>7.5</v>
      </c>
      <c r="Y836">
        <v>8</v>
      </c>
      <c r="Z836">
        <v>9.9</v>
      </c>
    </row>
    <row r="837" spans="1:26" x14ac:dyDescent="0.45">
      <c r="A837" t="s">
        <v>2324</v>
      </c>
      <c r="B837">
        <v>54</v>
      </c>
      <c r="C837" t="s">
        <v>27</v>
      </c>
      <c r="D837" t="s">
        <v>95</v>
      </c>
      <c r="E837" t="s">
        <v>163</v>
      </c>
      <c r="F837" t="s">
        <v>30</v>
      </c>
      <c r="G837" t="s">
        <v>89</v>
      </c>
      <c r="H837" t="s">
        <v>71</v>
      </c>
      <c r="I837" t="s">
        <v>33</v>
      </c>
      <c r="J837" t="s">
        <v>2279</v>
      </c>
      <c r="K837" t="s">
        <v>2325</v>
      </c>
      <c r="L837" t="s">
        <v>64</v>
      </c>
      <c r="M837" t="s">
        <v>807</v>
      </c>
      <c r="N837" t="s">
        <v>1235</v>
      </c>
      <c r="O837" t="s">
        <v>64</v>
      </c>
      <c r="P837" t="s">
        <v>39</v>
      </c>
      <c r="Q837" t="s">
        <v>129</v>
      </c>
      <c r="R837">
        <v>32</v>
      </c>
      <c r="S837">
        <v>1</v>
      </c>
      <c r="T837" t="s">
        <v>56</v>
      </c>
      <c r="U837" t="s">
        <v>57</v>
      </c>
      <c r="V837">
        <v>4.55</v>
      </c>
      <c r="W837">
        <v>1.19</v>
      </c>
      <c r="X837">
        <v>9.6999999999999993</v>
      </c>
      <c r="Y837">
        <v>18.2</v>
      </c>
      <c r="Z837">
        <v>13.7</v>
      </c>
    </row>
    <row r="838" spans="1:26" x14ac:dyDescent="0.45">
      <c r="A838" t="s">
        <v>2326</v>
      </c>
      <c r="B838">
        <v>45</v>
      </c>
      <c r="C838" t="s">
        <v>44</v>
      </c>
      <c r="D838" t="s">
        <v>87</v>
      </c>
      <c r="E838" t="s">
        <v>46</v>
      </c>
      <c r="F838" t="s">
        <v>30</v>
      </c>
      <c r="G838" t="s">
        <v>80</v>
      </c>
      <c r="H838" t="s">
        <v>61</v>
      </c>
      <c r="I838" t="s">
        <v>49</v>
      </c>
      <c r="J838" t="s">
        <v>796</v>
      </c>
      <c r="K838" t="s">
        <v>753</v>
      </c>
      <c r="L838" t="s">
        <v>52</v>
      </c>
      <c r="M838" t="s">
        <v>322</v>
      </c>
      <c r="N838" t="s">
        <v>776</v>
      </c>
      <c r="O838" t="s">
        <v>52</v>
      </c>
      <c r="P838" t="s">
        <v>39</v>
      </c>
      <c r="Q838" t="s">
        <v>75</v>
      </c>
      <c r="R838">
        <v>106</v>
      </c>
      <c r="S838">
        <v>1</v>
      </c>
      <c r="T838" t="s">
        <v>85</v>
      </c>
      <c r="U838" t="s">
        <v>42</v>
      </c>
      <c r="V838">
        <v>2.08</v>
      </c>
      <c r="W838">
        <v>2</v>
      </c>
      <c r="X838">
        <v>9.5</v>
      </c>
      <c r="Y838">
        <v>11.4</v>
      </c>
      <c r="Z838">
        <v>16.2</v>
      </c>
    </row>
    <row r="839" spans="1:26" x14ac:dyDescent="0.45">
      <c r="A839" t="s">
        <v>2327</v>
      </c>
      <c r="B839">
        <v>46</v>
      </c>
      <c r="C839" t="s">
        <v>45</v>
      </c>
      <c r="D839" t="s">
        <v>28</v>
      </c>
      <c r="E839" t="s">
        <v>29</v>
      </c>
      <c r="F839" t="s">
        <v>30</v>
      </c>
      <c r="G839" t="s">
        <v>112</v>
      </c>
      <c r="H839" t="s">
        <v>32</v>
      </c>
      <c r="I839" t="s">
        <v>132</v>
      </c>
      <c r="J839" t="s">
        <v>2328</v>
      </c>
      <c r="K839" t="s">
        <v>1477</v>
      </c>
      <c r="L839" t="s">
        <v>64</v>
      </c>
      <c r="M839" t="s">
        <v>129</v>
      </c>
      <c r="N839" t="s">
        <v>188</v>
      </c>
      <c r="O839" t="s">
        <v>64</v>
      </c>
      <c r="P839" t="s">
        <v>55</v>
      </c>
      <c r="Q839" t="s">
        <v>129</v>
      </c>
      <c r="R839">
        <v>38</v>
      </c>
      <c r="S839">
        <v>0</v>
      </c>
      <c r="T839" t="s">
        <v>123</v>
      </c>
      <c r="U839" t="s">
        <v>57</v>
      </c>
      <c r="V839">
        <v>2.57</v>
      </c>
      <c r="W839">
        <v>1.56</v>
      </c>
      <c r="X839">
        <v>1.1000000000000001</v>
      </c>
      <c r="Y839">
        <v>15.8</v>
      </c>
      <c r="Z839">
        <v>19.600000000000001</v>
      </c>
    </row>
    <row r="840" spans="1:26" x14ac:dyDescent="0.45">
      <c r="A840" t="s">
        <v>2329</v>
      </c>
      <c r="B840">
        <v>80</v>
      </c>
      <c r="C840" t="s">
        <v>45</v>
      </c>
      <c r="D840" t="s">
        <v>45</v>
      </c>
      <c r="E840" t="s">
        <v>163</v>
      </c>
      <c r="F840" t="s">
        <v>30</v>
      </c>
      <c r="G840" t="s">
        <v>131</v>
      </c>
      <c r="H840" t="s">
        <v>81</v>
      </c>
      <c r="I840" t="s">
        <v>49</v>
      </c>
      <c r="J840" t="s">
        <v>2226</v>
      </c>
      <c r="K840" t="s">
        <v>2330</v>
      </c>
      <c r="L840" t="s">
        <v>36</v>
      </c>
      <c r="M840" t="s">
        <v>697</v>
      </c>
      <c r="N840" t="s">
        <v>412</v>
      </c>
      <c r="O840" t="s">
        <v>36</v>
      </c>
      <c r="P840" t="s">
        <v>110</v>
      </c>
      <c r="Q840" t="s">
        <v>67</v>
      </c>
      <c r="R840">
        <v>152</v>
      </c>
      <c r="S840">
        <v>0</v>
      </c>
      <c r="T840" t="s">
        <v>85</v>
      </c>
      <c r="U840" t="s">
        <v>57</v>
      </c>
      <c r="V840">
        <v>2.48</v>
      </c>
      <c r="W840">
        <v>2.4300000000000002</v>
      </c>
      <c r="X840">
        <v>4.0999999999999996</v>
      </c>
      <c r="Y840">
        <v>15.4</v>
      </c>
      <c r="Z840">
        <v>10.5</v>
      </c>
    </row>
    <row r="841" spans="1:26" x14ac:dyDescent="0.45">
      <c r="A841" t="s">
        <v>2331</v>
      </c>
      <c r="B841">
        <v>34</v>
      </c>
      <c r="C841" t="s">
        <v>45</v>
      </c>
      <c r="D841" t="s">
        <v>106</v>
      </c>
      <c r="E841" t="s">
        <v>46</v>
      </c>
      <c r="F841" t="s">
        <v>30</v>
      </c>
      <c r="G841" t="s">
        <v>276</v>
      </c>
      <c r="H841" t="s">
        <v>32</v>
      </c>
      <c r="I841" t="s">
        <v>132</v>
      </c>
      <c r="J841" t="s">
        <v>2332</v>
      </c>
      <c r="K841" t="s">
        <v>1118</v>
      </c>
      <c r="L841" t="s">
        <v>36</v>
      </c>
      <c r="M841" t="s">
        <v>1291</v>
      </c>
      <c r="N841" t="s">
        <v>1062</v>
      </c>
      <c r="O841" t="s">
        <v>36</v>
      </c>
      <c r="P841" t="s">
        <v>55</v>
      </c>
      <c r="Q841" t="s">
        <v>129</v>
      </c>
      <c r="R841">
        <v>85</v>
      </c>
      <c r="S841">
        <v>0</v>
      </c>
      <c r="T841" t="s">
        <v>41</v>
      </c>
      <c r="U841" t="s">
        <v>57</v>
      </c>
      <c r="V841">
        <v>4.5199999999999996</v>
      </c>
      <c r="W841">
        <v>3.02</v>
      </c>
      <c r="X841">
        <v>5.6</v>
      </c>
      <c r="Y841">
        <v>8.5</v>
      </c>
      <c r="Z841">
        <v>19.7</v>
      </c>
    </row>
    <row r="842" spans="1:26" x14ac:dyDescent="0.45">
      <c r="A842" t="s">
        <v>2333</v>
      </c>
      <c r="B842">
        <v>19</v>
      </c>
      <c r="C842" t="s">
        <v>27</v>
      </c>
      <c r="D842" t="s">
        <v>95</v>
      </c>
      <c r="E842" t="s">
        <v>46</v>
      </c>
      <c r="F842" t="s">
        <v>30</v>
      </c>
      <c r="G842" t="s">
        <v>31</v>
      </c>
      <c r="H842" t="s">
        <v>32</v>
      </c>
      <c r="I842" t="s">
        <v>72</v>
      </c>
      <c r="J842" t="s">
        <v>401</v>
      </c>
      <c r="K842" t="s">
        <v>166</v>
      </c>
      <c r="L842" t="s">
        <v>36</v>
      </c>
      <c r="M842" t="s">
        <v>1248</v>
      </c>
      <c r="N842" t="s">
        <v>244</v>
      </c>
      <c r="O842" t="s">
        <v>36</v>
      </c>
      <c r="P842" t="s">
        <v>110</v>
      </c>
      <c r="Q842" t="s">
        <v>67</v>
      </c>
      <c r="R842">
        <v>176</v>
      </c>
      <c r="S842">
        <v>0</v>
      </c>
      <c r="T842" t="s">
        <v>41</v>
      </c>
      <c r="U842" t="s">
        <v>42</v>
      </c>
      <c r="V842">
        <v>2</v>
      </c>
      <c r="W842">
        <v>1.29</v>
      </c>
      <c r="X842">
        <v>7</v>
      </c>
      <c r="Y842">
        <v>16.7</v>
      </c>
      <c r="Z842">
        <v>10.1</v>
      </c>
    </row>
    <row r="843" spans="1:26" x14ac:dyDescent="0.45">
      <c r="A843" t="s">
        <v>2334</v>
      </c>
      <c r="B843">
        <v>46</v>
      </c>
      <c r="C843" t="s">
        <v>44</v>
      </c>
      <c r="D843" t="s">
        <v>28</v>
      </c>
      <c r="E843" t="s">
        <v>163</v>
      </c>
      <c r="F843" t="s">
        <v>88</v>
      </c>
      <c r="G843" t="s">
        <v>80</v>
      </c>
      <c r="H843" t="s">
        <v>61</v>
      </c>
      <c r="I843" t="s">
        <v>33</v>
      </c>
      <c r="J843" t="s">
        <v>2087</v>
      </c>
      <c r="K843" t="s">
        <v>2335</v>
      </c>
      <c r="L843" t="s">
        <v>36</v>
      </c>
      <c r="M843" t="s">
        <v>1391</v>
      </c>
      <c r="N843" t="s">
        <v>116</v>
      </c>
      <c r="O843" t="s">
        <v>36</v>
      </c>
      <c r="P843" t="s">
        <v>39</v>
      </c>
      <c r="Q843" t="s">
        <v>129</v>
      </c>
      <c r="R843">
        <v>128</v>
      </c>
      <c r="S843">
        <v>1</v>
      </c>
      <c r="T843" t="s">
        <v>56</v>
      </c>
      <c r="U843" t="s">
        <v>57</v>
      </c>
      <c r="V843">
        <v>2.69</v>
      </c>
      <c r="W843">
        <v>4.1399999999999997</v>
      </c>
      <c r="X843">
        <v>2.8</v>
      </c>
      <c r="Y843">
        <v>20.8</v>
      </c>
      <c r="Z843">
        <v>14</v>
      </c>
    </row>
    <row r="844" spans="1:26" x14ac:dyDescent="0.45">
      <c r="A844" t="s">
        <v>2336</v>
      </c>
      <c r="B844">
        <v>46</v>
      </c>
      <c r="C844" t="s">
        <v>27</v>
      </c>
      <c r="D844" t="s">
        <v>45</v>
      </c>
      <c r="E844" t="s">
        <v>163</v>
      </c>
      <c r="F844" t="s">
        <v>59</v>
      </c>
      <c r="G844" t="s">
        <v>440</v>
      </c>
      <c r="H844" t="s">
        <v>32</v>
      </c>
      <c r="I844" t="s">
        <v>33</v>
      </c>
      <c r="J844" t="s">
        <v>1979</v>
      </c>
      <c r="K844" t="s">
        <v>611</v>
      </c>
      <c r="L844" t="s">
        <v>92</v>
      </c>
      <c r="M844" t="s">
        <v>75</v>
      </c>
      <c r="N844" t="s">
        <v>504</v>
      </c>
      <c r="O844" t="s">
        <v>92</v>
      </c>
      <c r="P844" t="s">
        <v>110</v>
      </c>
      <c r="Q844" t="s">
        <v>40</v>
      </c>
      <c r="R844">
        <v>109</v>
      </c>
      <c r="S844">
        <v>0</v>
      </c>
      <c r="T844" t="s">
        <v>41</v>
      </c>
      <c r="U844" t="s">
        <v>57</v>
      </c>
      <c r="V844">
        <v>2.68</v>
      </c>
      <c r="W844">
        <v>2.83</v>
      </c>
      <c r="X844">
        <v>3.3</v>
      </c>
      <c r="Y844">
        <v>19.5</v>
      </c>
      <c r="Z844">
        <v>11.7</v>
      </c>
    </row>
    <row r="845" spans="1:26" x14ac:dyDescent="0.45">
      <c r="A845" t="s">
        <v>2337</v>
      </c>
      <c r="B845">
        <v>23</v>
      </c>
      <c r="C845" t="s">
        <v>27</v>
      </c>
      <c r="D845" t="s">
        <v>106</v>
      </c>
      <c r="E845" t="s">
        <v>78</v>
      </c>
      <c r="F845" t="s">
        <v>30</v>
      </c>
      <c r="G845" t="s">
        <v>112</v>
      </c>
      <c r="H845" t="s">
        <v>61</v>
      </c>
      <c r="I845" t="s">
        <v>72</v>
      </c>
      <c r="J845" t="s">
        <v>2338</v>
      </c>
      <c r="K845" t="s">
        <v>2339</v>
      </c>
      <c r="L845" t="s">
        <v>52</v>
      </c>
      <c r="M845" t="s">
        <v>30</v>
      </c>
      <c r="N845" t="s">
        <v>971</v>
      </c>
      <c r="O845" t="s">
        <v>52</v>
      </c>
      <c r="P845" t="s">
        <v>55</v>
      </c>
      <c r="Q845" t="s">
        <v>129</v>
      </c>
      <c r="R845">
        <v>62</v>
      </c>
      <c r="S845">
        <v>0</v>
      </c>
      <c r="T845" t="s">
        <v>123</v>
      </c>
      <c r="U845" t="s">
        <v>57</v>
      </c>
      <c r="V845">
        <v>2.2799999999999998</v>
      </c>
      <c r="W845">
        <v>3.38</v>
      </c>
      <c r="X845">
        <v>10</v>
      </c>
      <c r="Y845">
        <v>13.8</v>
      </c>
      <c r="Z845">
        <v>18.7</v>
      </c>
    </row>
    <row r="846" spans="1:26" x14ac:dyDescent="0.45">
      <c r="A846" t="s">
        <v>2340</v>
      </c>
      <c r="B846">
        <v>32</v>
      </c>
      <c r="C846" t="s">
        <v>27</v>
      </c>
      <c r="D846" t="s">
        <v>28</v>
      </c>
      <c r="E846" t="s">
        <v>46</v>
      </c>
      <c r="F846" t="s">
        <v>69</v>
      </c>
      <c r="G846" t="s">
        <v>164</v>
      </c>
      <c r="H846" t="s">
        <v>71</v>
      </c>
      <c r="I846" t="s">
        <v>72</v>
      </c>
      <c r="J846" t="s">
        <v>390</v>
      </c>
      <c r="K846" t="s">
        <v>2341</v>
      </c>
      <c r="L846" t="s">
        <v>52</v>
      </c>
      <c r="M846" t="s">
        <v>30</v>
      </c>
      <c r="N846" t="s">
        <v>677</v>
      </c>
      <c r="O846" t="s">
        <v>52</v>
      </c>
      <c r="P846" t="s">
        <v>39</v>
      </c>
      <c r="Q846" t="s">
        <v>75</v>
      </c>
      <c r="R846">
        <v>176</v>
      </c>
      <c r="S846">
        <v>1</v>
      </c>
      <c r="T846" t="s">
        <v>56</v>
      </c>
      <c r="U846" t="s">
        <v>42</v>
      </c>
      <c r="V846">
        <v>2.38</v>
      </c>
      <c r="W846">
        <v>1.22</v>
      </c>
      <c r="X846">
        <v>2.8</v>
      </c>
      <c r="Y846">
        <v>13.5</v>
      </c>
      <c r="Z846">
        <v>6.7</v>
      </c>
    </row>
    <row r="847" spans="1:26" x14ac:dyDescent="0.45">
      <c r="A847" t="s">
        <v>2342</v>
      </c>
      <c r="B847">
        <v>64</v>
      </c>
      <c r="C847" t="s">
        <v>45</v>
      </c>
      <c r="D847" t="s">
        <v>87</v>
      </c>
      <c r="E847" t="s">
        <v>78</v>
      </c>
      <c r="F847" t="s">
        <v>88</v>
      </c>
      <c r="G847" t="s">
        <v>246</v>
      </c>
      <c r="H847" t="s">
        <v>81</v>
      </c>
      <c r="I847" t="s">
        <v>72</v>
      </c>
      <c r="J847" t="s">
        <v>2343</v>
      </c>
      <c r="K847" t="s">
        <v>1948</v>
      </c>
      <c r="L847" t="s">
        <v>92</v>
      </c>
      <c r="M847" t="s">
        <v>803</v>
      </c>
      <c r="N847" t="s">
        <v>2071</v>
      </c>
      <c r="O847" t="s">
        <v>92</v>
      </c>
      <c r="P847" t="s">
        <v>55</v>
      </c>
      <c r="Q847" t="s">
        <v>40</v>
      </c>
      <c r="R847">
        <v>72</v>
      </c>
      <c r="S847">
        <v>0</v>
      </c>
      <c r="T847" t="s">
        <v>123</v>
      </c>
      <c r="U847" t="s">
        <v>57</v>
      </c>
      <c r="V847">
        <v>1</v>
      </c>
      <c r="W847">
        <v>4.66</v>
      </c>
      <c r="X847">
        <v>8.6</v>
      </c>
      <c r="Y847">
        <v>19.399999999999999</v>
      </c>
      <c r="Z847">
        <v>5.9</v>
      </c>
    </row>
    <row r="848" spans="1:26" x14ac:dyDescent="0.45">
      <c r="A848" t="s">
        <v>2344</v>
      </c>
      <c r="B848">
        <v>84</v>
      </c>
      <c r="C848" t="s">
        <v>27</v>
      </c>
      <c r="D848" t="s">
        <v>87</v>
      </c>
      <c r="E848" t="s">
        <v>30</v>
      </c>
      <c r="F848" t="s">
        <v>30</v>
      </c>
      <c r="G848" t="s">
        <v>70</v>
      </c>
      <c r="H848" t="s">
        <v>71</v>
      </c>
      <c r="I848" t="s">
        <v>49</v>
      </c>
      <c r="J848" t="s">
        <v>1874</v>
      </c>
      <c r="K848" t="s">
        <v>2345</v>
      </c>
      <c r="L848" t="s">
        <v>36</v>
      </c>
      <c r="M848" t="s">
        <v>75</v>
      </c>
      <c r="N848" t="s">
        <v>398</v>
      </c>
      <c r="O848" t="s">
        <v>36</v>
      </c>
      <c r="P848" t="s">
        <v>55</v>
      </c>
      <c r="Q848" t="s">
        <v>30</v>
      </c>
      <c r="R848">
        <v>43</v>
      </c>
      <c r="S848">
        <v>0</v>
      </c>
      <c r="T848" t="s">
        <v>123</v>
      </c>
      <c r="U848" t="s">
        <v>42</v>
      </c>
      <c r="V848">
        <v>1.48</v>
      </c>
      <c r="W848">
        <v>1.27</v>
      </c>
      <c r="X848">
        <v>7.5</v>
      </c>
      <c r="Y848">
        <v>22.7</v>
      </c>
      <c r="Z848">
        <v>10.3</v>
      </c>
    </row>
    <row r="849" spans="1:26" x14ac:dyDescent="0.45">
      <c r="A849" t="s">
        <v>2346</v>
      </c>
      <c r="B849">
        <v>39</v>
      </c>
      <c r="C849" t="s">
        <v>45</v>
      </c>
      <c r="D849" t="s">
        <v>95</v>
      </c>
      <c r="E849" t="s">
        <v>46</v>
      </c>
      <c r="F849" t="s">
        <v>79</v>
      </c>
      <c r="G849" t="s">
        <v>178</v>
      </c>
      <c r="H849" t="s">
        <v>71</v>
      </c>
      <c r="I849" t="s">
        <v>132</v>
      </c>
      <c r="J849" t="s">
        <v>2347</v>
      </c>
      <c r="K849" t="s">
        <v>585</v>
      </c>
      <c r="L849" t="s">
        <v>52</v>
      </c>
      <c r="M849" t="s">
        <v>834</v>
      </c>
      <c r="N849" t="s">
        <v>1041</v>
      </c>
      <c r="O849" t="s">
        <v>52</v>
      </c>
      <c r="P849" t="s">
        <v>55</v>
      </c>
      <c r="Q849" t="s">
        <v>30</v>
      </c>
      <c r="R849">
        <v>154</v>
      </c>
      <c r="S849">
        <v>0</v>
      </c>
      <c r="T849" t="s">
        <v>137</v>
      </c>
      <c r="U849" t="s">
        <v>42</v>
      </c>
      <c r="V849">
        <v>1.48</v>
      </c>
      <c r="W849">
        <v>3.05</v>
      </c>
      <c r="X849">
        <v>4.0999999999999996</v>
      </c>
      <c r="Y849">
        <v>12.7</v>
      </c>
      <c r="Z849">
        <v>13.6</v>
      </c>
    </row>
    <row r="850" spans="1:26" x14ac:dyDescent="0.45">
      <c r="A850" t="s">
        <v>2348</v>
      </c>
      <c r="B850">
        <v>34</v>
      </c>
      <c r="C850" t="s">
        <v>45</v>
      </c>
      <c r="D850" t="s">
        <v>45</v>
      </c>
      <c r="E850" t="s">
        <v>163</v>
      </c>
      <c r="F850" t="s">
        <v>59</v>
      </c>
      <c r="G850" t="s">
        <v>80</v>
      </c>
      <c r="H850" t="s">
        <v>71</v>
      </c>
      <c r="I850" t="s">
        <v>49</v>
      </c>
      <c r="J850" t="s">
        <v>996</v>
      </c>
      <c r="K850" t="s">
        <v>836</v>
      </c>
      <c r="L850" t="s">
        <v>92</v>
      </c>
      <c r="M850" t="s">
        <v>129</v>
      </c>
      <c r="N850" t="s">
        <v>287</v>
      </c>
      <c r="O850" t="s">
        <v>92</v>
      </c>
      <c r="P850" t="s">
        <v>39</v>
      </c>
      <c r="Q850" t="s">
        <v>129</v>
      </c>
      <c r="R850">
        <v>100</v>
      </c>
      <c r="S850">
        <v>1</v>
      </c>
      <c r="T850" t="s">
        <v>41</v>
      </c>
      <c r="U850" t="s">
        <v>42</v>
      </c>
      <c r="V850">
        <v>3.87</v>
      </c>
      <c r="W850">
        <v>1.44</v>
      </c>
      <c r="X850">
        <v>1.3</v>
      </c>
      <c r="Y850">
        <v>23.9</v>
      </c>
      <c r="Z850">
        <v>7</v>
      </c>
    </row>
    <row r="851" spans="1:26" x14ac:dyDescent="0.45">
      <c r="A851" t="s">
        <v>2349</v>
      </c>
      <c r="B851">
        <v>34</v>
      </c>
      <c r="C851" t="s">
        <v>27</v>
      </c>
      <c r="D851" t="s">
        <v>95</v>
      </c>
      <c r="E851" t="s">
        <v>78</v>
      </c>
      <c r="F851" t="s">
        <v>79</v>
      </c>
      <c r="G851" t="s">
        <v>102</v>
      </c>
      <c r="H851" t="s">
        <v>71</v>
      </c>
      <c r="I851" t="s">
        <v>132</v>
      </c>
      <c r="J851" t="s">
        <v>1379</v>
      </c>
      <c r="K851" t="s">
        <v>2350</v>
      </c>
      <c r="L851" t="s">
        <v>52</v>
      </c>
      <c r="M851" t="s">
        <v>723</v>
      </c>
      <c r="N851" t="s">
        <v>1904</v>
      </c>
      <c r="O851" t="s">
        <v>52</v>
      </c>
      <c r="P851" t="s">
        <v>55</v>
      </c>
      <c r="Q851" t="s">
        <v>30</v>
      </c>
      <c r="R851">
        <v>131</v>
      </c>
      <c r="S851">
        <v>0</v>
      </c>
      <c r="T851" t="s">
        <v>41</v>
      </c>
      <c r="U851" t="s">
        <v>42</v>
      </c>
      <c r="V851">
        <v>1.22</v>
      </c>
      <c r="W851">
        <v>1.76</v>
      </c>
      <c r="X851">
        <v>1.4</v>
      </c>
      <c r="Y851">
        <v>13.1</v>
      </c>
      <c r="Z851">
        <v>16.600000000000001</v>
      </c>
    </row>
    <row r="852" spans="1:26" x14ac:dyDescent="0.45">
      <c r="A852" t="s">
        <v>2351</v>
      </c>
      <c r="B852">
        <v>25</v>
      </c>
      <c r="C852" t="s">
        <v>44</v>
      </c>
      <c r="D852" t="s">
        <v>45</v>
      </c>
      <c r="E852" t="s">
        <v>46</v>
      </c>
      <c r="F852" t="s">
        <v>30</v>
      </c>
      <c r="G852" t="s">
        <v>440</v>
      </c>
      <c r="H852" t="s">
        <v>81</v>
      </c>
      <c r="I852" t="s">
        <v>33</v>
      </c>
      <c r="J852" t="s">
        <v>1823</v>
      </c>
      <c r="K852" t="s">
        <v>1732</v>
      </c>
      <c r="L852" t="s">
        <v>52</v>
      </c>
      <c r="M852" t="s">
        <v>129</v>
      </c>
      <c r="N852" t="s">
        <v>501</v>
      </c>
      <c r="O852" t="s">
        <v>52</v>
      </c>
      <c r="P852" t="s">
        <v>39</v>
      </c>
      <c r="Q852" t="s">
        <v>67</v>
      </c>
      <c r="R852">
        <v>52</v>
      </c>
      <c r="S852">
        <v>1</v>
      </c>
      <c r="T852" t="s">
        <v>56</v>
      </c>
      <c r="U852" t="s">
        <v>42</v>
      </c>
      <c r="V852">
        <v>2.36</v>
      </c>
      <c r="W852">
        <v>2.78</v>
      </c>
      <c r="X852">
        <v>7.1</v>
      </c>
      <c r="Y852">
        <v>15.2</v>
      </c>
      <c r="Z852">
        <v>17.600000000000001</v>
      </c>
    </row>
    <row r="853" spans="1:26" x14ac:dyDescent="0.45">
      <c r="A853" t="s">
        <v>2352</v>
      </c>
      <c r="B853">
        <v>78</v>
      </c>
      <c r="C853" t="s">
        <v>44</v>
      </c>
      <c r="D853" t="s">
        <v>95</v>
      </c>
      <c r="E853" t="s">
        <v>29</v>
      </c>
      <c r="F853" t="s">
        <v>79</v>
      </c>
      <c r="G853" t="s">
        <v>80</v>
      </c>
      <c r="H853" t="s">
        <v>71</v>
      </c>
      <c r="I853" t="s">
        <v>49</v>
      </c>
      <c r="J853" t="s">
        <v>2353</v>
      </c>
      <c r="K853" t="s">
        <v>2354</v>
      </c>
      <c r="L853" t="s">
        <v>64</v>
      </c>
      <c r="M853" t="s">
        <v>75</v>
      </c>
      <c r="N853" t="s">
        <v>582</v>
      </c>
      <c r="O853" t="s">
        <v>64</v>
      </c>
      <c r="P853" t="s">
        <v>55</v>
      </c>
      <c r="Q853" t="s">
        <v>67</v>
      </c>
      <c r="R853">
        <v>68</v>
      </c>
      <c r="S853">
        <v>0</v>
      </c>
      <c r="T853" t="s">
        <v>85</v>
      </c>
      <c r="U853" t="s">
        <v>42</v>
      </c>
      <c r="V853">
        <v>4.46</v>
      </c>
      <c r="W853">
        <v>1.04</v>
      </c>
      <c r="X853">
        <v>8</v>
      </c>
      <c r="Y853">
        <v>14.3</v>
      </c>
      <c r="Z853">
        <v>19.8</v>
      </c>
    </row>
    <row r="854" spans="1:26" x14ac:dyDescent="0.45">
      <c r="A854" t="s">
        <v>2355</v>
      </c>
      <c r="B854">
        <v>43</v>
      </c>
      <c r="C854" t="s">
        <v>27</v>
      </c>
      <c r="D854" t="s">
        <v>95</v>
      </c>
      <c r="E854" t="s">
        <v>78</v>
      </c>
      <c r="F854" t="s">
        <v>88</v>
      </c>
      <c r="G854" t="s">
        <v>194</v>
      </c>
      <c r="H854" t="s">
        <v>81</v>
      </c>
      <c r="I854" t="s">
        <v>132</v>
      </c>
      <c r="J854" t="s">
        <v>2356</v>
      </c>
      <c r="K854" t="s">
        <v>2357</v>
      </c>
      <c r="L854" t="s">
        <v>92</v>
      </c>
      <c r="M854" t="s">
        <v>469</v>
      </c>
      <c r="N854" t="s">
        <v>690</v>
      </c>
      <c r="O854" t="s">
        <v>92</v>
      </c>
      <c r="P854" t="s">
        <v>39</v>
      </c>
      <c r="Q854" t="s">
        <v>75</v>
      </c>
      <c r="R854">
        <v>161</v>
      </c>
      <c r="S854">
        <v>1</v>
      </c>
      <c r="T854" t="s">
        <v>56</v>
      </c>
      <c r="U854" t="s">
        <v>57</v>
      </c>
      <c r="V854">
        <v>2.93</v>
      </c>
      <c r="W854">
        <v>4.95</v>
      </c>
      <c r="X854">
        <v>7.8</v>
      </c>
      <c r="Y854">
        <v>10.5</v>
      </c>
      <c r="Z854">
        <v>12.2</v>
      </c>
    </row>
    <row r="855" spans="1:26" x14ac:dyDescent="0.45">
      <c r="A855" t="s">
        <v>2358</v>
      </c>
      <c r="B855">
        <v>64</v>
      </c>
      <c r="C855" t="s">
        <v>27</v>
      </c>
      <c r="D855" t="s">
        <v>28</v>
      </c>
      <c r="E855" t="s">
        <v>29</v>
      </c>
      <c r="F855" t="s">
        <v>59</v>
      </c>
      <c r="G855" t="s">
        <v>276</v>
      </c>
      <c r="H855" t="s">
        <v>61</v>
      </c>
      <c r="I855" t="s">
        <v>33</v>
      </c>
      <c r="J855" t="s">
        <v>2359</v>
      </c>
      <c r="K855" t="s">
        <v>434</v>
      </c>
      <c r="L855" t="s">
        <v>64</v>
      </c>
      <c r="M855" t="s">
        <v>438</v>
      </c>
      <c r="N855" t="s">
        <v>84</v>
      </c>
      <c r="O855" t="s">
        <v>64</v>
      </c>
      <c r="P855" t="s">
        <v>55</v>
      </c>
      <c r="Q855" t="s">
        <v>129</v>
      </c>
      <c r="R855">
        <v>107</v>
      </c>
      <c r="S855">
        <v>0</v>
      </c>
      <c r="T855" t="s">
        <v>85</v>
      </c>
      <c r="U855" t="s">
        <v>57</v>
      </c>
      <c r="V855">
        <v>4.97</v>
      </c>
      <c r="W855">
        <v>4.43</v>
      </c>
      <c r="X855">
        <v>1.9</v>
      </c>
      <c r="Y855">
        <v>18.7</v>
      </c>
      <c r="Z855">
        <v>8.9</v>
      </c>
    </row>
    <row r="856" spans="1:26" x14ac:dyDescent="0.45">
      <c r="A856" t="s">
        <v>2360</v>
      </c>
      <c r="B856">
        <v>39</v>
      </c>
      <c r="C856" t="s">
        <v>44</v>
      </c>
      <c r="D856" t="s">
        <v>106</v>
      </c>
      <c r="E856" t="s">
        <v>46</v>
      </c>
      <c r="F856" t="s">
        <v>30</v>
      </c>
      <c r="G856" t="s">
        <v>131</v>
      </c>
      <c r="H856" t="s">
        <v>71</v>
      </c>
      <c r="I856" t="s">
        <v>33</v>
      </c>
      <c r="J856" t="s">
        <v>2361</v>
      </c>
      <c r="K856" t="s">
        <v>2362</v>
      </c>
      <c r="L856" t="s">
        <v>64</v>
      </c>
      <c r="M856" t="s">
        <v>40</v>
      </c>
      <c r="N856" t="s">
        <v>254</v>
      </c>
      <c r="O856" t="s">
        <v>64</v>
      </c>
      <c r="P856" t="s">
        <v>39</v>
      </c>
      <c r="Q856" t="s">
        <v>30</v>
      </c>
      <c r="R856">
        <v>172</v>
      </c>
      <c r="S856">
        <v>1</v>
      </c>
      <c r="T856" t="s">
        <v>137</v>
      </c>
      <c r="U856" t="s">
        <v>57</v>
      </c>
      <c r="V856">
        <v>1.03</v>
      </c>
      <c r="W856">
        <v>2.61</v>
      </c>
      <c r="X856">
        <v>3.1</v>
      </c>
      <c r="Y856">
        <v>20.7</v>
      </c>
      <c r="Z856">
        <v>8.6999999999999993</v>
      </c>
    </row>
    <row r="857" spans="1:26" x14ac:dyDescent="0.45">
      <c r="A857" t="s">
        <v>2363</v>
      </c>
      <c r="B857">
        <v>37</v>
      </c>
      <c r="C857" t="s">
        <v>27</v>
      </c>
      <c r="D857" t="s">
        <v>45</v>
      </c>
      <c r="E857" t="s">
        <v>29</v>
      </c>
      <c r="F857" t="s">
        <v>30</v>
      </c>
      <c r="G857" t="s">
        <v>118</v>
      </c>
      <c r="H857" t="s">
        <v>81</v>
      </c>
      <c r="I857" t="s">
        <v>49</v>
      </c>
      <c r="J857" t="s">
        <v>621</v>
      </c>
      <c r="K857" t="s">
        <v>2364</v>
      </c>
      <c r="L857" t="s">
        <v>52</v>
      </c>
      <c r="M857" t="s">
        <v>348</v>
      </c>
      <c r="N857" t="s">
        <v>1115</v>
      </c>
      <c r="O857" t="s">
        <v>52</v>
      </c>
      <c r="P857" t="s">
        <v>110</v>
      </c>
      <c r="Q857" t="s">
        <v>40</v>
      </c>
      <c r="R857">
        <v>97</v>
      </c>
      <c r="S857">
        <v>0</v>
      </c>
      <c r="T857" t="s">
        <v>41</v>
      </c>
      <c r="U857" t="s">
        <v>42</v>
      </c>
      <c r="V857">
        <v>4.3099999999999996</v>
      </c>
      <c r="W857">
        <v>1</v>
      </c>
      <c r="X857">
        <v>3.8</v>
      </c>
      <c r="Y857">
        <v>10.3</v>
      </c>
      <c r="Z857">
        <v>7</v>
      </c>
    </row>
    <row r="858" spans="1:26" x14ac:dyDescent="0.45">
      <c r="A858" t="s">
        <v>2365</v>
      </c>
      <c r="B858">
        <v>61</v>
      </c>
      <c r="C858" t="s">
        <v>27</v>
      </c>
      <c r="D858" t="s">
        <v>106</v>
      </c>
      <c r="E858" t="s">
        <v>30</v>
      </c>
      <c r="F858" t="s">
        <v>30</v>
      </c>
      <c r="G858" t="s">
        <v>112</v>
      </c>
      <c r="H858" t="s">
        <v>32</v>
      </c>
      <c r="I858" t="s">
        <v>49</v>
      </c>
      <c r="J858" t="s">
        <v>1570</v>
      </c>
      <c r="K858" t="s">
        <v>471</v>
      </c>
      <c r="L858" t="s">
        <v>52</v>
      </c>
      <c r="M858" t="s">
        <v>37</v>
      </c>
      <c r="N858" t="s">
        <v>447</v>
      </c>
      <c r="O858" t="s">
        <v>52</v>
      </c>
      <c r="P858" t="s">
        <v>39</v>
      </c>
      <c r="Q858" t="s">
        <v>129</v>
      </c>
      <c r="R858">
        <v>50</v>
      </c>
      <c r="S858">
        <v>1</v>
      </c>
      <c r="T858" t="s">
        <v>137</v>
      </c>
      <c r="U858" t="s">
        <v>57</v>
      </c>
      <c r="V858">
        <v>1.27</v>
      </c>
      <c r="W858">
        <v>1.75</v>
      </c>
      <c r="X858">
        <v>6</v>
      </c>
      <c r="Y858">
        <v>11.2</v>
      </c>
      <c r="Z858">
        <v>10.1</v>
      </c>
    </row>
    <row r="859" spans="1:26" x14ac:dyDescent="0.45">
      <c r="A859" t="s">
        <v>2366</v>
      </c>
      <c r="B859">
        <v>69</v>
      </c>
      <c r="C859" t="s">
        <v>27</v>
      </c>
      <c r="D859" t="s">
        <v>28</v>
      </c>
      <c r="E859" t="s">
        <v>30</v>
      </c>
      <c r="F859" t="s">
        <v>47</v>
      </c>
      <c r="G859" t="s">
        <v>131</v>
      </c>
      <c r="H859" t="s">
        <v>32</v>
      </c>
      <c r="I859" t="s">
        <v>33</v>
      </c>
      <c r="J859" t="s">
        <v>2367</v>
      </c>
      <c r="K859" t="s">
        <v>2181</v>
      </c>
      <c r="L859" t="s">
        <v>64</v>
      </c>
      <c r="M859" t="s">
        <v>640</v>
      </c>
      <c r="N859" t="s">
        <v>852</v>
      </c>
      <c r="O859" t="s">
        <v>64</v>
      </c>
      <c r="P859" t="s">
        <v>55</v>
      </c>
      <c r="Q859" t="s">
        <v>30</v>
      </c>
      <c r="R859">
        <v>174</v>
      </c>
      <c r="S859">
        <v>0</v>
      </c>
      <c r="T859" t="s">
        <v>56</v>
      </c>
      <c r="U859" t="s">
        <v>57</v>
      </c>
      <c r="V859">
        <v>2.5099999999999998</v>
      </c>
      <c r="W859">
        <v>4.5</v>
      </c>
      <c r="X859">
        <v>9.1</v>
      </c>
      <c r="Y859">
        <v>14.9</v>
      </c>
      <c r="Z859">
        <v>8.6</v>
      </c>
    </row>
    <row r="860" spans="1:26" x14ac:dyDescent="0.45">
      <c r="A860" t="s">
        <v>2368</v>
      </c>
      <c r="B860">
        <v>68</v>
      </c>
      <c r="C860" t="s">
        <v>44</v>
      </c>
      <c r="D860" t="s">
        <v>45</v>
      </c>
      <c r="E860" t="s">
        <v>29</v>
      </c>
      <c r="F860" t="s">
        <v>88</v>
      </c>
      <c r="G860" t="s">
        <v>48</v>
      </c>
      <c r="H860" t="s">
        <v>71</v>
      </c>
      <c r="I860" t="s">
        <v>132</v>
      </c>
      <c r="J860" t="s">
        <v>1424</v>
      </c>
      <c r="K860" t="s">
        <v>1635</v>
      </c>
      <c r="L860" t="s">
        <v>64</v>
      </c>
      <c r="M860" t="s">
        <v>451</v>
      </c>
      <c r="N860" t="s">
        <v>507</v>
      </c>
      <c r="O860" t="s">
        <v>64</v>
      </c>
      <c r="P860" t="s">
        <v>55</v>
      </c>
      <c r="Q860" t="s">
        <v>75</v>
      </c>
      <c r="R860">
        <v>108</v>
      </c>
      <c r="S860">
        <v>0</v>
      </c>
      <c r="T860" t="s">
        <v>85</v>
      </c>
      <c r="U860" t="s">
        <v>42</v>
      </c>
      <c r="V860">
        <v>1.43</v>
      </c>
      <c r="W860">
        <v>4.8099999999999996</v>
      </c>
      <c r="X860">
        <v>1.5</v>
      </c>
      <c r="Y860">
        <v>11.4</v>
      </c>
      <c r="Z860">
        <v>8.1</v>
      </c>
    </row>
    <row r="861" spans="1:26" x14ac:dyDescent="0.45">
      <c r="A861" t="s">
        <v>2369</v>
      </c>
      <c r="B861">
        <v>61</v>
      </c>
      <c r="C861" t="s">
        <v>27</v>
      </c>
      <c r="D861" t="s">
        <v>95</v>
      </c>
      <c r="E861" t="s">
        <v>29</v>
      </c>
      <c r="F861" t="s">
        <v>59</v>
      </c>
      <c r="G861" t="s">
        <v>80</v>
      </c>
      <c r="H861" t="s">
        <v>81</v>
      </c>
      <c r="I861" t="s">
        <v>33</v>
      </c>
      <c r="J861" t="s">
        <v>503</v>
      </c>
      <c r="K861" t="s">
        <v>389</v>
      </c>
      <c r="L861" t="s">
        <v>52</v>
      </c>
      <c r="M861" t="s">
        <v>40</v>
      </c>
      <c r="N861" t="s">
        <v>398</v>
      </c>
      <c r="O861" t="s">
        <v>52</v>
      </c>
      <c r="P861" t="s">
        <v>39</v>
      </c>
      <c r="Q861" t="s">
        <v>67</v>
      </c>
      <c r="R861">
        <v>124</v>
      </c>
      <c r="S861">
        <v>1</v>
      </c>
      <c r="T861" t="s">
        <v>85</v>
      </c>
      <c r="U861" t="s">
        <v>42</v>
      </c>
      <c r="V861">
        <v>2.2799999999999998</v>
      </c>
      <c r="W861">
        <v>1.66</v>
      </c>
      <c r="X861">
        <v>8</v>
      </c>
      <c r="Y861">
        <v>8.1999999999999993</v>
      </c>
      <c r="Z861">
        <v>13.8</v>
      </c>
    </row>
    <row r="862" spans="1:26" x14ac:dyDescent="0.45">
      <c r="A862" t="s">
        <v>2370</v>
      </c>
      <c r="B862">
        <v>52</v>
      </c>
      <c r="C862" t="s">
        <v>27</v>
      </c>
      <c r="D862" t="s">
        <v>95</v>
      </c>
      <c r="E862" t="s">
        <v>163</v>
      </c>
      <c r="F862" t="s">
        <v>30</v>
      </c>
      <c r="G862" t="s">
        <v>276</v>
      </c>
      <c r="H862" t="s">
        <v>61</v>
      </c>
      <c r="I862" t="s">
        <v>132</v>
      </c>
      <c r="J862" t="s">
        <v>2371</v>
      </c>
      <c r="K862" t="s">
        <v>2372</v>
      </c>
      <c r="L862" t="s">
        <v>52</v>
      </c>
      <c r="M862" t="s">
        <v>322</v>
      </c>
      <c r="N862" t="s">
        <v>1460</v>
      </c>
      <c r="O862" t="s">
        <v>52</v>
      </c>
      <c r="P862" t="s">
        <v>55</v>
      </c>
      <c r="Q862" t="s">
        <v>30</v>
      </c>
      <c r="R862">
        <v>84</v>
      </c>
      <c r="S862">
        <v>0</v>
      </c>
      <c r="T862" t="s">
        <v>123</v>
      </c>
      <c r="U862" t="s">
        <v>57</v>
      </c>
      <c r="V862">
        <v>1.5</v>
      </c>
      <c r="W862">
        <v>1.28</v>
      </c>
      <c r="X862">
        <v>9.1999999999999993</v>
      </c>
      <c r="Y862">
        <v>9.4</v>
      </c>
      <c r="Z862">
        <v>17</v>
      </c>
    </row>
    <row r="863" spans="1:26" x14ac:dyDescent="0.45">
      <c r="A863" t="s">
        <v>2373</v>
      </c>
      <c r="B863">
        <v>70</v>
      </c>
      <c r="C863" t="s">
        <v>27</v>
      </c>
      <c r="D863" t="s">
        <v>95</v>
      </c>
      <c r="E863" t="s">
        <v>46</v>
      </c>
      <c r="F863" t="s">
        <v>88</v>
      </c>
      <c r="G863" t="s">
        <v>164</v>
      </c>
      <c r="H863" t="s">
        <v>61</v>
      </c>
      <c r="I863" t="s">
        <v>33</v>
      </c>
      <c r="J863" t="s">
        <v>1186</v>
      </c>
      <c r="K863" t="s">
        <v>2374</v>
      </c>
      <c r="L863" t="s">
        <v>92</v>
      </c>
      <c r="M863" t="s">
        <v>30</v>
      </c>
      <c r="N863" t="s">
        <v>1215</v>
      </c>
      <c r="O863" t="s">
        <v>92</v>
      </c>
      <c r="P863" t="s">
        <v>110</v>
      </c>
      <c r="Q863" t="s">
        <v>40</v>
      </c>
      <c r="R863">
        <v>53</v>
      </c>
      <c r="S863">
        <v>0</v>
      </c>
      <c r="T863" t="s">
        <v>85</v>
      </c>
      <c r="U863" t="s">
        <v>57</v>
      </c>
      <c r="V863">
        <v>3.18</v>
      </c>
      <c r="W863">
        <v>1.31</v>
      </c>
      <c r="X863">
        <v>9.6</v>
      </c>
      <c r="Y863">
        <v>10.4</v>
      </c>
      <c r="Z863">
        <v>17.600000000000001</v>
      </c>
    </row>
    <row r="864" spans="1:26" x14ac:dyDescent="0.45">
      <c r="A864" t="s">
        <v>2375</v>
      </c>
      <c r="B864">
        <v>58</v>
      </c>
      <c r="C864" t="s">
        <v>27</v>
      </c>
      <c r="D864" t="s">
        <v>106</v>
      </c>
      <c r="E864" t="s">
        <v>30</v>
      </c>
      <c r="F864" t="s">
        <v>30</v>
      </c>
      <c r="G864" t="s">
        <v>184</v>
      </c>
      <c r="H864" t="s">
        <v>71</v>
      </c>
      <c r="I864" t="s">
        <v>33</v>
      </c>
      <c r="J864" t="s">
        <v>1011</v>
      </c>
      <c r="K864" t="s">
        <v>2376</v>
      </c>
      <c r="L864" t="s">
        <v>36</v>
      </c>
      <c r="M864" t="s">
        <v>129</v>
      </c>
      <c r="N864" t="s">
        <v>1696</v>
      </c>
      <c r="O864" t="s">
        <v>36</v>
      </c>
      <c r="P864" t="s">
        <v>39</v>
      </c>
      <c r="Q864" t="s">
        <v>67</v>
      </c>
      <c r="R864">
        <v>36</v>
      </c>
      <c r="S864">
        <v>1</v>
      </c>
      <c r="T864" t="s">
        <v>85</v>
      </c>
      <c r="U864" t="s">
        <v>57</v>
      </c>
      <c r="V864">
        <v>1.68</v>
      </c>
      <c r="W864">
        <v>4.42</v>
      </c>
      <c r="X864">
        <v>1.1000000000000001</v>
      </c>
      <c r="Y864">
        <v>15.2</v>
      </c>
      <c r="Z864">
        <v>16.100000000000001</v>
      </c>
    </row>
    <row r="865" spans="1:26" x14ac:dyDescent="0.45">
      <c r="A865" t="s">
        <v>2377</v>
      </c>
      <c r="B865">
        <v>61</v>
      </c>
      <c r="C865" t="s">
        <v>45</v>
      </c>
      <c r="D865" t="s">
        <v>106</v>
      </c>
      <c r="E865" t="s">
        <v>46</v>
      </c>
      <c r="F865" t="s">
        <v>30</v>
      </c>
      <c r="G865" t="s">
        <v>440</v>
      </c>
      <c r="H865" t="s">
        <v>81</v>
      </c>
      <c r="I865" t="s">
        <v>72</v>
      </c>
      <c r="J865" t="s">
        <v>2378</v>
      </c>
      <c r="K865" t="s">
        <v>2379</v>
      </c>
      <c r="L865" t="s">
        <v>64</v>
      </c>
      <c r="M865" t="s">
        <v>339</v>
      </c>
      <c r="N865" t="s">
        <v>305</v>
      </c>
      <c r="O865" t="s">
        <v>64</v>
      </c>
      <c r="P865" t="s">
        <v>39</v>
      </c>
      <c r="Q865" t="s">
        <v>129</v>
      </c>
      <c r="R865">
        <v>101</v>
      </c>
      <c r="S865">
        <v>1</v>
      </c>
      <c r="T865" t="s">
        <v>123</v>
      </c>
      <c r="U865" t="s">
        <v>42</v>
      </c>
      <c r="V865">
        <v>4.74</v>
      </c>
      <c r="W865">
        <v>4.6399999999999997</v>
      </c>
      <c r="X865">
        <v>8.4</v>
      </c>
      <c r="Y865">
        <v>22</v>
      </c>
      <c r="Z865">
        <v>6.4</v>
      </c>
    </row>
    <row r="866" spans="1:26" x14ac:dyDescent="0.45">
      <c r="A866" t="s">
        <v>2380</v>
      </c>
      <c r="B866">
        <v>63</v>
      </c>
      <c r="C866" t="s">
        <v>27</v>
      </c>
      <c r="D866" t="s">
        <v>95</v>
      </c>
      <c r="E866" t="s">
        <v>29</v>
      </c>
      <c r="F866" t="s">
        <v>59</v>
      </c>
      <c r="G866" t="s">
        <v>31</v>
      </c>
      <c r="H866" t="s">
        <v>61</v>
      </c>
      <c r="I866" t="s">
        <v>49</v>
      </c>
      <c r="J866" t="s">
        <v>2122</v>
      </c>
      <c r="K866" t="s">
        <v>614</v>
      </c>
      <c r="L866" t="s">
        <v>52</v>
      </c>
      <c r="M866" t="s">
        <v>834</v>
      </c>
      <c r="N866" t="s">
        <v>383</v>
      </c>
      <c r="O866" t="s">
        <v>52</v>
      </c>
      <c r="P866" t="s">
        <v>55</v>
      </c>
      <c r="Q866" t="s">
        <v>40</v>
      </c>
      <c r="R866">
        <v>79</v>
      </c>
      <c r="S866">
        <v>0</v>
      </c>
      <c r="T866" t="s">
        <v>123</v>
      </c>
      <c r="U866" t="s">
        <v>57</v>
      </c>
      <c r="V866">
        <v>2.14</v>
      </c>
      <c r="W866">
        <v>2.16</v>
      </c>
      <c r="X866">
        <v>4.4000000000000004</v>
      </c>
      <c r="Y866">
        <v>13.1</v>
      </c>
      <c r="Z866">
        <v>12.3</v>
      </c>
    </row>
    <row r="867" spans="1:26" x14ac:dyDescent="0.45">
      <c r="A867" t="s">
        <v>2381</v>
      </c>
      <c r="B867">
        <v>21</v>
      </c>
      <c r="C867" t="s">
        <v>45</v>
      </c>
      <c r="D867" t="s">
        <v>28</v>
      </c>
      <c r="E867" t="s">
        <v>46</v>
      </c>
      <c r="F867" t="s">
        <v>30</v>
      </c>
      <c r="G867" t="s">
        <v>102</v>
      </c>
      <c r="H867" t="s">
        <v>71</v>
      </c>
      <c r="I867" t="s">
        <v>33</v>
      </c>
      <c r="J867" t="s">
        <v>1268</v>
      </c>
      <c r="K867" t="s">
        <v>1742</v>
      </c>
      <c r="L867" t="s">
        <v>36</v>
      </c>
      <c r="M867" t="s">
        <v>129</v>
      </c>
      <c r="N867" t="s">
        <v>997</v>
      </c>
      <c r="O867" t="s">
        <v>36</v>
      </c>
      <c r="P867" t="s">
        <v>39</v>
      </c>
      <c r="Q867" t="s">
        <v>67</v>
      </c>
      <c r="R867">
        <v>126</v>
      </c>
      <c r="S867">
        <v>1</v>
      </c>
      <c r="T867" t="s">
        <v>85</v>
      </c>
      <c r="U867" t="s">
        <v>57</v>
      </c>
      <c r="V867">
        <v>1.64</v>
      </c>
      <c r="W867">
        <v>3.76</v>
      </c>
      <c r="X867">
        <v>2.5</v>
      </c>
      <c r="Y867">
        <v>11.6</v>
      </c>
      <c r="Z867">
        <v>11.6</v>
      </c>
    </row>
    <row r="868" spans="1:26" x14ac:dyDescent="0.45">
      <c r="A868" t="s">
        <v>2382</v>
      </c>
      <c r="B868">
        <v>62</v>
      </c>
      <c r="C868" t="s">
        <v>45</v>
      </c>
      <c r="D868" t="s">
        <v>106</v>
      </c>
      <c r="E868" t="s">
        <v>29</v>
      </c>
      <c r="F868" t="s">
        <v>30</v>
      </c>
      <c r="G868" t="s">
        <v>112</v>
      </c>
      <c r="H868" t="s">
        <v>61</v>
      </c>
      <c r="I868" t="s">
        <v>72</v>
      </c>
      <c r="J868" t="s">
        <v>585</v>
      </c>
      <c r="K868" t="s">
        <v>2383</v>
      </c>
      <c r="L868" t="s">
        <v>52</v>
      </c>
      <c r="M868" t="s">
        <v>121</v>
      </c>
      <c r="N868" t="s">
        <v>66</v>
      </c>
      <c r="O868" t="s">
        <v>52</v>
      </c>
      <c r="P868" t="s">
        <v>55</v>
      </c>
      <c r="Q868" t="s">
        <v>67</v>
      </c>
      <c r="R868">
        <v>90</v>
      </c>
      <c r="S868">
        <v>0</v>
      </c>
      <c r="T868" t="s">
        <v>41</v>
      </c>
      <c r="U868" t="s">
        <v>42</v>
      </c>
      <c r="V868">
        <v>4.1900000000000004</v>
      </c>
      <c r="W868">
        <v>3.96</v>
      </c>
      <c r="X868">
        <v>6.8</v>
      </c>
      <c r="Y868">
        <v>8.8000000000000007</v>
      </c>
      <c r="Z868">
        <v>12.3</v>
      </c>
    </row>
    <row r="869" spans="1:26" x14ac:dyDescent="0.45">
      <c r="A869" t="s">
        <v>2384</v>
      </c>
      <c r="B869">
        <v>37</v>
      </c>
      <c r="C869" t="s">
        <v>45</v>
      </c>
      <c r="D869" t="s">
        <v>95</v>
      </c>
      <c r="E869" t="s">
        <v>46</v>
      </c>
      <c r="F869" t="s">
        <v>30</v>
      </c>
      <c r="G869" t="s">
        <v>89</v>
      </c>
      <c r="H869" t="s">
        <v>71</v>
      </c>
      <c r="I869" t="s">
        <v>49</v>
      </c>
      <c r="J869" t="s">
        <v>610</v>
      </c>
      <c r="K869" t="s">
        <v>632</v>
      </c>
      <c r="L869" t="s">
        <v>52</v>
      </c>
      <c r="M869" t="s">
        <v>339</v>
      </c>
      <c r="N869" t="s">
        <v>267</v>
      </c>
      <c r="O869" t="s">
        <v>52</v>
      </c>
      <c r="P869" t="s">
        <v>55</v>
      </c>
      <c r="Q869" t="s">
        <v>40</v>
      </c>
      <c r="R869">
        <v>52</v>
      </c>
      <c r="S869">
        <v>0</v>
      </c>
      <c r="T869" t="s">
        <v>85</v>
      </c>
      <c r="U869" t="s">
        <v>57</v>
      </c>
      <c r="V869">
        <v>1.35</v>
      </c>
      <c r="W869">
        <v>2.5099999999999998</v>
      </c>
      <c r="X869">
        <v>4.7</v>
      </c>
      <c r="Y869">
        <v>6.7</v>
      </c>
      <c r="Z869">
        <v>7.7</v>
      </c>
    </row>
    <row r="870" spans="1:26" x14ac:dyDescent="0.45">
      <c r="A870" t="s">
        <v>2385</v>
      </c>
      <c r="B870">
        <v>22</v>
      </c>
      <c r="C870" t="s">
        <v>44</v>
      </c>
      <c r="D870" t="s">
        <v>95</v>
      </c>
      <c r="E870" t="s">
        <v>163</v>
      </c>
      <c r="F870" t="s">
        <v>30</v>
      </c>
      <c r="G870" t="s">
        <v>178</v>
      </c>
      <c r="H870" t="s">
        <v>81</v>
      </c>
      <c r="I870" t="s">
        <v>49</v>
      </c>
      <c r="J870" t="s">
        <v>2244</v>
      </c>
      <c r="K870" t="s">
        <v>2386</v>
      </c>
      <c r="L870" t="s">
        <v>36</v>
      </c>
      <c r="M870" t="s">
        <v>75</v>
      </c>
      <c r="N870" t="s">
        <v>2291</v>
      </c>
      <c r="O870" t="s">
        <v>36</v>
      </c>
      <c r="P870" t="s">
        <v>39</v>
      </c>
      <c r="Q870" t="s">
        <v>40</v>
      </c>
      <c r="R870">
        <v>39</v>
      </c>
      <c r="S870">
        <v>1</v>
      </c>
      <c r="T870" t="s">
        <v>123</v>
      </c>
      <c r="U870" t="s">
        <v>42</v>
      </c>
      <c r="V870">
        <v>4.82</v>
      </c>
      <c r="W870">
        <v>4.8099999999999996</v>
      </c>
      <c r="X870">
        <v>4.2</v>
      </c>
      <c r="Y870">
        <v>6.8</v>
      </c>
      <c r="Z870">
        <v>6</v>
      </c>
    </row>
    <row r="871" spans="1:26" x14ac:dyDescent="0.45">
      <c r="A871" t="s">
        <v>2387</v>
      </c>
      <c r="B871">
        <v>80</v>
      </c>
      <c r="C871" t="s">
        <v>27</v>
      </c>
      <c r="D871" t="s">
        <v>106</v>
      </c>
      <c r="E871" t="s">
        <v>78</v>
      </c>
      <c r="F871" t="s">
        <v>69</v>
      </c>
      <c r="G871" t="s">
        <v>60</v>
      </c>
      <c r="H871" t="s">
        <v>71</v>
      </c>
      <c r="I871" t="s">
        <v>49</v>
      </c>
      <c r="J871" t="s">
        <v>158</v>
      </c>
      <c r="K871" t="s">
        <v>1501</v>
      </c>
      <c r="L871" t="s">
        <v>36</v>
      </c>
      <c r="M871" t="s">
        <v>1547</v>
      </c>
      <c r="N871" t="s">
        <v>192</v>
      </c>
      <c r="O871" t="s">
        <v>36</v>
      </c>
      <c r="P871" t="s">
        <v>39</v>
      </c>
      <c r="Q871" t="s">
        <v>30</v>
      </c>
      <c r="R871">
        <v>143</v>
      </c>
      <c r="S871">
        <v>1</v>
      </c>
      <c r="T871" t="s">
        <v>137</v>
      </c>
      <c r="U871" t="s">
        <v>42</v>
      </c>
      <c r="V871">
        <v>2.57</v>
      </c>
      <c r="W871">
        <v>4.79</v>
      </c>
      <c r="X871">
        <v>2.2999999999999998</v>
      </c>
      <c r="Y871">
        <v>19.7</v>
      </c>
      <c r="Z871">
        <v>4.8</v>
      </c>
    </row>
    <row r="872" spans="1:26" x14ac:dyDescent="0.45">
      <c r="A872" t="s">
        <v>2388</v>
      </c>
      <c r="B872">
        <v>36</v>
      </c>
      <c r="C872" t="s">
        <v>27</v>
      </c>
      <c r="D872" t="s">
        <v>106</v>
      </c>
      <c r="E872" t="s">
        <v>46</v>
      </c>
      <c r="F872" t="s">
        <v>79</v>
      </c>
      <c r="G872" t="s">
        <v>246</v>
      </c>
      <c r="H872" t="s">
        <v>61</v>
      </c>
      <c r="I872" t="s">
        <v>49</v>
      </c>
      <c r="J872" t="s">
        <v>248</v>
      </c>
      <c r="K872" t="s">
        <v>1633</v>
      </c>
      <c r="L872" t="s">
        <v>64</v>
      </c>
      <c r="M872" t="s">
        <v>978</v>
      </c>
      <c r="N872" t="s">
        <v>254</v>
      </c>
      <c r="O872" t="s">
        <v>64</v>
      </c>
      <c r="P872" t="s">
        <v>110</v>
      </c>
      <c r="Q872" t="s">
        <v>67</v>
      </c>
      <c r="R872">
        <v>75</v>
      </c>
      <c r="S872">
        <v>0</v>
      </c>
      <c r="T872" t="s">
        <v>137</v>
      </c>
      <c r="U872" t="s">
        <v>57</v>
      </c>
      <c r="V872">
        <v>4.93</v>
      </c>
      <c r="W872">
        <v>2.5299999999999998</v>
      </c>
      <c r="X872">
        <v>8</v>
      </c>
      <c r="Y872">
        <v>12.2</v>
      </c>
      <c r="Z872">
        <v>13.7</v>
      </c>
    </row>
    <row r="873" spans="1:26" x14ac:dyDescent="0.45">
      <c r="A873" t="s">
        <v>2389</v>
      </c>
      <c r="B873">
        <v>25</v>
      </c>
      <c r="C873" t="s">
        <v>44</v>
      </c>
      <c r="D873" t="s">
        <v>106</v>
      </c>
      <c r="E873" t="s">
        <v>29</v>
      </c>
      <c r="F873" t="s">
        <v>30</v>
      </c>
      <c r="G873" t="s">
        <v>31</v>
      </c>
      <c r="H873" t="s">
        <v>71</v>
      </c>
      <c r="I873" t="s">
        <v>132</v>
      </c>
      <c r="J873" t="s">
        <v>2390</v>
      </c>
      <c r="K873" t="s">
        <v>410</v>
      </c>
      <c r="L873" t="s">
        <v>36</v>
      </c>
      <c r="M873" t="s">
        <v>129</v>
      </c>
      <c r="N873" t="s">
        <v>122</v>
      </c>
      <c r="O873" t="s">
        <v>36</v>
      </c>
      <c r="P873" t="s">
        <v>39</v>
      </c>
      <c r="Q873" t="s">
        <v>75</v>
      </c>
      <c r="R873">
        <v>44</v>
      </c>
      <c r="S873">
        <v>1</v>
      </c>
      <c r="T873" t="s">
        <v>137</v>
      </c>
      <c r="U873" t="s">
        <v>57</v>
      </c>
      <c r="V873">
        <v>1.77</v>
      </c>
      <c r="W873">
        <v>1.58</v>
      </c>
      <c r="X873">
        <v>9.4</v>
      </c>
      <c r="Y873">
        <v>22.5</v>
      </c>
      <c r="Z873">
        <v>18.100000000000001</v>
      </c>
    </row>
    <row r="874" spans="1:26" x14ac:dyDescent="0.45">
      <c r="A874" t="s">
        <v>2391</v>
      </c>
      <c r="B874">
        <v>80</v>
      </c>
      <c r="C874" t="s">
        <v>44</v>
      </c>
      <c r="D874" t="s">
        <v>87</v>
      </c>
      <c r="E874" t="s">
        <v>46</v>
      </c>
      <c r="F874" t="s">
        <v>59</v>
      </c>
      <c r="G874" t="s">
        <v>60</v>
      </c>
      <c r="H874" t="s">
        <v>32</v>
      </c>
      <c r="I874" t="s">
        <v>49</v>
      </c>
      <c r="J874" t="s">
        <v>1381</v>
      </c>
      <c r="K874" t="s">
        <v>2392</v>
      </c>
      <c r="L874" t="s">
        <v>92</v>
      </c>
      <c r="M874" t="s">
        <v>40</v>
      </c>
      <c r="N874" t="s">
        <v>1211</v>
      </c>
      <c r="O874" t="s">
        <v>92</v>
      </c>
      <c r="P874" t="s">
        <v>55</v>
      </c>
      <c r="Q874" t="s">
        <v>129</v>
      </c>
      <c r="R874">
        <v>160</v>
      </c>
      <c r="S874">
        <v>0</v>
      </c>
      <c r="T874" t="s">
        <v>137</v>
      </c>
      <c r="U874" t="s">
        <v>57</v>
      </c>
      <c r="V874">
        <v>3.5</v>
      </c>
      <c r="W874">
        <v>4.2300000000000004</v>
      </c>
      <c r="X874">
        <v>1.6</v>
      </c>
      <c r="Y874">
        <v>12</v>
      </c>
      <c r="Z874">
        <v>8.3000000000000007</v>
      </c>
    </row>
    <row r="875" spans="1:26" x14ac:dyDescent="0.45">
      <c r="A875" t="s">
        <v>2393</v>
      </c>
      <c r="B875">
        <v>47</v>
      </c>
      <c r="C875" t="s">
        <v>45</v>
      </c>
      <c r="D875" t="s">
        <v>95</v>
      </c>
      <c r="E875" t="s">
        <v>30</v>
      </c>
      <c r="F875" t="s">
        <v>59</v>
      </c>
      <c r="G875" t="s">
        <v>184</v>
      </c>
      <c r="H875" t="s">
        <v>81</v>
      </c>
      <c r="I875" t="s">
        <v>49</v>
      </c>
      <c r="J875" t="s">
        <v>858</v>
      </c>
      <c r="K875" t="s">
        <v>944</v>
      </c>
      <c r="L875" t="s">
        <v>92</v>
      </c>
      <c r="M875" t="s">
        <v>129</v>
      </c>
      <c r="N875" t="s">
        <v>1087</v>
      </c>
      <c r="O875" t="s">
        <v>92</v>
      </c>
      <c r="P875" t="s">
        <v>39</v>
      </c>
      <c r="Q875" t="s">
        <v>40</v>
      </c>
      <c r="R875">
        <v>98</v>
      </c>
      <c r="S875">
        <v>1</v>
      </c>
      <c r="T875" t="s">
        <v>123</v>
      </c>
      <c r="U875" t="s">
        <v>42</v>
      </c>
      <c r="V875">
        <v>3.54</v>
      </c>
      <c r="W875">
        <v>2.42</v>
      </c>
      <c r="X875">
        <v>2.2999999999999998</v>
      </c>
      <c r="Y875">
        <v>16.7</v>
      </c>
      <c r="Z875">
        <v>16.8</v>
      </c>
    </row>
    <row r="876" spans="1:26" x14ac:dyDescent="0.45">
      <c r="A876" t="s">
        <v>2394</v>
      </c>
      <c r="B876">
        <v>61</v>
      </c>
      <c r="C876" t="s">
        <v>44</v>
      </c>
      <c r="D876" t="s">
        <v>95</v>
      </c>
      <c r="E876" t="s">
        <v>30</v>
      </c>
      <c r="F876" t="s">
        <v>88</v>
      </c>
      <c r="G876" t="s">
        <v>80</v>
      </c>
      <c r="H876" t="s">
        <v>81</v>
      </c>
      <c r="I876" t="s">
        <v>72</v>
      </c>
      <c r="J876" t="s">
        <v>1342</v>
      </c>
      <c r="K876" t="s">
        <v>2395</v>
      </c>
      <c r="L876" t="s">
        <v>36</v>
      </c>
      <c r="M876" t="s">
        <v>37</v>
      </c>
      <c r="N876" t="s">
        <v>192</v>
      </c>
      <c r="O876" t="s">
        <v>36</v>
      </c>
      <c r="P876" t="s">
        <v>39</v>
      </c>
      <c r="Q876" t="s">
        <v>67</v>
      </c>
      <c r="R876">
        <v>34</v>
      </c>
      <c r="S876">
        <v>1</v>
      </c>
      <c r="T876" t="s">
        <v>137</v>
      </c>
      <c r="U876" t="s">
        <v>42</v>
      </c>
      <c r="V876">
        <v>2.5299999999999998</v>
      </c>
      <c r="W876">
        <v>1.53</v>
      </c>
      <c r="X876">
        <v>2.8</v>
      </c>
      <c r="Y876">
        <v>10.3</v>
      </c>
      <c r="Z876">
        <v>8.1</v>
      </c>
    </row>
    <row r="877" spans="1:26" x14ac:dyDescent="0.45">
      <c r="A877" t="s">
        <v>2396</v>
      </c>
      <c r="B877">
        <v>73</v>
      </c>
      <c r="C877" t="s">
        <v>27</v>
      </c>
      <c r="D877" t="s">
        <v>87</v>
      </c>
      <c r="E877" t="s">
        <v>163</v>
      </c>
      <c r="F877" t="s">
        <v>30</v>
      </c>
      <c r="G877" t="s">
        <v>70</v>
      </c>
      <c r="H877" t="s">
        <v>61</v>
      </c>
      <c r="I877" t="s">
        <v>72</v>
      </c>
      <c r="J877" t="s">
        <v>1049</v>
      </c>
      <c r="K877" t="s">
        <v>2362</v>
      </c>
      <c r="L877" t="s">
        <v>52</v>
      </c>
      <c r="M877" t="s">
        <v>141</v>
      </c>
      <c r="N877" t="s">
        <v>217</v>
      </c>
      <c r="O877" t="s">
        <v>52</v>
      </c>
      <c r="P877" t="s">
        <v>55</v>
      </c>
      <c r="Q877" t="s">
        <v>75</v>
      </c>
      <c r="R877">
        <v>175</v>
      </c>
      <c r="S877">
        <v>0</v>
      </c>
      <c r="T877" t="s">
        <v>56</v>
      </c>
      <c r="U877" t="s">
        <v>57</v>
      </c>
      <c r="V877">
        <v>3.57</v>
      </c>
      <c r="W877">
        <v>3.4</v>
      </c>
      <c r="X877">
        <v>7.3</v>
      </c>
      <c r="Y877">
        <v>12.5</v>
      </c>
      <c r="Z877">
        <v>17</v>
      </c>
    </row>
    <row r="878" spans="1:26" x14ac:dyDescent="0.45">
      <c r="A878" t="s">
        <v>2397</v>
      </c>
      <c r="B878">
        <v>22</v>
      </c>
      <c r="C878" t="s">
        <v>45</v>
      </c>
      <c r="D878" t="s">
        <v>45</v>
      </c>
      <c r="E878" t="s">
        <v>78</v>
      </c>
      <c r="F878" t="s">
        <v>79</v>
      </c>
      <c r="G878" t="s">
        <v>48</v>
      </c>
      <c r="H878" t="s">
        <v>81</v>
      </c>
      <c r="I878" t="s">
        <v>33</v>
      </c>
      <c r="J878" t="s">
        <v>2398</v>
      </c>
      <c r="K878" t="s">
        <v>364</v>
      </c>
      <c r="L878" t="s">
        <v>52</v>
      </c>
      <c r="M878" t="s">
        <v>40</v>
      </c>
      <c r="N878" t="s">
        <v>2399</v>
      </c>
      <c r="O878" t="s">
        <v>52</v>
      </c>
      <c r="P878" t="s">
        <v>55</v>
      </c>
      <c r="Q878" t="s">
        <v>129</v>
      </c>
      <c r="R878">
        <v>147</v>
      </c>
      <c r="S878">
        <v>0</v>
      </c>
      <c r="T878" t="s">
        <v>137</v>
      </c>
      <c r="U878" t="s">
        <v>57</v>
      </c>
      <c r="V878">
        <v>1.82</v>
      </c>
      <c r="W878">
        <v>2.88</v>
      </c>
      <c r="X878">
        <v>8.1999999999999993</v>
      </c>
      <c r="Y878">
        <v>9.1999999999999993</v>
      </c>
      <c r="Z878">
        <v>4.9000000000000004</v>
      </c>
    </row>
    <row r="879" spans="1:26" x14ac:dyDescent="0.45">
      <c r="A879" t="s">
        <v>2400</v>
      </c>
      <c r="B879">
        <v>71</v>
      </c>
      <c r="C879" t="s">
        <v>44</v>
      </c>
      <c r="D879" t="s">
        <v>106</v>
      </c>
      <c r="E879" t="s">
        <v>46</v>
      </c>
      <c r="F879" t="s">
        <v>30</v>
      </c>
      <c r="G879" t="s">
        <v>80</v>
      </c>
      <c r="H879" t="s">
        <v>32</v>
      </c>
      <c r="I879" t="s">
        <v>72</v>
      </c>
      <c r="J879" t="s">
        <v>2030</v>
      </c>
      <c r="K879" t="s">
        <v>2401</v>
      </c>
      <c r="L879" t="s">
        <v>36</v>
      </c>
      <c r="M879" t="s">
        <v>53</v>
      </c>
      <c r="N879" t="s">
        <v>769</v>
      </c>
      <c r="O879" t="s">
        <v>36</v>
      </c>
      <c r="P879" t="s">
        <v>110</v>
      </c>
      <c r="Q879" t="s">
        <v>75</v>
      </c>
      <c r="R879">
        <v>115</v>
      </c>
      <c r="S879">
        <v>0</v>
      </c>
      <c r="T879" t="s">
        <v>41</v>
      </c>
      <c r="U879" t="s">
        <v>42</v>
      </c>
      <c r="V879">
        <v>4.53</v>
      </c>
      <c r="W879">
        <v>2.37</v>
      </c>
      <c r="X879">
        <v>7.2</v>
      </c>
      <c r="Y879">
        <v>6.5</v>
      </c>
      <c r="Z879">
        <v>14.7</v>
      </c>
    </row>
    <row r="880" spans="1:26" x14ac:dyDescent="0.45">
      <c r="A880" t="s">
        <v>2402</v>
      </c>
      <c r="B880">
        <v>33</v>
      </c>
      <c r="C880" t="s">
        <v>27</v>
      </c>
      <c r="D880" t="s">
        <v>87</v>
      </c>
      <c r="E880" t="s">
        <v>46</v>
      </c>
      <c r="F880" t="s">
        <v>88</v>
      </c>
      <c r="G880" t="s">
        <v>194</v>
      </c>
      <c r="H880" t="s">
        <v>61</v>
      </c>
      <c r="I880" t="s">
        <v>132</v>
      </c>
      <c r="J880" t="s">
        <v>2403</v>
      </c>
      <c r="K880" t="s">
        <v>248</v>
      </c>
      <c r="L880" t="s">
        <v>36</v>
      </c>
      <c r="M880" t="s">
        <v>187</v>
      </c>
      <c r="N880" t="s">
        <v>250</v>
      </c>
      <c r="O880" t="s">
        <v>36</v>
      </c>
      <c r="P880" t="s">
        <v>39</v>
      </c>
      <c r="Q880" t="s">
        <v>129</v>
      </c>
      <c r="R880">
        <v>65</v>
      </c>
      <c r="S880">
        <v>1</v>
      </c>
      <c r="T880" t="s">
        <v>56</v>
      </c>
      <c r="U880" t="s">
        <v>57</v>
      </c>
      <c r="V880">
        <v>2.2599999999999998</v>
      </c>
      <c r="W880">
        <v>1.22</v>
      </c>
      <c r="X880">
        <v>6.5</v>
      </c>
      <c r="Y880">
        <v>10.3</v>
      </c>
      <c r="Z880">
        <v>9.6</v>
      </c>
    </row>
    <row r="881" spans="1:26" x14ac:dyDescent="0.45">
      <c r="A881" t="s">
        <v>2404</v>
      </c>
      <c r="B881">
        <v>68</v>
      </c>
      <c r="C881" t="s">
        <v>44</v>
      </c>
      <c r="D881" t="s">
        <v>28</v>
      </c>
      <c r="E881" t="s">
        <v>29</v>
      </c>
      <c r="F881" t="s">
        <v>30</v>
      </c>
      <c r="G881" t="s">
        <v>48</v>
      </c>
      <c r="H881" t="s">
        <v>81</v>
      </c>
      <c r="I881" t="s">
        <v>33</v>
      </c>
      <c r="J881" t="s">
        <v>2405</v>
      </c>
      <c r="K881" t="s">
        <v>2406</v>
      </c>
      <c r="L881" t="s">
        <v>36</v>
      </c>
      <c r="M881" t="s">
        <v>135</v>
      </c>
      <c r="N881" t="s">
        <v>379</v>
      </c>
      <c r="O881" t="s">
        <v>36</v>
      </c>
      <c r="P881" t="s">
        <v>55</v>
      </c>
      <c r="Q881" t="s">
        <v>30</v>
      </c>
      <c r="R881">
        <v>139</v>
      </c>
      <c r="S881">
        <v>0</v>
      </c>
      <c r="T881" t="s">
        <v>123</v>
      </c>
      <c r="U881" t="s">
        <v>57</v>
      </c>
      <c r="V881">
        <v>1.32</v>
      </c>
      <c r="W881">
        <v>1.59</v>
      </c>
      <c r="X881">
        <v>3.7</v>
      </c>
      <c r="Y881">
        <v>7.6</v>
      </c>
      <c r="Z881">
        <v>18.5</v>
      </c>
    </row>
    <row r="882" spans="1:26" x14ac:dyDescent="0.45">
      <c r="A882" t="s">
        <v>2407</v>
      </c>
      <c r="B882">
        <v>60</v>
      </c>
      <c r="C882" t="s">
        <v>27</v>
      </c>
      <c r="D882" t="s">
        <v>87</v>
      </c>
      <c r="E882" t="s">
        <v>78</v>
      </c>
      <c r="F882" t="s">
        <v>59</v>
      </c>
      <c r="G882" t="s">
        <v>60</v>
      </c>
      <c r="H882" t="s">
        <v>81</v>
      </c>
      <c r="I882" t="s">
        <v>72</v>
      </c>
      <c r="J882" t="s">
        <v>2408</v>
      </c>
      <c r="K882" t="s">
        <v>1318</v>
      </c>
      <c r="L882" t="s">
        <v>64</v>
      </c>
      <c r="M882" t="s">
        <v>197</v>
      </c>
      <c r="N882" t="s">
        <v>366</v>
      </c>
      <c r="O882" t="s">
        <v>64</v>
      </c>
      <c r="P882" t="s">
        <v>39</v>
      </c>
      <c r="Q882" t="s">
        <v>129</v>
      </c>
      <c r="R882">
        <v>174</v>
      </c>
      <c r="S882">
        <v>1</v>
      </c>
      <c r="T882" t="s">
        <v>137</v>
      </c>
      <c r="U882" t="s">
        <v>42</v>
      </c>
      <c r="V882">
        <v>1.02</v>
      </c>
      <c r="W882">
        <v>2.94</v>
      </c>
      <c r="X882">
        <v>2.1</v>
      </c>
      <c r="Y882">
        <v>11.5</v>
      </c>
      <c r="Z882">
        <v>18.7</v>
      </c>
    </row>
    <row r="883" spans="1:26" x14ac:dyDescent="0.45">
      <c r="A883" t="s">
        <v>2409</v>
      </c>
      <c r="B883">
        <v>66</v>
      </c>
      <c r="C883" t="s">
        <v>27</v>
      </c>
      <c r="D883" t="s">
        <v>28</v>
      </c>
      <c r="E883" t="s">
        <v>46</v>
      </c>
      <c r="F883" t="s">
        <v>59</v>
      </c>
      <c r="G883" t="s">
        <v>80</v>
      </c>
      <c r="H883" t="s">
        <v>81</v>
      </c>
      <c r="I883" t="s">
        <v>49</v>
      </c>
      <c r="J883" t="s">
        <v>1648</v>
      </c>
      <c r="K883" t="s">
        <v>871</v>
      </c>
      <c r="L883" t="s">
        <v>52</v>
      </c>
      <c r="M883" t="s">
        <v>231</v>
      </c>
      <c r="N883" t="s">
        <v>950</v>
      </c>
      <c r="O883" t="s">
        <v>52</v>
      </c>
      <c r="P883" t="s">
        <v>39</v>
      </c>
      <c r="Q883" t="s">
        <v>40</v>
      </c>
      <c r="R883">
        <v>106</v>
      </c>
      <c r="S883">
        <v>1</v>
      </c>
      <c r="T883" t="s">
        <v>41</v>
      </c>
      <c r="U883" t="s">
        <v>42</v>
      </c>
      <c r="V883">
        <v>1.65</v>
      </c>
      <c r="W883">
        <v>4.8600000000000003</v>
      </c>
      <c r="X883">
        <v>2.9</v>
      </c>
      <c r="Y883">
        <v>19.3</v>
      </c>
      <c r="Z883">
        <v>12.3</v>
      </c>
    </row>
    <row r="884" spans="1:26" x14ac:dyDescent="0.45">
      <c r="A884" t="s">
        <v>2410</v>
      </c>
      <c r="B884">
        <v>58</v>
      </c>
      <c r="C884" t="s">
        <v>45</v>
      </c>
      <c r="D884" t="s">
        <v>28</v>
      </c>
      <c r="E884" t="s">
        <v>29</v>
      </c>
      <c r="F884" t="s">
        <v>30</v>
      </c>
      <c r="G884" t="s">
        <v>178</v>
      </c>
      <c r="H884" t="s">
        <v>32</v>
      </c>
      <c r="I884" t="s">
        <v>33</v>
      </c>
      <c r="J884" t="s">
        <v>1784</v>
      </c>
      <c r="K884" t="s">
        <v>1237</v>
      </c>
      <c r="L884" t="s">
        <v>36</v>
      </c>
      <c r="M884" t="s">
        <v>30</v>
      </c>
      <c r="N884" t="s">
        <v>38</v>
      </c>
      <c r="O884" t="s">
        <v>36</v>
      </c>
      <c r="P884" t="s">
        <v>55</v>
      </c>
      <c r="Q884" t="s">
        <v>30</v>
      </c>
      <c r="R884">
        <v>86</v>
      </c>
      <c r="S884">
        <v>0</v>
      </c>
      <c r="T884" t="s">
        <v>137</v>
      </c>
      <c r="U884" t="s">
        <v>57</v>
      </c>
      <c r="V884">
        <v>4.54</v>
      </c>
      <c r="W884">
        <v>3.22</v>
      </c>
      <c r="X884">
        <v>5.8</v>
      </c>
      <c r="Y884">
        <v>9.5</v>
      </c>
      <c r="Z884">
        <v>5.8</v>
      </c>
    </row>
    <row r="885" spans="1:26" x14ac:dyDescent="0.45">
      <c r="A885" t="s">
        <v>2411</v>
      </c>
      <c r="B885">
        <v>27</v>
      </c>
      <c r="C885" t="s">
        <v>44</v>
      </c>
      <c r="D885" t="s">
        <v>45</v>
      </c>
      <c r="E885" t="s">
        <v>163</v>
      </c>
      <c r="F885" t="s">
        <v>69</v>
      </c>
      <c r="G885" t="s">
        <v>80</v>
      </c>
      <c r="H885" t="s">
        <v>71</v>
      </c>
      <c r="I885" t="s">
        <v>72</v>
      </c>
      <c r="J885" t="s">
        <v>2412</v>
      </c>
      <c r="K885" t="s">
        <v>1080</v>
      </c>
      <c r="L885" t="s">
        <v>64</v>
      </c>
      <c r="M885" t="s">
        <v>75</v>
      </c>
      <c r="N885" t="s">
        <v>1463</v>
      </c>
      <c r="O885" t="s">
        <v>64</v>
      </c>
      <c r="P885" t="s">
        <v>55</v>
      </c>
      <c r="Q885" t="s">
        <v>30</v>
      </c>
      <c r="R885">
        <v>34</v>
      </c>
      <c r="S885">
        <v>0</v>
      </c>
      <c r="T885" t="s">
        <v>85</v>
      </c>
      <c r="U885" t="s">
        <v>42</v>
      </c>
      <c r="V885">
        <v>4.67</v>
      </c>
      <c r="W885">
        <v>2.31</v>
      </c>
      <c r="X885">
        <v>4.3</v>
      </c>
      <c r="Y885">
        <v>19.7</v>
      </c>
      <c r="Z885">
        <v>8.8000000000000007</v>
      </c>
    </row>
    <row r="886" spans="1:26" x14ac:dyDescent="0.45">
      <c r="A886" t="s">
        <v>2413</v>
      </c>
      <c r="B886">
        <v>36</v>
      </c>
      <c r="C886" t="s">
        <v>27</v>
      </c>
      <c r="D886" t="s">
        <v>87</v>
      </c>
      <c r="E886" t="s">
        <v>29</v>
      </c>
      <c r="F886" t="s">
        <v>47</v>
      </c>
      <c r="G886" t="s">
        <v>96</v>
      </c>
      <c r="H886" t="s">
        <v>81</v>
      </c>
      <c r="I886" t="s">
        <v>72</v>
      </c>
      <c r="J886" t="s">
        <v>2190</v>
      </c>
      <c r="K886" t="s">
        <v>2414</v>
      </c>
      <c r="L886" t="s">
        <v>64</v>
      </c>
      <c r="M886" t="s">
        <v>67</v>
      </c>
      <c r="N886" t="s">
        <v>2291</v>
      </c>
      <c r="O886" t="s">
        <v>64</v>
      </c>
      <c r="P886" t="s">
        <v>39</v>
      </c>
      <c r="Q886" t="s">
        <v>129</v>
      </c>
      <c r="R886">
        <v>176</v>
      </c>
      <c r="S886">
        <v>1</v>
      </c>
      <c r="T886" t="s">
        <v>56</v>
      </c>
      <c r="U886" t="s">
        <v>42</v>
      </c>
      <c r="V886">
        <v>4.8099999999999996</v>
      </c>
      <c r="W886">
        <v>3.95</v>
      </c>
      <c r="X886">
        <v>6.4</v>
      </c>
      <c r="Y886">
        <v>21.9</v>
      </c>
      <c r="Z886">
        <v>3.8</v>
      </c>
    </row>
    <row r="887" spans="1:26" x14ac:dyDescent="0.45">
      <c r="A887" t="s">
        <v>2415</v>
      </c>
      <c r="B887">
        <v>25</v>
      </c>
      <c r="C887" t="s">
        <v>45</v>
      </c>
      <c r="D887" t="s">
        <v>106</v>
      </c>
      <c r="E887" t="s">
        <v>163</v>
      </c>
      <c r="F887" t="s">
        <v>30</v>
      </c>
      <c r="G887" t="s">
        <v>118</v>
      </c>
      <c r="H887" t="s">
        <v>81</v>
      </c>
      <c r="I887" t="s">
        <v>132</v>
      </c>
      <c r="J887" t="s">
        <v>1654</v>
      </c>
      <c r="K887" t="s">
        <v>2338</v>
      </c>
      <c r="L887" t="s">
        <v>64</v>
      </c>
      <c r="M887" t="s">
        <v>167</v>
      </c>
      <c r="N887" t="s">
        <v>650</v>
      </c>
      <c r="O887" t="s">
        <v>64</v>
      </c>
      <c r="P887" t="s">
        <v>110</v>
      </c>
      <c r="Q887" t="s">
        <v>67</v>
      </c>
      <c r="R887">
        <v>62</v>
      </c>
      <c r="S887">
        <v>0</v>
      </c>
      <c r="T887" t="s">
        <v>123</v>
      </c>
      <c r="U887" t="s">
        <v>42</v>
      </c>
      <c r="V887">
        <v>2.0299999999999998</v>
      </c>
      <c r="W887">
        <v>2.86</v>
      </c>
      <c r="X887">
        <v>3</v>
      </c>
      <c r="Y887">
        <v>19.399999999999999</v>
      </c>
      <c r="Z887">
        <v>18.600000000000001</v>
      </c>
    </row>
    <row r="888" spans="1:26" x14ac:dyDescent="0.45">
      <c r="A888" t="s">
        <v>2416</v>
      </c>
      <c r="B888">
        <v>19</v>
      </c>
      <c r="C888" t="s">
        <v>27</v>
      </c>
      <c r="D888" t="s">
        <v>28</v>
      </c>
      <c r="E888" t="s">
        <v>30</v>
      </c>
      <c r="F888" t="s">
        <v>30</v>
      </c>
      <c r="G888" t="s">
        <v>276</v>
      </c>
      <c r="H888" t="s">
        <v>81</v>
      </c>
      <c r="I888" t="s">
        <v>49</v>
      </c>
      <c r="J888" t="s">
        <v>2417</v>
      </c>
      <c r="K888" t="s">
        <v>1071</v>
      </c>
      <c r="L888" t="s">
        <v>92</v>
      </c>
      <c r="M888" t="s">
        <v>67</v>
      </c>
      <c r="N888" t="s">
        <v>504</v>
      </c>
      <c r="O888" t="s">
        <v>92</v>
      </c>
      <c r="P888" t="s">
        <v>55</v>
      </c>
      <c r="Q888" t="s">
        <v>129</v>
      </c>
      <c r="R888">
        <v>64</v>
      </c>
      <c r="S888">
        <v>0</v>
      </c>
      <c r="T888" t="s">
        <v>123</v>
      </c>
      <c r="U888" t="s">
        <v>42</v>
      </c>
      <c r="V888">
        <v>2.7</v>
      </c>
      <c r="W888">
        <v>2.37</v>
      </c>
      <c r="X888">
        <v>9.6999999999999993</v>
      </c>
      <c r="Y888">
        <v>14</v>
      </c>
      <c r="Z888">
        <v>11.3</v>
      </c>
    </row>
    <row r="889" spans="1:26" x14ac:dyDescent="0.45">
      <c r="A889" t="s">
        <v>2418</v>
      </c>
      <c r="B889">
        <v>77</v>
      </c>
      <c r="C889" t="s">
        <v>44</v>
      </c>
      <c r="D889" t="s">
        <v>95</v>
      </c>
      <c r="E889" t="s">
        <v>30</v>
      </c>
      <c r="F889" t="s">
        <v>30</v>
      </c>
      <c r="G889" t="s">
        <v>152</v>
      </c>
      <c r="H889" t="s">
        <v>81</v>
      </c>
      <c r="I889" t="s">
        <v>72</v>
      </c>
      <c r="J889" t="s">
        <v>2419</v>
      </c>
      <c r="K889" t="s">
        <v>2420</v>
      </c>
      <c r="L889" t="s">
        <v>36</v>
      </c>
      <c r="M889" t="s">
        <v>75</v>
      </c>
      <c r="N889" t="s">
        <v>946</v>
      </c>
      <c r="O889" t="s">
        <v>36</v>
      </c>
      <c r="P889" t="s">
        <v>39</v>
      </c>
      <c r="Q889" t="s">
        <v>75</v>
      </c>
      <c r="R889">
        <v>85</v>
      </c>
      <c r="S889">
        <v>1</v>
      </c>
      <c r="T889" t="s">
        <v>123</v>
      </c>
      <c r="U889" t="s">
        <v>57</v>
      </c>
      <c r="V889">
        <v>2.41</v>
      </c>
      <c r="W889">
        <v>4.6399999999999997</v>
      </c>
      <c r="X889">
        <v>6.1</v>
      </c>
      <c r="Y889">
        <v>19.7</v>
      </c>
      <c r="Z889">
        <v>16.8</v>
      </c>
    </row>
    <row r="890" spans="1:26" x14ac:dyDescent="0.45">
      <c r="A890" t="s">
        <v>2421</v>
      </c>
      <c r="B890">
        <v>64</v>
      </c>
      <c r="C890" t="s">
        <v>45</v>
      </c>
      <c r="D890" t="s">
        <v>28</v>
      </c>
      <c r="E890" t="s">
        <v>46</v>
      </c>
      <c r="F890" t="s">
        <v>59</v>
      </c>
      <c r="G890" t="s">
        <v>131</v>
      </c>
      <c r="H890" t="s">
        <v>81</v>
      </c>
      <c r="I890" t="s">
        <v>72</v>
      </c>
      <c r="J890" t="s">
        <v>1819</v>
      </c>
      <c r="K890" t="s">
        <v>2422</v>
      </c>
      <c r="L890" t="s">
        <v>64</v>
      </c>
      <c r="M890" t="s">
        <v>67</v>
      </c>
      <c r="N890" t="s">
        <v>491</v>
      </c>
      <c r="O890" t="s">
        <v>64</v>
      </c>
      <c r="P890" t="s">
        <v>39</v>
      </c>
      <c r="Q890" t="s">
        <v>67</v>
      </c>
      <c r="R890">
        <v>134</v>
      </c>
      <c r="S890">
        <v>1</v>
      </c>
      <c r="T890" t="s">
        <v>41</v>
      </c>
      <c r="U890" t="s">
        <v>42</v>
      </c>
      <c r="V890">
        <v>2.37</v>
      </c>
      <c r="W890">
        <v>2.73</v>
      </c>
      <c r="X890">
        <v>8.6</v>
      </c>
      <c r="Y890">
        <v>12.5</v>
      </c>
      <c r="Z890">
        <v>16.5</v>
      </c>
    </row>
    <row r="891" spans="1:26" x14ac:dyDescent="0.45">
      <c r="A891" t="s">
        <v>2423</v>
      </c>
      <c r="B891">
        <v>22</v>
      </c>
      <c r="C891" t="s">
        <v>27</v>
      </c>
      <c r="D891" t="s">
        <v>106</v>
      </c>
      <c r="E891" t="s">
        <v>30</v>
      </c>
      <c r="F891" t="s">
        <v>79</v>
      </c>
      <c r="G891" t="s">
        <v>184</v>
      </c>
      <c r="H891" t="s">
        <v>81</v>
      </c>
      <c r="I891" t="s">
        <v>72</v>
      </c>
      <c r="J891" t="s">
        <v>1599</v>
      </c>
      <c r="K891" t="s">
        <v>2362</v>
      </c>
      <c r="L891" t="s">
        <v>36</v>
      </c>
      <c r="M891" t="s">
        <v>1933</v>
      </c>
      <c r="N891" t="s">
        <v>808</v>
      </c>
      <c r="O891" t="s">
        <v>36</v>
      </c>
      <c r="P891" t="s">
        <v>110</v>
      </c>
      <c r="Q891" t="s">
        <v>40</v>
      </c>
      <c r="R891">
        <v>168</v>
      </c>
      <c r="S891">
        <v>0</v>
      </c>
      <c r="T891" t="s">
        <v>123</v>
      </c>
      <c r="U891" t="s">
        <v>42</v>
      </c>
      <c r="V891">
        <v>4.76</v>
      </c>
      <c r="W891">
        <v>3.49</v>
      </c>
      <c r="X891">
        <v>7.7</v>
      </c>
      <c r="Y891">
        <v>20.5</v>
      </c>
      <c r="Z891">
        <v>17.399999999999999</v>
      </c>
    </row>
    <row r="892" spans="1:26" x14ac:dyDescent="0.45">
      <c r="A892" t="s">
        <v>2424</v>
      </c>
      <c r="B892">
        <v>58</v>
      </c>
      <c r="C892" t="s">
        <v>45</v>
      </c>
      <c r="D892" t="s">
        <v>106</v>
      </c>
      <c r="E892" t="s">
        <v>29</v>
      </c>
      <c r="F892" t="s">
        <v>30</v>
      </c>
      <c r="G892" t="s">
        <v>131</v>
      </c>
      <c r="H892" t="s">
        <v>61</v>
      </c>
      <c r="I892" t="s">
        <v>72</v>
      </c>
      <c r="J892" t="s">
        <v>1891</v>
      </c>
      <c r="K892" t="s">
        <v>774</v>
      </c>
      <c r="L892" t="s">
        <v>36</v>
      </c>
      <c r="M892" t="s">
        <v>135</v>
      </c>
      <c r="N892" t="s">
        <v>550</v>
      </c>
      <c r="O892" t="s">
        <v>36</v>
      </c>
      <c r="P892" t="s">
        <v>39</v>
      </c>
      <c r="Q892" t="s">
        <v>129</v>
      </c>
      <c r="R892">
        <v>107</v>
      </c>
      <c r="S892">
        <v>1</v>
      </c>
      <c r="T892" t="s">
        <v>41</v>
      </c>
      <c r="U892" t="s">
        <v>57</v>
      </c>
      <c r="V892">
        <v>2.58</v>
      </c>
      <c r="W892">
        <v>1.21</v>
      </c>
      <c r="X892">
        <v>4.5999999999999996</v>
      </c>
      <c r="Y892">
        <v>18.100000000000001</v>
      </c>
      <c r="Z892">
        <v>10.7</v>
      </c>
    </row>
    <row r="893" spans="1:26" x14ac:dyDescent="0.45">
      <c r="A893" t="s">
        <v>2425</v>
      </c>
      <c r="B893">
        <v>25</v>
      </c>
      <c r="C893" t="s">
        <v>27</v>
      </c>
      <c r="D893" t="s">
        <v>106</v>
      </c>
      <c r="E893" t="s">
        <v>29</v>
      </c>
      <c r="F893" t="s">
        <v>30</v>
      </c>
      <c r="G893" t="s">
        <v>194</v>
      </c>
      <c r="H893" t="s">
        <v>61</v>
      </c>
      <c r="I893" t="s">
        <v>72</v>
      </c>
      <c r="J893" t="s">
        <v>1134</v>
      </c>
      <c r="K893" t="s">
        <v>1706</v>
      </c>
      <c r="L893" t="s">
        <v>36</v>
      </c>
      <c r="M893" t="s">
        <v>53</v>
      </c>
      <c r="N893" t="s">
        <v>711</v>
      </c>
      <c r="O893" t="s">
        <v>36</v>
      </c>
      <c r="P893" t="s">
        <v>55</v>
      </c>
      <c r="Q893" t="s">
        <v>67</v>
      </c>
      <c r="R893">
        <v>80</v>
      </c>
      <c r="S893">
        <v>0</v>
      </c>
      <c r="T893" t="s">
        <v>41</v>
      </c>
      <c r="U893" t="s">
        <v>42</v>
      </c>
      <c r="V893">
        <v>4</v>
      </c>
      <c r="W893">
        <v>2.4300000000000002</v>
      </c>
      <c r="X893">
        <v>6.7</v>
      </c>
      <c r="Y893">
        <v>9.4</v>
      </c>
      <c r="Z893">
        <v>15.7</v>
      </c>
    </row>
    <row r="894" spans="1:26" x14ac:dyDescent="0.45">
      <c r="A894" t="s">
        <v>2426</v>
      </c>
      <c r="B894">
        <v>84</v>
      </c>
      <c r="C894" t="s">
        <v>27</v>
      </c>
      <c r="D894" t="s">
        <v>45</v>
      </c>
      <c r="E894" t="s">
        <v>46</v>
      </c>
      <c r="F894" t="s">
        <v>88</v>
      </c>
      <c r="G894" t="s">
        <v>96</v>
      </c>
      <c r="H894" t="s">
        <v>32</v>
      </c>
      <c r="I894" t="s">
        <v>33</v>
      </c>
      <c r="J894" t="s">
        <v>2427</v>
      </c>
      <c r="K894" t="s">
        <v>434</v>
      </c>
      <c r="L894" t="s">
        <v>92</v>
      </c>
      <c r="M894" t="s">
        <v>129</v>
      </c>
      <c r="N894" t="s">
        <v>1253</v>
      </c>
      <c r="O894" t="s">
        <v>92</v>
      </c>
      <c r="P894" t="s">
        <v>39</v>
      </c>
      <c r="Q894" t="s">
        <v>30</v>
      </c>
      <c r="R894">
        <v>134</v>
      </c>
      <c r="S894">
        <v>1</v>
      </c>
      <c r="T894" t="s">
        <v>56</v>
      </c>
      <c r="U894" t="s">
        <v>57</v>
      </c>
      <c r="V894">
        <v>3.18</v>
      </c>
      <c r="W894">
        <v>1.82</v>
      </c>
      <c r="X894">
        <v>3.6</v>
      </c>
      <c r="Y894">
        <v>19.5</v>
      </c>
      <c r="Z894">
        <v>11.2</v>
      </c>
    </row>
    <row r="895" spans="1:26" x14ac:dyDescent="0.45">
      <c r="A895" t="s">
        <v>2428</v>
      </c>
      <c r="B895">
        <v>26</v>
      </c>
      <c r="C895" t="s">
        <v>45</v>
      </c>
      <c r="D895" t="s">
        <v>87</v>
      </c>
      <c r="E895" t="s">
        <v>78</v>
      </c>
      <c r="F895" t="s">
        <v>30</v>
      </c>
      <c r="G895" t="s">
        <v>194</v>
      </c>
      <c r="H895" t="s">
        <v>61</v>
      </c>
      <c r="I895" t="s">
        <v>33</v>
      </c>
      <c r="J895" t="s">
        <v>2429</v>
      </c>
      <c r="K895" t="s">
        <v>629</v>
      </c>
      <c r="L895" t="s">
        <v>64</v>
      </c>
      <c r="M895" t="s">
        <v>37</v>
      </c>
      <c r="N895" t="s">
        <v>1211</v>
      </c>
      <c r="O895" t="s">
        <v>64</v>
      </c>
      <c r="P895" t="s">
        <v>55</v>
      </c>
      <c r="Q895" t="s">
        <v>30</v>
      </c>
      <c r="R895">
        <v>83</v>
      </c>
      <c r="S895">
        <v>0</v>
      </c>
      <c r="T895" t="s">
        <v>123</v>
      </c>
      <c r="U895" t="s">
        <v>42</v>
      </c>
      <c r="V895">
        <v>1.86</v>
      </c>
      <c r="W895">
        <v>4.87</v>
      </c>
      <c r="X895">
        <v>7.4</v>
      </c>
      <c r="Y895">
        <v>23.2</v>
      </c>
      <c r="Z895">
        <v>10.3</v>
      </c>
    </row>
    <row r="896" spans="1:26" x14ac:dyDescent="0.45">
      <c r="A896" t="s">
        <v>2430</v>
      </c>
      <c r="B896">
        <v>40</v>
      </c>
      <c r="C896" t="s">
        <v>27</v>
      </c>
      <c r="D896" t="s">
        <v>45</v>
      </c>
      <c r="E896" t="s">
        <v>29</v>
      </c>
      <c r="F896" t="s">
        <v>30</v>
      </c>
      <c r="G896" t="s">
        <v>70</v>
      </c>
      <c r="H896" t="s">
        <v>71</v>
      </c>
      <c r="I896" t="s">
        <v>72</v>
      </c>
      <c r="J896" t="s">
        <v>2431</v>
      </c>
      <c r="K896" t="s">
        <v>2432</v>
      </c>
      <c r="L896" t="s">
        <v>52</v>
      </c>
      <c r="M896" t="s">
        <v>67</v>
      </c>
      <c r="N896" t="s">
        <v>1074</v>
      </c>
      <c r="O896" t="s">
        <v>52</v>
      </c>
      <c r="P896" t="s">
        <v>55</v>
      </c>
      <c r="Q896" t="s">
        <v>40</v>
      </c>
      <c r="R896">
        <v>47</v>
      </c>
      <c r="S896">
        <v>0</v>
      </c>
      <c r="T896" t="s">
        <v>85</v>
      </c>
      <c r="U896" t="s">
        <v>42</v>
      </c>
      <c r="V896">
        <v>2.9</v>
      </c>
      <c r="W896">
        <v>4.59</v>
      </c>
      <c r="X896">
        <v>5.7</v>
      </c>
      <c r="Y896">
        <v>18.7</v>
      </c>
      <c r="Z896">
        <v>7.3</v>
      </c>
    </row>
    <row r="897" spans="1:26" x14ac:dyDescent="0.45">
      <c r="A897" t="s">
        <v>2433</v>
      </c>
      <c r="B897">
        <v>29</v>
      </c>
      <c r="C897" t="s">
        <v>44</v>
      </c>
      <c r="D897" t="s">
        <v>106</v>
      </c>
      <c r="E897" t="s">
        <v>46</v>
      </c>
      <c r="F897" t="s">
        <v>30</v>
      </c>
      <c r="G897" t="s">
        <v>96</v>
      </c>
      <c r="H897" t="s">
        <v>32</v>
      </c>
      <c r="I897" t="s">
        <v>49</v>
      </c>
      <c r="J897" t="s">
        <v>1156</v>
      </c>
      <c r="K897" t="s">
        <v>414</v>
      </c>
      <c r="L897" t="s">
        <v>36</v>
      </c>
      <c r="M897" t="s">
        <v>378</v>
      </c>
      <c r="N897" t="s">
        <v>1215</v>
      </c>
      <c r="O897" t="s">
        <v>36</v>
      </c>
      <c r="P897" t="s">
        <v>39</v>
      </c>
      <c r="Q897" t="s">
        <v>40</v>
      </c>
      <c r="R897">
        <v>156</v>
      </c>
      <c r="S897">
        <v>1</v>
      </c>
      <c r="T897" t="s">
        <v>137</v>
      </c>
      <c r="U897" t="s">
        <v>57</v>
      </c>
      <c r="V897">
        <v>2.79</v>
      </c>
      <c r="W897">
        <v>1.49</v>
      </c>
      <c r="X897">
        <v>2.9</v>
      </c>
      <c r="Y897">
        <v>6</v>
      </c>
      <c r="Z897">
        <v>3.7</v>
      </c>
    </row>
    <row r="898" spans="1:26" x14ac:dyDescent="0.45">
      <c r="A898" t="s">
        <v>2434</v>
      </c>
      <c r="B898">
        <v>70</v>
      </c>
      <c r="C898" t="s">
        <v>27</v>
      </c>
      <c r="D898" t="s">
        <v>45</v>
      </c>
      <c r="E898" t="s">
        <v>29</v>
      </c>
      <c r="F898" t="s">
        <v>30</v>
      </c>
      <c r="G898" t="s">
        <v>112</v>
      </c>
      <c r="H898" t="s">
        <v>32</v>
      </c>
      <c r="I898" t="s">
        <v>49</v>
      </c>
      <c r="J898" t="s">
        <v>1064</v>
      </c>
      <c r="K898" t="s">
        <v>817</v>
      </c>
      <c r="L898" t="s">
        <v>52</v>
      </c>
      <c r="M898" t="s">
        <v>1263</v>
      </c>
      <c r="N898" t="s">
        <v>650</v>
      </c>
      <c r="O898" t="s">
        <v>52</v>
      </c>
      <c r="P898" t="s">
        <v>110</v>
      </c>
      <c r="Q898" t="s">
        <v>67</v>
      </c>
      <c r="R898">
        <v>116</v>
      </c>
      <c r="S898">
        <v>0</v>
      </c>
      <c r="T898" t="s">
        <v>85</v>
      </c>
      <c r="U898" t="s">
        <v>42</v>
      </c>
      <c r="V898">
        <v>4.91</v>
      </c>
      <c r="W898">
        <v>1.97</v>
      </c>
      <c r="X898">
        <v>7</v>
      </c>
      <c r="Y898">
        <v>21.1</v>
      </c>
      <c r="Z898">
        <v>12.4</v>
      </c>
    </row>
    <row r="899" spans="1:26" x14ac:dyDescent="0.45">
      <c r="A899" t="s">
        <v>2435</v>
      </c>
      <c r="B899">
        <v>41</v>
      </c>
      <c r="C899" t="s">
        <v>27</v>
      </c>
      <c r="D899" t="s">
        <v>28</v>
      </c>
      <c r="E899" t="s">
        <v>29</v>
      </c>
      <c r="F899" t="s">
        <v>69</v>
      </c>
      <c r="G899" t="s">
        <v>31</v>
      </c>
      <c r="H899" t="s">
        <v>81</v>
      </c>
      <c r="I899" t="s">
        <v>33</v>
      </c>
      <c r="J899" t="s">
        <v>1239</v>
      </c>
      <c r="K899" t="s">
        <v>2436</v>
      </c>
      <c r="L899" t="s">
        <v>52</v>
      </c>
      <c r="M899" t="s">
        <v>40</v>
      </c>
      <c r="N899" t="s">
        <v>1571</v>
      </c>
      <c r="O899" t="s">
        <v>52</v>
      </c>
      <c r="P899" t="s">
        <v>110</v>
      </c>
      <c r="Q899" t="s">
        <v>67</v>
      </c>
      <c r="R899">
        <v>145</v>
      </c>
      <c r="S899">
        <v>0</v>
      </c>
      <c r="T899" t="s">
        <v>85</v>
      </c>
      <c r="U899" t="s">
        <v>42</v>
      </c>
      <c r="V899">
        <v>1.61</v>
      </c>
      <c r="W899">
        <v>3.91</v>
      </c>
      <c r="X899">
        <v>6.4</v>
      </c>
      <c r="Y899">
        <v>19.2</v>
      </c>
      <c r="Z899">
        <v>16.100000000000001</v>
      </c>
    </row>
    <row r="900" spans="1:26" x14ac:dyDescent="0.45">
      <c r="A900" t="s">
        <v>2437</v>
      </c>
      <c r="B900">
        <v>41</v>
      </c>
      <c r="C900" t="s">
        <v>27</v>
      </c>
      <c r="D900" t="s">
        <v>106</v>
      </c>
      <c r="E900" t="s">
        <v>163</v>
      </c>
      <c r="F900" t="s">
        <v>88</v>
      </c>
      <c r="G900" t="s">
        <v>102</v>
      </c>
      <c r="H900" t="s">
        <v>81</v>
      </c>
      <c r="I900" t="s">
        <v>49</v>
      </c>
      <c r="J900" t="s">
        <v>2109</v>
      </c>
      <c r="K900" t="s">
        <v>634</v>
      </c>
      <c r="L900" t="s">
        <v>36</v>
      </c>
      <c r="M900" t="s">
        <v>226</v>
      </c>
      <c r="N900" t="s">
        <v>622</v>
      </c>
      <c r="O900" t="s">
        <v>36</v>
      </c>
      <c r="P900" t="s">
        <v>55</v>
      </c>
      <c r="Q900" t="s">
        <v>129</v>
      </c>
      <c r="R900">
        <v>154</v>
      </c>
      <c r="S900">
        <v>0</v>
      </c>
      <c r="T900" t="s">
        <v>137</v>
      </c>
      <c r="U900" t="s">
        <v>42</v>
      </c>
      <c r="V900">
        <v>4.9000000000000004</v>
      </c>
      <c r="W900">
        <v>3.29</v>
      </c>
      <c r="X900">
        <v>4.0999999999999996</v>
      </c>
      <c r="Y900">
        <v>17.7</v>
      </c>
      <c r="Z900">
        <v>4.2</v>
      </c>
    </row>
    <row r="901" spans="1:26" x14ac:dyDescent="0.45">
      <c r="A901" t="s">
        <v>2438</v>
      </c>
      <c r="B901">
        <v>46</v>
      </c>
      <c r="C901" t="s">
        <v>45</v>
      </c>
      <c r="D901" t="s">
        <v>106</v>
      </c>
      <c r="E901" t="s">
        <v>30</v>
      </c>
      <c r="F901" t="s">
        <v>69</v>
      </c>
      <c r="G901" t="s">
        <v>152</v>
      </c>
      <c r="H901" t="s">
        <v>32</v>
      </c>
      <c r="I901" t="s">
        <v>132</v>
      </c>
      <c r="J901" t="s">
        <v>360</v>
      </c>
      <c r="K901" t="s">
        <v>2439</v>
      </c>
      <c r="L901" t="s">
        <v>92</v>
      </c>
      <c r="M901" t="s">
        <v>274</v>
      </c>
      <c r="N901" t="s">
        <v>1211</v>
      </c>
      <c r="O901" t="s">
        <v>92</v>
      </c>
      <c r="P901" t="s">
        <v>39</v>
      </c>
      <c r="Q901" t="s">
        <v>40</v>
      </c>
      <c r="R901">
        <v>129</v>
      </c>
      <c r="S901">
        <v>1</v>
      </c>
      <c r="T901" t="s">
        <v>137</v>
      </c>
      <c r="U901" t="s">
        <v>42</v>
      </c>
      <c r="V901">
        <v>4.59</v>
      </c>
      <c r="W901">
        <v>1.48</v>
      </c>
      <c r="X901">
        <v>4</v>
      </c>
      <c r="Y901">
        <v>20.7</v>
      </c>
      <c r="Z901">
        <v>13.2</v>
      </c>
    </row>
    <row r="902" spans="1:26" x14ac:dyDescent="0.45">
      <c r="A902" t="s">
        <v>2440</v>
      </c>
      <c r="B902">
        <v>46</v>
      </c>
      <c r="C902" t="s">
        <v>45</v>
      </c>
      <c r="D902" t="s">
        <v>95</v>
      </c>
      <c r="E902" t="s">
        <v>46</v>
      </c>
      <c r="F902" t="s">
        <v>59</v>
      </c>
      <c r="G902" t="s">
        <v>276</v>
      </c>
      <c r="H902" t="s">
        <v>71</v>
      </c>
      <c r="I902" t="s">
        <v>72</v>
      </c>
      <c r="J902" t="s">
        <v>2441</v>
      </c>
      <c r="K902" t="s">
        <v>2442</v>
      </c>
      <c r="L902" t="s">
        <v>64</v>
      </c>
      <c r="M902" t="s">
        <v>431</v>
      </c>
      <c r="N902" t="s">
        <v>537</v>
      </c>
      <c r="O902" t="s">
        <v>64</v>
      </c>
      <c r="P902" t="s">
        <v>110</v>
      </c>
      <c r="Q902" t="s">
        <v>129</v>
      </c>
      <c r="R902">
        <v>168</v>
      </c>
      <c r="S902">
        <v>0</v>
      </c>
      <c r="T902" t="s">
        <v>41</v>
      </c>
      <c r="U902" t="s">
        <v>42</v>
      </c>
      <c r="V902">
        <v>2.57</v>
      </c>
      <c r="W902">
        <v>2.89</v>
      </c>
      <c r="X902">
        <v>8.6999999999999993</v>
      </c>
      <c r="Y902">
        <v>12.1</v>
      </c>
      <c r="Z902">
        <v>17.8</v>
      </c>
    </row>
    <row r="903" spans="1:26" x14ac:dyDescent="0.45">
      <c r="A903" t="s">
        <v>2443</v>
      </c>
      <c r="B903">
        <v>55</v>
      </c>
      <c r="C903" t="s">
        <v>44</v>
      </c>
      <c r="D903" t="s">
        <v>28</v>
      </c>
      <c r="E903" t="s">
        <v>78</v>
      </c>
      <c r="F903" t="s">
        <v>30</v>
      </c>
      <c r="G903" t="s">
        <v>164</v>
      </c>
      <c r="H903" t="s">
        <v>32</v>
      </c>
      <c r="I903" t="s">
        <v>33</v>
      </c>
      <c r="J903" t="s">
        <v>2444</v>
      </c>
      <c r="K903" t="s">
        <v>108</v>
      </c>
      <c r="L903" t="s">
        <v>92</v>
      </c>
      <c r="M903" t="s">
        <v>187</v>
      </c>
      <c r="N903" t="s">
        <v>2167</v>
      </c>
      <c r="O903" t="s">
        <v>92</v>
      </c>
      <c r="P903" t="s">
        <v>39</v>
      </c>
      <c r="Q903" t="s">
        <v>30</v>
      </c>
      <c r="R903">
        <v>126</v>
      </c>
      <c r="S903">
        <v>1</v>
      </c>
      <c r="T903" t="s">
        <v>85</v>
      </c>
      <c r="U903" t="s">
        <v>57</v>
      </c>
      <c r="V903">
        <v>1.35</v>
      </c>
      <c r="W903">
        <v>4.1100000000000003</v>
      </c>
      <c r="X903">
        <v>8.6</v>
      </c>
      <c r="Y903">
        <v>9.3000000000000007</v>
      </c>
      <c r="Z903">
        <v>10.3</v>
      </c>
    </row>
    <row r="904" spans="1:26" x14ac:dyDescent="0.45">
      <c r="A904" t="s">
        <v>2445</v>
      </c>
      <c r="B904">
        <v>27</v>
      </c>
      <c r="C904" t="s">
        <v>45</v>
      </c>
      <c r="D904" t="s">
        <v>28</v>
      </c>
      <c r="E904" t="s">
        <v>46</v>
      </c>
      <c r="F904" t="s">
        <v>30</v>
      </c>
      <c r="G904" t="s">
        <v>440</v>
      </c>
      <c r="H904" t="s">
        <v>81</v>
      </c>
      <c r="I904" t="s">
        <v>132</v>
      </c>
      <c r="J904" t="s">
        <v>1408</v>
      </c>
      <c r="K904" t="s">
        <v>2446</v>
      </c>
      <c r="L904" t="s">
        <v>36</v>
      </c>
      <c r="M904" t="s">
        <v>438</v>
      </c>
      <c r="N904" t="s">
        <v>808</v>
      </c>
      <c r="O904" t="s">
        <v>36</v>
      </c>
      <c r="P904" t="s">
        <v>55</v>
      </c>
      <c r="Q904" t="s">
        <v>40</v>
      </c>
      <c r="R904">
        <v>89</v>
      </c>
      <c r="S904">
        <v>0</v>
      </c>
      <c r="T904" t="s">
        <v>137</v>
      </c>
      <c r="U904" t="s">
        <v>42</v>
      </c>
      <c r="V904">
        <v>1.66</v>
      </c>
      <c r="W904">
        <v>3.83</v>
      </c>
      <c r="X904">
        <v>5.8</v>
      </c>
      <c r="Y904">
        <v>17.399999999999999</v>
      </c>
      <c r="Z904">
        <v>6.3</v>
      </c>
    </row>
    <row r="905" spans="1:26" x14ac:dyDescent="0.45">
      <c r="A905" t="s">
        <v>2447</v>
      </c>
      <c r="B905">
        <v>75</v>
      </c>
      <c r="C905" t="s">
        <v>44</v>
      </c>
      <c r="D905" t="s">
        <v>95</v>
      </c>
      <c r="E905" t="s">
        <v>30</v>
      </c>
      <c r="F905" t="s">
        <v>30</v>
      </c>
      <c r="G905" t="s">
        <v>112</v>
      </c>
      <c r="H905" t="s">
        <v>32</v>
      </c>
      <c r="I905" t="s">
        <v>72</v>
      </c>
      <c r="J905" t="s">
        <v>2448</v>
      </c>
      <c r="K905" t="s">
        <v>2449</v>
      </c>
      <c r="L905" t="s">
        <v>64</v>
      </c>
      <c r="M905" t="s">
        <v>807</v>
      </c>
      <c r="N905" t="s">
        <v>227</v>
      </c>
      <c r="O905" t="s">
        <v>64</v>
      </c>
      <c r="P905" t="s">
        <v>39</v>
      </c>
      <c r="Q905" t="s">
        <v>30</v>
      </c>
      <c r="R905">
        <v>176</v>
      </c>
      <c r="S905">
        <v>1</v>
      </c>
      <c r="T905" t="s">
        <v>41</v>
      </c>
      <c r="U905" t="s">
        <v>42</v>
      </c>
      <c r="V905">
        <v>1.85</v>
      </c>
      <c r="W905">
        <v>1.17</v>
      </c>
      <c r="X905">
        <v>3.9</v>
      </c>
      <c r="Y905">
        <v>16.100000000000001</v>
      </c>
      <c r="Z905">
        <v>17.600000000000001</v>
      </c>
    </row>
    <row r="906" spans="1:26" x14ac:dyDescent="0.45">
      <c r="A906" t="s">
        <v>2450</v>
      </c>
      <c r="B906">
        <v>54</v>
      </c>
      <c r="C906" t="s">
        <v>27</v>
      </c>
      <c r="D906" t="s">
        <v>87</v>
      </c>
      <c r="E906" t="s">
        <v>30</v>
      </c>
      <c r="F906" t="s">
        <v>30</v>
      </c>
      <c r="G906" t="s">
        <v>48</v>
      </c>
      <c r="H906" t="s">
        <v>71</v>
      </c>
      <c r="I906" t="s">
        <v>49</v>
      </c>
      <c r="J906" t="s">
        <v>360</v>
      </c>
      <c r="K906" t="s">
        <v>2451</v>
      </c>
      <c r="L906" t="s">
        <v>36</v>
      </c>
      <c r="M906" t="s">
        <v>40</v>
      </c>
      <c r="N906" t="s">
        <v>843</v>
      </c>
      <c r="O906" t="s">
        <v>36</v>
      </c>
      <c r="P906" t="s">
        <v>55</v>
      </c>
      <c r="Q906" t="s">
        <v>67</v>
      </c>
      <c r="R906">
        <v>134</v>
      </c>
      <c r="S906">
        <v>0</v>
      </c>
      <c r="T906" t="s">
        <v>41</v>
      </c>
      <c r="U906" t="s">
        <v>57</v>
      </c>
      <c r="V906">
        <v>3.67</v>
      </c>
      <c r="W906">
        <v>2.74</v>
      </c>
      <c r="X906">
        <v>9.6</v>
      </c>
      <c r="Y906">
        <v>18.899999999999999</v>
      </c>
      <c r="Z906">
        <v>18.8</v>
      </c>
    </row>
    <row r="907" spans="1:26" x14ac:dyDescent="0.45">
      <c r="A907" t="s">
        <v>2452</v>
      </c>
      <c r="B907">
        <v>41</v>
      </c>
      <c r="C907" t="s">
        <v>27</v>
      </c>
      <c r="D907" t="s">
        <v>95</v>
      </c>
      <c r="E907" t="s">
        <v>78</v>
      </c>
      <c r="F907" t="s">
        <v>59</v>
      </c>
      <c r="G907" t="s">
        <v>152</v>
      </c>
      <c r="H907" t="s">
        <v>61</v>
      </c>
      <c r="I907" t="s">
        <v>132</v>
      </c>
      <c r="J907" t="s">
        <v>2239</v>
      </c>
      <c r="K907" t="s">
        <v>2453</v>
      </c>
      <c r="L907" t="s">
        <v>92</v>
      </c>
      <c r="M907" t="s">
        <v>75</v>
      </c>
      <c r="N907" t="s">
        <v>136</v>
      </c>
      <c r="O907" t="s">
        <v>92</v>
      </c>
      <c r="P907" t="s">
        <v>39</v>
      </c>
      <c r="Q907" t="s">
        <v>129</v>
      </c>
      <c r="R907">
        <v>99</v>
      </c>
      <c r="S907">
        <v>1</v>
      </c>
      <c r="T907" t="s">
        <v>85</v>
      </c>
      <c r="U907" t="s">
        <v>42</v>
      </c>
      <c r="V907">
        <v>3.11</v>
      </c>
      <c r="W907">
        <v>2.04</v>
      </c>
      <c r="X907">
        <v>1.5</v>
      </c>
      <c r="Y907">
        <v>19.100000000000001</v>
      </c>
      <c r="Z907">
        <v>5.0999999999999996</v>
      </c>
    </row>
    <row r="908" spans="1:26" x14ac:dyDescent="0.45">
      <c r="A908" t="s">
        <v>2454</v>
      </c>
      <c r="B908">
        <v>38</v>
      </c>
      <c r="C908" t="s">
        <v>27</v>
      </c>
      <c r="D908" t="s">
        <v>87</v>
      </c>
      <c r="E908" t="s">
        <v>46</v>
      </c>
      <c r="F908" t="s">
        <v>30</v>
      </c>
      <c r="G908" t="s">
        <v>102</v>
      </c>
      <c r="H908" t="s">
        <v>71</v>
      </c>
      <c r="I908" t="s">
        <v>49</v>
      </c>
      <c r="J908" t="s">
        <v>1910</v>
      </c>
      <c r="K908" t="s">
        <v>524</v>
      </c>
      <c r="L908" t="s">
        <v>92</v>
      </c>
      <c r="M908" t="s">
        <v>640</v>
      </c>
      <c r="N908" t="s">
        <v>2118</v>
      </c>
      <c r="O908" t="s">
        <v>92</v>
      </c>
      <c r="P908" t="s">
        <v>55</v>
      </c>
      <c r="Q908" t="s">
        <v>75</v>
      </c>
      <c r="R908">
        <v>157</v>
      </c>
      <c r="S908">
        <v>0</v>
      </c>
      <c r="T908" t="s">
        <v>56</v>
      </c>
      <c r="U908" t="s">
        <v>57</v>
      </c>
      <c r="V908">
        <v>2.21</v>
      </c>
      <c r="W908">
        <v>3.13</v>
      </c>
      <c r="X908">
        <v>6.1</v>
      </c>
      <c r="Y908">
        <v>16.8</v>
      </c>
      <c r="Z908">
        <v>5.8</v>
      </c>
    </row>
    <row r="909" spans="1:26" x14ac:dyDescent="0.45">
      <c r="A909" t="s">
        <v>2455</v>
      </c>
      <c r="B909">
        <v>19</v>
      </c>
      <c r="C909" t="s">
        <v>27</v>
      </c>
      <c r="D909" t="s">
        <v>45</v>
      </c>
      <c r="E909" t="s">
        <v>163</v>
      </c>
      <c r="F909" t="s">
        <v>30</v>
      </c>
      <c r="G909" t="s">
        <v>184</v>
      </c>
      <c r="H909" t="s">
        <v>61</v>
      </c>
      <c r="I909" t="s">
        <v>33</v>
      </c>
      <c r="J909" t="s">
        <v>1404</v>
      </c>
      <c r="K909" t="s">
        <v>2456</v>
      </c>
      <c r="L909" t="s">
        <v>92</v>
      </c>
      <c r="M909" t="s">
        <v>40</v>
      </c>
      <c r="N909" t="s">
        <v>598</v>
      </c>
      <c r="O909" t="s">
        <v>92</v>
      </c>
      <c r="P909" t="s">
        <v>110</v>
      </c>
      <c r="Q909" t="s">
        <v>75</v>
      </c>
      <c r="R909">
        <v>157</v>
      </c>
      <c r="S909">
        <v>0</v>
      </c>
      <c r="T909" t="s">
        <v>56</v>
      </c>
      <c r="U909" t="s">
        <v>57</v>
      </c>
      <c r="V909">
        <v>2.52</v>
      </c>
      <c r="W909">
        <v>3.47</v>
      </c>
      <c r="X909">
        <v>9.6999999999999993</v>
      </c>
      <c r="Y909">
        <v>19.100000000000001</v>
      </c>
      <c r="Z909">
        <v>18.7</v>
      </c>
    </row>
    <row r="910" spans="1:26" x14ac:dyDescent="0.45">
      <c r="A910" t="s">
        <v>2457</v>
      </c>
      <c r="B910">
        <v>49</v>
      </c>
      <c r="C910" t="s">
        <v>44</v>
      </c>
      <c r="D910" t="s">
        <v>45</v>
      </c>
      <c r="E910" t="s">
        <v>30</v>
      </c>
      <c r="F910" t="s">
        <v>30</v>
      </c>
      <c r="G910" t="s">
        <v>131</v>
      </c>
      <c r="H910" t="s">
        <v>81</v>
      </c>
      <c r="I910" t="s">
        <v>132</v>
      </c>
      <c r="J910" t="s">
        <v>2026</v>
      </c>
      <c r="K910" t="s">
        <v>2170</v>
      </c>
      <c r="L910" t="s">
        <v>92</v>
      </c>
      <c r="M910" t="s">
        <v>676</v>
      </c>
      <c r="N910" t="s">
        <v>491</v>
      </c>
      <c r="O910" t="s">
        <v>92</v>
      </c>
      <c r="P910" t="s">
        <v>110</v>
      </c>
      <c r="Q910" t="s">
        <v>67</v>
      </c>
      <c r="R910">
        <v>58</v>
      </c>
      <c r="S910">
        <v>0</v>
      </c>
      <c r="T910" t="s">
        <v>85</v>
      </c>
      <c r="U910" t="s">
        <v>42</v>
      </c>
      <c r="V910">
        <v>4.05</v>
      </c>
      <c r="W910">
        <v>3.37</v>
      </c>
      <c r="X910">
        <v>2.7</v>
      </c>
      <c r="Y910">
        <v>18</v>
      </c>
      <c r="Z910">
        <v>13.6</v>
      </c>
    </row>
    <row r="911" spans="1:26" x14ac:dyDescent="0.45">
      <c r="A911" t="s">
        <v>2458</v>
      </c>
      <c r="B911">
        <v>73</v>
      </c>
      <c r="C911" t="s">
        <v>27</v>
      </c>
      <c r="D911" t="s">
        <v>106</v>
      </c>
      <c r="E911" t="s">
        <v>163</v>
      </c>
      <c r="F911" t="s">
        <v>88</v>
      </c>
      <c r="G911" t="s">
        <v>276</v>
      </c>
      <c r="H911" t="s">
        <v>61</v>
      </c>
      <c r="I911" t="s">
        <v>49</v>
      </c>
      <c r="J911" t="s">
        <v>2459</v>
      </c>
      <c r="K911" t="s">
        <v>591</v>
      </c>
      <c r="L911" t="s">
        <v>52</v>
      </c>
      <c r="M911" t="s">
        <v>30</v>
      </c>
      <c r="N911" t="s">
        <v>1280</v>
      </c>
      <c r="O911" t="s">
        <v>52</v>
      </c>
      <c r="P911" t="s">
        <v>55</v>
      </c>
      <c r="Q911" t="s">
        <v>75</v>
      </c>
      <c r="R911">
        <v>175</v>
      </c>
      <c r="S911">
        <v>0</v>
      </c>
      <c r="T911" t="s">
        <v>123</v>
      </c>
      <c r="U911" t="s">
        <v>42</v>
      </c>
      <c r="V911">
        <v>3.41</v>
      </c>
      <c r="W911">
        <v>2.96</v>
      </c>
      <c r="X911">
        <v>5.8</v>
      </c>
      <c r="Y911">
        <v>12</v>
      </c>
      <c r="Z911">
        <v>11.8</v>
      </c>
    </row>
    <row r="912" spans="1:26" x14ac:dyDescent="0.45">
      <c r="A912" t="s">
        <v>2460</v>
      </c>
      <c r="B912">
        <v>78</v>
      </c>
      <c r="C912" t="s">
        <v>45</v>
      </c>
      <c r="D912" t="s">
        <v>95</v>
      </c>
      <c r="E912" t="s">
        <v>46</v>
      </c>
      <c r="F912" t="s">
        <v>30</v>
      </c>
      <c r="G912" t="s">
        <v>48</v>
      </c>
      <c r="H912" t="s">
        <v>32</v>
      </c>
      <c r="I912" t="s">
        <v>49</v>
      </c>
      <c r="J912" t="s">
        <v>2461</v>
      </c>
      <c r="K912" t="s">
        <v>1519</v>
      </c>
      <c r="L912" t="s">
        <v>92</v>
      </c>
      <c r="M912" t="s">
        <v>581</v>
      </c>
      <c r="N912" t="s">
        <v>1253</v>
      </c>
      <c r="O912" t="s">
        <v>92</v>
      </c>
      <c r="P912" t="s">
        <v>55</v>
      </c>
      <c r="Q912" t="s">
        <v>40</v>
      </c>
      <c r="R912">
        <v>134</v>
      </c>
      <c r="S912">
        <v>0</v>
      </c>
      <c r="T912" t="s">
        <v>123</v>
      </c>
      <c r="U912" t="s">
        <v>42</v>
      </c>
      <c r="V912">
        <v>1.79</v>
      </c>
      <c r="W912">
        <v>4.22</v>
      </c>
      <c r="X912">
        <v>2.7</v>
      </c>
      <c r="Y912">
        <v>7.5</v>
      </c>
      <c r="Z912">
        <v>10.4</v>
      </c>
    </row>
    <row r="913" spans="1:26" x14ac:dyDescent="0.45">
      <c r="A913" t="s">
        <v>2462</v>
      </c>
      <c r="B913">
        <v>18</v>
      </c>
      <c r="C913" t="s">
        <v>27</v>
      </c>
      <c r="D913" t="s">
        <v>87</v>
      </c>
      <c r="E913" t="s">
        <v>30</v>
      </c>
      <c r="F913" t="s">
        <v>30</v>
      </c>
      <c r="G913" t="s">
        <v>112</v>
      </c>
      <c r="H913" t="s">
        <v>32</v>
      </c>
      <c r="I913" t="s">
        <v>72</v>
      </c>
      <c r="J913" t="s">
        <v>2463</v>
      </c>
      <c r="K913" t="s">
        <v>2464</v>
      </c>
      <c r="L913" t="s">
        <v>92</v>
      </c>
      <c r="M913" t="s">
        <v>322</v>
      </c>
      <c r="N913" t="s">
        <v>598</v>
      </c>
      <c r="O913" t="s">
        <v>92</v>
      </c>
      <c r="P913" t="s">
        <v>55</v>
      </c>
      <c r="Q913" t="s">
        <v>67</v>
      </c>
      <c r="R913">
        <v>165</v>
      </c>
      <c r="S913">
        <v>0</v>
      </c>
      <c r="T913" t="s">
        <v>41</v>
      </c>
      <c r="U913" t="s">
        <v>42</v>
      </c>
      <c r="V913">
        <v>3.63</v>
      </c>
      <c r="W913">
        <v>2.75</v>
      </c>
      <c r="X913">
        <v>3.5</v>
      </c>
      <c r="Y913">
        <v>16</v>
      </c>
      <c r="Z913">
        <v>8.9</v>
      </c>
    </row>
    <row r="914" spans="1:26" x14ac:dyDescent="0.45">
      <c r="A914" t="s">
        <v>2465</v>
      </c>
      <c r="B914">
        <v>63</v>
      </c>
      <c r="C914" t="s">
        <v>45</v>
      </c>
      <c r="D914" t="s">
        <v>106</v>
      </c>
      <c r="E914" t="s">
        <v>78</v>
      </c>
      <c r="F914" t="s">
        <v>30</v>
      </c>
      <c r="G914" t="s">
        <v>152</v>
      </c>
      <c r="H914" t="s">
        <v>71</v>
      </c>
      <c r="I914" t="s">
        <v>49</v>
      </c>
      <c r="J914" t="s">
        <v>2466</v>
      </c>
      <c r="K914" t="s">
        <v>1564</v>
      </c>
      <c r="L914" t="s">
        <v>36</v>
      </c>
      <c r="M914" t="s">
        <v>40</v>
      </c>
      <c r="N914" t="s">
        <v>168</v>
      </c>
      <c r="O914" t="s">
        <v>36</v>
      </c>
      <c r="P914" t="s">
        <v>55</v>
      </c>
      <c r="Q914" t="s">
        <v>67</v>
      </c>
      <c r="R914">
        <v>88</v>
      </c>
      <c r="S914">
        <v>0</v>
      </c>
      <c r="T914" t="s">
        <v>41</v>
      </c>
      <c r="U914" t="s">
        <v>42</v>
      </c>
      <c r="V914">
        <v>4.7300000000000004</v>
      </c>
      <c r="W914">
        <v>4.6900000000000004</v>
      </c>
      <c r="X914">
        <v>5.5</v>
      </c>
      <c r="Y914">
        <v>11.9</v>
      </c>
      <c r="Z914">
        <v>15.5</v>
      </c>
    </row>
    <row r="915" spans="1:26" x14ac:dyDescent="0.45">
      <c r="A915" t="s">
        <v>2467</v>
      </c>
      <c r="B915">
        <v>82</v>
      </c>
      <c r="C915" t="s">
        <v>45</v>
      </c>
      <c r="D915" t="s">
        <v>95</v>
      </c>
      <c r="E915" t="s">
        <v>46</v>
      </c>
      <c r="F915" t="s">
        <v>47</v>
      </c>
      <c r="G915" t="s">
        <v>48</v>
      </c>
      <c r="H915" t="s">
        <v>61</v>
      </c>
      <c r="I915" t="s">
        <v>132</v>
      </c>
      <c r="J915" t="s">
        <v>381</v>
      </c>
      <c r="K915" t="s">
        <v>2468</v>
      </c>
      <c r="L915" t="s">
        <v>36</v>
      </c>
      <c r="M915" t="s">
        <v>40</v>
      </c>
      <c r="N915" t="s">
        <v>991</v>
      </c>
      <c r="O915" t="s">
        <v>36</v>
      </c>
      <c r="P915" t="s">
        <v>39</v>
      </c>
      <c r="Q915" t="s">
        <v>67</v>
      </c>
      <c r="R915">
        <v>141</v>
      </c>
      <c r="S915">
        <v>1</v>
      </c>
      <c r="T915" t="s">
        <v>85</v>
      </c>
      <c r="U915" t="s">
        <v>57</v>
      </c>
      <c r="V915">
        <v>1.1499999999999999</v>
      </c>
      <c r="W915">
        <v>2.9</v>
      </c>
      <c r="X915">
        <v>4</v>
      </c>
      <c r="Y915">
        <v>22.6</v>
      </c>
      <c r="Z915">
        <v>3.2</v>
      </c>
    </row>
    <row r="916" spans="1:26" x14ac:dyDescent="0.45">
      <c r="A916" t="s">
        <v>2469</v>
      </c>
      <c r="B916">
        <v>31</v>
      </c>
      <c r="C916" t="s">
        <v>27</v>
      </c>
      <c r="D916" t="s">
        <v>87</v>
      </c>
      <c r="E916" t="s">
        <v>46</v>
      </c>
      <c r="F916" t="s">
        <v>69</v>
      </c>
      <c r="G916" t="s">
        <v>112</v>
      </c>
      <c r="H916" t="s">
        <v>71</v>
      </c>
      <c r="I916" t="s">
        <v>72</v>
      </c>
      <c r="J916" t="s">
        <v>1679</v>
      </c>
      <c r="K916" t="s">
        <v>2470</v>
      </c>
      <c r="L916" t="s">
        <v>52</v>
      </c>
      <c r="M916" t="s">
        <v>469</v>
      </c>
      <c r="N916" t="s">
        <v>504</v>
      </c>
      <c r="O916" t="s">
        <v>52</v>
      </c>
      <c r="P916" t="s">
        <v>110</v>
      </c>
      <c r="Q916" t="s">
        <v>129</v>
      </c>
      <c r="R916">
        <v>165</v>
      </c>
      <c r="S916">
        <v>0</v>
      </c>
      <c r="T916" t="s">
        <v>56</v>
      </c>
      <c r="U916" t="s">
        <v>57</v>
      </c>
      <c r="V916">
        <v>3.21</v>
      </c>
      <c r="W916">
        <v>3.96</v>
      </c>
      <c r="X916">
        <v>5.4</v>
      </c>
      <c r="Y916">
        <v>7.5</v>
      </c>
      <c r="Z916">
        <v>19.5</v>
      </c>
    </row>
    <row r="917" spans="1:26" x14ac:dyDescent="0.45">
      <c r="A917" t="s">
        <v>2471</v>
      </c>
      <c r="B917">
        <v>20</v>
      </c>
      <c r="C917" t="s">
        <v>44</v>
      </c>
      <c r="D917" t="s">
        <v>95</v>
      </c>
      <c r="E917" t="s">
        <v>78</v>
      </c>
      <c r="F917" t="s">
        <v>88</v>
      </c>
      <c r="G917" t="s">
        <v>48</v>
      </c>
      <c r="H917" t="s">
        <v>32</v>
      </c>
      <c r="I917" t="s">
        <v>72</v>
      </c>
      <c r="J917" t="s">
        <v>381</v>
      </c>
      <c r="K917" t="s">
        <v>2116</v>
      </c>
      <c r="L917" t="s">
        <v>92</v>
      </c>
      <c r="M917" t="s">
        <v>1391</v>
      </c>
      <c r="N917" t="s">
        <v>797</v>
      </c>
      <c r="O917" t="s">
        <v>92</v>
      </c>
      <c r="P917" t="s">
        <v>39</v>
      </c>
      <c r="Q917" t="s">
        <v>40</v>
      </c>
      <c r="R917">
        <v>143</v>
      </c>
      <c r="S917">
        <v>1</v>
      </c>
      <c r="T917" t="s">
        <v>56</v>
      </c>
      <c r="U917" t="s">
        <v>42</v>
      </c>
      <c r="V917">
        <v>3.07</v>
      </c>
      <c r="W917">
        <v>3.46</v>
      </c>
      <c r="X917">
        <v>3.1</v>
      </c>
      <c r="Y917">
        <v>14.7</v>
      </c>
      <c r="Z917">
        <v>10.3</v>
      </c>
    </row>
    <row r="918" spans="1:26" x14ac:dyDescent="0.45">
      <c r="A918" t="s">
        <v>2472</v>
      </c>
      <c r="B918">
        <v>76</v>
      </c>
      <c r="C918" t="s">
        <v>45</v>
      </c>
      <c r="D918" t="s">
        <v>87</v>
      </c>
      <c r="E918" t="s">
        <v>30</v>
      </c>
      <c r="F918" t="s">
        <v>30</v>
      </c>
      <c r="G918" t="s">
        <v>48</v>
      </c>
      <c r="H918" t="s">
        <v>71</v>
      </c>
      <c r="I918" t="s">
        <v>132</v>
      </c>
      <c r="J918" t="s">
        <v>984</v>
      </c>
      <c r="K918" t="s">
        <v>2473</v>
      </c>
      <c r="L918" t="s">
        <v>92</v>
      </c>
      <c r="M918" t="s">
        <v>231</v>
      </c>
      <c r="N918" t="s">
        <v>1087</v>
      </c>
      <c r="O918" t="s">
        <v>92</v>
      </c>
      <c r="P918" t="s">
        <v>110</v>
      </c>
      <c r="Q918" t="s">
        <v>40</v>
      </c>
      <c r="R918">
        <v>166</v>
      </c>
      <c r="S918">
        <v>0</v>
      </c>
      <c r="T918" t="s">
        <v>56</v>
      </c>
      <c r="U918" t="s">
        <v>42</v>
      </c>
      <c r="V918">
        <v>1.3</v>
      </c>
      <c r="W918">
        <v>1.42</v>
      </c>
      <c r="X918">
        <v>8.5</v>
      </c>
      <c r="Y918">
        <v>10.3</v>
      </c>
      <c r="Z918">
        <v>6.3</v>
      </c>
    </row>
    <row r="919" spans="1:26" x14ac:dyDescent="0.45">
      <c r="A919" t="s">
        <v>2474</v>
      </c>
      <c r="B919">
        <v>63</v>
      </c>
      <c r="C919" t="s">
        <v>45</v>
      </c>
      <c r="D919" t="s">
        <v>87</v>
      </c>
      <c r="E919" t="s">
        <v>46</v>
      </c>
      <c r="F919" t="s">
        <v>79</v>
      </c>
      <c r="G919" t="s">
        <v>276</v>
      </c>
      <c r="H919" t="s">
        <v>71</v>
      </c>
      <c r="I919" t="s">
        <v>132</v>
      </c>
      <c r="J919" t="s">
        <v>590</v>
      </c>
      <c r="K919" t="s">
        <v>1301</v>
      </c>
      <c r="L919" t="s">
        <v>36</v>
      </c>
      <c r="M919" t="s">
        <v>239</v>
      </c>
      <c r="N919" t="s">
        <v>100</v>
      </c>
      <c r="O919" t="s">
        <v>36</v>
      </c>
      <c r="P919" t="s">
        <v>39</v>
      </c>
      <c r="Q919" t="s">
        <v>75</v>
      </c>
      <c r="R919">
        <v>35</v>
      </c>
      <c r="S919">
        <v>1</v>
      </c>
      <c r="T919" t="s">
        <v>56</v>
      </c>
      <c r="U919" t="s">
        <v>57</v>
      </c>
      <c r="V919">
        <v>3.02</v>
      </c>
      <c r="W919">
        <v>4.07</v>
      </c>
      <c r="X919">
        <v>1.6</v>
      </c>
      <c r="Y919">
        <v>16.399999999999999</v>
      </c>
      <c r="Z919">
        <v>5</v>
      </c>
    </row>
    <row r="920" spans="1:26" x14ac:dyDescent="0.45">
      <c r="A920" t="s">
        <v>2475</v>
      </c>
      <c r="B920">
        <v>78</v>
      </c>
      <c r="C920" t="s">
        <v>27</v>
      </c>
      <c r="D920" t="s">
        <v>45</v>
      </c>
      <c r="E920" t="s">
        <v>78</v>
      </c>
      <c r="F920" t="s">
        <v>59</v>
      </c>
      <c r="G920" t="s">
        <v>125</v>
      </c>
      <c r="H920" t="s">
        <v>81</v>
      </c>
      <c r="I920" t="s">
        <v>33</v>
      </c>
      <c r="J920" t="s">
        <v>1252</v>
      </c>
      <c r="K920" t="s">
        <v>2117</v>
      </c>
      <c r="L920" t="s">
        <v>36</v>
      </c>
      <c r="M920" t="s">
        <v>295</v>
      </c>
      <c r="N920" t="s">
        <v>578</v>
      </c>
      <c r="O920" t="s">
        <v>36</v>
      </c>
      <c r="P920" t="s">
        <v>55</v>
      </c>
      <c r="Q920" t="s">
        <v>75</v>
      </c>
      <c r="R920">
        <v>176</v>
      </c>
      <c r="S920">
        <v>0</v>
      </c>
      <c r="T920" t="s">
        <v>137</v>
      </c>
      <c r="U920" t="s">
        <v>57</v>
      </c>
      <c r="V920">
        <v>1.1499999999999999</v>
      </c>
      <c r="W920">
        <v>1.21</v>
      </c>
      <c r="X920">
        <v>8.5</v>
      </c>
      <c r="Y920">
        <v>8.1</v>
      </c>
      <c r="Z920">
        <v>3.8</v>
      </c>
    </row>
    <row r="921" spans="1:26" x14ac:dyDescent="0.45">
      <c r="A921" t="s">
        <v>2476</v>
      </c>
      <c r="B921">
        <v>53</v>
      </c>
      <c r="C921" t="s">
        <v>27</v>
      </c>
      <c r="D921" t="s">
        <v>45</v>
      </c>
      <c r="E921" t="s">
        <v>46</v>
      </c>
      <c r="F921" t="s">
        <v>30</v>
      </c>
      <c r="G921" t="s">
        <v>246</v>
      </c>
      <c r="H921" t="s">
        <v>32</v>
      </c>
      <c r="I921" t="s">
        <v>49</v>
      </c>
      <c r="J921" t="s">
        <v>2077</v>
      </c>
      <c r="K921" t="s">
        <v>2477</v>
      </c>
      <c r="L921" t="s">
        <v>36</v>
      </c>
      <c r="M921" t="s">
        <v>640</v>
      </c>
      <c r="N921" t="s">
        <v>1280</v>
      </c>
      <c r="O921" t="s">
        <v>36</v>
      </c>
      <c r="P921" t="s">
        <v>110</v>
      </c>
      <c r="Q921" t="s">
        <v>75</v>
      </c>
      <c r="R921">
        <v>166</v>
      </c>
      <c r="S921">
        <v>0</v>
      </c>
      <c r="T921" t="s">
        <v>123</v>
      </c>
      <c r="U921" t="s">
        <v>57</v>
      </c>
      <c r="V921">
        <v>2.75</v>
      </c>
      <c r="W921">
        <v>4.38</v>
      </c>
      <c r="X921">
        <v>3.4</v>
      </c>
      <c r="Y921">
        <v>13.6</v>
      </c>
      <c r="Z921">
        <v>3.7</v>
      </c>
    </row>
    <row r="922" spans="1:26" x14ac:dyDescent="0.45">
      <c r="A922" t="s">
        <v>2478</v>
      </c>
      <c r="B922">
        <v>55</v>
      </c>
      <c r="C922" t="s">
        <v>45</v>
      </c>
      <c r="D922" t="s">
        <v>45</v>
      </c>
      <c r="E922" t="s">
        <v>163</v>
      </c>
      <c r="F922" t="s">
        <v>59</v>
      </c>
      <c r="G922" t="s">
        <v>164</v>
      </c>
      <c r="H922" t="s">
        <v>71</v>
      </c>
      <c r="I922" t="s">
        <v>33</v>
      </c>
      <c r="J922" t="s">
        <v>2479</v>
      </c>
      <c r="K922" t="s">
        <v>2480</v>
      </c>
      <c r="L922" t="s">
        <v>92</v>
      </c>
      <c r="M922" t="s">
        <v>40</v>
      </c>
      <c r="N922" t="s">
        <v>146</v>
      </c>
      <c r="O922" t="s">
        <v>92</v>
      </c>
      <c r="P922" t="s">
        <v>55</v>
      </c>
      <c r="Q922" t="s">
        <v>129</v>
      </c>
      <c r="R922">
        <v>131</v>
      </c>
      <c r="S922">
        <v>0</v>
      </c>
      <c r="T922" t="s">
        <v>56</v>
      </c>
      <c r="U922" t="s">
        <v>57</v>
      </c>
      <c r="V922">
        <v>2.8</v>
      </c>
      <c r="W922">
        <v>3.31</v>
      </c>
      <c r="X922">
        <v>6.1</v>
      </c>
      <c r="Y922">
        <v>12</v>
      </c>
      <c r="Z922">
        <v>8.4</v>
      </c>
    </row>
    <row r="923" spans="1:26" x14ac:dyDescent="0.45">
      <c r="A923" t="s">
        <v>2481</v>
      </c>
      <c r="B923">
        <v>25</v>
      </c>
      <c r="C923" t="s">
        <v>27</v>
      </c>
      <c r="D923" t="s">
        <v>45</v>
      </c>
      <c r="E923" t="s">
        <v>46</v>
      </c>
      <c r="F923" t="s">
        <v>59</v>
      </c>
      <c r="G923" t="s">
        <v>194</v>
      </c>
      <c r="H923" t="s">
        <v>61</v>
      </c>
      <c r="I923" t="s">
        <v>72</v>
      </c>
      <c r="J923" t="s">
        <v>148</v>
      </c>
      <c r="K923" t="s">
        <v>2482</v>
      </c>
      <c r="L923" t="s">
        <v>52</v>
      </c>
      <c r="M923" t="s">
        <v>65</v>
      </c>
      <c r="N923" t="s">
        <v>1292</v>
      </c>
      <c r="O923" t="s">
        <v>52</v>
      </c>
      <c r="P923" t="s">
        <v>110</v>
      </c>
      <c r="Q923" t="s">
        <v>75</v>
      </c>
      <c r="R923">
        <v>171</v>
      </c>
      <c r="S923">
        <v>0</v>
      </c>
      <c r="T923" t="s">
        <v>41</v>
      </c>
      <c r="U923" t="s">
        <v>57</v>
      </c>
      <c r="V923">
        <v>1.43</v>
      </c>
      <c r="W923">
        <v>2.4700000000000002</v>
      </c>
      <c r="X923">
        <v>1.9</v>
      </c>
      <c r="Y923">
        <v>19.8</v>
      </c>
      <c r="Z923">
        <v>19.399999999999999</v>
      </c>
    </row>
    <row r="924" spans="1:26" x14ac:dyDescent="0.45">
      <c r="A924" t="s">
        <v>2483</v>
      </c>
      <c r="B924">
        <v>51</v>
      </c>
      <c r="C924" t="s">
        <v>45</v>
      </c>
      <c r="D924" t="s">
        <v>87</v>
      </c>
      <c r="E924" t="s">
        <v>29</v>
      </c>
      <c r="F924" t="s">
        <v>79</v>
      </c>
      <c r="G924" t="s">
        <v>164</v>
      </c>
      <c r="H924" t="s">
        <v>71</v>
      </c>
      <c r="I924" t="s">
        <v>33</v>
      </c>
      <c r="J924" t="s">
        <v>2484</v>
      </c>
      <c r="K924" t="s">
        <v>738</v>
      </c>
      <c r="L924" t="s">
        <v>52</v>
      </c>
      <c r="M924" t="s">
        <v>30</v>
      </c>
      <c r="N924" t="s">
        <v>150</v>
      </c>
      <c r="O924" t="s">
        <v>52</v>
      </c>
      <c r="P924" t="s">
        <v>55</v>
      </c>
      <c r="Q924" t="s">
        <v>40</v>
      </c>
      <c r="R924">
        <v>56</v>
      </c>
      <c r="S924">
        <v>0</v>
      </c>
      <c r="T924" t="s">
        <v>85</v>
      </c>
      <c r="U924" t="s">
        <v>57</v>
      </c>
      <c r="V924">
        <v>4.88</v>
      </c>
      <c r="W924">
        <v>4.46</v>
      </c>
      <c r="X924">
        <v>6.4</v>
      </c>
      <c r="Y924">
        <v>18.600000000000001</v>
      </c>
      <c r="Z924">
        <v>7.8</v>
      </c>
    </row>
    <row r="925" spans="1:26" x14ac:dyDescent="0.45">
      <c r="A925" t="s">
        <v>2485</v>
      </c>
      <c r="B925">
        <v>44</v>
      </c>
      <c r="C925" t="s">
        <v>27</v>
      </c>
      <c r="D925" t="s">
        <v>28</v>
      </c>
      <c r="E925" t="s">
        <v>78</v>
      </c>
      <c r="F925" t="s">
        <v>69</v>
      </c>
      <c r="G925" t="s">
        <v>184</v>
      </c>
      <c r="H925" t="s">
        <v>71</v>
      </c>
      <c r="I925" t="s">
        <v>33</v>
      </c>
      <c r="J925" t="s">
        <v>731</v>
      </c>
      <c r="K925" t="s">
        <v>2486</v>
      </c>
      <c r="L925" t="s">
        <v>36</v>
      </c>
      <c r="M925" t="s">
        <v>536</v>
      </c>
      <c r="N925" t="s">
        <v>546</v>
      </c>
      <c r="O925" t="s">
        <v>36</v>
      </c>
      <c r="P925" t="s">
        <v>55</v>
      </c>
      <c r="Q925" t="s">
        <v>129</v>
      </c>
      <c r="R925">
        <v>60</v>
      </c>
      <c r="S925">
        <v>0</v>
      </c>
      <c r="T925" t="s">
        <v>85</v>
      </c>
      <c r="U925" t="s">
        <v>57</v>
      </c>
      <c r="V925">
        <v>3.52</v>
      </c>
      <c r="W925">
        <v>2.82</v>
      </c>
      <c r="X925">
        <v>5.3</v>
      </c>
      <c r="Y925">
        <v>19.600000000000001</v>
      </c>
      <c r="Z925">
        <v>7.8</v>
      </c>
    </row>
    <row r="926" spans="1:26" x14ac:dyDescent="0.45">
      <c r="A926" t="s">
        <v>2487</v>
      </c>
      <c r="B926">
        <v>38</v>
      </c>
      <c r="C926" t="s">
        <v>44</v>
      </c>
      <c r="D926" t="s">
        <v>87</v>
      </c>
      <c r="E926" t="s">
        <v>163</v>
      </c>
      <c r="F926" t="s">
        <v>79</v>
      </c>
      <c r="G926" t="s">
        <v>48</v>
      </c>
      <c r="H926" t="s">
        <v>32</v>
      </c>
      <c r="I926" t="s">
        <v>49</v>
      </c>
      <c r="J926" t="s">
        <v>2431</v>
      </c>
      <c r="K926" t="s">
        <v>338</v>
      </c>
      <c r="L926" t="s">
        <v>64</v>
      </c>
      <c r="M926" t="s">
        <v>37</v>
      </c>
      <c r="N926" t="s">
        <v>1435</v>
      </c>
      <c r="O926" t="s">
        <v>64</v>
      </c>
      <c r="P926" t="s">
        <v>55</v>
      </c>
      <c r="Q926" t="s">
        <v>30</v>
      </c>
      <c r="R926">
        <v>117</v>
      </c>
      <c r="S926">
        <v>0</v>
      </c>
      <c r="T926" t="s">
        <v>56</v>
      </c>
      <c r="U926" t="s">
        <v>57</v>
      </c>
      <c r="V926">
        <v>2.27</v>
      </c>
      <c r="W926">
        <v>4.7</v>
      </c>
      <c r="X926">
        <v>1.5</v>
      </c>
      <c r="Y926">
        <v>14.7</v>
      </c>
      <c r="Z926">
        <v>18.5</v>
      </c>
    </row>
    <row r="927" spans="1:26" x14ac:dyDescent="0.45">
      <c r="A927" t="s">
        <v>2488</v>
      </c>
      <c r="B927">
        <v>65</v>
      </c>
      <c r="C927" t="s">
        <v>27</v>
      </c>
      <c r="D927" t="s">
        <v>28</v>
      </c>
      <c r="E927" t="s">
        <v>163</v>
      </c>
      <c r="F927" t="s">
        <v>79</v>
      </c>
      <c r="G927" t="s">
        <v>102</v>
      </c>
      <c r="H927" t="s">
        <v>32</v>
      </c>
      <c r="I927" t="s">
        <v>132</v>
      </c>
      <c r="J927" t="s">
        <v>191</v>
      </c>
      <c r="K927" t="s">
        <v>2489</v>
      </c>
      <c r="L927" t="s">
        <v>52</v>
      </c>
      <c r="M927" t="s">
        <v>1291</v>
      </c>
      <c r="N927" t="s">
        <v>383</v>
      </c>
      <c r="O927" t="s">
        <v>52</v>
      </c>
      <c r="P927" t="s">
        <v>39</v>
      </c>
      <c r="Q927" t="s">
        <v>129</v>
      </c>
      <c r="R927">
        <v>32</v>
      </c>
      <c r="S927">
        <v>1</v>
      </c>
      <c r="T927" t="s">
        <v>137</v>
      </c>
      <c r="U927" t="s">
        <v>42</v>
      </c>
      <c r="V927">
        <v>3.44</v>
      </c>
      <c r="W927">
        <v>3.19</v>
      </c>
      <c r="X927">
        <v>3.2</v>
      </c>
      <c r="Y927">
        <v>12.2</v>
      </c>
      <c r="Z927">
        <v>17.5</v>
      </c>
    </row>
    <row r="928" spans="1:26" x14ac:dyDescent="0.45">
      <c r="A928" t="s">
        <v>2490</v>
      </c>
      <c r="B928">
        <v>45</v>
      </c>
      <c r="C928" t="s">
        <v>45</v>
      </c>
      <c r="D928" t="s">
        <v>28</v>
      </c>
      <c r="E928" t="s">
        <v>78</v>
      </c>
      <c r="F928" t="s">
        <v>30</v>
      </c>
      <c r="G928" t="s">
        <v>184</v>
      </c>
      <c r="H928" t="s">
        <v>81</v>
      </c>
      <c r="I928" t="s">
        <v>132</v>
      </c>
      <c r="J928" t="s">
        <v>496</v>
      </c>
      <c r="K928" t="s">
        <v>1110</v>
      </c>
      <c r="L928" t="s">
        <v>64</v>
      </c>
      <c r="M928" t="s">
        <v>1456</v>
      </c>
      <c r="N928" t="s">
        <v>473</v>
      </c>
      <c r="O928" t="s">
        <v>64</v>
      </c>
      <c r="P928" t="s">
        <v>110</v>
      </c>
      <c r="Q928" t="s">
        <v>40</v>
      </c>
      <c r="R928">
        <v>113</v>
      </c>
      <c r="S928">
        <v>0</v>
      </c>
      <c r="T928" t="s">
        <v>41</v>
      </c>
      <c r="U928" t="s">
        <v>42</v>
      </c>
      <c r="V928">
        <v>3.24</v>
      </c>
      <c r="W928">
        <v>3.06</v>
      </c>
      <c r="X928">
        <v>1.9</v>
      </c>
      <c r="Y928">
        <v>6.3</v>
      </c>
      <c r="Z928">
        <v>19.399999999999999</v>
      </c>
    </row>
    <row r="929" spans="1:26" x14ac:dyDescent="0.45">
      <c r="A929" t="s">
        <v>2491</v>
      </c>
      <c r="B929">
        <v>47</v>
      </c>
      <c r="C929" t="s">
        <v>45</v>
      </c>
      <c r="D929" t="s">
        <v>106</v>
      </c>
      <c r="E929" t="s">
        <v>30</v>
      </c>
      <c r="F929" t="s">
        <v>88</v>
      </c>
      <c r="G929" t="s">
        <v>96</v>
      </c>
      <c r="H929" t="s">
        <v>32</v>
      </c>
      <c r="I929" t="s">
        <v>132</v>
      </c>
      <c r="J929" t="s">
        <v>675</v>
      </c>
      <c r="K929" t="s">
        <v>2492</v>
      </c>
      <c r="L929" t="s">
        <v>92</v>
      </c>
      <c r="M929" t="s">
        <v>67</v>
      </c>
      <c r="N929" t="s">
        <v>1435</v>
      </c>
      <c r="O929" t="s">
        <v>92</v>
      </c>
      <c r="P929" t="s">
        <v>39</v>
      </c>
      <c r="Q929" t="s">
        <v>67</v>
      </c>
      <c r="R929">
        <v>53</v>
      </c>
      <c r="S929">
        <v>1</v>
      </c>
      <c r="T929" t="s">
        <v>123</v>
      </c>
      <c r="U929" t="s">
        <v>57</v>
      </c>
      <c r="V929">
        <v>2.5099999999999998</v>
      </c>
      <c r="W929">
        <v>3.41</v>
      </c>
      <c r="X929">
        <v>1.7</v>
      </c>
      <c r="Y929">
        <v>18.3</v>
      </c>
      <c r="Z929">
        <v>18.899999999999999</v>
      </c>
    </row>
    <row r="930" spans="1:26" x14ac:dyDescent="0.45">
      <c r="A930" t="s">
        <v>2493</v>
      </c>
      <c r="B930">
        <v>48</v>
      </c>
      <c r="C930" t="s">
        <v>45</v>
      </c>
      <c r="D930" t="s">
        <v>106</v>
      </c>
      <c r="E930" t="s">
        <v>78</v>
      </c>
      <c r="F930" t="s">
        <v>47</v>
      </c>
      <c r="G930" t="s">
        <v>184</v>
      </c>
      <c r="H930" t="s">
        <v>71</v>
      </c>
      <c r="I930" t="s">
        <v>132</v>
      </c>
      <c r="J930" t="s">
        <v>1860</v>
      </c>
      <c r="K930" t="s">
        <v>2145</v>
      </c>
      <c r="L930" t="s">
        <v>64</v>
      </c>
      <c r="M930" t="s">
        <v>1391</v>
      </c>
      <c r="N930" t="s">
        <v>416</v>
      </c>
      <c r="O930" t="s">
        <v>64</v>
      </c>
      <c r="P930" t="s">
        <v>110</v>
      </c>
      <c r="Q930" t="s">
        <v>30</v>
      </c>
      <c r="R930">
        <v>73</v>
      </c>
      <c r="S930">
        <v>0</v>
      </c>
      <c r="T930" t="s">
        <v>137</v>
      </c>
      <c r="U930" t="s">
        <v>42</v>
      </c>
      <c r="V930">
        <v>3.3</v>
      </c>
      <c r="W930">
        <v>1.5</v>
      </c>
      <c r="X930">
        <v>6.2</v>
      </c>
      <c r="Y930">
        <v>19.8</v>
      </c>
      <c r="Z930">
        <v>9.9</v>
      </c>
    </row>
    <row r="931" spans="1:26" x14ac:dyDescent="0.45">
      <c r="A931" t="s">
        <v>2494</v>
      </c>
      <c r="B931">
        <v>58</v>
      </c>
      <c r="C931" t="s">
        <v>27</v>
      </c>
      <c r="D931" t="s">
        <v>95</v>
      </c>
      <c r="E931" t="s">
        <v>163</v>
      </c>
      <c r="F931" t="s">
        <v>30</v>
      </c>
      <c r="G931" t="s">
        <v>31</v>
      </c>
      <c r="H931" t="s">
        <v>81</v>
      </c>
      <c r="I931" t="s">
        <v>132</v>
      </c>
      <c r="J931" t="s">
        <v>2495</v>
      </c>
      <c r="K931" t="s">
        <v>877</v>
      </c>
      <c r="L931" t="s">
        <v>92</v>
      </c>
      <c r="M931" t="s">
        <v>451</v>
      </c>
      <c r="N931" t="s">
        <v>188</v>
      </c>
      <c r="O931" t="s">
        <v>92</v>
      </c>
      <c r="P931" t="s">
        <v>55</v>
      </c>
      <c r="Q931" t="s">
        <v>75</v>
      </c>
      <c r="R931">
        <v>53</v>
      </c>
      <c r="S931">
        <v>0</v>
      </c>
      <c r="T931" t="s">
        <v>137</v>
      </c>
      <c r="U931" t="s">
        <v>57</v>
      </c>
      <c r="V931">
        <v>4.5199999999999996</v>
      </c>
      <c r="W931">
        <v>3.59</v>
      </c>
      <c r="X931">
        <v>9.1</v>
      </c>
      <c r="Y931">
        <v>17.2</v>
      </c>
      <c r="Z931">
        <v>5.2</v>
      </c>
    </row>
    <row r="932" spans="1:26" x14ac:dyDescent="0.45">
      <c r="A932" t="s">
        <v>2496</v>
      </c>
      <c r="B932">
        <v>76</v>
      </c>
      <c r="C932" t="s">
        <v>44</v>
      </c>
      <c r="D932" t="s">
        <v>28</v>
      </c>
      <c r="E932" t="s">
        <v>78</v>
      </c>
      <c r="F932" t="s">
        <v>59</v>
      </c>
      <c r="G932" t="s">
        <v>89</v>
      </c>
      <c r="H932" t="s">
        <v>32</v>
      </c>
      <c r="I932" t="s">
        <v>72</v>
      </c>
      <c r="J932" t="s">
        <v>899</v>
      </c>
      <c r="K932" t="s">
        <v>900</v>
      </c>
      <c r="L932" t="s">
        <v>64</v>
      </c>
      <c r="M932" t="s">
        <v>40</v>
      </c>
      <c r="N932" t="s">
        <v>602</v>
      </c>
      <c r="O932" t="s">
        <v>64</v>
      </c>
      <c r="P932" t="s">
        <v>55</v>
      </c>
      <c r="Q932" t="s">
        <v>75</v>
      </c>
      <c r="R932">
        <v>106</v>
      </c>
      <c r="S932">
        <v>0</v>
      </c>
      <c r="T932" t="s">
        <v>85</v>
      </c>
      <c r="U932" t="s">
        <v>57</v>
      </c>
      <c r="V932">
        <v>2.2400000000000002</v>
      </c>
      <c r="W932">
        <v>1.81</v>
      </c>
      <c r="X932">
        <v>9.1999999999999993</v>
      </c>
      <c r="Y932">
        <v>19.7</v>
      </c>
      <c r="Z932">
        <v>14.5</v>
      </c>
    </row>
    <row r="933" spans="1:26" x14ac:dyDescent="0.45">
      <c r="A933" t="s">
        <v>2497</v>
      </c>
      <c r="B933">
        <v>43</v>
      </c>
      <c r="C933" t="s">
        <v>44</v>
      </c>
      <c r="D933" t="s">
        <v>28</v>
      </c>
      <c r="E933" t="s">
        <v>29</v>
      </c>
      <c r="F933" t="s">
        <v>59</v>
      </c>
      <c r="G933" t="s">
        <v>60</v>
      </c>
      <c r="H933" t="s">
        <v>81</v>
      </c>
      <c r="I933" t="s">
        <v>49</v>
      </c>
      <c r="J933" t="s">
        <v>1101</v>
      </c>
      <c r="K933" t="s">
        <v>2498</v>
      </c>
      <c r="L933" t="s">
        <v>52</v>
      </c>
      <c r="M933" t="s">
        <v>451</v>
      </c>
      <c r="N933" t="s">
        <v>447</v>
      </c>
      <c r="O933" t="s">
        <v>52</v>
      </c>
      <c r="P933" t="s">
        <v>39</v>
      </c>
      <c r="Q933" t="s">
        <v>67</v>
      </c>
      <c r="R933">
        <v>163</v>
      </c>
      <c r="S933">
        <v>1</v>
      </c>
      <c r="T933" t="s">
        <v>85</v>
      </c>
      <c r="U933" t="s">
        <v>42</v>
      </c>
      <c r="V933">
        <v>2.2000000000000002</v>
      </c>
      <c r="W933">
        <v>1.74</v>
      </c>
      <c r="X933">
        <v>7.8</v>
      </c>
      <c r="Y933">
        <v>14.5</v>
      </c>
      <c r="Z933">
        <v>6.8</v>
      </c>
    </row>
    <row r="934" spans="1:26" x14ac:dyDescent="0.45">
      <c r="A934" t="s">
        <v>2499</v>
      </c>
      <c r="B934">
        <v>72</v>
      </c>
      <c r="C934" t="s">
        <v>27</v>
      </c>
      <c r="D934" t="s">
        <v>45</v>
      </c>
      <c r="E934" t="s">
        <v>78</v>
      </c>
      <c r="F934" t="s">
        <v>30</v>
      </c>
      <c r="G934" t="s">
        <v>112</v>
      </c>
      <c r="H934" t="s">
        <v>61</v>
      </c>
      <c r="I934" t="s">
        <v>132</v>
      </c>
      <c r="J934" t="s">
        <v>2500</v>
      </c>
      <c r="K934" t="s">
        <v>2501</v>
      </c>
      <c r="L934" t="s">
        <v>52</v>
      </c>
      <c r="M934" t="s">
        <v>30</v>
      </c>
      <c r="N934" t="s">
        <v>477</v>
      </c>
      <c r="O934" t="s">
        <v>52</v>
      </c>
      <c r="P934" t="s">
        <v>55</v>
      </c>
      <c r="Q934" t="s">
        <v>67</v>
      </c>
      <c r="R934">
        <v>110</v>
      </c>
      <c r="S934">
        <v>0</v>
      </c>
      <c r="T934" t="s">
        <v>123</v>
      </c>
      <c r="U934" t="s">
        <v>57</v>
      </c>
      <c r="V934">
        <v>3.47</v>
      </c>
      <c r="W934">
        <v>1.1599999999999999</v>
      </c>
      <c r="X934">
        <v>3.9</v>
      </c>
      <c r="Y934">
        <v>14.4</v>
      </c>
      <c r="Z934">
        <v>5.5</v>
      </c>
    </row>
    <row r="935" spans="1:26" x14ac:dyDescent="0.45">
      <c r="A935" t="s">
        <v>2502</v>
      </c>
      <c r="B935">
        <v>41</v>
      </c>
      <c r="C935" t="s">
        <v>27</v>
      </c>
      <c r="D935" t="s">
        <v>95</v>
      </c>
      <c r="E935" t="s">
        <v>30</v>
      </c>
      <c r="F935" t="s">
        <v>79</v>
      </c>
      <c r="G935" t="s">
        <v>31</v>
      </c>
      <c r="H935" t="s">
        <v>71</v>
      </c>
      <c r="I935" t="s">
        <v>33</v>
      </c>
      <c r="J935" t="s">
        <v>744</v>
      </c>
      <c r="K935" t="s">
        <v>1385</v>
      </c>
      <c r="L935" t="s">
        <v>92</v>
      </c>
      <c r="M935" t="s">
        <v>500</v>
      </c>
      <c r="N935" t="s">
        <v>128</v>
      </c>
      <c r="O935" t="s">
        <v>92</v>
      </c>
      <c r="P935" t="s">
        <v>55</v>
      </c>
      <c r="Q935" t="s">
        <v>30</v>
      </c>
      <c r="R935">
        <v>127</v>
      </c>
      <c r="S935">
        <v>0</v>
      </c>
      <c r="T935" t="s">
        <v>56</v>
      </c>
      <c r="U935" t="s">
        <v>42</v>
      </c>
      <c r="V935">
        <v>4.9400000000000004</v>
      </c>
      <c r="W935">
        <v>1.84</v>
      </c>
      <c r="X935">
        <v>2.2000000000000002</v>
      </c>
      <c r="Y935">
        <v>9.6999999999999993</v>
      </c>
      <c r="Z935">
        <v>16.100000000000001</v>
      </c>
    </row>
    <row r="936" spans="1:26" x14ac:dyDescent="0.45">
      <c r="A936" t="s">
        <v>2503</v>
      </c>
      <c r="B936">
        <v>79</v>
      </c>
      <c r="C936" t="s">
        <v>44</v>
      </c>
      <c r="D936" t="s">
        <v>95</v>
      </c>
      <c r="E936" t="s">
        <v>46</v>
      </c>
      <c r="F936" t="s">
        <v>30</v>
      </c>
      <c r="G936" t="s">
        <v>131</v>
      </c>
      <c r="H936" t="s">
        <v>61</v>
      </c>
      <c r="I936" t="s">
        <v>132</v>
      </c>
      <c r="J936" t="s">
        <v>2093</v>
      </c>
      <c r="K936" t="s">
        <v>1813</v>
      </c>
      <c r="L936" t="s">
        <v>52</v>
      </c>
      <c r="M936" t="s">
        <v>181</v>
      </c>
      <c r="N936" t="s">
        <v>340</v>
      </c>
      <c r="O936" t="s">
        <v>52</v>
      </c>
      <c r="P936" t="s">
        <v>55</v>
      </c>
      <c r="Q936" t="s">
        <v>30</v>
      </c>
      <c r="R936">
        <v>117</v>
      </c>
      <c r="S936">
        <v>0</v>
      </c>
      <c r="T936" t="s">
        <v>123</v>
      </c>
      <c r="U936" t="s">
        <v>42</v>
      </c>
      <c r="V936">
        <v>2.7</v>
      </c>
      <c r="W936">
        <v>3.26</v>
      </c>
      <c r="X936">
        <v>1.2</v>
      </c>
      <c r="Y936">
        <v>6.6</v>
      </c>
      <c r="Z936">
        <v>10.6</v>
      </c>
    </row>
    <row r="937" spans="1:26" x14ac:dyDescent="0.45">
      <c r="A937" t="s">
        <v>2504</v>
      </c>
      <c r="B937">
        <v>22</v>
      </c>
      <c r="C937" t="s">
        <v>27</v>
      </c>
      <c r="D937" t="s">
        <v>87</v>
      </c>
      <c r="E937" t="s">
        <v>29</v>
      </c>
      <c r="F937" t="s">
        <v>30</v>
      </c>
      <c r="G937" t="s">
        <v>31</v>
      </c>
      <c r="H937" t="s">
        <v>81</v>
      </c>
      <c r="I937" t="s">
        <v>72</v>
      </c>
      <c r="J937" t="s">
        <v>1507</v>
      </c>
      <c r="K937" t="s">
        <v>386</v>
      </c>
      <c r="L937" t="s">
        <v>64</v>
      </c>
      <c r="M937" t="s">
        <v>129</v>
      </c>
      <c r="N937" t="s">
        <v>729</v>
      </c>
      <c r="O937" t="s">
        <v>64</v>
      </c>
      <c r="P937" t="s">
        <v>39</v>
      </c>
      <c r="Q937" t="s">
        <v>75</v>
      </c>
      <c r="R937">
        <v>134</v>
      </c>
      <c r="S937">
        <v>1</v>
      </c>
      <c r="T937" t="s">
        <v>85</v>
      </c>
      <c r="U937" t="s">
        <v>57</v>
      </c>
      <c r="V937">
        <v>4.2699999999999996</v>
      </c>
      <c r="W937">
        <v>4.54</v>
      </c>
      <c r="X937">
        <v>1.8</v>
      </c>
      <c r="Y937">
        <v>15.7</v>
      </c>
      <c r="Z937">
        <v>18.5</v>
      </c>
    </row>
    <row r="938" spans="1:26" x14ac:dyDescent="0.45">
      <c r="A938" t="s">
        <v>2505</v>
      </c>
      <c r="B938">
        <v>54</v>
      </c>
      <c r="C938" t="s">
        <v>27</v>
      </c>
      <c r="D938" t="s">
        <v>28</v>
      </c>
      <c r="E938" t="s">
        <v>78</v>
      </c>
      <c r="F938" t="s">
        <v>69</v>
      </c>
      <c r="G938" t="s">
        <v>246</v>
      </c>
      <c r="H938" t="s">
        <v>32</v>
      </c>
      <c r="I938" t="s">
        <v>33</v>
      </c>
      <c r="J938" t="s">
        <v>1342</v>
      </c>
      <c r="K938" t="s">
        <v>1786</v>
      </c>
      <c r="L938" t="s">
        <v>64</v>
      </c>
      <c r="M938" t="s">
        <v>427</v>
      </c>
      <c r="N938" t="s">
        <v>168</v>
      </c>
      <c r="O938" t="s">
        <v>64</v>
      </c>
      <c r="P938" t="s">
        <v>110</v>
      </c>
      <c r="Q938" t="s">
        <v>67</v>
      </c>
      <c r="R938">
        <v>162</v>
      </c>
      <c r="S938">
        <v>0</v>
      </c>
      <c r="T938" t="s">
        <v>123</v>
      </c>
      <c r="U938" t="s">
        <v>42</v>
      </c>
      <c r="V938">
        <v>2.5499999999999998</v>
      </c>
      <c r="W938">
        <v>4.32</v>
      </c>
      <c r="X938">
        <v>2.2000000000000002</v>
      </c>
      <c r="Y938">
        <v>22.8</v>
      </c>
      <c r="Z938">
        <v>15.8</v>
      </c>
    </row>
    <row r="939" spans="1:26" x14ac:dyDescent="0.45">
      <c r="A939" t="s">
        <v>2506</v>
      </c>
      <c r="B939">
        <v>40</v>
      </c>
      <c r="C939" t="s">
        <v>27</v>
      </c>
      <c r="D939" t="s">
        <v>87</v>
      </c>
      <c r="E939" t="s">
        <v>78</v>
      </c>
      <c r="F939" t="s">
        <v>30</v>
      </c>
      <c r="G939" t="s">
        <v>440</v>
      </c>
      <c r="H939" t="s">
        <v>61</v>
      </c>
      <c r="I939" t="s">
        <v>72</v>
      </c>
      <c r="J939" t="s">
        <v>2501</v>
      </c>
      <c r="K939" t="s">
        <v>479</v>
      </c>
      <c r="L939" t="s">
        <v>36</v>
      </c>
      <c r="M939" t="s">
        <v>40</v>
      </c>
      <c r="N939" t="s">
        <v>182</v>
      </c>
      <c r="O939" t="s">
        <v>36</v>
      </c>
      <c r="P939" t="s">
        <v>55</v>
      </c>
      <c r="Q939" t="s">
        <v>75</v>
      </c>
      <c r="R939">
        <v>165</v>
      </c>
      <c r="S939">
        <v>0</v>
      </c>
      <c r="T939" t="s">
        <v>137</v>
      </c>
      <c r="U939" t="s">
        <v>57</v>
      </c>
      <c r="V939">
        <v>4.7699999999999996</v>
      </c>
      <c r="W939">
        <v>3.71</v>
      </c>
      <c r="X939">
        <v>4.3</v>
      </c>
      <c r="Y939">
        <v>22.9</v>
      </c>
      <c r="Z939">
        <v>7.7</v>
      </c>
    </row>
    <row r="940" spans="1:26" x14ac:dyDescent="0.45">
      <c r="A940" t="s">
        <v>2507</v>
      </c>
      <c r="B940">
        <v>60</v>
      </c>
      <c r="C940" t="s">
        <v>27</v>
      </c>
      <c r="D940" t="s">
        <v>28</v>
      </c>
      <c r="E940" t="s">
        <v>46</v>
      </c>
      <c r="F940" t="s">
        <v>79</v>
      </c>
      <c r="G940" t="s">
        <v>246</v>
      </c>
      <c r="H940" t="s">
        <v>81</v>
      </c>
      <c r="I940" t="s">
        <v>49</v>
      </c>
      <c r="J940" t="s">
        <v>2508</v>
      </c>
      <c r="K940" t="s">
        <v>2509</v>
      </c>
      <c r="L940" t="s">
        <v>92</v>
      </c>
      <c r="M940" t="s">
        <v>75</v>
      </c>
      <c r="N940" t="s">
        <v>546</v>
      </c>
      <c r="O940" t="s">
        <v>92</v>
      </c>
      <c r="P940" t="s">
        <v>55</v>
      </c>
      <c r="Q940" t="s">
        <v>40</v>
      </c>
      <c r="R940">
        <v>167</v>
      </c>
      <c r="S940">
        <v>0</v>
      </c>
      <c r="T940" t="s">
        <v>123</v>
      </c>
      <c r="U940" t="s">
        <v>42</v>
      </c>
      <c r="V940">
        <v>2.33</v>
      </c>
      <c r="W940">
        <v>3.8</v>
      </c>
      <c r="X940">
        <v>7.9</v>
      </c>
      <c r="Y940">
        <v>22.7</v>
      </c>
      <c r="Z940">
        <v>6.5</v>
      </c>
    </row>
    <row r="941" spans="1:26" x14ac:dyDescent="0.45">
      <c r="A941" t="s">
        <v>2510</v>
      </c>
      <c r="B941">
        <v>49</v>
      </c>
      <c r="C941" t="s">
        <v>45</v>
      </c>
      <c r="D941" t="s">
        <v>95</v>
      </c>
      <c r="E941" t="s">
        <v>29</v>
      </c>
      <c r="F941" t="s">
        <v>59</v>
      </c>
      <c r="G941" t="s">
        <v>80</v>
      </c>
      <c r="H941" t="s">
        <v>61</v>
      </c>
      <c r="I941" t="s">
        <v>49</v>
      </c>
      <c r="J941" t="s">
        <v>731</v>
      </c>
      <c r="K941" t="s">
        <v>970</v>
      </c>
      <c r="L941" t="s">
        <v>52</v>
      </c>
      <c r="M941" t="s">
        <v>40</v>
      </c>
      <c r="N941" t="s">
        <v>305</v>
      </c>
      <c r="O941" t="s">
        <v>52</v>
      </c>
      <c r="P941" t="s">
        <v>110</v>
      </c>
      <c r="Q941" t="s">
        <v>129</v>
      </c>
      <c r="R941">
        <v>124</v>
      </c>
      <c r="S941">
        <v>0</v>
      </c>
      <c r="T941" t="s">
        <v>137</v>
      </c>
      <c r="U941" t="s">
        <v>42</v>
      </c>
      <c r="V941">
        <v>4.1900000000000004</v>
      </c>
      <c r="W941">
        <v>3.95</v>
      </c>
      <c r="X941">
        <v>1.6</v>
      </c>
      <c r="Y941">
        <v>13</v>
      </c>
      <c r="Z941">
        <v>7.8</v>
      </c>
    </row>
    <row r="942" spans="1:26" x14ac:dyDescent="0.45">
      <c r="A942" t="s">
        <v>2511</v>
      </c>
      <c r="B942">
        <v>72</v>
      </c>
      <c r="C942" t="s">
        <v>44</v>
      </c>
      <c r="D942" t="s">
        <v>45</v>
      </c>
      <c r="E942" t="s">
        <v>46</v>
      </c>
      <c r="F942" t="s">
        <v>59</v>
      </c>
      <c r="G942" t="s">
        <v>125</v>
      </c>
      <c r="H942" t="s">
        <v>32</v>
      </c>
      <c r="I942" t="s">
        <v>49</v>
      </c>
      <c r="J942" t="s">
        <v>2512</v>
      </c>
      <c r="K942" t="s">
        <v>1411</v>
      </c>
      <c r="L942" t="s">
        <v>64</v>
      </c>
      <c r="M942" t="s">
        <v>67</v>
      </c>
      <c r="N942" t="s">
        <v>950</v>
      </c>
      <c r="O942" t="s">
        <v>64</v>
      </c>
      <c r="P942" t="s">
        <v>55</v>
      </c>
      <c r="Q942" t="s">
        <v>129</v>
      </c>
      <c r="R942">
        <v>61</v>
      </c>
      <c r="S942">
        <v>0</v>
      </c>
      <c r="T942" t="s">
        <v>123</v>
      </c>
      <c r="U942" t="s">
        <v>42</v>
      </c>
      <c r="V942">
        <v>2.2200000000000002</v>
      </c>
      <c r="W942">
        <v>4.93</v>
      </c>
      <c r="X942">
        <v>6.8</v>
      </c>
      <c r="Y942">
        <v>18.899999999999999</v>
      </c>
      <c r="Z942">
        <v>19.600000000000001</v>
      </c>
    </row>
    <row r="943" spans="1:26" x14ac:dyDescent="0.45">
      <c r="A943" t="s">
        <v>2513</v>
      </c>
      <c r="B943">
        <v>28</v>
      </c>
      <c r="C943" t="s">
        <v>27</v>
      </c>
      <c r="D943" t="s">
        <v>106</v>
      </c>
      <c r="E943" t="s">
        <v>29</v>
      </c>
      <c r="F943" t="s">
        <v>69</v>
      </c>
      <c r="G943" t="s">
        <v>70</v>
      </c>
      <c r="H943" t="s">
        <v>32</v>
      </c>
      <c r="I943" t="s">
        <v>72</v>
      </c>
      <c r="J943" t="s">
        <v>2498</v>
      </c>
      <c r="K943" t="s">
        <v>564</v>
      </c>
      <c r="L943" t="s">
        <v>36</v>
      </c>
      <c r="M943" t="s">
        <v>75</v>
      </c>
      <c r="N943" t="s">
        <v>244</v>
      </c>
      <c r="O943" t="s">
        <v>36</v>
      </c>
      <c r="P943" t="s">
        <v>110</v>
      </c>
      <c r="Q943" t="s">
        <v>75</v>
      </c>
      <c r="R943">
        <v>113</v>
      </c>
      <c r="S943">
        <v>0</v>
      </c>
      <c r="T943" t="s">
        <v>85</v>
      </c>
      <c r="U943" t="s">
        <v>42</v>
      </c>
      <c r="V943">
        <v>2.5099999999999998</v>
      </c>
      <c r="W943">
        <v>4.21</v>
      </c>
      <c r="X943">
        <v>4.9000000000000004</v>
      </c>
      <c r="Y943">
        <v>21.7</v>
      </c>
      <c r="Z943">
        <v>6.1</v>
      </c>
    </row>
    <row r="944" spans="1:26" x14ac:dyDescent="0.45">
      <c r="A944" t="s">
        <v>2514</v>
      </c>
      <c r="B944">
        <v>82</v>
      </c>
      <c r="C944" t="s">
        <v>45</v>
      </c>
      <c r="D944" t="s">
        <v>87</v>
      </c>
      <c r="E944" t="s">
        <v>163</v>
      </c>
      <c r="F944" t="s">
        <v>88</v>
      </c>
      <c r="G944" t="s">
        <v>96</v>
      </c>
      <c r="H944" t="s">
        <v>32</v>
      </c>
      <c r="I944" t="s">
        <v>72</v>
      </c>
      <c r="J944" t="s">
        <v>1143</v>
      </c>
      <c r="K944" t="s">
        <v>2181</v>
      </c>
      <c r="L944" t="s">
        <v>64</v>
      </c>
      <c r="M944" t="s">
        <v>566</v>
      </c>
      <c r="N944" t="s">
        <v>466</v>
      </c>
      <c r="O944" t="s">
        <v>64</v>
      </c>
      <c r="P944" t="s">
        <v>55</v>
      </c>
      <c r="Q944" t="s">
        <v>67</v>
      </c>
      <c r="R944">
        <v>142</v>
      </c>
      <c r="S944">
        <v>0</v>
      </c>
      <c r="T944" t="s">
        <v>123</v>
      </c>
      <c r="U944" t="s">
        <v>42</v>
      </c>
      <c r="V944">
        <v>4.79</v>
      </c>
      <c r="W944">
        <v>1.88</v>
      </c>
      <c r="X944">
        <v>3.9</v>
      </c>
      <c r="Y944">
        <v>19.600000000000001</v>
      </c>
      <c r="Z944">
        <v>9.6999999999999993</v>
      </c>
    </row>
    <row r="945" spans="1:26" x14ac:dyDescent="0.45">
      <c r="A945" t="s">
        <v>2515</v>
      </c>
      <c r="B945">
        <v>62</v>
      </c>
      <c r="C945" t="s">
        <v>45</v>
      </c>
      <c r="D945" t="s">
        <v>45</v>
      </c>
      <c r="E945" t="s">
        <v>78</v>
      </c>
      <c r="F945" t="s">
        <v>30</v>
      </c>
      <c r="G945" t="s">
        <v>89</v>
      </c>
      <c r="H945" t="s">
        <v>32</v>
      </c>
      <c r="I945" t="s">
        <v>72</v>
      </c>
      <c r="J945" t="s">
        <v>91</v>
      </c>
      <c r="K945" t="s">
        <v>2516</v>
      </c>
      <c r="L945" t="s">
        <v>64</v>
      </c>
      <c r="M945" t="s">
        <v>431</v>
      </c>
      <c r="N945" t="s">
        <v>667</v>
      </c>
      <c r="O945" t="s">
        <v>64</v>
      </c>
      <c r="P945" t="s">
        <v>110</v>
      </c>
      <c r="Q945" t="s">
        <v>30</v>
      </c>
      <c r="R945">
        <v>145</v>
      </c>
      <c r="S945">
        <v>0</v>
      </c>
      <c r="T945" t="s">
        <v>41</v>
      </c>
      <c r="U945" t="s">
        <v>42</v>
      </c>
      <c r="V945">
        <v>3.43</v>
      </c>
      <c r="W945">
        <v>2.78</v>
      </c>
      <c r="X945">
        <v>7.7</v>
      </c>
      <c r="Y945">
        <v>10.1</v>
      </c>
      <c r="Z945">
        <v>4</v>
      </c>
    </row>
    <row r="946" spans="1:26" x14ac:dyDescent="0.45">
      <c r="A946" t="s">
        <v>2517</v>
      </c>
      <c r="B946">
        <v>60</v>
      </c>
      <c r="C946" t="s">
        <v>44</v>
      </c>
      <c r="D946" t="s">
        <v>95</v>
      </c>
      <c r="E946" t="s">
        <v>46</v>
      </c>
      <c r="F946" t="s">
        <v>30</v>
      </c>
      <c r="G946" t="s">
        <v>80</v>
      </c>
      <c r="H946" t="s">
        <v>71</v>
      </c>
      <c r="I946" t="s">
        <v>132</v>
      </c>
      <c r="J946" t="s">
        <v>2518</v>
      </c>
      <c r="K946" t="s">
        <v>917</v>
      </c>
      <c r="L946" t="s">
        <v>64</v>
      </c>
      <c r="M946" t="s">
        <v>40</v>
      </c>
      <c r="N946" t="s">
        <v>327</v>
      </c>
      <c r="O946" t="s">
        <v>64</v>
      </c>
      <c r="P946" t="s">
        <v>110</v>
      </c>
      <c r="Q946" t="s">
        <v>129</v>
      </c>
      <c r="R946">
        <v>64</v>
      </c>
      <c r="S946">
        <v>0</v>
      </c>
      <c r="T946" t="s">
        <v>85</v>
      </c>
      <c r="U946" t="s">
        <v>42</v>
      </c>
      <c r="V946">
        <v>2.2000000000000002</v>
      </c>
      <c r="W946">
        <v>2.9</v>
      </c>
      <c r="X946">
        <v>2.5</v>
      </c>
      <c r="Y946">
        <v>12.4</v>
      </c>
      <c r="Z946">
        <v>9.8000000000000007</v>
      </c>
    </row>
    <row r="947" spans="1:26" x14ac:dyDescent="0.45">
      <c r="A947" t="s">
        <v>2519</v>
      </c>
      <c r="B947">
        <v>78</v>
      </c>
      <c r="C947" t="s">
        <v>44</v>
      </c>
      <c r="D947" t="s">
        <v>106</v>
      </c>
      <c r="E947" t="s">
        <v>78</v>
      </c>
      <c r="F947" t="s">
        <v>79</v>
      </c>
      <c r="G947" t="s">
        <v>178</v>
      </c>
      <c r="H947" t="s">
        <v>81</v>
      </c>
      <c r="I947" t="s">
        <v>33</v>
      </c>
      <c r="J947" t="s">
        <v>356</v>
      </c>
      <c r="K947" t="s">
        <v>2520</v>
      </c>
      <c r="L947" t="s">
        <v>64</v>
      </c>
      <c r="M947" t="s">
        <v>75</v>
      </c>
      <c r="N947" t="s">
        <v>630</v>
      </c>
      <c r="O947" t="s">
        <v>64</v>
      </c>
      <c r="P947" t="s">
        <v>55</v>
      </c>
      <c r="Q947" t="s">
        <v>30</v>
      </c>
      <c r="R947">
        <v>95</v>
      </c>
      <c r="S947">
        <v>0</v>
      </c>
      <c r="T947" t="s">
        <v>123</v>
      </c>
      <c r="U947" t="s">
        <v>57</v>
      </c>
      <c r="V947">
        <v>1.23</v>
      </c>
      <c r="W947">
        <v>3.33</v>
      </c>
      <c r="X947">
        <v>9</v>
      </c>
      <c r="Y947">
        <v>8.6999999999999993</v>
      </c>
      <c r="Z947">
        <v>13.2</v>
      </c>
    </row>
    <row r="948" spans="1:26" x14ac:dyDescent="0.45">
      <c r="A948" t="s">
        <v>2521</v>
      </c>
      <c r="B948">
        <v>27</v>
      </c>
      <c r="C948" t="s">
        <v>27</v>
      </c>
      <c r="D948" t="s">
        <v>87</v>
      </c>
      <c r="E948" t="s">
        <v>29</v>
      </c>
      <c r="F948" t="s">
        <v>30</v>
      </c>
      <c r="G948" t="s">
        <v>440</v>
      </c>
      <c r="H948" t="s">
        <v>32</v>
      </c>
      <c r="I948" t="s">
        <v>72</v>
      </c>
      <c r="J948" t="s">
        <v>2522</v>
      </c>
      <c r="K948" t="s">
        <v>1523</v>
      </c>
      <c r="L948" t="s">
        <v>64</v>
      </c>
      <c r="M948" t="s">
        <v>697</v>
      </c>
      <c r="N948" t="s">
        <v>208</v>
      </c>
      <c r="O948" t="s">
        <v>64</v>
      </c>
      <c r="P948" t="s">
        <v>39</v>
      </c>
      <c r="Q948" t="s">
        <v>129</v>
      </c>
      <c r="R948">
        <v>78</v>
      </c>
      <c r="S948">
        <v>1</v>
      </c>
      <c r="T948" t="s">
        <v>85</v>
      </c>
      <c r="U948" t="s">
        <v>42</v>
      </c>
      <c r="V948">
        <v>3.66</v>
      </c>
      <c r="W948">
        <v>2.68</v>
      </c>
      <c r="X948">
        <v>7.3</v>
      </c>
      <c r="Y948">
        <v>13.4</v>
      </c>
      <c r="Z948">
        <v>11.6</v>
      </c>
    </row>
    <row r="949" spans="1:26" x14ac:dyDescent="0.45">
      <c r="A949" t="s">
        <v>2523</v>
      </c>
      <c r="B949">
        <v>35</v>
      </c>
      <c r="C949" t="s">
        <v>44</v>
      </c>
      <c r="D949" t="s">
        <v>106</v>
      </c>
      <c r="E949" t="s">
        <v>163</v>
      </c>
      <c r="F949" t="s">
        <v>47</v>
      </c>
      <c r="G949" t="s">
        <v>48</v>
      </c>
      <c r="H949" t="s">
        <v>71</v>
      </c>
      <c r="I949" t="s">
        <v>33</v>
      </c>
      <c r="J949" t="s">
        <v>1207</v>
      </c>
      <c r="K949" t="s">
        <v>2524</v>
      </c>
      <c r="L949" t="s">
        <v>64</v>
      </c>
      <c r="M949" t="s">
        <v>1547</v>
      </c>
      <c r="N949" t="s">
        <v>463</v>
      </c>
      <c r="O949" t="s">
        <v>64</v>
      </c>
      <c r="P949" t="s">
        <v>110</v>
      </c>
      <c r="Q949" t="s">
        <v>75</v>
      </c>
      <c r="R949">
        <v>88</v>
      </c>
      <c r="S949">
        <v>0</v>
      </c>
      <c r="T949" t="s">
        <v>85</v>
      </c>
      <c r="U949" t="s">
        <v>57</v>
      </c>
      <c r="V949">
        <v>1.03</v>
      </c>
      <c r="W949">
        <v>3.77</v>
      </c>
      <c r="X949">
        <v>7</v>
      </c>
      <c r="Y949">
        <v>6.7</v>
      </c>
      <c r="Z949">
        <v>9.3000000000000007</v>
      </c>
    </row>
    <row r="950" spans="1:26" x14ac:dyDescent="0.45">
      <c r="A950" t="s">
        <v>2525</v>
      </c>
      <c r="B950">
        <v>45</v>
      </c>
      <c r="C950" t="s">
        <v>27</v>
      </c>
      <c r="D950" t="s">
        <v>45</v>
      </c>
      <c r="E950" t="s">
        <v>78</v>
      </c>
      <c r="F950" t="s">
        <v>30</v>
      </c>
      <c r="G950" t="s">
        <v>118</v>
      </c>
      <c r="H950" t="s">
        <v>81</v>
      </c>
      <c r="I950" t="s">
        <v>33</v>
      </c>
      <c r="J950" t="s">
        <v>1225</v>
      </c>
      <c r="K950" t="s">
        <v>1268</v>
      </c>
      <c r="L950" t="s">
        <v>92</v>
      </c>
      <c r="M950" t="s">
        <v>438</v>
      </c>
      <c r="N950" t="s">
        <v>203</v>
      </c>
      <c r="O950" t="s">
        <v>92</v>
      </c>
      <c r="P950" t="s">
        <v>55</v>
      </c>
      <c r="Q950" t="s">
        <v>75</v>
      </c>
      <c r="R950">
        <v>160</v>
      </c>
      <c r="S950">
        <v>0</v>
      </c>
      <c r="T950" t="s">
        <v>56</v>
      </c>
      <c r="U950" t="s">
        <v>57</v>
      </c>
      <c r="V950">
        <v>4.92</v>
      </c>
      <c r="W950">
        <v>2.68</v>
      </c>
      <c r="X950">
        <v>5.5</v>
      </c>
      <c r="Y950">
        <v>22.4</v>
      </c>
      <c r="Z950">
        <v>15.2</v>
      </c>
    </row>
    <row r="951" spans="1:26" x14ac:dyDescent="0.45">
      <c r="A951" t="s">
        <v>2526</v>
      </c>
      <c r="B951">
        <v>58</v>
      </c>
      <c r="C951" t="s">
        <v>44</v>
      </c>
      <c r="D951" t="s">
        <v>87</v>
      </c>
      <c r="E951" t="s">
        <v>46</v>
      </c>
      <c r="F951" t="s">
        <v>30</v>
      </c>
      <c r="G951" t="s">
        <v>31</v>
      </c>
      <c r="H951" t="s">
        <v>81</v>
      </c>
      <c r="I951" t="s">
        <v>72</v>
      </c>
      <c r="J951" t="s">
        <v>1193</v>
      </c>
      <c r="K951" t="s">
        <v>211</v>
      </c>
      <c r="L951" t="s">
        <v>52</v>
      </c>
      <c r="M951" t="s">
        <v>40</v>
      </c>
      <c r="N951" t="s">
        <v>172</v>
      </c>
      <c r="O951" t="s">
        <v>52</v>
      </c>
      <c r="P951" t="s">
        <v>110</v>
      </c>
      <c r="Q951" t="s">
        <v>129</v>
      </c>
      <c r="R951">
        <v>57</v>
      </c>
      <c r="S951">
        <v>0</v>
      </c>
      <c r="T951" t="s">
        <v>56</v>
      </c>
      <c r="U951" t="s">
        <v>57</v>
      </c>
      <c r="V951">
        <v>3.33</v>
      </c>
      <c r="W951">
        <v>4.1900000000000004</v>
      </c>
      <c r="X951">
        <v>8.8000000000000007</v>
      </c>
      <c r="Y951">
        <v>14.2</v>
      </c>
      <c r="Z951">
        <v>11.1</v>
      </c>
    </row>
    <row r="952" spans="1:26" x14ac:dyDescent="0.45">
      <c r="A952" t="s">
        <v>2527</v>
      </c>
      <c r="B952">
        <v>22</v>
      </c>
      <c r="C952" t="s">
        <v>27</v>
      </c>
      <c r="D952" t="s">
        <v>28</v>
      </c>
      <c r="E952" t="s">
        <v>46</v>
      </c>
      <c r="F952" t="s">
        <v>30</v>
      </c>
      <c r="G952" t="s">
        <v>246</v>
      </c>
      <c r="H952" t="s">
        <v>61</v>
      </c>
      <c r="I952" t="s">
        <v>33</v>
      </c>
      <c r="J952" t="s">
        <v>735</v>
      </c>
      <c r="K952" t="s">
        <v>307</v>
      </c>
      <c r="L952" t="s">
        <v>64</v>
      </c>
      <c r="M952" t="s">
        <v>249</v>
      </c>
      <c r="N952" t="s">
        <v>217</v>
      </c>
      <c r="O952" t="s">
        <v>64</v>
      </c>
      <c r="P952" t="s">
        <v>55</v>
      </c>
      <c r="Q952" t="s">
        <v>40</v>
      </c>
      <c r="R952">
        <v>145</v>
      </c>
      <c r="S952">
        <v>0</v>
      </c>
      <c r="T952" t="s">
        <v>123</v>
      </c>
      <c r="U952" t="s">
        <v>57</v>
      </c>
      <c r="V952">
        <v>2.54</v>
      </c>
      <c r="W952">
        <v>4.87</v>
      </c>
      <c r="X952">
        <v>7.3</v>
      </c>
      <c r="Y952">
        <v>7.5</v>
      </c>
      <c r="Z952">
        <v>17.7</v>
      </c>
    </row>
    <row r="953" spans="1:26" x14ac:dyDescent="0.45">
      <c r="A953" t="s">
        <v>2528</v>
      </c>
      <c r="B953">
        <v>30</v>
      </c>
      <c r="C953" t="s">
        <v>27</v>
      </c>
      <c r="D953" t="s">
        <v>87</v>
      </c>
      <c r="E953" t="s">
        <v>29</v>
      </c>
      <c r="F953" t="s">
        <v>88</v>
      </c>
      <c r="G953" t="s">
        <v>194</v>
      </c>
      <c r="H953" t="s">
        <v>71</v>
      </c>
      <c r="I953" t="s">
        <v>33</v>
      </c>
      <c r="J953" t="s">
        <v>2529</v>
      </c>
      <c r="K953" t="s">
        <v>381</v>
      </c>
      <c r="L953" t="s">
        <v>36</v>
      </c>
      <c r="M953" t="s">
        <v>30</v>
      </c>
      <c r="N953" t="s">
        <v>550</v>
      </c>
      <c r="O953" t="s">
        <v>36</v>
      </c>
      <c r="P953" t="s">
        <v>39</v>
      </c>
      <c r="Q953" t="s">
        <v>129</v>
      </c>
      <c r="R953">
        <v>97</v>
      </c>
      <c r="S953">
        <v>1</v>
      </c>
      <c r="T953" t="s">
        <v>123</v>
      </c>
      <c r="U953" t="s">
        <v>42</v>
      </c>
      <c r="V953">
        <v>2.92</v>
      </c>
      <c r="W953">
        <v>1.28</v>
      </c>
      <c r="X953">
        <v>5.9</v>
      </c>
      <c r="Y953">
        <v>13.5</v>
      </c>
      <c r="Z953">
        <v>17.899999999999999</v>
      </c>
    </row>
    <row r="954" spans="1:26" x14ac:dyDescent="0.45">
      <c r="A954" t="s">
        <v>2530</v>
      </c>
      <c r="B954">
        <v>47</v>
      </c>
      <c r="C954" t="s">
        <v>27</v>
      </c>
      <c r="D954" t="s">
        <v>45</v>
      </c>
      <c r="E954" t="s">
        <v>163</v>
      </c>
      <c r="F954" t="s">
        <v>30</v>
      </c>
      <c r="G954" t="s">
        <v>194</v>
      </c>
      <c r="H954" t="s">
        <v>81</v>
      </c>
      <c r="I954" t="s">
        <v>33</v>
      </c>
      <c r="J954" t="s">
        <v>648</v>
      </c>
      <c r="K954" t="s">
        <v>649</v>
      </c>
      <c r="L954" t="s">
        <v>64</v>
      </c>
      <c r="M954" t="s">
        <v>129</v>
      </c>
      <c r="N954" t="s">
        <v>296</v>
      </c>
      <c r="O954" t="s">
        <v>64</v>
      </c>
      <c r="P954" t="s">
        <v>110</v>
      </c>
      <c r="Q954" t="s">
        <v>40</v>
      </c>
      <c r="R954">
        <v>99</v>
      </c>
      <c r="S954">
        <v>0</v>
      </c>
      <c r="T954" t="s">
        <v>123</v>
      </c>
      <c r="U954" t="s">
        <v>42</v>
      </c>
      <c r="V954">
        <v>1.82</v>
      </c>
      <c r="W954">
        <v>4.3099999999999996</v>
      </c>
      <c r="X954">
        <v>6</v>
      </c>
      <c r="Y954">
        <v>7</v>
      </c>
      <c r="Z954">
        <v>19.5</v>
      </c>
    </row>
    <row r="955" spans="1:26" x14ac:dyDescent="0.45">
      <c r="A955" t="s">
        <v>2531</v>
      </c>
      <c r="B955">
        <v>38</v>
      </c>
      <c r="C955" t="s">
        <v>44</v>
      </c>
      <c r="D955" t="s">
        <v>28</v>
      </c>
      <c r="E955" t="s">
        <v>46</v>
      </c>
      <c r="F955" t="s">
        <v>30</v>
      </c>
      <c r="G955" t="s">
        <v>125</v>
      </c>
      <c r="H955" t="s">
        <v>61</v>
      </c>
      <c r="I955" t="s">
        <v>33</v>
      </c>
      <c r="J955" t="s">
        <v>1497</v>
      </c>
      <c r="K955" t="s">
        <v>1942</v>
      </c>
      <c r="L955" t="s">
        <v>52</v>
      </c>
      <c r="M955" t="s">
        <v>30</v>
      </c>
      <c r="N955" t="s">
        <v>2118</v>
      </c>
      <c r="O955" t="s">
        <v>52</v>
      </c>
      <c r="P955" t="s">
        <v>55</v>
      </c>
      <c r="Q955" t="s">
        <v>129</v>
      </c>
      <c r="R955">
        <v>180</v>
      </c>
      <c r="S955">
        <v>0</v>
      </c>
      <c r="T955" t="s">
        <v>85</v>
      </c>
      <c r="U955" t="s">
        <v>57</v>
      </c>
      <c r="V955">
        <v>3.05</v>
      </c>
      <c r="W955">
        <v>2.16</v>
      </c>
      <c r="X955">
        <v>5.2</v>
      </c>
      <c r="Y955">
        <v>21.4</v>
      </c>
      <c r="Z955">
        <v>8.1999999999999993</v>
      </c>
    </row>
    <row r="956" spans="1:26" x14ac:dyDescent="0.45">
      <c r="A956" t="s">
        <v>2532</v>
      </c>
      <c r="B956">
        <v>37</v>
      </c>
      <c r="C956" t="s">
        <v>45</v>
      </c>
      <c r="D956" t="s">
        <v>95</v>
      </c>
      <c r="E956" t="s">
        <v>30</v>
      </c>
      <c r="F956" t="s">
        <v>30</v>
      </c>
      <c r="G956" t="s">
        <v>80</v>
      </c>
      <c r="H956" t="s">
        <v>81</v>
      </c>
      <c r="I956" t="s">
        <v>72</v>
      </c>
      <c r="J956" t="s">
        <v>870</v>
      </c>
      <c r="K956" t="s">
        <v>2533</v>
      </c>
      <c r="L956" t="s">
        <v>36</v>
      </c>
      <c r="M956" t="s">
        <v>339</v>
      </c>
      <c r="N956" t="s">
        <v>198</v>
      </c>
      <c r="O956" t="s">
        <v>36</v>
      </c>
      <c r="P956" t="s">
        <v>39</v>
      </c>
      <c r="Q956" t="s">
        <v>30</v>
      </c>
      <c r="R956">
        <v>84</v>
      </c>
      <c r="S956">
        <v>1</v>
      </c>
      <c r="T956" t="s">
        <v>41</v>
      </c>
      <c r="U956" t="s">
        <v>57</v>
      </c>
      <c r="V956">
        <v>1.77</v>
      </c>
      <c r="W956">
        <v>1.52</v>
      </c>
      <c r="X956">
        <v>3.7</v>
      </c>
      <c r="Y956">
        <v>20</v>
      </c>
      <c r="Z956">
        <v>11</v>
      </c>
    </row>
    <row r="957" spans="1:26" x14ac:dyDescent="0.45">
      <c r="A957" t="s">
        <v>2534</v>
      </c>
      <c r="B957">
        <v>30</v>
      </c>
      <c r="C957" t="s">
        <v>27</v>
      </c>
      <c r="D957" t="s">
        <v>45</v>
      </c>
      <c r="E957" t="s">
        <v>29</v>
      </c>
      <c r="F957" t="s">
        <v>79</v>
      </c>
      <c r="G957" t="s">
        <v>276</v>
      </c>
      <c r="H957" t="s">
        <v>81</v>
      </c>
      <c r="I957" t="s">
        <v>33</v>
      </c>
      <c r="J957" t="s">
        <v>2535</v>
      </c>
      <c r="K957" t="s">
        <v>97</v>
      </c>
      <c r="L957" t="s">
        <v>92</v>
      </c>
      <c r="M957" t="s">
        <v>274</v>
      </c>
      <c r="N957" t="s">
        <v>2118</v>
      </c>
      <c r="O957" t="s">
        <v>92</v>
      </c>
      <c r="P957" t="s">
        <v>55</v>
      </c>
      <c r="Q957" t="s">
        <v>40</v>
      </c>
      <c r="R957">
        <v>73</v>
      </c>
      <c r="S957">
        <v>0</v>
      </c>
      <c r="T957" t="s">
        <v>123</v>
      </c>
      <c r="U957" t="s">
        <v>42</v>
      </c>
      <c r="V957">
        <v>1.91</v>
      </c>
      <c r="W957">
        <v>1.66</v>
      </c>
      <c r="X957">
        <v>4</v>
      </c>
      <c r="Y957">
        <v>22.9</v>
      </c>
      <c r="Z957">
        <v>8.8000000000000007</v>
      </c>
    </row>
    <row r="958" spans="1:26" x14ac:dyDescent="0.45">
      <c r="A958" t="s">
        <v>2536</v>
      </c>
      <c r="B958">
        <v>22</v>
      </c>
      <c r="C958" t="s">
        <v>27</v>
      </c>
      <c r="D958" t="s">
        <v>45</v>
      </c>
      <c r="E958" t="s">
        <v>30</v>
      </c>
      <c r="F958" t="s">
        <v>30</v>
      </c>
      <c r="G958" t="s">
        <v>60</v>
      </c>
      <c r="H958" t="s">
        <v>81</v>
      </c>
      <c r="I958" t="s">
        <v>33</v>
      </c>
      <c r="J958" t="s">
        <v>1778</v>
      </c>
      <c r="K958" t="s">
        <v>1822</v>
      </c>
      <c r="L958" t="s">
        <v>52</v>
      </c>
      <c r="M958" t="s">
        <v>536</v>
      </c>
      <c r="N958" t="s">
        <v>636</v>
      </c>
      <c r="O958" t="s">
        <v>52</v>
      </c>
      <c r="P958" t="s">
        <v>55</v>
      </c>
      <c r="Q958" t="s">
        <v>40</v>
      </c>
      <c r="R958">
        <v>151</v>
      </c>
      <c r="S958">
        <v>0</v>
      </c>
      <c r="T958" t="s">
        <v>85</v>
      </c>
      <c r="U958" t="s">
        <v>57</v>
      </c>
      <c r="V958">
        <v>4.95</v>
      </c>
      <c r="W958">
        <v>2.94</v>
      </c>
      <c r="X958">
        <v>2.6</v>
      </c>
      <c r="Y958">
        <v>22</v>
      </c>
      <c r="Z958">
        <v>10.8</v>
      </c>
    </row>
    <row r="959" spans="1:26" x14ac:dyDescent="0.45">
      <c r="A959" t="s">
        <v>2537</v>
      </c>
      <c r="B959">
        <v>21</v>
      </c>
      <c r="C959" t="s">
        <v>27</v>
      </c>
      <c r="D959" t="s">
        <v>87</v>
      </c>
      <c r="E959" t="s">
        <v>78</v>
      </c>
      <c r="F959" t="s">
        <v>59</v>
      </c>
      <c r="G959" t="s">
        <v>80</v>
      </c>
      <c r="H959" t="s">
        <v>61</v>
      </c>
      <c r="I959" t="s">
        <v>49</v>
      </c>
      <c r="J959" t="s">
        <v>225</v>
      </c>
      <c r="K959" t="s">
        <v>2538</v>
      </c>
      <c r="L959" t="s">
        <v>92</v>
      </c>
      <c r="M959" t="s">
        <v>129</v>
      </c>
      <c r="N959" t="s">
        <v>142</v>
      </c>
      <c r="O959" t="s">
        <v>92</v>
      </c>
      <c r="P959" t="s">
        <v>55</v>
      </c>
      <c r="Q959" t="s">
        <v>67</v>
      </c>
      <c r="R959">
        <v>71</v>
      </c>
      <c r="S959">
        <v>0</v>
      </c>
      <c r="T959" t="s">
        <v>123</v>
      </c>
      <c r="U959" t="s">
        <v>42</v>
      </c>
      <c r="V959">
        <v>3.84</v>
      </c>
      <c r="W959">
        <v>4.93</v>
      </c>
      <c r="X959">
        <v>1.5</v>
      </c>
      <c r="Y959">
        <v>7.7</v>
      </c>
      <c r="Z959">
        <v>15.2</v>
      </c>
    </row>
    <row r="960" spans="1:26" x14ac:dyDescent="0.45">
      <c r="A960" t="s">
        <v>2539</v>
      </c>
      <c r="B960">
        <v>44</v>
      </c>
      <c r="C960" t="s">
        <v>45</v>
      </c>
      <c r="D960" t="s">
        <v>95</v>
      </c>
      <c r="E960" t="s">
        <v>29</v>
      </c>
      <c r="F960" t="s">
        <v>69</v>
      </c>
      <c r="G960" t="s">
        <v>70</v>
      </c>
      <c r="H960" t="s">
        <v>61</v>
      </c>
      <c r="I960" t="s">
        <v>33</v>
      </c>
      <c r="J960" t="s">
        <v>389</v>
      </c>
      <c r="K960" t="s">
        <v>1764</v>
      </c>
      <c r="L960" t="s">
        <v>92</v>
      </c>
      <c r="M960" t="s">
        <v>427</v>
      </c>
      <c r="N960" t="s">
        <v>754</v>
      </c>
      <c r="O960" t="s">
        <v>92</v>
      </c>
      <c r="P960" t="s">
        <v>55</v>
      </c>
      <c r="Q960" t="s">
        <v>129</v>
      </c>
      <c r="R960">
        <v>156</v>
      </c>
      <c r="S960">
        <v>0</v>
      </c>
      <c r="T960" t="s">
        <v>123</v>
      </c>
      <c r="U960" t="s">
        <v>42</v>
      </c>
      <c r="V960">
        <v>2.13</v>
      </c>
      <c r="W960">
        <v>1.74</v>
      </c>
      <c r="X960">
        <v>1.4</v>
      </c>
      <c r="Y960">
        <v>6.4</v>
      </c>
      <c r="Z960">
        <v>16.2</v>
      </c>
    </row>
    <row r="961" spans="1:26" x14ac:dyDescent="0.45">
      <c r="A961" t="s">
        <v>2540</v>
      </c>
      <c r="B961">
        <v>26</v>
      </c>
      <c r="C961" t="s">
        <v>44</v>
      </c>
      <c r="D961" t="s">
        <v>87</v>
      </c>
      <c r="E961" t="s">
        <v>78</v>
      </c>
      <c r="F961" t="s">
        <v>79</v>
      </c>
      <c r="G961" t="s">
        <v>48</v>
      </c>
      <c r="H961" t="s">
        <v>61</v>
      </c>
      <c r="I961" t="s">
        <v>72</v>
      </c>
      <c r="J961" t="s">
        <v>2541</v>
      </c>
      <c r="K961" t="s">
        <v>523</v>
      </c>
      <c r="L961" t="s">
        <v>52</v>
      </c>
      <c r="M961" t="s">
        <v>30</v>
      </c>
      <c r="N961" t="s">
        <v>109</v>
      </c>
      <c r="O961" t="s">
        <v>52</v>
      </c>
      <c r="P961" t="s">
        <v>39</v>
      </c>
      <c r="Q961" t="s">
        <v>40</v>
      </c>
      <c r="R961">
        <v>33</v>
      </c>
      <c r="S961">
        <v>1</v>
      </c>
      <c r="T961" t="s">
        <v>41</v>
      </c>
      <c r="U961" t="s">
        <v>57</v>
      </c>
      <c r="V961">
        <v>1.54</v>
      </c>
      <c r="W961">
        <v>2.87</v>
      </c>
      <c r="X961">
        <v>6.5</v>
      </c>
      <c r="Y961">
        <v>13.7</v>
      </c>
      <c r="Z961">
        <v>3.5</v>
      </c>
    </row>
    <row r="962" spans="1:26" x14ac:dyDescent="0.45">
      <c r="A962" t="s">
        <v>2542</v>
      </c>
      <c r="B962">
        <v>41</v>
      </c>
      <c r="C962" t="s">
        <v>27</v>
      </c>
      <c r="D962" t="s">
        <v>45</v>
      </c>
      <c r="E962" t="s">
        <v>30</v>
      </c>
      <c r="F962" t="s">
        <v>30</v>
      </c>
      <c r="G962" t="s">
        <v>96</v>
      </c>
      <c r="H962" t="s">
        <v>61</v>
      </c>
      <c r="I962" t="s">
        <v>132</v>
      </c>
      <c r="J962" t="s">
        <v>2543</v>
      </c>
      <c r="K962" t="s">
        <v>144</v>
      </c>
      <c r="L962" t="s">
        <v>36</v>
      </c>
      <c r="M962" t="s">
        <v>40</v>
      </c>
      <c r="N962" t="s">
        <v>66</v>
      </c>
      <c r="O962" t="s">
        <v>36</v>
      </c>
      <c r="P962" t="s">
        <v>39</v>
      </c>
      <c r="Q962" t="s">
        <v>67</v>
      </c>
      <c r="R962">
        <v>76</v>
      </c>
      <c r="S962">
        <v>1</v>
      </c>
      <c r="T962" t="s">
        <v>56</v>
      </c>
      <c r="U962" t="s">
        <v>57</v>
      </c>
      <c r="V962">
        <v>4.13</v>
      </c>
      <c r="W962">
        <v>1.04</v>
      </c>
      <c r="X962">
        <v>7.9</v>
      </c>
      <c r="Y962">
        <v>22.1</v>
      </c>
      <c r="Z962">
        <v>10.4</v>
      </c>
    </row>
    <row r="963" spans="1:26" x14ac:dyDescent="0.45">
      <c r="A963" t="s">
        <v>2544</v>
      </c>
      <c r="B963">
        <v>58</v>
      </c>
      <c r="C963" t="s">
        <v>27</v>
      </c>
      <c r="D963" t="s">
        <v>106</v>
      </c>
      <c r="E963" t="s">
        <v>46</v>
      </c>
      <c r="F963" t="s">
        <v>88</v>
      </c>
      <c r="G963" t="s">
        <v>440</v>
      </c>
      <c r="H963" t="s">
        <v>32</v>
      </c>
      <c r="I963" t="s">
        <v>49</v>
      </c>
      <c r="J963" t="s">
        <v>912</v>
      </c>
      <c r="K963" t="s">
        <v>1629</v>
      </c>
      <c r="L963" t="s">
        <v>64</v>
      </c>
      <c r="M963" t="s">
        <v>2545</v>
      </c>
      <c r="N963" t="s">
        <v>466</v>
      </c>
      <c r="O963" t="s">
        <v>64</v>
      </c>
      <c r="P963" t="s">
        <v>39</v>
      </c>
      <c r="Q963" t="s">
        <v>67</v>
      </c>
      <c r="R963">
        <v>57</v>
      </c>
      <c r="S963">
        <v>1</v>
      </c>
      <c r="T963" t="s">
        <v>123</v>
      </c>
      <c r="U963" t="s">
        <v>42</v>
      </c>
      <c r="V963">
        <v>3.14</v>
      </c>
      <c r="W963">
        <v>2.91</v>
      </c>
      <c r="X963">
        <v>4.5</v>
      </c>
      <c r="Y963">
        <v>22</v>
      </c>
      <c r="Z963">
        <v>18.2</v>
      </c>
    </row>
    <row r="964" spans="1:26" x14ac:dyDescent="0.45">
      <c r="A964" t="s">
        <v>2546</v>
      </c>
      <c r="B964">
        <v>58</v>
      </c>
      <c r="C964" t="s">
        <v>45</v>
      </c>
      <c r="D964" t="s">
        <v>45</v>
      </c>
      <c r="E964" t="s">
        <v>163</v>
      </c>
      <c r="F964" t="s">
        <v>47</v>
      </c>
      <c r="G964" t="s">
        <v>178</v>
      </c>
      <c r="H964" t="s">
        <v>81</v>
      </c>
      <c r="I964" t="s">
        <v>132</v>
      </c>
      <c r="J964" t="s">
        <v>793</v>
      </c>
      <c r="K964" t="s">
        <v>243</v>
      </c>
      <c r="L964" t="s">
        <v>36</v>
      </c>
      <c r="M964" t="s">
        <v>216</v>
      </c>
      <c r="N964" t="s">
        <v>335</v>
      </c>
      <c r="O964" t="s">
        <v>36</v>
      </c>
      <c r="P964" t="s">
        <v>55</v>
      </c>
      <c r="Q964" t="s">
        <v>40</v>
      </c>
      <c r="R964">
        <v>45</v>
      </c>
      <c r="S964">
        <v>0</v>
      </c>
      <c r="T964" t="s">
        <v>123</v>
      </c>
      <c r="U964" t="s">
        <v>57</v>
      </c>
      <c r="V964">
        <v>2.34</v>
      </c>
      <c r="W964">
        <v>3.46</v>
      </c>
      <c r="X964">
        <v>9.3000000000000007</v>
      </c>
      <c r="Y964">
        <v>23.3</v>
      </c>
      <c r="Z964">
        <v>11.7</v>
      </c>
    </row>
    <row r="965" spans="1:26" x14ac:dyDescent="0.45">
      <c r="A965" t="s">
        <v>2547</v>
      </c>
      <c r="B965">
        <v>57</v>
      </c>
      <c r="C965" t="s">
        <v>44</v>
      </c>
      <c r="D965" t="s">
        <v>28</v>
      </c>
      <c r="E965" t="s">
        <v>163</v>
      </c>
      <c r="F965" t="s">
        <v>30</v>
      </c>
      <c r="G965" t="s">
        <v>60</v>
      </c>
      <c r="H965" t="s">
        <v>81</v>
      </c>
      <c r="I965" t="s">
        <v>49</v>
      </c>
      <c r="J965" t="s">
        <v>625</v>
      </c>
      <c r="K965" t="s">
        <v>200</v>
      </c>
      <c r="L965" t="s">
        <v>36</v>
      </c>
      <c r="M965" t="s">
        <v>155</v>
      </c>
      <c r="N965" t="s">
        <v>630</v>
      </c>
      <c r="O965" t="s">
        <v>36</v>
      </c>
      <c r="P965" t="s">
        <v>55</v>
      </c>
      <c r="Q965" t="s">
        <v>30</v>
      </c>
      <c r="R965">
        <v>41</v>
      </c>
      <c r="S965">
        <v>0</v>
      </c>
      <c r="T965" t="s">
        <v>123</v>
      </c>
      <c r="U965" t="s">
        <v>57</v>
      </c>
      <c r="V965">
        <v>2.81</v>
      </c>
      <c r="W965">
        <v>2.11</v>
      </c>
      <c r="X965">
        <v>9.6</v>
      </c>
      <c r="Y965">
        <v>8.6</v>
      </c>
      <c r="Z965">
        <v>12.9</v>
      </c>
    </row>
    <row r="966" spans="1:26" x14ac:dyDescent="0.45">
      <c r="A966" t="s">
        <v>2548</v>
      </c>
      <c r="B966">
        <v>85</v>
      </c>
      <c r="C966" t="s">
        <v>27</v>
      </c>
      <c r="D966" t="s">
        <v>95</v>
      </c>
      <c r="E966" t="s">
        <v>29</v>
      </c>
      <c r="F966" t="s">
        <v>30</v>
      </c>
      <c r="G966" t="s">
        <v>96</v>
      </c>
      <c r="H966" t="s">
        <v>71</v>
      </c>
      <c r="I966" t="s">
        <v>132</v>
      </c>
      <c r="J966" t="s">
        <v>2114</v>
      </c>
      <c r="K966" t="s">
        <v>1676</v>
      </c>
      <c r="L966" t="s">
        <v>36</v>
      </c>
      <c r="M966" t="s">
        <v>187</v>
      </c>
      <c r="N966" t="s">
        <v>759</v>
      </c>
      <c r="O966" t="s">
        <v>36</v>
      </c>
      <c r="P966" t="s">
        <v>39</v>
      </c>
      <c r="Q966" t="s">
        <v>129</v>
      </c>
      <c r="R966">
        <v>87</v>
      </c>
      <c r="S966">
        <v>1</v>
      </c>
      <c r="T966" t="s">
        <v>85</v>
      </c>
      <c r="U966" t="s">
        <v>57</v>
      </c>
      <c r="V966">
        <v>2.13</v>
      </c>
      <c r="W966">
        <v>2.12</v>
      </c>
      <c r="X966">
        <v>4.5999999999999996</v>
      </c>
      <c r="Y966">
        <v>24</v>
      </c>
      <c r="Z966">
        <v>3.9</v>
      </c>
    </row>
    <row r="967" spans="1:26" x14ac:dyDescent="0.45">
      <c r="A967" t="s">
        <v>2549</v>
      </c>
      <c r="B967">
        <v>58</v>
      </c>
      <c r="C967" t="s">
        <v>44</v>
      </c>
      <c r="D967" t="s">
        <v>95</v>
      </c>
      <c r="E967" t="s">
        <v>46</v>
      </c>
      <c r="F967" t="s">
        <v>88</v>
      </c>
      <c r="G967" t="s">
        <v>112</v>
      </c>
      <c r="H967" t="s">
        <v>61</v>
      </c>
      <c r="I967" t="s">
        <v>72</v>
      </c>
      <c r="J967" t="s">
        <v>482</v>
      </c>
      <c r="K967" t="s">
        <v>1756</v>
      </c>
      <c r="L967" t="s">
        <v>52</v>
      </c>
      <c r="M967" t="s">
        <v>30</v>
      </c>
      <c r="N967" t="s">
        <v>38</v>
      </c>
      <c r="O967" t="s">
        <v>52</v>
      </c>
      <c r="P967" t="s">
        <v>39</v>
      </c>
      <c r="Q967" t="s">
        <v>67</v>
      </c>
      <c r="R967">
        <v>85</v>
      </c>
      <c r="S967">
        <v>1</v>
      </c>
      <c r="T967" t="s">
        <v>123</v>
      </c>
      <c r="U967" t="s">
        <v>42</v>
      </c>
      <c r="V967">
        <v>3.31</v>
      </c>
      <c r="W967">
        <v>1.33</v>
      </c>
      <c r="X967">
        <v>2.4</v>
      </c>
      <c r="Y967">
        <v>13.9</v>
      </c>
      <c r="Z967">
        <v>11.7</v>
      </c>
    </row>
    <row r="968" spans="1:26" x14ac:dyDescent="0.45">
      <c r="A968" t="s">
        <v>2550</v>
      </c>
      <c r="B968">
        <v>20</v>
      </c>
      <c r="C968" t="s">
        <v>27</v>
      </c>
      <c r="D968" t="s">
        <v>45</v>
      </c>
      <c r="E968" t="s">
        <v>29</v>
      </c>
      <c r="F968" t="s">
        <v>59</v>
      </c>
      <c r="G968" t="s">
        <v>131</v>
      </c>
      <c r="H968" t="s">
        <v>81</v>
      </c>
      <c r="I968" t="s">
        <v>72</v>
      </c>
      <c r="J968" t="s">
        <v>639</v>
      </c>
      <c r="K968" t="s">
        <v>2551</v>
      </c>
      <c r="L968" t="s">
        <v>92</v>
      </c>
      <c r="M968" t="s">
        <v>581</v>
      </c>
      <c r="N968" t="s">
        <v>822</v>
      </c>
      <c r="O968" t="s">
        <v>92</v>
      </c>
      <c r="P968" t="s">
        <v>39</v>
      </c>
      <c r="Q968" t="s">
        <v>40</v>
      </c>
      <c r="R968">
        <v>30</v>
      </c>
      <c r="S968">
        <v>1</v>
      </c>
      <c r="T968" t="s">
        <v>123</v>
      </c>
      <c r="U968" t="s">
        <v>42</v>
      </c>
      <c r="V968">
        <v>2.04</v>
      </c>
      <c r="W968">
        <v>2.27</v>
      </c>
      <c r="X968">
        <v>1.8</v>
      </c>
      <c r="Y968">
        <v>11.5</v>
      </c>
      <c r="Z968">
        <v>19.399999999999999</v>
      </c>
    </row>
    <row r="969" spans="1:26" x14ac:dyDescent="0.45">
      <c r="A969" t="s">
        <v>2552</v>
      </c>
      <c r="B969">
        <v>67</v>
      </c>
      <c r="C969" t="s">
        <v>45</v>
      </c>
      <c r="D969" t="s">
        <v>106</v>
      </c>
      <c r="E969" t="s">
        <v>46</v>
      </c>
      <c r="F969" t="s">
        <v>47</v>
      </c>
      <c r="G969" t="s">
        <v>89</v>
      </c>
      <c r="H969" t="s">
        <v>81</v>
      </c>
      <c r="I969" t="s">
        <v>33</v>
      </c>
      <c r="J969" t="s">
        <v>2553</v>
      </c>
      <c r="K969" t="s">
        <v>2378</v>
      </c>
      <c r="L969" t="s">
        <v>64</v>
      </c>
      <c r="M969" t="s">
        <v>536</v>
      </c>
      <c r="N969" t="s">
        <v>1836</v>
      </c>
      <c r="O969" t="s">
        <v>64</v>
      </c>
      <c r="P969" t="s">
        <v>55</v>
      </c>
      <c r="Q969" t="s">
        <v>40</v>
      </c>
      <c r="R969">
        <v>96</v>
      </c>
      <c r="S969">
        <v>0</v>
      </c>
      <c r="T969" t="s">
        <v>56</v>
      </c>
      <c r="U969" t="s">
        <v>42</v>
      </c>
      <c r="V969">
        <v>4.78</v>
      </c>
      <c r="W969">
        <v>2.34</v>
      </c>
      <c r="X969">
        <v>6.1</v>
      </c>
      <c r="Y969">
        <v>22.4</v>
      </c>
      <c r="Z969">
        <v>3.1</v>
      </c>
    </row>
    <row r="970" spans="1:26" x14ac:dyDescent="0.45">
      <c r="A970" t="s">
        <v>2554</v>
      </c>
      <c r="B970">
        <v>23</v>
      </c>
      <c r="C970" t="s">
        <v>27</v>
      </c>
      <c r="D970" t="s">
        <v>87</v>
      </c>
      <c r="E970" t="s">
        <v>29</v>
      </c>
      <c r="F970" t="s">
        <v>30</v>
      </c>
      <c r="G970" t="s">
        <v>80</v>
      </c>
      <c r="H970" t="s">
        <v>32</v>
      </c>
      <c r="I970" t="s">
        <v>72</v>
      </c>
      <c r="J970" t="s">
        <v>2555</v>
      </c>
      <c r="K970" t="s">
        <v>2518</v>
      </c>
      <c r="L970" t="s">
        <v>52</v>
      </c>
      <c r="M970" t="s">
        <v>451</v>
      </c>
      <c r="N970" t="s">
        <v>1132</v>
      </c>
      <c r="O970" t="s">
        <v>52</v>
      </c>
      <c r="P970" t="s">
        <v>39</v>
      </c>
      <c r="Q970" t="s">
        <v>30</v>
      </c>
      <c r="R970">
        <v>53</v>
      </c>
      <c r="S970">
        <v>1</v>
      </c>
      <c r="T970" t="s">
        <v>85</v>
      </c>
      <c r="U970" t="s">
        <v>57</v>
      </c>
      <c r="V970">
        <v>4.24</v>
      </c>
      <c r="W970">
        <v>4.79</v>
      </c>
      <c r="X970">
        <v>1.8</v>
      </c>
      <c r="Y970">
        <v>8.9</v>
      </c>
      <c r="Z970">
        <v>19.3</v>
      </c>
    </row>
    <row r="971" spans="1:26" x14ac:dyDescent="0.45">
      <c r="A971" t="s">
        <v>2556</v>
      </c>
      <c r="B971">
        <v>51</v>
      </c>
      <c r="C971" t="s">
        <v>44</v>
      </c>
      <c r="D971" t="s">
        <v>45</v>
      </c>
      <c r="E971" t="s">
        <v>46</v>
      </c>
      <c r="F971" t="s">
        <v>30</v>
      </c>
      <c r="G971" t="s">
        <v>276</v>
      </c>
      <c r="H971" t="s">
        <v>71</v>
      </c>
      <c r="I971" t="s">
        <v>49</v>
      </c>
      <c r="J971" t="s">
        <v>2037</v>
      </c>
      <c r="K971" t="s">
        <v>457</v>
      </c>
      <c r="L971" t="s">
        <v>92</v>
      </c>
      <c r="M971" t="s">
        <v>30</v>
      </c>
      <c r="N971" t="s">
        <v>1204</v>
      </c>
      <c r="O971" t="s">
        <v>92</v>
      </c>
      <c r="P971" t="s">
        <v>55</v>
      </c>
      <c r="Q971" t="s">
        <v>67</v>
      </c>
      <c r="R971">
        <v>101</v>
      </c>
      <c r="S971">
        <v>0</v>
      </c>
      <c r="T971" t="s">
        <v>56</v>
      </c>
      <c r="U971" t="s">
        <v>57</v>
      </c>
      <c r="V971">
        <v>3.15</v>
      </c>
      <c r="W971">
        <v>1.06</v>
      </c>
      <c r="X971">
        <v>3.3</v>
      </c>
      <c r="Y971">
        <v>14.1</v>
      </c>
      <c r="Z971">
        <v>14.8</v>
      </c>
    </row>
    <row r="972" spans="1:26" x14ac:dyDescent="0.45">
      <c r="A972" t="s">
        <v>2557</v>
      </c>
      <c r="B972">
        <v>21</v>
      </c>
      <c r="C972" t="s">
        <v>44</v>
      </c>
      <c r="D972" t="s">
        <v>28</v>
      </c>
      <c r="E972" t="s">
        <v>78</v>
      </c>
      <c r="F972" t="s">
        <v>30</v>
      </c>
      <c r="G972" t="s">
        <v>152</v>
      </c>
      <c r="H972" t="s">
        <v>32</v>
      </c>
      <c r="I972" t="s">
        <v>132</v>
      </c>
      <c r="J972" t="s">
        <v>2558</v>
      </c>
      <c r="K972" t="s">
        <v>2559</v>
      </c>
      <c r="L972" t="s">
        <v>36</v>
      </c>
      <c r="M972" t="s">
        <v>37</v>
      </c>
      <c r="N972" t="s">
        <v>212</v>
      </c>
      <c r="O972" t="s">
        <v>36</v>
      </c>
      <c r="P972" t="s">
        <v>39</v>
      </c>
      <c r="Q972" t="s">
        <v>75</v>
      </c>
      <c r="R972">
        <v>65</v>
      </c>
      <c r="S972">
        <v>1</v>
      </c>
      <c r="T972" t="s">
        <v>137</v>
      </c>
      <c r="U972" t="s">
        <v>42</v>
      </c>
      <c r="V972">
        <v>3.93</v>
      </c>
      <c r="W972">
        <v>4.9800000000000004</v>
      </c>
      <c r="X972">
        <v>3.6</v>
      </c>
      <c r="Y972">
        <v>15.7</v>
      </c>
      <c r="Z972">
        <v>12.1</v>
      </c>
    </row>
    <row r="973" spans="1:26" x14ac:dyDescent="0.45">
      <c r="A973" t="s">
        <v>2560</v>
      </c>
      <c r="B973">
        <v>35</v>
      </c>
      <c r="C973" t="s">
        <v>45</v>
      </c>
      <c r="D973" t="s">
        <v>45</v>
      </c>
      <c r="E973" t="s">
        <v>163</v>
      </c>
      <c r="F973" t="s">
        <v>30</v>
      </c>
      <c r="G973" t="s">
        <v>96</v>
      </c>
      <c r="H973" t="s">
        <v>71</v>
      </c>
      <c r="I973" t="s">
        <v>72</v>
      </c>
      <c r="J973" t="s">
        <v>2551</v>
      </c>
      <c r="K973" t="s">
        <v>2561</v>
      </c>
      <c r="L973" t="s">
        <v>64</v>
      </c>
      <c r="M973" t="s">
        <v>67</v>
      </c>
      <c r="N973" t="s">
        <v>1435</v>
      </c>
      <c r="O973" t="s">
        <v>64</v>
      </c>
      <c r="P973" t="s">
        <v>39</v>
      </c>
      <c r="Q973" t="s">
        <v>129</v>
      </c>
      <c r="R973">
        <v>165</v>
      </c>
      <c r="S973">
        <v>1</v>
      </c>
      <c r="T973" t="s">
        <v>137</v>
      </c>
      <c r="U973" t="s">
        <v>42</v>
      </c>
      <c r="V973">
        <v>2.62</v>
      </c>
      <c r="W973">
        <v>1.68</v>
      </c>
      <c r="X973">
        <v>9.8000000000000007</v>
      </c>
      <c r="Y973">
        <v>21.4</v>
      </c>
      <c r="Z973">
        <v>11.5</v>
      </c>
    </row>
    <row r="974" spans="1:26" x14ac:dyDescent="0.45">
      <c r="A974" t="s">
        <v>2562</v>
      </c>
      <c r="B974">
        <v>81</v>
      </c>
      <c r="C974" t="s">
        <v>44</v>
      </c>
      <c r="D974" t="s">
        <v>28</v>
      </c>
      <c r="E974" t="s">
        <v>46</v>
      </c>
      <c r="F974" t="s">
        <v>59</v>
      </c>
      <c r="G974" t="s">
        <v>89</v>
      </c>
      <c r="H974" t="s">
        <v>81</v>
      </c>
      <c r="I974" t="s">
        <v>132</v>
      </c>
      <c r="J974" t="s">
        <v>180</v>
      </c>
      <c r="K974" t="s">
        <v>133</v>
      </c>
      <c r="L974" t="s">
        <v>92</v>
      </c>
      <c r="M974" t="s">
        <v>30</v>
      </c>
      <c r="N974" t="s">
        <v>1041</v>
      </c>
      <c r="O974" t="s">
        <v>92</v>
      </c>
      <c r="P974" t="s">
        <v>39</v>
      </c>
      <c r="Q974" t="s">
        <v>75</v>
      </c>
      <c r="R974">
        <v>54</v>
      </c>
      <c r="S974">
        <v>1</v>
      </c>
      <c r="T974" t="s">
        <v>85</v>
      </c>
      <c r="U974" t="s">
        <v>42</v>
      </c>
      <c r="V974">
        <v>3.41</v>
      </c>
      <c r="W974">
        <v>1.91</v>
      </c>
      <c r="X974">
        <v>5.9</v>
      </c>
      <c r="Y974">
        <v>18.5</v>
      </c>
      <c r="Z974">
        <v>11.8</v>
      </c>
    </row>
    <row r="975" spans="1:26" x14ac:dyDescent="0.45">
      <c r="A975" t="s">
        <v>2563</v>
      </c>
      <c r="B975">
        <v>60</v>
      </c>
      <c r="C975" t="s">
        <v>27</v>
      </c>
      <c r="D975" t="s">
        <v>45</v>
      </c>
      <c r="E975" t="s">
        <v>163</v>
      </c>
      <c r="F975" t="s">
        <v>30</v>
      </c>
      <c r="G975" t="s">
        <v>125</v>
      </c>
      <c r="H975" t="s">
        <v>71</v>
      </c>
      <c r="I975" t="s">
        <v>132</v>
      </c>
      <c r="J975" t="s">
        <v>2564</v>
      </c>
      <c r="K975" t="s">
        <v>333</v>
      </c>
      <c r="L975" t="s">
        <v>36</v>
      </c>
      <c r="M975" t="s">
        <v>129</v>
      </c>
      <c r="N975" t="s">
        <v>244</v>
      </c>
      <c r="O975" t="s">
        <v>36</v>
      </c>
      <c r="P975" t="s">
        <v>55</v>
      </c>
      <c r="Q975" t="s">
        <v>75</v>
      </c>
      <c r="R975">
        <v>74</v>
      </c>
      <c r="S975">
        <v>0</v>
      </c>
      <c r="T975" t="s">
        <v>41</v>
      </c>
      <c r="U975" t="s">
        <v>42</v>
      </c>
      <c r="V975">
        <v>4.96</v>
      </c>
      <c r="W975">
        <v>3.45</v>
      </c>
      <c r="X975">
        <v>4.3</v>
      </c>
      <c r="Y975">
        <v>19.899999999999999</v>
      </c>
      <c r="Z975">
        <v>5.9</v>
      </c>
    </row>
    <row r="976" spans="1:26" x14ac:dyDescent="0.45">
      <c r="A976" t="s">
        <v>2565</v>
      </c>
      <c r="B976">
        <v>51</v>
      </c>
      <c r="C976" t="s">
        <v>44</v>
      </c>
      <c r="D976" t="s">
        <v>95</v>
      </c>
      <c r="E976" t="s">
        <v>163</v>
      </c>
      <c r="F976" t="s">
        <v>79</v>
      </c>
      <c r="G976" t="s">
        <v>178</v>
      </c>
      <c r="H976" t="s">
        <v>71</v>
      </c>
      <c r="I976" t="s">
        <v>72</v>
      </c>
      <c r="J976" t="s">
        <v>1036</v>
      </c>
      <c r="K976" t="s">
        <v>574</v>
      </c>
      <c r="L976" t="s">
        <v>52</v>
      </c>
      <c r="M976" t="s">
        <v>67</v>
      </c>
      <c r="N976" t="s">
        <v>799</v>
      </c>
      <c r="O976" t="s">
        <v>52</v>
      </c>
      <c r="P976" t="s">
        <v>110</v>
      </c>
      <c r="Q976" t="s">
        <v>40</v>
      </c>
      <c r="R976">
        <v>47</v>
      </c>
      <c r="S976">
        <v>0</v>
      </c>
      <c r="T976" t="s">
        <v>137</v>
      </c>
      <c r="U976" t="s">
        <v>42</v>
      </c>
      <c r="V976">
        <v>2.54</v>
      </c>
      <c r="W976">
        <v>2.39</v>
      </c>
      <c r="X976">
        <v>4.9000000000000004</v>
      </c>
      <c r="Y976">
        <v>20.100000000000001</v>
      </c>
      <c r="Z976">
        <v>11.2</v>
      </c>
    </row>
    <row r="977" spans="1:26" x14ac:dyDescent="0.45">
      <c r="A977" t="s">
        <v>2566</v>
      </c>
      <c r="B977">
        <v>34</v>
      </c>
      <c r="C977" t="s">
        <v>27</v>
      </c>
      <c r="D977" t="s">
        <v>28</v>
      </c>
      <c r="E977" t="s">
        <v>29</v>
      </c>
      <c r="F977" t="s">
        <v>30</v>
      </c>
      <c r="G977" t="s">
        <v>164</v>
      </c>
      <c r="H977" t="s">
        <v>81</v>
      </c>
      <c r="I977" t="s">
        <v>33</v>
      </c>
      <c r="J977" t="s">
        <v>471</v>
      </c>
      <c r="K977" t="s">
        <v>782</v>
      </c>
      <c r="L977" t="s">
        <v>64</v>
      </c>
      <c r="M977" t="s">
        <v>187</v>
      </c>
      <c r="N977" t="s">
        <v>1292</v>
      </c>
      <c r="O977" t="s">
        <v>64</v>
      </c>
      <c r="P977" t="s">
        <v>110</v>
      </c>
      <c r="Q977" t="s">
        <v>67</v>
      </c>
      <c r="R977">
        <v>66</v>
      </c>
      <c r="S977">
        <v>0</v>
      </c>
      <c r="T977" t="s">
        <v>56</v>
      </c>
      <c r="U977" t="s">
        <v>57</v>
      </c>
      <c r="V977">
        <v>4.18</v>
      </c>
      <c r="W977">
        <v>3.31</v>
      </c>
      <c r="X977">
        <v>4.0999999999999996</v>
      </c>
      <c r="Y977">
        <v>20.6</v>
      </c>
      <c r="Z977">
        <v>7.1</v>
      </c>
    </row>
    <row r="978" spans="1:26" x14ac:dyDescent="0.45">
      <c r="A978" t="s">
        <v>2567</v>
      </c>
      <c r="B978">
        <v>46</v>
      </c>
      <c r="C978" t="s">
        <v>45</v>
      </c>
      <c r="D978" t="s">
        <v>28</v>
      </c>
      <c r="E978" t="s">
        <v>78</v>
      </c>
      <c r="F978" t="s">
        <v>30</v>
      </c>
      <c r="G978" t="s">
        <v>164</v>
      </c>
      <c r="H978" t="s">
        <v>61</v>
      </c>
      <c r="I978" t="s">
        <v>49</v>
      </c>
      <c r="J978" t="s">
        <v>573</v>
      </c>
      <c r="K978" t="s">
        <v>1002</v>
      </c>
      <c r="L978" t="s">
        <v>36</v>
      </c>
      <c r="M978" t="s">
        <v>863</v>
      </c>
      <c r="N978" t="s">
        <v>116</v>
      </c>
      <c r="O978" t="s">
        <v>36</v>
      </c>
      <c r="P978" t="s">
        <v>55</v>
      </c>
      <c r="Q978" t="s">
        <v>67</v>
      </c>
      <c r="R978">
        <v>119</v>
      </c>
      <c r="S978">
        <v>0</v>
      </c>
      <c r="T978" t="s">
        <v>85</v>
      </c>
      <c r="U978" t="s">
        <v>57</v>
      </c>
      <c r="V978">
        <v>1.9</v>
      </c>
      <c r="W978">
        <v>3.02</v>
      </c>
      <c r="X978">
        <v>3.3</v>
      </c>
      <c r="Y978">
        <v>6.2</v>
      </c>
      <c r="Z978">
        <v>14</v>
      </c>
    </row>
    <row r="979" spans="1:26" x14ac:dyDescent="0.45">
      <c r="A979" t="s">
        <v>2568</v>
      </c>
      <c r="B979">
        <v>28</v>
      </c>
      <c r="C979" t="s">
        <v>44</v>
      </c>
      <c r="D979" t="s">
        <v>95</v>
      </c>
      <c r="E979" t="s">
        <v>29</v>
      </c>
      <c r="F979" t="s">
        <v>59</v>
      </c>
      <c r="G979" t="s">
        <v>102</v>
      </c>
      <c r="H979" t="s">
        <v>71</v>
      </c>
      <c r="I979" t="s">
        <v>33</v>
      </c>
      <c r="J979" t="s">
        <v>561</v>
      </c>
      <c r="K979" t="s">
        <v>1156</v>
      </c>
      <c r="L979" t="s">
        <v>36</v>
      </c>
      <c r="M979" t="s">
        <v>295</v>
      </c>
      <c r="N979" t="s">
        <v>156</v>
      </c>
      <c r="O979" t="s">
        <v>36</v>
      </c>
      <c r="P979" t="s">
        <v>55</v>
      </c>
      <c r="Q979" t="s">
        <v>67</v>
      </c>
      <c r="R979">
        <v>63</v>
      </c>
      <c r="S979">
        <v>0</v>
      </c>
      <c r="T979" t="s">
        <v>137</v>
      </c>
      <c r="U979" t="s">
        <v>42</v>
      </c>
      <c r="V979">
        <v>3.04</v>
      </c>
      <c r="W979">
        <v>2.78</v>
      </c>
      <c r="X979">
        <v>9.6999999999999993</v>
      </c>
      <c r="Y979">
        <v>16.3</v>
      </c>
      <c r="Z979">
        <v>17.7</v>
      </c>
    </row>
    <row r="980" spans="1:26" x14ac:dyDescent="0.45">
      <c r="A980" t="s">
        <v>2569</v>
      </c>
      <c r="B980">
        <v>74</v>
      </c>
      <c r="C980" t="s">
        <v>44</v>
      </c>
      <c r="D980" t="s">
        <v>45</v>
      </c>
      <c r="E980" t="s">
        <v>78</v>
      </c>
      <c r="F980" t="s">
        <v>30</v>
      </c>
      <c r="G980" t="s">
        <v>184</v>
      </c>
      <c r="H980" t="s">
        <v>32</v>
      </c>
      <c r="I980" t="s">
        <v>33</v>
      </c>
      <c r="J980" t="s">
        <v>1297</v>
      </c>
      <c r="K980" t="s">
        <v>1935</v>
      </c>
      <c r="L980" t="s">
        <v>92</v>
      </c>
      <c r="M980" t="s">
        <v>1288</v>
      </c>
      <c r="N980" t="s">
        <v>300</v>
      </c>
      <c r="O980" t="s">
        <v>92</v>
      </c>
      <c r="P980" t="s">
        <v>55</v>
      </c>
      <c r="Q980" t="s">
        <v>129</v>
      </c>
      <c r="R980">
        <v>160</v>
      </c>
      <c r="S980">
        <v>0</v>
      </c>
      <c r="T980" t="s">
        <v>137</v>
      </c>
      <c r="U980" t="s">
        <v>57</v>
      </c>
      <c r="V980">
        <v>1.56</v>
      </c>
      <c r="W980">
        <v>3.28</v>
      </c>
      <c r="X980">
        <v>8.8000000000000007</v>
      </c>
      <c r="Y980">
        <v>16.5</v>
      </c>
      <c r="Z980">
        <v>15.2</v>
      </c>
    </row>
    <row r="981" spans="1:26" x14ac:dyDescent="0.45">
      <c r="A981" t="s">
        <v>2570</v>
      </c>
      <c r="B981">
        <v>56</v>
      </c>
      <c r="C981" t="s">
        <v>27</v>
      </c>
      <c r="D981" t="s">
        <v>106</v>
      </c>
      <c r="E981" t="s">
        <v>46</v>
      </c>
      <c r="F981" t="s">
        <v>59</v>
      </c>
      <c r="G981" t="s">
        <v>89</v>
      </c>
      <c r="H981" t="s">
        <v>32</v>
      </c>
      <c r="I981" t="s">
        <v>49</v>
      </c>
      <c r="J981" t="s">
        <v>2571</v>
      </c>
      <c r="K981" t="s">
        <v>642</v>
      </c>
      <c r="L981" t="s">
        <v>36</v>
      </c>
      <c r="M981" t="s">
        <v>99</v>
      </c>
      <c r="N981" t="s">
        <v>1041</v>
      </c>
      <c r="O981" t="s">
        <v>36</v>
      </c>
      <c r="P981" t="s">
        <v>55</v>
      </c>
      <c r="Q981" t="s">
        <v>40</v>
      </c>
      <c r="R981">
        <v>94</v>
      </c>
      <c r="S981">
        <v>0</v>
      </c>
      <c r="T981" t="s">
        <v>85</v>
      </c>
      <c r="U981" t="s">
        <v>57</v>
      </c>
      <c r="V981">
        <v>2.4900000000000002</v>
      </c>
      <c r="W981">
        <v>1.37</v>
      </c>
      <c r="X981">
        <v>5.0999999999999996</v>
      </c>
      <c r="Y981">
        <v>13.1</v>
      </c>
      <c r="Z981">
        <v>17.7</v>
      </c>
    </row>
    <row r="982" spans="1:26" x14ac:dyDescent="0.45">
      <c r="A982" t="s">
        <v>2572</v>
      </c>
      <c r="B982">
        <v>38</v>
      </c>
      <c r="C982" t="s">
        <v>44</v>
      </c>
      <c r="D982" t="s">
        <v>28</v>
      </c>
      <c r="E982" t="s">
        <v>29</v>
      </c>
      <c r="F982" t="s">
        <v>30</v>
      </c>
      <c r="G982" t="s">
        <v>164</v>
      </c>
      <c r="H982" t="s">
        <v>81</v>
      </c>
      <c r="I982" t="s">
        <v>132</v>
      </c>
      <c r="J982" t="s">
        <v>1574</v>
      </c>
      <c r="K982" t="s">
        <v>2573</v>
      </c>
      <c r="L982" t="s">
        <v>92</v>
      </c>
      <c r="M982" t="s">
        <v>75</v>
      </c>
      <c r="N982" t="s">
        <v>1444</v>
      </c>
      <c r="O982" t="s">
        <v>92</v>
      </c>
      <c r="P982" t="s">
        <v>39</v>
      </c>
      <c r="Q982" t="s">
        <v>75</v>
      </c>
      <c r="R982">
        <v>170</v>
      </c>
      <c r="S982">
        <v>1</v>
      </c>
      <c r="T982" t="s">
        <v>123</v>
      </c>
      <c r="U982" t="s">
        <v>42</v>
      </c>
      <c r="V982">
        <v>1.98</v>
      </c>
      <c r="W982">
        <v>4.87</v>
      </c>
      <c r="X982">
        <v>9.6</v>
      </c>
      <c r="Y982">
        <v>10.5</v>
      </c>
      <c r="Z982">
        <v>8.9</v>
      </c>
    </row>
    <row r="983" spans="1:26" x14ac:dyDescent="0.45">
      <c r="A983" t="s">
        <v>2574</v>
      </c>
      <c r="B983">
        <v>77</v>
      </c>
      <c r="C983" t="s">
        <v>27</v>
      </c>
      <c r="D983" t="s">
        <v>87</v>
      </c>
      <c r="E983" t="s">
        <v>78</v>
      </c>
      <c r="F983" t="s">
        <v>79</v>
      </c>
      <c r="G983" t="s">
        <v>31</v>
      </c>
      <c r="H983" t="s">
        <v>32</v>
      </c>
      <c r="I983" t="s">
        <v>72</v>
      </c>
      <c r="J983" t="s">
        <v>2575</v>
      </c>
      <c r="K983" t="s">
        <v>1580</v>
      </c>
      <c r="L983" t="s">
        <v>36</v>
      </c>
      <c r="M983" t="s">
        <v>723</v>
      </c>
      <c r="N983" t="s">
        <v>370</v>
      </c>
      <c r="O983" t="s">
        <v>36</v>
      </c>
      <c r="P983" t="s">
        <v>39</v>
      </c>
      <c r="Q983" t="s">
        <v>30</v>
      </c>
      <c r="R983">
        <v>55</v>
      </c>
      <c r="S983">
        <v>1</v>
      </c>
      <c r="T983" t="s">
        <v>123</v>
      </c>
      <c r="U983" t="s">
        <v>42</v>
      </c>
      <c r="V983">
        <v>4.58</v>
      </c>
      <c r="W983">
        <v>4.87</v>
      </c>
      <c r="X983">
        <v>5</v>
      </c>
      <c r="Y983">
        <v>11.8</v>
      </c>
      <c r="Z983">
        <v>11.9</v>
      </c>
    </row>
    <row r="984" spans="1:26" x14ac:dyDescent="0.45">
      <c r="A984" t="s">
        <v>2576</v>
      </c>
      <c r="B984">
        <v>41</v>
      </c>
      <c r="C984" t="s">
        <v>27</v>
      </c>
      <c r="D984" t="s">
        <v>106</v>
      </c>
      <c r="E984" t="s">
        <v>30</v>
      </c>
      <c r="F984" t="s">
        <v>59</v>
      </c>
      <c r="G984" t="s">
        <v>125</v>
      </c>
      <c r="H984" t="s">
        <v>71</v>
      </c>
      <c r="I984" t="s">
        <v>72</v>
      </c>
      <c r="J984" t="s">
        <v>2577</v>
      </c>
      <c r="K984" t="s">
        <v>1922</v>
      </c>
      <c r="L984" t="s">
        <v>92</v>
      </c>
      <c r="M984" t="s">
        <v>378</v>
      </c>
      <c r="N984" t="s">
        <v>54</v>
      </c>
      <c r="O984" t="s">
        <v>92</v>
      </c>
      <c r="P984" t="s">
        <v>39</v>
      </c>
      <c r="Q984" t="s">
        <v>40</v>
      </c>
      <c r="R984">
        <v>66</v>
      </c>
      <c r="S984">
        <v>1</v>
      </c>
      <c r="T984" t="s">
        <v>123</v>
      </c>
      <c r="U984" t="s">
        <v>57</v>
      </c>
      <c r="V984">
        <v>3.75</v>
      </c>
      <c r="W984">
        <v>2.09</v>
      </c>
      <c r="X984">
        <v>7.6</v>
      </c>
      <c r="Y984">
        <v>6.9</v>
      </c>
      <c r="Z984">
        <v>3.8</v>
      </c>
    </row>
    <row r="985" spans="1:26" x14ac:dyDescent="0.45">
      <c r="A985" t="s">
        <v>2578</v>
      </c>
      <c r="B985">
        <v>24</v>
      </c>
      <c r="C985" t="s">
        <v>27</v>
      </c>
      <c r="D985" t="s">
        <v>106</v>
      </c>
      <c r="E985" t="s">
        <v>46</v>
      </c>
      <c r="F985" t="s">
        <v>79</v>
      </c>
      <c r="G985" t="s">
        <v>102</v>
      </c>
      <c r="H985" t="s">
        <v>81</v>
      </c>
      <c r="I985" t="s">
        <v>49</v>
      </c>
      <c r="J985" t="s">
        <v>2579</v>
      </c>
      <c r="K985" t="s">
        <v>758</v>
      </c>
      <c r="L985" t="s">
        <v>92</v>
      </c>
      <c r="M985" t="s">
        <v>67</v>
      </c>
      <c r="N985" t="s">
        <v>100</v>
      </c>
      <c r="O985" t="s">
        <v>92</v>
      </c>
      <c r="P985" t="s">
        <v>55</v>
      </c>
      <c r="Q985" t="s">
        <v>129</v>
      </c>
      <c r="R985">
        <v>91</v>
      </c>
      <c r="S985">
        <v>0</v>
      </c>
      <c r="T985" t="s">
        <v>123</v>
      </c>
      <c r="U985" t="s">
        <v>57</v>
      </c>
      <c r="V985">
        <v>2.5499999999999998</v>
      </c>
      <c r="W985">
        <v>2.41</v>
      </c>
      <c r="X985">
        <v>3.8</v>
      </c>
      <c r="Y985">
        <v>14.8</v>
      </c>
      <c r="Z985">
        <v>8.5</v>
      </c>
    </row>
    <row r="986" spans="1:26" x14ac:dyDescent="0.45">
      <c r="A986" t="s">
        <v>2580</v>
      </c>
      <c r="B986">
        <v>30</v>
      </c>
      <c r="C986" t="s">
        <v>45</v>
      </c>
      <c r="D986" t="s">
        <v>95</v>
      </c>
      <c r="E986" t="s">
        <v>29</v>
      </c>
      <c r="F986" t="s">
        <v>88</v>
      </c>
      <c r="G986" t="s">
        <v>131</v>
      </c>
      <c r="H986" t="s">
        <v>71</v>
      </c>
      <c r="I986" t="s">
        <v>132</v>
      </c>
      <c r="J986" t="s">
        <v>2581</v>
      </c>
      <c r="K986" t="s">
        <v>802</v>
      </c>
      <c r="L986" t="s">
        <v>64</v>
      </c>
      <c r="M986" t="s">
        <v>75</v>
      </c>
      <c r="N986" t="s">
        <v>122</v>
      </c>
      <c r="O986" t="s">
        <v>64</v>
      </c>
      <c r="P986" t="s">
        <v>55</v>
      </c>
      <c r="Q986" t="s">
        <v>40</v>
      </c>
      <c r="R986">
        <v>164</v>
      </c>
      <c r="S986">
        <v>0</v>
      </c>
      <c r="T986" t="s">
        <v>137</v>
      </c>
      <c r="U986" t="s">
        <v>57</v>
      </c>
      <c r="V986">
        <v>1.77</v>
      </c>
      <c r="W986">
        <v>2.2400000000000002</v>
      </c>
      <c r="X986">
        <v>9.8000000000000007</v>
      </c>
      <c r="Y986">
        <v>13.4</v>
      </c>
      <c r="Z986">
        <v>10.6</v>
      </c>
    </row>
    <row r="987" spans="1:26" x14ac:dyDescent="0.45">
      <c r="A987" t="s">
        <v>2582</v>
      </c>
      <c r="B987">
        <v>19</v>
      </c>
      <c r="C987" t="s">
        <v>45</v>
      </c>
      <c r="D987" t="s">
        <v>87</v>
      </c>
      <c r="E987" t="s">
        <v>163</v>
      </c>
      <c r="F987" t="s">
        <v>47</v>
      </c>
      <c r="G987" t="s">
        <v>31</v>
      </c>
      <c r="H987" t="s">
        <v>71</v>
      </c>
      <c r="I987" t="s">
        <v>132</v>
      </c>
      <c r="J987" t="s">
        <v>1226</v>
      </c>
      <c r="K987" t="s">
        <v>2174</v>
      </c>
      <c r="L987" t="s">
        <v>92</v>
      </c>
      <c r="M987" t="s">
        <v>469</v>
      </c>
      <c r="N987" t="s">
        <v>1132</v>
      </c>
      <c r="O987" t="s">
        <v>92</v>
      </c>
      <c r="P987" t="s">
        <v>110</v>
      </c>
      <c r="Q987" t="s">
        <v>129</v>
      </c>
      <c r="R987">
        <v>150</v>
      </c>
      <c r="S987">
        <v>0</v>
      </c>
      <c r="T987" t="s">
        <v>41</v>
      </c>
      <c r="U987" t="s">
        <v>57</v>
      </c>
      <c r="V987">
        <v>3.31</v>
      </c>
      <c r="W987">
        <v>4.93</v>
      </c>
      <c r="X987">
        <v>3.2</v>
      </c>
      <c r="Y987">
        <v>18.3</v>
      </c>
      <c r="Z987">
        <v>15.2</v>
      </c>
    </row>
    <row r="988" spans="1:26" x14ac:dyDescent="0.45">
      <c r="A988" t="s">
        <v>2583</v>
      </c>
      <c r="B988">
        <v>25</v>
      </c>
      <c r="C988" t="s">
        <v>45</v>
      </c>
      <c r="D988" t="s">
        <v>106</v>
      </c>
      <c r="E988" t="s">
        <v>78</v>
      </c>
      <c r="F988" t="s">
        <v>47</v>
      </c>
      <c r="G988" t="s">
        <v>102</v>
      </c>
      <c r="H988" t="s">
        <v>81</v>
      </c>
      <c r="I988" t="s">
        <v>49</v>
      </c>
      <c r="J988" t="s">
        <v>2584</v>
      </c>
      <c r="K988" t="s">
        <v>1017</v>
      </c>
      <c r="L988" t="s">
        <v>36</v>
      </c>
      <c r="M988" t="s">
        <v>67</v>
      </c>
      <c r="N988" t="s">
        <v>379</v>
      </c>
      <c r="O988" t="s">
        <v>36</v>
      </c>
      <c r="P988" t="s">
        <v>110</v>
      </c>
      <c r="Q988" t="s">
        <v>75</v>
      </c>
      <c r="R988">
        <v>180</v>
      </c>
      <c r="S988">
        <v>0</v>
      </c>
      <c r="T988" t="s">
        <v>56</v>
      </c>
      <c r="U988" t="s">
        <v>57</v>
      </c>
      <c r="V988">
        <v>3.43</v>
      </c>
      <c r="W988">
        <v>1.35</v>
      </c>
      <c r="X988">
        <v>7.1</v>
      </c>
      <c r="Y988">
        <v>7.2</v>
      </c>
      <c r="Z988">
        <v>13.1</v>
      </c>
    </row>
    <row r="989" spans="1:26" x14ac:dyDescent="0.45">
      <c r="A989" t="s">
        <v>2585</v>
      </c>
      <c r="B989">
        <v>79</v>
      </c>
      <c r="C989" t="s">
        <v>44</v>
      </c>
      <c r="D989" t="s">
        <v>87</v>
      </c>
      <c r="E989" t="s">
        <v>29</v>
      </c>
      <c r="F989" t="s">
        <v>59</v>
      </c>
      <c r="G989" t="s">
        <v>60</v>
      </c>
      <c r="H989" t="s">
        <v>61</v>
      </c>
      <c r="I989" t="s">
        <v>33</v>
      </c>
      <c r="J989" t="s">
        <v>1843</v>
      </c>
      <c r="K989" t="s">
        <v>2586</v>
      </c>
      <c r="L989" t="s">
        <v>92</v>
      </c>
      <c r="M989" t="s">
        <v>30</v>
      </c>
      <c r="N989" t="s">
        <v>1836</v>
      </c>
      <c r="O989" t="s">
        <v>92</v>
      </c>
      <c r="P989" t="s">
        <v>39</v>
      </c>
      <c r="Q989" t="s">
        <v>75</v>
      </c>
      <c r="R989">
        <v>123</v>
      </c>
      <c r="S989">
        <v>1</v>
      </c>
      <c r="T989" t="s">
        <v>137</v>
      </c>
      <c r="U989" t="s">
        <v>57</v>
      </c>
      <c r="V989">
        <v>3.96</v>
      </c>
      <c r="W989">
        <v>1.84</v>
      </c>
      <c r="X989">
        <v>8.6</v>
      </c>
      <c r="Y989">
        <v>6.5</v>
      </c>
      <c r="Z989">
        <v>17.3</v>
      </c>
    </row>
    <row r="990" spans="1:26" x14ac:dyDescent="0.45">
      <c r="A990" t="s">
        <v>2587</v>
      </c>
      <c r="B990">
        <v>82</v>
      </c>
      <c r="C990" t="s">
        <v>27</v>
      </c>
      <c r="D990" t="s">
        <v>87</v>
      </c>
      <c r="E990" t="s">
        <v>46</v>
      </c>
      <c r="F990" t="s">
        <v>30</v>
      </c>
      <c r="G990" t="s">
        <v>276</v>
      </c>
      <c r="H990" t="s">
        <v>71</v>
      </c>
      <c r="I990" t="s">
        <v>72</v>
      </c>
      <c r="J990" t="s">
        <v>2442</v>
      </c>
      <c r="K990" t="s">
        <v>346</v>
      </c>
      <c r="L990" t="s">
        <v>92</v>
      </c>
      <c r="M990" t="s">
        <v>536</v>
      </c>
      <c r="N990" t="s">
        <v>1631</v>
      </c>
      <c r="O990" t="s">
        <v>92</v>
      </c>
      <c r="P990" t="s">
        <v>110</v>
      </c>
      <c r="Q990" t="s">
        <v>40</v>
      </c>
      <c r="R990">
        <v>171</v>
      </c>
      <c r="S990">
        <v>0</v>
      </c>
      <c r="T990" t="s">
        <v>137</v>
      </c>
      <c r="U990" t="s">
        <v>57</v>
      </c>
      <c r="V990">
        <v>2.84</v>
      </c>
      <c r="W990">
        <v>1.87</v>
      </c>
      <c r="X990">
        <v>2.2000000000000002</v>
      </c>
      <c r="Y990">
        <v>23.2</v>
      </c>
      <c r="Z990">
        <v>4.2</v>
      </c>
    </row>
    <row r="991" spans="1:26" x14ac:dyDescent="0.45">
      <c r="A991" t="s">
        <v>2588</v>
      </c>
      <c r="B991">
        <v>51</v>
      </c>
      <c r="C991" t="s">
        <v>44</v>
      </c>
      <c r="D991" t="s">
        <v>95</v>
      </c>
      <c r="E991" t="s">
        <v>163</v>
      </c>
      <c r="F991" t="s">
        <v>47</v>
      </c>
      <c r="G991" t="s">
        <v>194</v>
      </c>
      <c r="H991" t="s">
        <v>61</v>
      </c>
      <c r="I991" t="s">
        <v>33</v>
      </c>
      <c r="J991" t="s">
        <v>1583</v>
      </c>
      <c r="K991" t="s">
        <v>1942</v>
      </c>
      <c r="L991" t="s">
        <v>64</v>
      </c>
      <c r="M991" t="s">
        <v>834</v>
      </c>
      <c r="N991" t="s">
        <v>296</v>
      </c>
      <c r="O991" t="s">
        <v>64</v>
      </c>
      <c r="P991" t="s">
        <v>110</v>
      </c>
      <c r="Q991" t="s">
        <v>129</v>
      </c>
      <c r="R991">
        <v>134</v>
      </c>
      <c r="S991">
        <v>0</v>
      </c>
      <c r="T991" t="s">
        <v>137</v>
      </c>
      <c r="U991" t="s">
        <v>42</v>
      </c>
      <c r="V991">
        <v>1.8</v>
      </c>
      <c r="W991">
        <v>2.39</v>
      </c>
      <c r="X991">
        <v>6.6</v>
      </c>
      <c r="Y991">
        <v>15.8</v>
      </c>
      <c r="Z991">
        <v>5.0999999999999996</v>
      </c>
    </row>
    <row r="992" spans="1:26" x14ac:dyDescent="0.45">
      <c r="A992" t="s">
        <v>2589</v>
      </c>
      <c r="B992">
        <v>67</v>
      </c>
      <c r="C992" t="s">
        <v>27</v>
      </c>
      <c r="D992" t="s">
        <v>87</v>
      </c>
      <c r="E992" t="s">
        <v>78</v>
      </c>
      <c r="F992" t="s">
        <v>30</v>
      </c>
      <c r="G992" t="s">
        <v>89</v>
      </c>
      <c r="H992" t="s">
        <v>71</v>
      </c>
      <c r="I992" t="s">
        <v>132</v>
      </c>
      <c r="J992" t="s">
        <v>449</v>
      </c>
      <c r="K992" t="s">
        <v>2590</v>
      </c>
      <c r="L992" t="s">
        <v>64</v>
      </c>
      <c r="M992" t="s">
        <v>30</v>
      </c>
      <c r="N992" t="s">
        <v>335</v>
      </c>
      <c r="O992" t="s">
        <v>64</v>
      </c>
      <c r="P992" t="s">
        <v>110</v>
      </c>
      <c r="Q992" t="s">
        <v>129</v>
      </c>
      <c r="R992">
        <v>167</v>
      </c>
      <c r="S992">
        <v>0</v>
      </c>
      <c r="T992" t="s">
        <v>41</v>
      </c>
      <c r="U992" t="s">
        <v>42</v>
      </c>
      <c r="V992">
        <v>2.16</v>
      </c>
      <c r="W992">
        <v>1.96</v>
      </c>
      <c r="X992">
        <v>2.9</v>
      </c>
      <c r="Y992">
        <v>13.4</v>
      </c>
      <c r="Z992">
        <v>15</v>
      </c>
    </row>
    <row r="993" spans="1:26" x14ac:dyDescent="0.45">
      <c r="A993" t="s">
        <v>2591</v>
      </c>
      <c r="B993">
        <v>54</v>
      </c>
      <c r="C993" t="s">
        <v>45</v>
      </c>
      <c r="D993" t="s">
        <v>28</v>
      </c>
      <c r="E993" t="s">
        <v>29</v>
      </c>
      <c r="F993" t="s">
        <v>88</v>
      </c>
      <c r="G993" t="s">
        <v>164</v>
      </c>
      <c r="H993" t="s">
        <v>32</v>
      </c>
      <c r="I993" t="s">
        <v>49</v>
      </c>
      <c r="J993" t="s">
        <v>845</v>
      </c>
      <c r="K993" t="s">
        <v>175</v>
      </c>
      <c r="L993" t="s">
        <v>92</v>
      </c>
      <c r="M993" t="s">
        <v>30</v>
      </c>
      <c r="N993" t="s">
        <v>267</v>
      </c>
      <c r="O993" t="s">
        <v>92</v>
      </c>
      <c r="P993" t="s">
        <v>39</v>
      </c>
      <c r="Q993" t="s">
        <v>67</v>
      </c>
      <c r="R993">
        <v>55</v>
      </c>
      <c r="S993">
        <v>1</v>
      </c>
      <c r="T993" t="s">
        <v>137</v>
      </c>
      <c r="U993" t="s">
        <v>42</v>
      </c>
      <c r="V993">
        <v>1.87</v>
      </c>
      <c r="W993">
        <v>2.4700000000000002</v>
      </c>
      <c r="X993">
        <v>4.5</v>
      </c>
      <c r="Y993">
        <v>23.6</v>
      </c>
      <c r="Z993">
        <v>19.2</v>
      </c>
    </row>
    <row r="994" spans="1:26" x14ac:dyDescent="0.45">
      <c r="A994" t="s">
        <v>2592</v>
      </c>
      <c r="B994">
        <v>66</v>
      </c>
      <c r="C994" t="s">
        <v>44</v>
      </c>
      <c r="D994" t="s">
        <v>28</v>
      </c>
      <c r="E994" t="s">
        <v>29</v>
      </c>
      <c r="F994" t="s">
        <v>30</v>
      </c>
      <c r="G994" t="s">
        <v>276</v>
      </c>
      <c r="H994" t="s">
        <v>81</v>
      </c>
      <c r="I994" t="s">
        <v>72</v>
      </c>
      <c r="J994" t="s">
        <v>2593</v>
      </c>
      <c r="K994" t="s">
        <v>2594</v>
      </c>
      <c r="L994" t="s">
        <v>64</v>
      </c>
      <c r="M994" t="s">
        <v>30</v>
      </c>
      <c r="N994" t="s">
        <v>1836</v>
      </c>
      <c r="O994" t="s">
        <v>64</v>
      </c>
      <c r="P994" t="s">
        <v>39</v>
      </c>
      <c r="Q994" t="s">
        <v>129</v>
      </c>
      <c r="R994">
        <v>30</v>
      </c>
      <c r="S994">
        <v>1</v>
      </c>
      <c r="T994" t="s">
        <v>137</v>
      </c>
      <c r="U994" t="s">
        <v>42</v>
      </c>
      <c r="V994">
        <v>4.2</v>
      </c>
      <c r="W994">
        <v>1.97</v>
      </c>
      <c r="X994">
        <v>1.6</v>
      </c>
      <c r="Y994">
        <v>11.7</v>
      </c>
      <c r="Z994">
        <v>7.5</v>
      </c>
    </row>
    <row r="995" spans="1:26" x14ac:dyDescent="0.45">
      <c r="A995" t="s">
        <v>2595</v>
      </c>
      <c r="B995">
        <v>33</v>
      </c>
      <c r="C995" t="s">
        <v>44</v>
      </c>
      <c r="D995" t="s">
        <v>95</v>
      </c>
      <c r="E995" t="s">
        <v>78</v>
      </c>
      <c r="F995" t="s">
        <v>79</v>
      </c>
      <c r="G995" t="s">
        <v>70</v>
      </c>
      <c r="H995" t="s">
        <v>81</v>
      </c>
      <c r="I995" t="s">
        <v>49</v>
      </c>
      <c r="J995" t="s">
        <v>1149</v>
      </c>
      <c r="K995" t="s">
        <v>556</v>
      </c>
      <c r="L995" t="s">
        <v>64</v>
      </c>
      <c r="M995" t="s">
        <v>274</v>
      </c>
      <c r="N995" t="s">
        <v>2118</v>
      </c>
      <c r="O995" t="s">
        <v>64</v>
      </c>
      <c r="P995" t="s">
        <v>39</v>
      </c>
      <c r="Q995" t="s">
        <v>40</v>
      </c>
      <c r="R995">
        <v>156</v>
      </c>
      <c r="S995">
        <v>1</v>
      </c>
      <c r="T995" t="s">
        <v>137</v>
      </c>
      <c r="U995" t="s">
        <v>42</v>
      </c>
      <c r="V995">
        <v>3.02</v>
      </c>
      <c r="W995">
        <v>4.1100000000000003</v>
      </c>
      <c r="X995">
        <v>8.6999999999999993</v>
      </c>
      <c r="Y995">
        <v>21.2</v>
      </c>
      <c r="Z995">
        <v>9.1</v>
      </c>
    </row>
    <row r="996" spans="1:26" x14ac:dyDescent="0.45">
      <c r="A996" t="s">
        <v>2596</v>
      </c>
      <c r="B996">
        <v>35</v>
      </c>
      <c r="C996" t="s">
        <v>27</v>
      </c>
      <c r="D996" t="s">
        <v>45</v>
      </c>
      <c r="E996" t="s">
        <v>30</v>
      </c>
      <c r="F996" t="s">
        <v>30</v>
      </c>
      <c r="G996" t="s">
        <v>70</v>
      </c>
      <c r="H996" t="s">
        <v>61</v>
      </c>
      <c r="I996" t="s">
        <v>132</v>
      </c>
      <c r="J996" t="s">
        <v>645</v>
      </c>
      <c r="K996" t="s">
        <v>2310</v>
      </c>
      <c r="L996" t="s">
        <v>92</v>
      </c>
      <c r="M996" t="s">
        <v>566</v>
      </c>
      <c r="N996" t="s">
        <v>267</v>
      </c>
      <c r="O996" t="s">
        <v>92</v>
      </c>
      <c r="P996" t="s">
        <v>110</v>
      </c>
      <c r="Q996" t="s">
        <v>40</v>
      </c>
      <c r="R996">
        <v>34</v>
      </c>
      <c r="S996">
        <v>0</v>
      </c>
      <c r="T996" t="s">
        <v>41</v>
      </c>
      <c r="U996" t="s">
        <v>57</v>
      </c>
      <c r="V996">
        <v>3.75</v>
      </c>
      <c r="W996">
        <v>2.25</v>
      </c>
      <c r="X996">
        <v>1.5</v>
      </c>
      <c r="Y996">
        <v>18.600000000000001</v>
      </c>
      <c r="Z996">
        <v>3.2</v>
      </c>
    </row>
    <row r="997" spans="1:26" x14ac:dyDescent="0.45">
      <c r="A997" t="s">
        <v>2597</v>
      </c>
      <c r="B997">
        <v>55</v>
      </c>
      <c r="C997" t="s">
        <v>44</v>
      </c>
      <c r="D997" t="s">
        <v>28</v>
      </c>
      <c r="E997" t="s">
        <v>30</v>
      </c>
      <c r="F997" t="s">
        <v>47</v>
      </c>
      <c r="G997" t="s">
        <v>440</v>
      </c>
      <c r="H997" t="s">
        <v>71</v>
      </c>
      <c r="I997" t="s">
        <v>49</v>
      </c>
      <c r="J997" t="s">
        <v>2598</v>
      </c>
      <c r="K997" t="s">
        <v>2599</v>
      </c>
      <c r="L997" t="s">
        <v>92</v>
      </c>
      <c r="M997" t="s">
        <v>37</v>
      </c>
      <c r="N997" t="s">
        <v>546</v>
      </c>
      <c r="O997" t="s">
        <v>92</v>
      </c>
      <c r="P997" t="s">
        <v>55</v>
      </c>
      <c r="Q997" t="s">
        <v>129</v>
      </c>
      <c r="R997">
        <v>122</v>
      </c>
      <c r="S997">
        <v>0</v>
      </c>
      <c r="T997" t="s">
        <v>56</v>
      </c>
      <c r="U997" t="s">
        <v>57</v>
      </c>
      <c r="V997">
        <v>2.64</v>
      </c>
      <c r="W997">
        <v>2.3199999999999998</v>
      </c>
      <c r="X997">
        <v>7.2</v>
      </c>
      <c r="Y997">
        <v>19.8</v>
      </c>
      <c r="Z997">
        <v>8.1999999999999993</v>
      </c>
    </row>
    <row r="998" spans="1:26" x14ac:dyDescent="0.45">
      <c r="A998" t="s">
        <v>2600</v>
      </c>
      <c r="B998">
        <v>79</v>
      </c>
      <c r="C998" t="s">
        <v>45</v>
      </c>
      <c r="D998" t="s">
        <v>106</v>
      </c>
      <c r="E998" t="s">
        <v>78</v>
      </c>
      <c r="F998" t="s">
        <v>30</v>
      </c>
      <c r="G998" t="s">
        <v>118</v>
      </c>
      <c r="H998" t="s">
        <v>71</v>
      </c>
      <c r="I998" t="s">
        <v>49</v>
      </c>
      <c r="J998" t="s">
        <v>1606</v>
      </c>
      <c r="K998" t="s">
        <v>2169</v>
      </c>
      <c r="L998" t="s">
        <v>92</v>
      </c>
      <c r="M998" t="s">
        <v>40</v>
      </c>
      <c r="N998" t="s">
        <v>491</v>
      </c>
      <c r="O998" t="s">
        <v>92</v>
      </c>
      <c r="P998" t="s">
        <v>39</v>
      </c>
      <c r="Q998" t="s">
        <v>30</v>
      </c>
      <c r="R998">
        <v>158</v>
      </c>
      <c r="S998">
        <v>1</v>
      </c>
      <c r="T998" t="s">
        <v>137</v>
      </c>
      <c r="U998" t="s">
        <v>57</v>
      </c>
      <c r="V998">
        <v>4.25</v>
      </c>
      <c r="W998">
        <v>2.1800000000000002</v>
      </c>
      <c r="X998">
        <v>5</v>
      </c>
      <c r="Y998">
        <v>19.100000000000001</v>
      </c>
      <c r="Z998">
        <v>14.8</v>
      </c>
    </row>
    <row r="999" spans="1:26" x14ac:dyDescent="0.45">
      <c r="A999" t="s">
        <v>2601</v>
      </c>
      <c r="B999">
        <v>41</v>
      </c>
      <c r="C999" t="s">
        <v>44</v>
      </c>
      <c r="D999" t="s">
        <v>87</v>
      </c>
      <c r="E999" t="s">
        <v>46</v>
      </c>
      <c r="F999" t="s">
        <v>30</v>
      </c>
      <c r="G999" t="s">
        <v>31</v>
      </c>
      <c r="H999" t="s">
        <v>32</v>
      </c>
      <c r="I999" t="s">
        <v>33</v>
      </c>
      <c r="J999" t="s">
        <v>621</v>
      </c>
      <c r="K999" t="s">
        <v>2602</v>
      </c>
      <c r="L999" t="s">
        <v>52</v>
      </c>
      <c r="M999" t="s">
        <v>2545</v>
      </c>
      <c r="N999" t="s">
        <v>711</v>
      </c>
      <c r="O999" t="s">
        <v>52</v>
      </c>
      <c r="P999" t="s">
        <v>55</v>
      </c>
      <c r="Q999" t="s">
        <v>40</v>
      </c>
      <c r="R999">
        <v>94</v>
      </c>
      <c r="S999">
        <v>0</v>
      </c>
      <c r="T999" t="s">
        <v>41</v>
      </c>
      <c r="U999" t="s">
        <v>42</v>
      </c>
      <c r="V999">
        <v>4.95</v>
      </c>
      <c r="W999">
        <v>1.9</v>
      </c>
      <c r="X999">
        <v>7</v>
      </c>
      <c r="Y999">
        <v>17</v>
      </c>
      <c r="Z999">
        <v>18.600000000000001</v>
      </c>
    </row>
    <row r="1000" spans="1:26" x14ac:dyDescent="0.45">
      <c r="A1000" t="s">
        <v>2603</v>
      </c>
      <c r="B1000">
        <v>75</v>
      </c>
      <c r="C1000" t="s">
        <v>45</v>
      </c>
      <c r="D1000" t="s">
        <v>95</v>
      </c>
      <c r="E1000" t="s">
        <v>46</v>
      </c>
      <c r="F1000" t="s">
        <v>88</v>
      </c>
      <c r="G1000" t="s">
        <v>89</v>
      </c>
      <c r="H1000" t="s">
        <v>32</v>
      </c>
      <c r="I1000" t="s">
        <v>72</v>
      </c>
      <c r="J1000" t="s">
        <v>2604</v>
      </c>
      <c r="K1000" t="s">
        <v>2605</v>
      </c>
      <c r="L1000" t="s">
        <v>52</v>
      </c>
      <c r="M1000" t="s">
        <v>155</v>
      </c>
      <c r="N1000" t="s">
        <v>240</v>
      </c>
      <c r="O1000" t="s">
        <v>52</v>
      </c>
      <c r="P1000" t="s">
        <v>110</v>
      </c>
      <c r="Q1000" t="s">
        <v>40</v>
      </c>
      <c r="R1000">
        <v>159</v>
      </c>
      <c r="S1000">
        <v>0</v>
      </c>
      <c r="T1000" t="s">
        <v>56</v>
      </c>
      <c r="U1000" t="s">
        <v>42</v>
      </c>
      <c r="V1000">
        <v>1.63</v>
      </c>
      <c r="W1000">
        <v>4.01</v>
      </c>
      <c r="X1000">
        <v>6.1</v>
      </c>
      <c r="Y1000">
        <v>10.9</v>
      </c>
      <c r="Z1000">
        <v>11.1</v>
      </c>
    </row>
    <row r="1001" spans="1:26" x14ac:dyDescent="0.45">
      <c r="A1001" t="s">
        <v>2606</v>
      </c>
      <c r="B1001">
        <v>70</v>
      </c>
      <c r="C1001" t="s">
        <v>45</v>
      </c>
      <c r="D1001" t="s">
        <v>87</v>
      </c>
      <c r="E1001" t="s">
        <v>30</v>
      </c>
      <c r="F1001" t="s">
        <v>30</v>
      </c>
      <c r="G1001" t="s">
        <v>246</v>
      </c>
      <c r="H1001" t="s">
        <v>81</v>
      </c>
      <c r="I1001" t="s">
        <v>72</v>
      </c>
      <c r="J1001" t="s">
        <v>2607</v>
      </c>
      <c r="K1001" t="s">
        <v>887</v>
      </c>
      <c r="L1001" t="s">
        <v>64</v>
      </c>
      <c r="M1001" t="s">
        <v>30</v>
      </c>
      <c r="N1001" t="s">
        <v>54</v>
      </c>
      <c r="O1001" t="s">
        <v>64</v>
      </c>
      <c r="P1001" t="s">
        <v>55</v>
      </c>
      <c r="Q1001" t="s">
        <v>129</v>
      </c>
      <c r="R1001">
        <v>164</v>
      </c>
      <c r="S1001">
        <v>0</v>
      </c>
      <c r="T1001" t="s">
        <v>85</v>
      </c>
      <c r="U1001" t="s">
        <v>42</v>
      </c>
      <c r="V1001">
        <v>2.34</v>
      </c>
      <c r="W1001">
        <v>3.32</v>
      </c>
      <c r="X1001">
        <v>9</v>
      </c>
      <c r="Y1001">
        <v>16.2</v>
      </c>
      <c r="Z1001">
        <v>13.7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7041A-5715-4BDC-9F8A-C5D1EE5A9BBD}">
  <dimension ref="A3:H252"/>
  <sheetViews>
    <sheetView topLeftCell="A239" workbookViewId="0">
      <selection activeCell="A248" sqref="A248:B251"/>
    </sheetView>
  </sheetViews>
  <sheetFormatPr defaultRowHeight="14.25" x14ac:dyDescent="0.45"/>
  <cols>
    <col min="1" max="1" width="12.06640625" bestFit="1" customWidth="1"/>
    <col min="2" max="2" width="21.53125" bestFit="1" customWidth="1"/>
    <col min="3" max="3" width="18.59765625" customWidth="1"/>
    <col min="4" max="4" width="21.53125" customWidth="1"/>
    <col min="5" max="5" width="26" customWidth="1"/>
    <col min="6" max="6" width="19.73046875" customWidth="1"/>
    <col min="7" max="7" width="19.59765625" customWidth="1"/>
    <col min="8" max="8" width="15.796875" customWidth="1"/>
    <col min="9" max="9" width="10.46484375" customWidth="1"/>
    <col min="10" max="11" width="3.73046875" bestFit="1" customWidth="1"/>
    <col min="12" max="12" width="1.73046875" bestFit="1" customWidth="1"/>
    <col min="13" max="21" width="3.73046875" bestFit="1" customWidth="1"/>
    <col min="22" max="22" width="1.73046875" bestFit="1" customWidth="1"/>
    <col min="23" max="31" width="3.73046875" bestFit="1" customWidth="1"/>
    <col min="32" max="32" width="1.73046875" bestFit="1" customWidth="1"/>
    <col min="33" max="41" width="3.73046875" bestFit="1" customWidth="1"/>
    <col min="42" max="42" width="1.73046875" bestFit="1" customWidth="1"/>
    <col min="43" max="51" width="3.73046875" bestFit="1" customWidth="1"/>
    <col min="52" max="52" width="1.73046875" bestFit="1" customWidth="1"/>
    <col min="53" max="61" width="3.73046875" bestFit="1" customWidth="1"/>
    <col min="62" max="62" width="1.73046875" bestFit="1" customWidth="1"/>
    <col min="63" max="71" width="3.73046875" bestFit="1" customWidth="1"/>
    <col min="72" max="72" width="2.73046875" bestFit="1" customWidth="1"/>
    <col min="73" max="81" width="4.73046875" bestFit="1" customWidth="1"/>
    <col min="82" max="82" width="2.73046875" bestFit="1" customWidth="1"/>
    <col min="83" max="91" width="4.73046875" bestFit="1" customWidth="1"/>
    <col min="92" max="92" width="2.73046875" bestFit="1" customWidth="1"/>
    <col min="93" max="101" width="4.73046875" bestFit="1" customWidth="1"/>
    <col min="102" max="102" width="2.73046875" bestFit="1" customWidth="1"/>
    <col min="103" max="111" width="4.73046875" bestFit="1" customWidth="1"/>
    <col min="112" max="112" width="2.73046875" bestFit="1" customWidth="1"/>
    <col min="113" max="121" width="4.73046875" bestFit="1" customWidth="1"/>
    <col min="122" max="122" width="2.73046875" bestFit="1" customWidth="1"/>
    <col min="123" max="131" width="4.73046875" bestFit="1" customWidth="1"/>
    <col min="132" max="132" width="2.73046875" bestFit="1" customWidth="1"/>
    <col min="133" max="141" width="4.73046875" bestFit="1" customWidth="1"/>
    <col min="142" max="142" width="2.73046875" bestFit="1" customWidth="1"/>
    <col min="143" max="151" width="4.73046875" bestFit="1" customWidth="1"/>
    <col min="152" max="152" width="2.73046875" bestFit="1" customWidth="1"/>
    <col min="153" max="160" width="4.73046875" bestFit="1" customWidth="1"/>
    <col min="161" max="161" width="2.73046875" bestFit="1" customWidth="1"/>
    <col min="162" max="170" width="4.73046875" bestFit="1" customWidth="1"/>
    <col min="171" max="171" width="2.73046875" bestFit="1" customWidth="1"/>
    <col min="172" max="172" width="10.19921875" bestFit="1" customWidth="1"/>
  </cols>
  <sheetData>
    <row r="3" spans="1:8" x14ac:dyDescent="0.45">
      <c r="A3" s="6" t="s">
        <v>2679</v>
      </c>
      <c r="B3" t="s">
        <v>2677</v>
      </c>
      <c r="G3" s="5" t="s">
        <v>2680</v>
      </c>
      <c r="H3" s="5" t="s">
        <v>2681</v>
      </c>
    </row>
    <row r="4" spans="1:8" x14ac:dyDescent="0.45">
      <c r="A4" s="7" t="s">
        <v>2672</v>
      </c>
      <c r="B4">
        <v>197</v>
      </c>
      <c r="G4" t="s">
        <v>61</v>
      </c>
      <c r="H4" s="8">
        <f>76/244</f>
        <v>0.31147540983606559</v>
      </c>
    </row>
    <row r="5" spans="1:8" x14ac:dyDescent="0.45">
      <c r="A5" s="7" t="s">
        <v>2673</v>
      </c>
      <c r="B5">
        <v>286</v>
      </c>
      <c r="G5" t="s">
        <v>71</v>
      </c>
      <c r="H5" s="8">
        <f>80/235</f>
        <v>0.34042553191489361</v>
      </c>
    </row>
    <row r="6" spans="1:8" x14ac:dyDescent="0.45">
      <c r="A6" s="7" t="s">
        <v>2674</v>
      </c>
      <c r="B6">
        <v>229</v>
      </c>
      <c r="G6" t="s">
        <v>32</v>
      </c>
      <c r="H6" s="8">
        <f>104/270</f>
        <v>0.38518518518518519</v>
      </c>
    </row>
    <row r="7" spans="1:8" x14ac:dyDescent="0.45">
      <c r="A7" s="7" t="s">
        <v>2675</v>
      </c>
      <c r="B7">
        <v>288</v>
      </c>
      <c r="G7" t="s">
        <v>81</v>
      </c>
      <c r="H7" s="8">
        <f>87/251</f>
        <v>0.34661354581673309</v>
      </c>
    </row>
    <row r="8" spans="1:8" x14ac:dyDescent="0.45">
      <c r="A8" s="7" t="s">
        <v>2676</v>
      </c>
      <c r="B8">
        <v>1000</v>
      </c>
    </row>
    <row r="12" spans="1:8" x14ac:dyDescent="0.45">
      <c r="A12" s="6" t="s">
        <v>2677</v>
      </c>
      <c r="B12" s="6" t="s">
        <v>2678</v>
      </c>
    </row>
    <row r="13" spans="1:8" x14ac:dyDescent="0.45">
      <c r="A13" s="6" t="s">
        <v>2680</v>
      </c>
      <c r="B13" t="s">
        <v>49</v>
      </c>
      <c r="C13" t="s">
        <v>72</v>
      </c>
      <c r="D13" t="s">
        <v>132</v>
      </c>
      <c r="E13" t="s">
        <v>33</v>
      </c>
      <c r="F13" t="s">
        <v>2676</v>
      </c>
    </row>
    <row r="14" spans="1:8" x14ac:dyDescent="0.45">
      <c r="A14" s="7" t="s">
        <v>61</v>
      </c>
      <c r="B14">
        <v>64</v>
      </c>
      <c r="C14">
        <v>63</v>
      </c>
      <c r="D14">
        <v>55</v>
      </c>
      <c r="E14">
        <v>62</v>
      </c>
      <c r="F14">
        <v>244</v>
      </c>
    </row>
    <row r="15" spans="1:8" x14ac:dyDescent="0.45">
      <c r="A15" s="7" t="s">
        <v>71</v>
      </c>
      <c r="B15">
        <v>58</v>
      </c>
      <c r="C15">
        <v>55</v>
      </c>
      <c r="D15">
        <v>67</v>
      </c>
      <c r="E15">
        <v>55</v>
      </c>
      <c r="F15">
        <v>235</v>
      </c>
    </row>
    <row r="16" spans="1:8" x14ac:dyDescent="0.45">
      <c r="A16" s="7" t="s">
        <v>32</v>
      </c>
      <c r="B16">
        <v>69</v>
      </c>
      <c r="C16">
        <v>68</v>
      </c>
      <c r="D16">
        <v>69</v>
      </c>
      <c r="E16">
        <v>64</v>
      </c>
      <c r="F16">
        <v>270</v>
      </c>
    </row>
    <row r="17" spans="1:6" x14ac:dyDescent="0.45">
      <c r="A17" s="7" t="s">
        <v>81</v>
      </c>
      <c r="B17">
        <v>66</v>
      </c>
      <c r="C17">
        <v>62</v>
      </c>
      <c r="D17">
        <v>64</v>
      </c>
      <c r="E17">
        <v>59</v>
      </c>
      <c r="F17">
        <v>251</v>
      </c>
    </row>
    <row r="18" spans="1:6" x14ac:dyDescent="0.45">
      <c r="A18" s="7" t="s">
        <v>2676</v>
      </c>
      <c r="B18">
        <v>257</v>
      </c>
      <c r="C18">
        <v>248</v>
      </c>
      <c r="D18">
        <v>255</v>
      </c>
      <c r="E18">
        <v>240</v>
      </c>
      <c r="F18">
        <v>1000</v>
      </c>
    </row>
    <row r="22" spans="1:6" x14ac:dyDescent="0.45">
      <c r="A22" s="6" t="s">
        <v>2677</v>
      </c>
      <c r="B22" s="6" t="s">
        <v>2678</v>
      </c>
    </row>
    <row r="23" spans="1:6" x14ac:dyDescent="0.45">
      <c r="A23" s="6" t="s">
        <v>2680</v>
      </c>
      <c r="B23" t="s">
        <v>110</v>
      </c>
      <c r="C23" t="s">
        <v>39</v>
      </c>
      <c r="D23" t="s">
        <v>55</v>
      </c>
      <c r="E23" t="s">
        <v>2676</v>
      </c>
    </row>
    <row r="24" spans="1:6" x14ac:dyDescent="0.45">
      <c r="A24" s="7" t="s">
        <v>61</v>
      </c>
      <c r="B24">
        <v>85</v>
      </c>
      <c r="C24">
        <v>76</v>
      </c>
      <c r="D24">
        <v>83</v>
      </c>
      <c r="E24">
        <v>244</v>
      </c>
    </row>
    <row r="25" spans="1:6" x14ac:dyDescent="0.45">
      <c r="A25" s="7" t="s">
        <v>71</v>
      </c>
      <c r="B25">
        <v>76</v>
      </c>
      <c r="C25">
        <v>80</v>
      </c>
      <c r="D25">
        <v>79</v>
      </c>
      <c r="E25">
        <v>235</v>
      </c>
    </row>
    <row r="26" spans="1:6" x14ac:dyDescent="0.45">
      <c r="A26" s="7" t="s">
        <v>32</v>
      </c>
      <c r="B26">
        <v>79</v>
      </c>
      <c r="C26">
        <v>104</v>
      </c>
      <c r="D26">
        <v>87</v>
      </c>
      <c r="E26">
        <v>270</v>
      </c>
    </row>
    <row r="27" spans="1:6" x14ac:dyDescent="0.45">
      <c r="A27" s="7" t="s">
        <v>81</v>
      </c>
      <c r="B27">
        <v>71</v>
      </c>
      <c r="C27">
        <v>87</v>
      </c>
      <c r="D27">
        <v>93</v>
      </c>
      <c r="E27">
        <v>251</v>
      </c>
    </row>
    <row r="28" spans="1:6" x14ac:dyDescent="0.45">
      <c r="A28" s="7" t="s">
        <v>2676</v>
      </c>
      <c r="B28">
        <v>311</v>
      </c>
      <c r="C28">
        <v>347</v>
      </c>
      <c r="D28">
        <v>342</v>
      </c>
      <c r="E28">
        <v>1000</v>
      </c>
    </row>
    <row r="32" spans="1:6" x14ac:dyDescent="0.45">
      <c r="A32" s="6" t="s">
        <v>2677</v>
      </c>
      <c r="B32" s="6" t="s">
        <v>2678</v>
      </c>
    </row>
    <row r="33" spans="1:6" x14ac:dyDescent="0.45">
      <c r="A33" s="6" t="s">
        <v>2683</v>
      </c>
      <c r="B33" t="s">
        <v>61</v>
      </c>
      <c r="C33" t="s">
        <v>71</v>
      </c>
      <c r="D33" t="s">
        <v>32</v>
      </c>
      <c r="E33" t="s">
        <v>81</v>
      </c>
      <c r="F33" t="s">
        <v>2676</v>
      </c>
    </row>
    <row r="34" spans="1:6" x14ac:dyDescent="0.45">
      <c r="A34" s="7" t="s">
        <v>75</v>
      </c>
      <c r="B34">
        <v>52</v>
      </c>
      <c r="C34">
        <v>38</v>
      </c>
      <c r="D34">
        <v>57</v>
      </c>
      <c r="E34">
        <v>62</v>
      </c>
      <c r="F34">
        <v>209</v>
      </c>
    </row>
    <row r="35" spans="1:6" x14ac:dyDescent="0.45">
      <c r="A35" s="7" t="s">
        <v>67</v>
      </c>
      <c r="B35">
        <v>55</v>
      </c>
      <c r="C35">
        <v>51</v>
      </c>
      <c r="D35">
        <v>48</v>
      </c>
      <c r="E35">
        <v>51</v>
      </c>
      <c r="F35">
        <v>205</v>
      </c>
    </row>
    <row r="36" spans="1:6" x14ac:dyDescent="0.45">
      <c r="A36" s="7" t="s">
        <v>40</v>
      </c>
      <c r="B36">
        <v>45</v>
      </c>
      <c r="C36">
        <v>45</v>
      </c>
      <c r="D36">
        <v>60</v>
      </c>
      <c r="E36">
        <v>56</v>
      </c>
      <c r="F36">
        <v>206</v>
      </c>
    </row>
    <row r="37" spans="1:6" x14ac:dyDescent="0.45">
      <c r="A37" s="7" t="s">
        <v>129</v>
      </c>
      <c r="B37">
        <v>57</v>
      </c>
      <c r="C37">
        <v>56</v>
      </c>
      <c r="D37">
        <v>58</v>
      </c>
      <c r="E37">
        <v>42</v>
      </c>
      <c r="F37">
        <v>213</v>
      </c>
    </row>
    <row r="38" spans="1:6" x14ac:dyDescent="0.45">
      <c r="A38" s="7" t="s">
        <v>2614</v>
      </c>
      <c r="B38">
        <v>35</v>
      </c>
      <c r="C38">
        <v>45</v>
      </c>
      <c r="D38">
        <v>47</v>
      </c>
      <c r="E38">
        <v>40</v>
      </c>
      <c r="F38">
        <v>167</v>
      </c>
    </row>
    <row r="39" spans="1:6" x14ac:dyDescent="0.45">
      <c r="A39" s="7" t="s">
        <v>2676</v>
      </c>
      <c r="B39">
        <v>244</v>
      </c>
      <c r="C39">
        <v>235</v>
      </c>
      <c r="D39">
        <v>270</v>
      </c>
      <c r="E39">
        <v>251</v>
      </c>
      <c r="F39">
        <v>1000</v>
      </c>
    </row>
    <row r="42" spans="1:6" x14ac:dyDescent="0.45">
      <c r="A42" s="5" t="s">
        <v>2680</v>
      </c>
      <c r="B42" s="5" t="s">
        <v>2684</v>
      </c>
      <c r="C42" s="5" t="s">
        <v>67</v>
      </c>
      <c r="D42" s="5" t="s">
        <v>40</v>
      </c>
      <c r="E42" s="5" t="s">
        <v>129</v>
      </c>
    </row>
    <row r="43" spans="1:6" x14ac:dyDescent="0.45">
      <c r="A43" s="7" t="s">
        <v>61</v>
      </c>
      <c r="B43" s="9">
        <f>52/244</f>
        <v>0.21311475409836064</v>
      </c>
      <c r="C43" s="9">
        <f>55/244</f>
        <v>0.22540983606557377</v>
      </c>
      <c r="D43" s="9">
        <f>45/244</f>
        <v>0.18442622950819673</v>
      </c>
      <c r="E43" s="9">
        <f>57/244</f>
        <v>0.23360655737704919</v>
      </c>
    </row>
    <row r="44" spans="1:6" x14ac:dyDescent="0.45">
      <c r="A44" s="7" t="s">
        <v>71</v>
      </c>
      <c r="B44" s="9">
        <f>38/235</f>
        <v>0.16170212765957448</v>
      </c>
      <c r="C44" s="9">
        <f>51/235</f>
        <v>0.21702127659574469</v>
      </c>
      <c r="D44" s="9">
        <f>45/235</f>
        <v>0.19148936170212766</v>
      </c>
      <c r="E44" s="9">
        <f>56/235</f>
        <v>0.23829787234042554</v>
      </c>
    </row>
    <row r="45" spans="1:6" x14ac:dyDescent="0.45">
      <c r="A45" s="7" t="s">
        <v>32</v>
      </c>
      <c r="B45" s="9">
        <f>57/270</f>
        <v>0.21111111111111111</v>
      </c>
      <c r="C45" s="9">
        <f>48/270</f>
        <v>0.17777777777777778</v>
      </c>
      <c r="D45" s="9">
        <f>60/270</f>
        <v>0.22222222222222221</v>
      </c>
      <c r="E45" s="9">
        <f>58/270</f>
        <v>0.21481481481481482</v>
      </c>
    </row>
    <row r="46" spans="1:6" x14ac:dyDescent="0.45">
      <c r="A46" s="7" t="s">
        <v>81</v>
      </c>
      <c r="B46" s="9">
        <f>62/251</f>
        <v>0.24701195219123506</v>
      </c>
      <c r="C46" s="9">
        <f>51/251</f>
        <v>0.20318725099601595</v>
      </c>
      <c r="D46" s="9">
        <f>56/251</f>
        <v>0.22310756972111553</v>
      </c>
      <c r="E46" s="9">
        <f>42/251</f>
        <v>0.16733067729083664</v>
      </c>
    </row>
    <row r="50" spans="1:8" x14ac:dyDescent="0.45">
      <c r="A50" s="6" t="s">
        <v>2677</v>
      </c>
      <c r="B50" s="6" t="s">
        <v>2678</v>
      </c>
    </row>
    <row r="51" spans="1:8" x14ac:dyDescent="0.45">
      <c r="A51" s="6" t="s">
        <v>11</v>
      </c>
      <c r="B51" t="s">
        <v>110</v>
      </c>
      <c r="C51" t="s">
        <v>39</v>
      </c>
      <c r="D51" t="s">
        <v>55</v>
      </c>
      <c r="E51" t="s">
        <v>2676</v>
      </c>
      <c r="G51" s="5" t="s">
        <v>11</v>
      </c>
      <c r="H51" s="5" t="s">
        <v>2681</v>
      </c>
    </row>
    <row r="52" spans="1:8" x14ac:dyDescent="0.45">
      <c r="A52" s="7">
        <v>50</v>
      </c>
      <c r="B52">
        <v>82</v>
      </c>
      <c r="C52">
        <v>85</v>
      </c>
      <c r="D52">
        <v>78</v>
      </c>
      <c r="E52">
        <v>245</v>
      </c>
      <c r="G52" t="s">
        <v>92</v>
      </c>
      <c r="H52" s="9">
        <f>85/245</f>
        <v>0.34693877551020408</v>
      </c>
    </row>
    <row r="53" spans="1:8" x14ac:dyDescent="0.45">
      <c r="A53" s="7">
        <v>100</v>
      </c>
      <c r="B53">
        <v>78</v>
      </c>
      <c r="C53">
        <v>89</v>
      </c>
      <c r="D53">
        <v>95</v>
      </c>
      <c r="E53">
        <v>262</v>
      </c>
      <c r="G53" t="s">
        <v>52</v>
      </c>
      <c r="H53" s="9">
        <f>89/262</f>
        <v>0.33969465648854963</v>
      </c>
    </row>
    <row r="54" spans="1:8" x14ac:dyDescent="0.45">
      <c r="A54" s="7">
        <v>150</v>
      </c>
      <c r="B54">
        <v>78</v>
      </c>
      <c r="C54">
        <v>76</v>
      </c>
      <c r="D54">
        <v>85</v>
      </c>
      <c r="E54">
        <v>239</v>
      </c>
      <c r="G54" t="s">
        <v>64</v>
      </c>
      <c r="H54" s="9">
        <f>76/239</f>
        <v>0.31799163179916318</v>
      </c>
    </row>
    <row r="55" spans="1:8" x14ac:dyDescent="0.45">
      <c r="A55" s="7">
        <v>200</v>
      </c>
      <c r="B55">
        <v>73</v>
      </c>
      <c r="C55">
        <v>97</v>
      </c>
      <c r="D55">
        <v>84</v>
      </c>
      <c r="E55">
        <v>254</v>
      </c>
      <c r="G55" t="s">
        <v>36</v>
      </c>
      <c r="H55" s="9">
        <f>97/254</f>
        <v>0.38188976377952755</v>
      </c>
    </row>
    <row r="56" spans="1:8" x14ac:dyDescent="0.45">
      <c r="A56" s="7" t="s">
        <v>2676</v>
      </c>
      <c r="B56">
        <v>311</v>
      </c>
      <c r="C56">
        <v>347</v>
      </c>
      <c r="D56">
        <v>342</v>
      </c>
      <c r="E56">
        <v>1000</v>
      </c>
    </row>
    <row r="60" spans="1:8" x14ac:dyDescent="0.45">
      <c r="A60" s="6" t="s">
        <v>2677</v>
      </c>
      <c r="B60" s="6" t="s">
        <v>2678</v>
      </c>
    </row>
    <row r="61" spans="1:8" x14ac:dyDescent="0.45">
      <c r="A61" s="6" t="s">
        <v>2685</v>
      </c>
      <c r="B61" t="s">
        <v>110</v>
      </c>
      <c r="C61" t="s">
        <v>39</v>
      </c>
      <c r="D61" t="s">
        <v>55</v>
      </c>
      <c r="E61" t="s">
        <v>2676</v>
      </c>
      <c r="G61" s="5" t="s">
        <v>2685</v>
      </c>
      <c r="H61" s="5" t="s">
        <v>2681</v>
      </c>
    </row>
    <row r="62" spans="1:8" x14ac:dyDescent="0.45">
      <c r="A62" s="7" t="s">
        <v>57</v>
      </c>
      <c r="B62">
        <v>157</v>
      </c>
      <c r="C62">
        <v>171</v>
      </c>
      <c r="D62">
        <v>201</v>
      </c>
      <c r="E62">
        <v>529</v>
      </c>
      <c r="G62" s="7" t="s">
        <v>57</v>
      </c>
      <c r="H62" s="9">
        <f>171/529</f>
        <v>0.32325141776937616</v>
      </c>
    </row>
    <row r="63" spans="1:8" x14ac:dyDescent="0.45">
      <c r="A63" s="7" t="s">
        <v>42</v>
      </c>
      <c r="B63">
        <v>154</v>
      </c>
      <c r="C63">
        <v>176</v>
      </c>
      <c r="D63">
        <v>141</v>
      </c>
      <c r="E63">
        <v>471</v>
      </c>
      <c r="G63" s="7" t="s">
        <v>42</v>
      </c>
      <c r="H63" s="9">
        <f>176/471</f>
        <v>0.37367303609341823</v>
      </c>
    </row>
    <row r="64" spans="1:8" x14ac:dyDescent="0.45">
      <c r="A64" s="7" t="s">
        <v>2676</v>
      </c>
      <c r="B64">
        <v>311</v>
      </c>
      <c r="C64">
        <v>347</v>
      </c>
      <c r="D64">
        <v>342</v>
      </c>
      <c r="E64">
        <v>1000</v>
      </c>
    </row>
    <row r="68" spans="1:8" x14ac:dyDescent="0.45">
      <c r="A68" s="6" t="s">
        <v>2685</v>
      </c>
      <c r="B68" t="s">
        <v>2686</v>
      </c>
    </row>
    <row r="69" spans="1:8" x14ac:dyDescent="0.45">
      <c r="A69" s="7" t="s">
        <v>57</v>
      </c>
      <c r="B69" s="10">
        <v>11.507939508506619</v>
      </c>
    </row>
    <row r="70" spans="1:8" x14ac:dyDescent="0.45">
      <c r="A70" s="7" t="s">
        <v>42</v>
      </c>
      <c r="B70" s="10">
        <v>11.687048832271769</v>
      </c>
    </row>
    <row r="71" spans="1:8" x14ac:dyDescent="0.45">
      <c r="A71" s="7" t="s">
        <v>2676</v>
      </c>
      <c r="B71" s="10">
        <v>11.592299999999996</v>
      </c>
    </row>
    <row r="75" spans="1:8" x14ac:dyDescent="0.45">
      <c r="A75" s="6" t="s">
        <v>2677</v>
      </c>
      <c r="B75" s="6" t="s">
        <v>2678</v>
      </c>
      <c r="G75" s="5"/>
    </row>
    <row r="76" spans="1:8" x14ac:dyDescent="0.45">
      <c r="A76" s="6" t="s">
        <v>3</v>
      </c>
      <c r="B76" t="s">
        <v>110</v>
      </c>
      <c r="C76" t="s">
        <v>39</v>
      </c>
      <c r="D76" t="s">
        <v>55</v>
      </c>
      <c r="E76" t="s">
        <v>2676</v>
      </c>
      <c r="G76" s="5" t="s">
        <v>3</v>
      </c>
      <c r="H76" s="5" t="s">
        <v>2681</v>
      </c>
    </row>
    <row r="77" spans="1:8" x14ac:dyDescent="0.45">
      <c r="A77" s="7" t="s">
        <v>28</v>
      </c>
      <c r="B77">
        <v>60</v>
      </c>
      <c r="C77">
        <v>79</v>
      </c>
      <c r="D77">
        <v>69</v>
      </c>
      <c r="E77">
        <v>208</v>
      </c>
      <c r="G77" s="7" t="s">
        <v>28</v>
      </c>
      <c r="H77" s="9">
        <f>79/208</f>
        <v>0.37980769230769229</v>
      </c>
    </row>
    <row r="78" spans="1:8" x14ac:dyDescent="0.45">
      <c r="A78" s="7" t="s">
        <v>106</v>
      </c>
      <c r="B78">
        <v>68</v>
      </c>
      <c r="C78">
        <v>71</v>
      </c>
      <c r="D78">
        <v>63</v>
      </c>
      <c r="E78">
        <v>202</v>
      </c>
      <c r="G78" s="7" t="s">
        <v>106</v>
      </c>
      <c r="H78" s="9">
        <f>71/202</f>
        <v>0.35148514851485146</v>
      </c>
    </row>
    <row r="79" spans="1:8" x14ac:dyDescent="0.45">
      <c r="A79" s="7" t="s">
        <v>87</v>
      </c>
      <c r="B79">
        <v>66</v>
      </c>
      <c r="C79">
        <v>66</v>
      </c>
      <c r="D79">
        <v>69</v>
      </c>
      <c r="E79">
        <v>201</v>
      </c>
      <c r="G79" s="7" t="s">
        <v>87</v>
      </c>
      <c r="H79" s="9">
        <f>66/201</f>
        <v>0.32835820895522388</v>
      </c>
    </row>
    <row r="80" spans="1:8" x14ac:dyDescent="0.45">
      <c r="A80" s="7" t="s">
        <v>95</v>
      </c>
      <c r="B80">
        <v>58</v>
      </c>
      <c r="C80">
        <v>69</v>
      </c>
      <c r="D80">
        <v>71</v>
      </c>
      <c r="E80">
        <v>198</v>
      </c>
      <c r="G80" s="7" t="s">
        <v>95</v>
      </c>
      <c r="H80" s="9">
        <f>69/198</f>
        <v>0.34848484848484851</v>
      </c>
    </row>
    <row r="81" spans="1:8" x14ac:dyDescent="0.45">
      <c r="A81" s="7" t="s">
        <v>45</v>
      </c>
      <c r="B81">
        <v>59</v>
      </c>
      <c r="C81">
        <v>62</v>
      </c>
      <c r="D81">
        <v>70</v>
      </c>
      <c r="E81">
        <v>191</v>
      </c>
      <c r="G81" s="7" t="s">
        <v>45</v>
      </c>
      <c r="H81" s="9">
        <f>62/191</f>
        <v>0.32460732984293195</v>
      </c>
    </row>
    <row r="82" spans="1:8" x14ac:dyDescent="0.45">
      <c r="A82" s="7" t="s">
        <v>2676</v>
      </c>
      <c r="B82">
        <v>311</v>
      </c>
      <c r="C82">
        <v>347</v>
      </c>
      <c r="D82">
        <v>342</v>
      </c>
      <c r="E82">
        <v>1000</v>
      </c>
    </row>
    <row r="86" spans="1:8" x14ac:dyDescent="0.45">
      <c r="A86" s="6" t="s">
        <v>2677</v>
      </c>
      <c r="B86" s="6" t="s">
        <v>2678</v>
      </c>
    </row>
    <row r="87" spans="1:8" x14ac:dyDescent="0.45">
      <c r="A87" s="6" t="s">
        <v>2679</v>
      </c>
      <c r="B87" t="s">
        <v>110</v>
      </c>
      <c r="C87" t="s">
        <v>39</v>
      </c>
      <c r="D87" t="s">
        <v>55</v>
      </c>
      <c r="E87" t="s">
        <v>2676</v>
      </c>
      <c r="G87" s="5" t="s">
        <v>2679</v>
      </c>
      <c r="H87" s="5" t="s">
        <v>2681</v>
      </c>
    </row>
    <row r="88" spans="1:8" x14ac:dyDescent="0.45">
      <c r="A88" s="7" t="s">
        <v>2672</v>
      </c>
      <c r="B88">
        <v>59</v>
      </c>
      <c r="C88">
        <v>75</v>
      </c>
      <c r="D88">
        <v>63</v>
      </c>
      <c r="E88">
        <v>197</v>
      </c>
      <c r="G88" s="7" t="s">
        <v>2672</v>
      </c>
      <c r="H88" s="9">
        <f>75/197</f>
        <v>0.38071065989847713</v>
      </c>
    </row>
    <row r="89" spans="1:8" x14ac:dyDescent="0.45">
      <c r="A89" s="7" t="s">
        <v>2673</v>
      </c>
      <c r="B89">
        <v>97</v>
      </c>
      <c r="C89">
        <v>92</v>
      </c>
      <c r="D89">
        <v>97</v>
      </c>
      <c r="E89">
        <v>286</v>
      </c>
      <c r="G89" s="7" t="s">
        <v>2673</v>
      </c>
      <c r="H89" s="9">
        <f>92/286</f>
        <v>0.32167832167832167</v>
      </c>
    </row>
    <row r="90" spans="1:8" x14ac:dyDescent="0.45">
      <c r="A90" s="7" t="s">
        <v>2674</v>
      </c>
      <c r="B90">
        <v>71</v>
      </c>
      <c r="C90">
        <v>81</v>
      </c>
      <c r="D90">
        <v>77</v>
      </c>
      <c r="E90">
        <v>229</v>
      </c>
      <c r="G90" s="7" t="s">
        <v>2674</v>
      </c>
      <c r="H90" s="9">
        <f>81/229</f>
        <v>0.35371179039301309</v>
      </c>
    </row>
    <row r="91" spans="1:8" x14ac:dyDescent="0.45">
      <c r="A91" s="7" t="s">
        <v>2675</v>
      </c>
      <c r="B91">
        <v>84</v>
      </c>
      <c r="C91">
        <v>99</v>
      </c>
      <c r="D91">
        <v>105</v>
      </c>
      <c r="E91">
        <v>288</v>
      </c>
      <c r="G91" s="7" t="s">
        <v>2675</v>
      </c>
      <c r="H91" s="9">
        <f>99/288</f>
        <v>0.34375</v>
      </c>
    </row>
    <row r="92" spans="1:8" x14ac:dyDescent="0.45">
      <c r="A92" s="7" t="s">
        <v>2676</v>
      </c>
      <c r="B92">
        <v>311</v>
      </c>
      <c r="C92">
        <v>347</v>
      </c>
      <c r="D92">
        <v>342</v>
      </c>
      <c r="E92">
        <v>1000</v>
      </c>
    </row>
    <row r="96" spans="1:8" x14ac:dyDescent="0.45">
      <c r="A96" s="6" t="s">
        <v>2680</v>
      </c>
      <c r="B96" t="s">
        <v>2687</v>
      </c>
    </row>
    <row r="97" spans="1:2" x14ac:dyDescent="0.45">
      <c r="A97" s="7" t="s">
        <v>61</v>
      </c>
      <c r="B97" s="10">
        <v>5.5081967213114735</v>
      </c>
    </row>
    <row r="98" spans="1:2" x14ac:dyDescent="0.45">
      <c r="A98" s="7" t="s">
        <v>71</v>
      </c>
      <c r="B98" s="10">
        <v>5.2663829787234029</v>
      </c>
    </row>
    <row r="99" spans="1:2" x14ac:dyDescent="0.45">
      <c r="A99" s="7" t="s">
        <v>32</v>
      </c>
      <c r="B99" s="10">
        <v>5.2748148148148131</v>
      </c>
    </row>
    <row r="100" spans="1:2" x14ac:dyDescent="0.45">
      <c r="A100" s="7" t="s">
        <v>81</v>
      </c>
      <c r="B100" s="10">
        <v>5.5565737051792814</v>
      </c>
    </row>
    <row r="101" spans="1:2" x14ac:dyDescent="0.45">
      <c r="A101" s="7" t="s">
        <v>2676</v>
      </c>
      <c r="B101" s="10">
        <v>5.4005000000000001</v>
      </c>
    </row>
    <row r="105" spans="1:2" x14ac:dyDescent="0.45">
      <c r="A105" s="6" t="s">
        <v>2680</v>
      </c>
      <c r="B105" t="s">
        <v>2686</v>
      </c>
    </row>
    <row r="106" spans="1:2" x14ac:dyDescent="0.45">
      <c r="A106" s="7" t="s">
        <v>61</v>
      </c>
      <c r="B106" s="10">
        <v>11.952868852459009</v>
      </c>
    </row>
    <row r="107" spans="1:2" x14ac:dyDescent="0.45">
      <c r="A107" s="7" t="s">
        <v>71</v>
      </c>
      <c r="B107" s="10">
        <v>11.571489361702131</v>
      </c>
    </row>
    <row r="108" spans="1:2" x14ac:dyDescent="0.45">
      <c r="A108" s="7" t="s">
        <v>32</v>
      </c>
      <c r="B108" s="10">
        <v>11.596296296296291</v>
      </c>
    </row>
    <row r="109" spans="1:2" x14ac:dyDescent="0.45">
      <c r="A109" s="7" t="s">
        <v>81</v>
      </c>
      <c r="B109" s="10">
        <v>11.25697211155379</v>
      </c>
    </row>
    <row r="110" spans="1:2" x14ac:dyDescent="0.45">
      <c r="A110" s="7" t="s">
        <v>2676</v>
      </c>
      <c r="B110" s="10">
        <v>11.592300000000009</v>
      </c>
    </row>
    <row r="114" spans="1:6" x14ac:dyDescent="0.45">
      <c r="A114" s="6" t="s">
        <v>2679</v>
      </c>
      <c r="B114" t="s">
        <v>2687</v>
      </c>
    </row>
    <row r="115" spans="1:6" x14ac:dyDescent="0.45">
      <c r="A115" s="7" t="s">
        <v>2672</v>
      </c>
      <c r="B115" s="10">
        <v>5.4543147208121789</v>
      </c>
    </row>
    <row r="116" spans="1:6" x14ac:dyDescent="0.45">
      <c r="A116" s="7" t="s">
        <v>2673</v>
      </c>
      <c r="B116" s="10">
        <v>5.3933566433566407</v>
      </c>
    </row>
    <row r="117" spans="1:6" x14ac:dyDescent="0.45">
      <c r="A117" s="7" t="s">
        <v>2674</v>
      </c>
      <c r="B117" s="10">
        <v>5.5510917030567661</v>
      </c>
    </row>
    <row r="118" spans="1:6" x14ac:dyDescent="0.45">
      <c r="A118" s="7" t="s">
        <v>2675</v>
      </c>
      <c r="B118" s="10">
        <v>5.2510416666666657</v>
      </c>
    </row>
    <row r="119" spans="1:6" x14ac:dyDescent="0.45">
      <c r="A119" s="7" t="s">
        <v>2676</v>
      </c>
      <c r="B119" s="10">
        <v>5.4005000000000027</v>
      </c>
    </row>
    <row r="123" spans="1:6" x14ac:dyDescent="0.45">
      <c r="A123" s="6" t="s">
        <v>2687</v>
      </c>
      <c r="B123" s="6" t="s">
        <v>2678</v>
      </c>
    </row>
    <row r="124" spans="1:6" x14ac:dyDescent="0.45">
      <c r="A124" s="6" t="s">
        <v>2680</v>
      </c>
      <c r="B124" t="s">
        <v>2672</v>
      </c>
      <c r="C124" t="s">
        <v>2673</v>
      </c>
      <c r="D124" t="s">
        <v>2674</v>
      </c>
      <c r="E124" t="s">
        <v>2675</v>
      </c>
      <c r="F124" t="s">
        <v>2676</v>
      </c>
    </row>
    <row r="125" spans="1:6" x14ac:dyDescent="0.45">
      <c r="A125" s="7" t="s">
        <v>61</v>
      </c>
      <c r="B125" s="10">
        <v>6.3365853658536571</v>
      </c>
      <c r="C125" s="10">
        <v>5.2657894736842108</v>
      </c>
      <c r="D125" s="10">
        <v>5.5322033898305092</v>
      </c>
      <c r="E125" s="10">
        <v>5.2588235294117665</v>
      </c>
      <c r="F125" s="10">
        <v>5.5081967213114735</v>
      </c>
    </row>
    <row r="126" spans="1:6" x14ac:dyDescent="0.45">
      <c r="A126" s="7" t="s">
        <v>71</v>
      </c>
      <c r="B126" s="10">
        <v>5.2065217391304355</v>
      </c>
      <c r="C126" s="10">
        <v>5.1589041095890416</v>
      </c>
      <c r="D126" s="10">
        <v>5.238888888888888</v>
      </c>
      <c r="E126" s="10">
        <v>5.4612903225806457</v>
      </c>
      <c r="F126" s="10">
        <v>5.2663829787234056</v>
      </c>
    </row>
    <row r="127" spans="1:6" x14ac:dyDescent="0.45">
      <c r="A127" s="7" t="s">
        <v>32</v>
      </c>
      <c r="B127" s="10">
        <v>4.949090909090911</v>
      </c>
      <c r="C127" s="10">
        <v>5.5578125000000016</v>
      </c>
      <c r="D127" s="10">
        <v>5.3731343283582085</v>
      </c>
      <c r="E127" s="10">
        <v>5.1940476190476188</v>
      </c>
      <c r="F127" s="10">
        <v>5.274814814814814</v>
      </c>
    </row>
    <row r="128" spans="1:6" x14ac:dyDescent="0.45">
      <c r="A128" s="7" t="s">
        <v>81</v>
      </c>
      <c r="B128" s="10">
        <v>5.5090909090909115</v>
      </c>
      <c r="C128" s="10">
        <v>5.616438356164382</v>
      </c>
      <c r="D128" s="10">
        <v>6.1612244897959192</v>
      </c>
      <c r="E128" s="10">
        <v>5.1324324324324309</v>
      </c>
      <c r="F128" s="10">
        <v>5.5565737051792832</v>
      </c>
    </row>
    <row r="129" spans="1:6" x14ac:dyDescent="0.45">
      <c r="A129" s="7" t="s">
        <v>2676</v>
      </c>
      <c r="B129" s="10">
        <v>5.4543147208121789</v>
      </c>
      <c r="C129" s="10">
        <v>5.3933566433566451</v>
      </c>
      <c r="D129" s="10">
        <v>5.5510917030567679</v>
      </c>
      <c r="E129" s="10">
        <v>5.2510416666666684</v>
      </c>
      <c r="F129" s="10">
        <v>5.4005000000000001</v>
      </c>
    </row>
    <row r="133" spans="1:6" x14ac:dyDescent="0.45">
      <c r="A133" s="6" t="s">
        <v>2687</v>
      </c>
      <c r="B133" s="6" t="s">
        <v>2678</v>
      </c>
    </row>
    <row r="134" spans="1:6" x14ac:dyDescent="0.45">
      <c r="A134" s="6" t="s">
        <v>2685</v>
      </c>
      <c r="B134" t="s">
        <v>61</v>
      </c>
      <c r="C134" t="s">
        <v>71</v>
      </c>
      <c r="D134" t="s">
        <v>32</v>
      </c>
      <c r="E134" t="s">
        <v>81</v>
      </c>
      <c r="F134" t="s">
        <v>2676</v>
      </c>
    </row>
    <row r="135" spans="1:6" x14ac:dyDescent="0.45">
      <c r="A135" s="7" t="s">
        <v>57</v>
      </c>
      <c r="B135" s="10">
        <v>5.940425531914892</v>
      </c>
      <c r="C135" s="10">
        <v>5.4328000000000021</v>
      </c>
      <c r="D135" s="10">
        <v>5.084090909090909</v>
      </c>
      <c r="E135" s="10">
        <v>5.6709923664122153</v>
      </c>
      <c r="F135" s="10">
        <v>5.5400756143667298</v>
      </c>
    </row>
    <row r="136" spans="1:6" x14ac:dyDescent="0.45">
      <c r="A136" s="7" t="s">
        <v>42</v>
      </c>
      <c r="B136" s="10">
        <v>4.9165048543689327</v>
      </c>
      <c r="C136" s="10">
        <v>5.0772727272727263</v>
      </c>
      <c r="D136" s="10">
        <v>5.457246376811594</v>
      </c>
      <c r="E136" s="10">
        <v>5.4316666666666666</v>
      </c>
      <c r="F136" s="10">
        <v>5.2437367303609355</v>
      </c>
    </row>
    <row r="137" spans="1:6" x14ac:dyDescent="0.45">
      <c r="A137" s="7" t="s">
        <v>2676</v>
      </c>
      <c r="B137" s="10">
        <v>5.5081967213114744</v>
      </c>
      <c r="C137" s="10">
        <v>5.2663829787234073</v>
      </c>
      <c r="D137" s="10">
        <v>5.2748148148148184</v>
      </c>
      <c r="E137" s="10">
        <v>5.5565737051792841</v>
      </c>
      <c r="F137" s="10">
        <v>5.400500000000001</v>
      </c>
    </row>
    <row r="141" spans="1:6" x14ac:dyDescent="0.45">
      <c r="A141" s="6" t="s">
        <v>2689</v>
      </c>
      <c r="B141" t="s">
        <v>2688</v>
      </c>
    </row>
    <row r="142" spans="1:6" x14ac:dyDescent="0.45">
      <c r="A142" s="7" t="s">
        <v>61</v>
      </c>
      <c r="B142" s="10">
        <v>123.77049180327869</v>
      </c>
    </row>
    <row r="143" spans="1:6" x14ac:dyDescent="0.45">
      <c r="A143" s="7" t="s">
        <v>71</v>
      </c>
      <c r="B143" s="10">
        <v>130.63829787234042</v>
      </c>
    </row>
    <row r="144" spans="1:6" x14ac:dyDescent="0.45">
      <c r="A144" s="7" t="s">
        <v>32</v>
      </c>
      <c r="B144" s="10">
        <v>121.85185185185185</v>
      </c>
    </row>
    <row r="145" spans="1:6" x14ac:dyDescent="0.45">
      <c r="A145" s="7" t="s">
        <v>81</v>
      </c>
      <c r="B145" s="10">
        <v>124.70119521912351</v>
      </c>
    </row>
    <row r="146" spans="1:6" x14ac:dyDescent="0.45">
      <c r="A146" s="7" t="s">
        <v>2676</v>
      </c>
      <c r="B146" s="10">
        <v>125.1</v>
      </c>
    </row>
    <row r="150" spans="1:6" x14ac:dyDescent="0.45">
      <c r="A150" s="6" t="s">
        <v>2690</v>
      </c>
      <c r="B150" s="6" t="s">
        <v>2678</v>
      </c>
    </row>
    <row r="151" spans="1:6" x14ac:dyDescent="0.45">
      <c r="A151" s="6" t="s">
        <v>2</v>
      </c>
      <c r="B151" t="s">
        <v>61</v>
      </c>
      <c r="C151" t="s">
        <v>71</v>
      </c>
      <c r="D151" t="s">
        <v>32</v>
      </c>
      <c r="E151" t="s">
        <v>81</v>
      </c>
      <c r="F151" t="s">
        <v>2676</v>
      </c>
    </row>
    <row r="152" spans="1:6" x14ac:dyDescent="0.45">
      <c r="A152" s="7" t="s">
        <v>44</v>
      </c>
      <c r="B152" s="10">
        <v>15.215942028985509</v>
      </c>
      <c r="C152" s="10">
        <v>15.274025974025969</v>
      </c>
      <c r="D152" s="10">
        <v>14.506741573033707</v>
      </c>
      <c r="E152" s="10">
        <v>15.413157894736841</v>
      </c>
      <c r="F152" s="10">
        <v>15.075562700964619</v>
      </c>
    </row>
    <row r="153" spans="1:6" x14ac:dyDescent="0.45">
      <c r="A153" s="7" t="s">
        <v>27</v>
      </c>
      <c r="B153" s="10">
        <v>14.256122448979591</v>
      </c>
      <c r="C153" s="10">
        <v>15.29411764705883</v>
      </c>
      <c r="D153" s="10">
        <v>14.816666666666666</v>
      </c>
      <c r="E153" s="10">
        <v>15.134020618556699</v>
      </c>
      <c r="F153" s="10">
        <v>14.840226628895184</v>
      </c>
    </row>
    <row r="154" spans="1:6" x14ac:dyDescent="0.45">
      <c r="A154" s="7" t="s">
        <v>45</v>
      </c>
      <c r="B154" s="10">
        <v>15.277922077922081</v>
      </c>
      <c r="C154" s="10">
        <v>14.971111111111117</v>
      </c>
      <c r="D154" s="10">
        <v>14.498901098901095</v>
      </c>
      <c r="E154" s="10">
        <v>15.243589743589746</v>
      </c>
      <c r="F154" s="10">
        <v>14.976785714285706</v>
      </c>
    </row>
    <row r="155" spans="1:6" x14ac:dyDescent="0.45">
      <c r="A155" s="7" t="s">
        <v>2676</v>
      </c>
      <c r="B155" s="10">
        <v>14.850000000000001</v>
      </c>
      <c r="C155" s="10">
        <v>15.163829787234034</v>
      </c>
      <c r="D155" s="10">
        <v>14.607407407407404</v>
      </c>
      <c r="E155" s="10">
        <v>15.252589641434257</v>
      </c>
      <c r="F155" s="10">
        <v>14.959299999999994</v>
      </c>
    </row>
    <row r="159" spans="1:6" x14ac:dyDescent="0.45">
      <c r="A159" s="6" t="s">
        <v>2691</v>
      </c>
      <c r="B159" s="6" t="s">
        <v>2678</v>
      </c>
    </row>
    <row r="160" spans="1:6" x14ac:dyDescent="0.45">
      <c r="A160" s="6" t="s">
        <v>2679</v>
      </c>
      <c r="B160" t="s">
        <v>110</v>
      </c>
      <c r="C160" t="s">
        <v>39</v>
      </c>
      <c r="D160" t="s">
        <v>55</v>
      </c>
      <c r="E160" t="s">
        <v>2676</v>
      </c>
    </row>
    <row r="161" spans="1:5" x14ac:dyDescent="0.45">
      <c r="A161" s="7" t="s">
        <v>2672</v>
      </c>
      <c r="B161">
        <v>59</v>
      </c>
      <c r="C161">
        <v>75</v>
      </c>
      <c r="D161">
        <v>63</v>
      </c>
      <c r="E161">
        <v>197</v>
      </c>
    </row>
    <row r="162" spans="1:5" x14ac:dyDescent="0.45">
      <c r="A162" s="7" t="s">
        <v>2673</v>
      </c>
      <c r="B162">
        <v>97</v>
      </c>
      <c r="C162">
        <v>92</v>
      </c>
      <c r="D162">
        <v>97</v>
      </c>
      <c r="E162">
        <v>286</v>
      </c>
    </row>
    <row r="163" spans="1:5" x14ac:dyDescent="0.45">
      <c r="A163" s="7" t="s">
        <v>2674</v>
      </c>
      <c r="B163">
        <v>71</v>
      </c>
      <c r="C163">
        <v>81</v>
      </c>
      <c r="D163">
        <v>77</v>
      </c>
      <c r="E163">
        <v>229</v>
      </c>
    </row>
    <row r="164" spans="1:5" x14ac:dyDescent="0.45">
      <c r="A164" s="7" t="s">
        <v>2675</v>
      </c>
      <c r="B164">
        <v>84</v>
      </c>
      <c r="C164">
        <v>99</v>
      </c>
      <c r="D164">
        <v>105</v>
      </c>
      <c r="E164">
        <v>288</v>
      </c>
    </row>
    <row r="165" spans="1:5" x14ac:dyDescent="0.45">
      <c r="A165" s="7" t="s">
        <v>2676</v>
      </c>
      <c r="B165">
        <v>311</v>
      </c>
      <c r="C165">
        <v>347</v>
      </c>
      <c r="D165">
        <v>342</v>
      </c>
      <c r="E165">
        <v>1000</v>
      </c>
    </row>
    <row r="169" spans="1:5" x14ac:dyDescent="0.45">
      <c r="A169" s="6" t="s">
        <v>2693</v>
      </c>
      <c r="B169" t="s">
        <v>2692</v>
      </c>
      <c r="C169" t="s">
        <v>2690</v>
      </c>
    </row>
    <row r="170" spans="1:5" x14ac:dyDescent="0.45">
      <c r="A170" s="7" t="s">
        <v>123</v>
      </c>
      <c r="B170" s="10">
        <v>2.9531603773584907</v>
      </c>
      <c r="C170" s="10">
        <v>14.464622641509433</v>
      </c>
    </row>
    <row r="171" spans="1:5" x14ac:dyDescent="0.45">
      <c r="A171" s="7" t="s">
        <v>41</v>
      </c>
      <c r="B171" s="10">
        <v>3.0401530612244891</v>
      </c>
      <c r="C171" s="10">
        <v>15.191836734693885</v>
      </c>
    </row>
    <row r="172" spans="1:5" x14ac:dyDescent="0.45">
      <c r="A172" s="7" t="s">
        <v>85</v>
      </c>
      <c r="B172" s="10">
        <v>3.0021800947867305</v>
      </c>
      <c r="C172" s="10">
        <v>14.979146919431271</v>
      </c>
    </row>
    <row r="173" spans="1:5" x14ac:dyDescent="0.45">
      <c r="A173" s="7" t="s">
        <v>56</v>
      </c>
      <c r="B173" s="10">
        <v>3.0058793969849216</v>
      </c>
      <c r="C173" s="10">
        <v>15.225628140703526</v>
      </c>
    </row>
    <row r="174" spans="1:5" x14ac:dyDescent="0.45">
      <c r="A174" s="7" t="s">
        <v>137</v>
      </c>
      <c r="B174" s="10">
        <v>2.8964285714285714</v>
      </c>
      <c r="C174" s="10">
        <v>14.970879120879108</v>
      </c>
    </row>
    <row r="175" spans="1:5" x14ac:dyDescent="0.45">
      <c r="A175" s="7" t="s">
        <v>2676</v>
      </c>
      <c r="B175" s="10">
        <v>2.980720000000002</v>
      </c>
      <c r="C175" s="10">
        <v>14.959300000000033</v>
      </c>
    </row>
    <row r="179" spans="1:2" x14ac:dyDescent="0.45">
      <c r="A179" s="6" t="s">
        <v>2669</v>
      </c>
      <c r="B179" t="s">
        <v>2694</v>
      </c>
    </row>
    <row r="180" spans="1:2" x14ac:dyDescent="0.45">
      <c r="A180" s="7" t="s">
        <v>2695</v>
      </c>
      <c r="B180">
        <v>283</v>
      </c>
    </row>
    <row r="181" spans="1:2" x14ac:dyDescent="0.45">
      <c r="A181" s="7" t="s">
        <v>2696</v>
      </c>
      <c r="B181">
        <v>288</v>
      </c>
    </row>
    <row r="182" spans="1:2" x14ac:dyDescent="0.45">
      <c r="A182" s="7" t="s">
        <v>2697</v>
      </c>
      <c r="B182">
        <v>316</v>
      </c>
    </row>
    <row r="183" spans="1:2" x14ac:dyDescent="0.45">
      <c r="A183" s="7" t="s">
        <v>2698</v>
      </c>
      <c r="B183">
        <v>113</v>
      </c>
    </row>
    <row r="184" spans="1:2" x14ac:dyDescent="0.45">
      <c r="A184" s="7" t="s">
        <v>2676</v>
      </c>
      <c r="B184">
        <v>1000</v>
      </c>
    </row>
    <row r="188" spans="1:2" x14ac:dyDescent="0.45">
      <c r="A188" s="6" t="s">
        <v>2705</v>
      </c>
      <c r="B188" t="s">
        <v>2699</v>
      </c>
    </row>
    <row r="189" spans="1:2" x14ac:dyDescent="0.45">
      <c r="A189" s="7" t="s">
        <v>2700</v>
      </c>
      <c r="B189" s="10">
        <v>203</v>
      </c>
    </row>
    <row r="190" spans="1:2" x14ac:dyDescent="0.45">
      <c r="A190" s="7" t="s">
        <v>2701</v>
      </c>
      <c r="B190" s="10">
        <v>210</v>
      </c>
    </row>
    <row r="191" spans="1:2" x14ac:dyDescent="0.45">
      <c r="A191" s="7" t="s">
        <v>2702</v>
      </c>
      <c r="B191" s="10">
        <v>197</v>
      </c>
    </row>
    <row r="192" spans="1:2" x14ac:dyDescent="0.45">
      <c r="A192" s="7" t="s">
        <v>2703</v>
      </c>
      <c r="B192" s="10">
        <v>192</v>
      </c>
    </row>
    <row r="193" spans="1:2" x14ac:dyDescent="0.45">
      <c r="A193" s="7" t="s">
        <v>2704</v>
      </c>
      <c r="B193" s="10">
        <v>198</v>
      </c>
    </row>
    <row r="194" spans="1:2" x14ac:dyDescent="0.45">
      <c r="A194" s="7" t="s">
        <v>2676</v>
      </c>
      <c r="B194" s="10">
        <v>1000</v>
      </c>
    </row>
    <row r="198" spans="1:2" x14ac:dyDescent="0.45">
      <c r="A198" s="6" t="s">
        <v>2707</v>
      </c>
      <c r="B198" t="s">
        <v>2706</v>
      </c>
    </row>
    <row r="199" spans="1:2" x14ac:dyDescent="0.45">
      <c r="A199" s="7" t="s">
        <v>110</v>
      </c>
      <c r="B199" s="10">
        <v>2.9309967845659184</v>
      </c>
    </row>
    <row r="200" spans="1:2" x14ac:dyDescent="0.45">
      <c r="A200" s="7" t="s">
        <v>39</v>
      </c>
      <c r="B200" s="10">
        <v>2.9692795389048996</v>
      </c>
    </row>
    <row r="201" spans="1:2" x14ac:dyDescent="0.45">
      <c r="A201" s="7" t="s">
        <v>55</v>
      </c>
      <c r="B201" s="10">
        <v>3.0477777777777781</v>
      </c>
    </row>
    <row r="202" spans="1:2" x14ac:dyDescent="0.45">
      <c r="A202" s="7" t="s">
        <v>2676</v>
      </c>
      <c r="B202" s="10">
        <v>2.9842200000000001</v>
      </c>
    </row>
    <row r="206" spans="1:2" x14ac:dyDescent="0.45">
      <c r="A206" s="6" t="s">
        <v>2</v>
      </c>
      <c r="B206" t="s">
        <v>2677</v>
      </c>
    </row>
    <row r="207" spans="1:2" x14ac:dyDescent="0.45">
      <c r="A207" s="7" t="s">
        <v>44</v>
      </c>
      <c r="B207">
        <v>311</v>
      </c>
    </row>
    <row r="208" spans="1:2" x14ac:dyDescent="0.45">
      <c r="A208" s="7" t="s">
        <v>27</v>
      </c>
      <c r="B208">
        <v>353</v>
      </c>
    </row>
    <row r="209" spans="1:2" x14ac:dyDescent="0.45">
      <c r="A209" s="7" t="s">
        <v>45</v>
      </c>
      <c r="B209">
        <v>336</v>
      </c>
    </row>
    <row r="210" spans="1:2" x14ac:dyDescent="0.45">
      <c r="A210" s="7" t="s">
        <v>2676</v>
      </c>
      <c r="B210">
        <v>1000</v>
      </c>
    </row>
    <row r="214" spans="1:2" x14ac:dyDescent="0.45">
      <c r="A214" s="6" t="s">
        <v>2</v>
      </c>
      <c r="B214" t="s">
        <v>2710</v>
      </c>
    </row>
    <row r="215" spans="1:2" x14ac:dyDescent="0.45">
      <c r="A215" s="7" t="s">
        <v>44</v>
      </c>
      <c r="B215" s="10">
        <v>0.38585209003215432</v>
      </c>
    </row>
    <row r="216" spans="1:2" x14ac:dyDescent="0.45">
      <c r="A216" s="7" t="s">
        <v>27</v>
      </c>
      <c r="B216" s="10">
        <v>0.33711048158640228</v>
      </c>
    </row>
    <row r="217" spans="1:2" x14ac:dyDescent="0.45">
      <c r="A217" s="7" t="s">
        <v>45</v>
      </c>
      <c r="B217" s="10">
        <v>0.32142857142857145</v>
      </c>
    </row>
    <row r="218" spans="1:2" x14ac:dyDescent="0.45">
      <c r="A218" s="7" t="s">
        <v>2676</v>
      </c>
      <c r="B218" s="10">
        <v>0.34699999999999998</v>
      </c>
    </row>
    <row r="222" spans="1:2" x14ac:dyDescent="0.45">
      <c r="A222" s="6" t="s">
        <v>2679</v>
      </c>
      <c r="B222" t="s">
        <v>2710</v>
      </c>
    </row>
    <row r="223" spans="1:2" x14ac:dyDescent="0.45">
      <c r="A223" s="7" t="s">
        <v>2672</v>
      </c>
      <c r="B223" s="13">
        <v>0.38071065989847713</v>
      </c>
    </row>
    <row r="224" spans="1:2" x14ac:dyDescent="0.45">
      <c r="A224" s="7" t="s">
        <v>2673</v>
      </c>
      <c r="B224" s="13">
        <v>0.32167832167832167</v>
      </c>
    </row>
    <row r="225" spans="1:2" x14ac:dyDescent="0.45">
      <c r="A225" s="7" t="s">
        <v>2674</v>
      </c>
      <c r="B225" s="13">
        <v>0.35371179039301309</v>
      </c>
    </row>
    <row r="226" spans="1:2" x14ac:dyDescent="0.45">
      <c r="A226" s="7" t="s">
        <v>2675</v>
      </c>
      <c r="B226" s="13">
        <v>0.34375</v>
      </c>
    </row>
    <row r="227" spans="1:2" x14ac:dyDescent="0.45">
      <c r="A227" s="7" t="s">
        <v>2676</v>
      </c>
      <c r="B227" s="13">
        <v>0.34699999999999998</v>
      </c>
    </row>
    <row r="231" spans="1:2" x14ac:dyDescent="0.45">
      <c r="A231" s="6" t="s">
        <v>2717</v>
      </c>
      <c r="B231" t="s">
        <v>2687</v>
      </c>
    </row>
    <row r="232" spans="1:2" x14ac:dyDescent="0.45">
      <c r="A232" s="7" t="s">
        <v>57</v>
      </c>
      <c r="B232" s="10">
        <v>5.5400756143667289</v>
      </c>
    </row>
    <row r="233" spans="1:2" x14ac:dyDescent="0.45">
      <c r="A233" s="7" t="s">
        <v>42</v>
      </c>
      <c r="B233" s="10">
        <v>5.2437367303609355</v>
      </c>
    </row>
    <row r="234" spans="1:2" x14ac:dyDescent="0.45">
      <c r="A234" s="7" t="s">
        <v>2676</v>
      </c>
      <c r="B234" s="10">
        <v>5.4004999999999947</v>
      </c>
    </row>
    <row r="238" spans="1:2" x14ac:dyDescent="0.45">
      <c r="A238" s="6" t="s">
        <v>2679</v>
      </c>
      <c r="B238" t="s">
        <v>2694</v>
      </c>
    </row>
    <row r="239" spans="1:2" x14ac:dyDescent="0.45">
      <c r="A239" s="7" t="s">
        <v>2672</v>
      </c>
      <c r="B239" s="12">
        <v>197</v>
      </c>
    </row>
    <row r="240" spans="1:2" x14ac:dyDescent="0.45">
      <c r="A240" s="7" t="s">
        <v>2673</v>
      </c>
      <c r="B240" s="12">
        <v>286</v>
      </c>
    </row>
    <row r="241" spans="1:2" x14ac:dyDescent="0.45">
      <c r="A241" s="7" t="s">
        <v>2674</v>
      </c>
      <c r="B241" s="12">
        <v>229</v>
      </c>
    </row>
    <row r="242" spans="1:2" x14ac:dyDescent="0.45">
      <c r="A242" s="7" t="s">
        <v>2675</v>
      </c>
      <c r="B242" s="12">
        <v>288</v>
      </c>
    </row>
    <row r="243" spans="1:2" x14ac:dyDescent="0.45">
      <c r="A243" s="7" t="s">
        <v>2676</v>
      </c>
      <c r="B243" s="12">
        <v>1000</v>
      </c>
    </row>
    <row r="247" spans="1:2" x14ac:dyDescent="0.45">
      <c r="A247" s="6" t="s">
        <v>2718</v>
      </c>
      <c r="B247" t="s">
        <v>2716</v>
      </c>
    </row>
    <row r="248" spans="1:2" x14ac:dyDescent="0.45">
      <c r="A248" s="7" t="s">
        <v>49</v>
      </c>
      <c r="B248" s="12">
        <v>79</v>
      </c>
    </row>
    <row r="249" spans="1:2" x14ac:dyDescent="0.45">
      <c r="A249" s="7" t="s">
        <v>72</v>
      </c>
      <c r="B249" s="12">
        <v>105</v>
      </c>
    </row>
    <row r="250" spans="1:2" x14ac:dyDescent="0.45">
      <c r="A250" s="7" t="s">
        <v>132</v>
      </c>
      <c r="B250" s="12">
        <v>78</v>
      </c>
    </row>
    <row r="251" spans="1:2" x14ac:dyDescent="0.45">
      <c r="A251" s="7" t="s">
        <v>33</v>
      </c>
      <c r="B251" s="12">
        <v>85</v>
      </c>
    </row>
    <row r="252" spans="1:2" x14ac:dyDescent="0.45">
      <c r="A252" s="7" t="s">
        <v>2676</v>
      </c>
      <c r="B252" s="12">
        <v>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B2968-1DA7-40F0-AE96-4A4E02A98024}">
  <dimension ref="A1:AI1001"/>
  <sheetViews>
    <sheetView topLeftCell="Z1" workbookViewId="0">
      <selection activeCell="AI1" activeCellId="3" sqref="AF1:AF1048576 AG1:AG1048576 AH1:AH1048576 AI1:AI1048576"/>
    </sheetView>
  </sheetViews>
  <sheetFormatPr defaultRowHeight="14.25" x14ac:dyDescent="0.45"/>
  <cols>
    <col min="1" max="1" width="11.3984375" bestFit="1" customWidth="1"/>
    <col min="2" max="2" width="6.06640625" bestFit="1" customWidth="1"/>
    <col min="3" max="3" width="8.9296875" bestFit="1" customWidth="1"/>
    <col min="4" max="4" width="14.33203125" bestFit="1" customWidth="1"/>
    <col min="5" max="5" width="16.1328125" bestFit="1" customWidth="1"/>
    <col min="6" max="6" width="16.3984375" bestFit="1" customWidth="1"/>
    <col min="8" max="8" width="12.53125" bestFit="1" customWidth="1"/>
    <col min="9" max="9" width="12.1328125" bestFit="1" customWidth="1"/>
    <col min="10" max="10" width="11.53125" bestFit="1" customWidth="1"/>
    <col min="11" max="11" width="10.73046875" bestFit="1" customWidth="1"/>
    <col min="12" max="12" width="7" bestFit="1" customWidth="1"/>
    <col min="13" max="13" width="23.33203125" bestFit="1" customWidth="1"/>
    <col min="14" max="14" width="14.1328125" bestFit="1" customWidth="1"/>
    <col min="15" max="15" width="19.1328125" bestFit="1" customWidth="1"/>
    <col min="16" max="16" width="20.06640625" bestFit="1" customWidth="1"/>
    <col min="17" max="17" width="12.73046875" bestFit="1" customWidth="1"/>
    <col min="18" max="18" width="22.265625" bestFit="1" customWidth="1"/>
    <col min="19" max="19" width="17.3984375" bestFit="1" customWidth="1"/>
    <col min="20" max="20" width="12.9296875" bestFit="1" customWidth="1"/>
    <col min="21" max="21" width="16.59765625" bestFit="1" customWidth="1"/>
    <col min="22" max="22" width="16.86328125" bestFit="1" customWidth="1"/>
    <col min="23" max="23" width="16.53125" bestFit="1" customWidth="1"/>
    <col min="24" max="24" width="14.3984375" bestFit="1" customWidth="1"/>
    <col min="25" max="25" width="13.9296875" bestFit="1" customWidth="1"/>
    <col min="26" max="26" width="24.46484375" bestFit="1" customWidth="1"/>
    <col min="30" max="31" width="15.46484375" customWidth="1"/>
    <col min="32" max="32" width="9.3984375" customWidth="1"/>
    <col min="33" max="33" width="9.86328125" customWidth="1"/>
    <col min="34" max="34" width="11.3984375" customWidth="1"/>
    <col min="35" max="35" width="13.1328125" customWidth="1"/>
  </cols>
  <sheetData>
    <row r="1" spans="1:3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2670</v>
      </c>
      <c r="AB1" t="s">
        <v>2671</v>
      </c>
      <c r="AC1" t="s">
        <v>2682</v>
      </c>
      <c r="AD1" t="s">
        <v>2708</v>
      </c>
      <c r="AE1" t="s">
        <v>2711</v>
      </c>
      <c r="AF1" t="s">
        <v>2712</v>
      </c>
      <c r="AG1" t="s">
        <v>2713</v>
      </c>
      <c r="AH1" t="s">
        <v>2714</v>
      </c>
      <c r="AI1" t="s">
        <v>2715</v>
      </c>
    </row>
    <row r="2" spans="1:35" x14ac:dyDescent="0.45">
      <c r="A2" t="s">
        <v>26</v>
      </c>
      <c r="B2">
        <v>22</v>
      </c>
      <c r="C2" t="s">
        <v>27</v>
      </c>
      <c r="D2" t="s">
        <v>28</v>
      </c>
      <c r="E2" t="s">
        <v>29</v>
      </c>
      <c r="F2" t="s">
        <v>2614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36</v>
      </c>
      <c r="P2" t="s">
        <v>39</v>
      </c>
      <c r="Q2" t="s">
        <v>40</v>
      </c>
      <c r="R2">
        <v>95</v>
      </c>
      <c r="S2">
        <v>1</v>
      </c>
      <c r="T2" t="s">
        <v>41</v>
      </c>
      <c r="U2" t="s">
        <v>42</v>
      </c>
      <c r="V2">
        <v>3.79</v>
      </c>
      <c r="W2">
        <v>3.14</v>
      </c>
      <c r="X2">
        <v>3.8</v>
      </c>
      <c r="Y2">
        <v>20.6</v>
      </c>
      <c r="Z2">
        <v>14.6</v>
      </c>
      <c r="AA2">
        <f>VALUE(SUBSTITUTE(DACS19___Pfizer’s_Personalised_Medicine_in[[#This Row],[Dose]],"mg",""))</f>
        <v>200</v>
      </c>
      <c r="AB2">
        <f t="shared" ref="AB2:AB65" si="0">VALUE(SUBSTITUTE(O2,"mg",""))</f>
        <v>200</v>
      </c>
      <c r="AC2" t="s">
        <v>40</v>
      </c>
      <c r="AD2">
        <f t="shared" ref="AD2:AD65" si="1">IF(Q2="","",IF(Q2="Dizziness",1,IF(Q2="Fatigue",2,IF(Q2="Headache",3,IF(Q2="Nausea",4,IF(Q2="Not Reported",0,""))))))</f>
        <v>3</v>
      </c>
      <c r="AE2">
        <f t="shared" ref="AE2:AE65" si="2">IF(P2="Deteriorated",1,IF(P2="No Change",2,IF(P2="Improved",3,0)))</f>
        <v>3</v>
      </c>
      <c r="AF2" t="e">
        <f t="shared" ref="AF2:AF65" si="3">IF($H2="DrugA",$W2,NA())</f>
        <v>#N/A</v>
      </c>
      <c r="AG2" t="e">
        <f t="shared" ref="AG2:AG65" si="4">IF($H2="DrugB",$W2,NA())</f>
        <v>#N/A</v>
      </c>
      <c r="AH2">
        <f t="shared" ref="AH2:AH65" si="5">IF($H2="DrugC",$W2,NA())</f>
        <v>3.14</v>
      </c>
      <c r="AI2" t="e">
        <f t="shared" ref="AI2:AI65" si="6">IF($H2="DrugD",$W2,NA())</f>
        <v>#N/A</v>
      </c>
    </row>
    <row r="3" spans="1:35" x14ac:dyDescent="0.45">
      <c r="A3" t="s">
        <v>43</v>
      </c>
      <c r="B3">
        <v>61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32</v>
      </c>
      <c r="I3" t="s">
        <v>49</v>
      </c>
      <c r="J3" t="s">
        <v>50</v>
      </c>
      <c r="K3" t="s">
        <v>51</v>
      </c>
      <c r="L3" t="s">
        <v>52</v>
      </c>
      <c r="M3" t="s">
        <v>2615</v>
      </c>
      <c r="N3" t="s">
        <v>54</v>
      </c>
      <c r="O3" t="s">
        <v>52</v>
      </c>
      <c r="P3" t="s">
        <v>55</v>
      </c>
      <c r="Q3" t="s">
        <v>40</v>
      </c>
      <c r="R3">
        <v>90</v>
      </c>
      <c r="S3">
        <v>0</v>
      </c>
      <c r="T3" t="s">
        <v>56</v>
      </c>
      <c r="U3" t="s">
        <v>57</v>
      </c>
      <c r="V3">
        <v>1.65</v>
      </c>
      <c r="W3">
        <v>4.6399999999999997</v>
      </c>
      <c r="X3">
        <v>8.4</v>
      </c>
      <c r="Y3">
        <v>23.1</v>
      </c>
      <c r="Z3">
        <v>15.3</v>
      </c>
      <c r="AA3">
        <f>VALUE(SUBSTITUTE(DACS19___Pfizer’s_Personalised_Medicine_in[[#This Row],[Dose]],"mg",""))</f>
        <v>100</v>
      </c>
      <c r="AB3">
        <f t="shared" si="0"/>
        <v>100</v>
      </c>
      <c r="AC3" t="s">
        <v>40</v>
      </c>
      <c r="AD3">
        <f t="shared" si="1"/>
        <v>3</v>
      </c>
      <c r="AE3">
        <f t="shared" si="2"/>
        <v>2</v>
      </c>
      <c r="AF3" t="e">
        <f t="shared" si="3"/>
        <v>#N/A</v>
      </c>
      <c r="AG3" t="e">
        <f t="shared" si="4"/>
        <v>#N/A</v>
      </c>
      <c r="AH3">
        <f t="shared" si="5"/>
        <v>4.6399999999999997</v>
      </c>
      <c r="AI3" t="e">
        <f t="shared" si="6"/>
        <v>#N/A</v>
      </c>
    </row>
    <row r="4" spans="1:35" x14ac:dyDescent="0.45">
      <c r="A4" t="s">
        <v>58</v>
      </c>
      <c r="B4">
        <v>60</v>
      </c>
      <c r="C4" t="s">
        <v>44</v>
      </c>
      <c r="D4" t="s">
        <v>45</v>
      </c>
      <c r="E4" t="s">
        <v>29</v>
      </c>
      <c r="F4" t="s">
        <v>59</v>
      </c>
      <c r="G4" t="s">
        <v>60</v>
      </c>
      <c r="H4" t="s">
        <v>61</v>
      </c>
      <c r="I4" t="s">
        <v>49</v>
      </c>
      <c r="J4" t="s">
        <v>62</v>
      </c>
      <c r="K4" t="s">
        <v>63</v>
      </c>
      <c r="L4" t="s">
        <v>64</v>
      </c>
      <c r="M4" t="s">
        <v>2616</v>
      </c>
      <c r="N4" t="s">
        <v>66</v>
      </c>
      <c r="O4" t="s">
        <v>64</v>
      </c>
      <c r="P4" t="s">
        <v>39</v>
      </c>
      <c r="Q4" t="s">
        <v>67</v>
      </c>
      <c r="R4">
        <v>64</v>
      </c>
      <c r="S4">
        <v>1</v>
      </c>
      <c r="T4" t="s">
        <v>56</v>
      </c>
      <c r="U4" t="s">
        <v>42</v>
      </c>
      <c r="V4">
        <v>3.45</v>
      </c>
      <c r="W4">
        <v>2.67</v>
      </c>
      <c r="X4">
        <v>9.4</v>
      </c>
      <c r="Y4">
        <v>21.6</v>
      </c>
      <c r="Z4">
        <v>3.8</v>
      </c>
      <c r="AA4">
        <f>VALUE(SUBSTITUTE(DACS19___Pfizer’s_Personalised_Medicine_in[[#This Row],[Dose]],"mg",""))</f>
        <v>150</v>
      </c>
      <c r="AB4">
        <f t="shared" si="0"/>
        <v>150</v>
      </c>
      <c r="AC4" t="s">
        <v>67</v>
      </c>
      <c r="AD4">
        <f t="shared" si="1"/>
        <v>2</v>
      </c>
      <c r="AE4">
        <f t="shared" si="2"/>
        <v>3</v>
      </c>
      <c r="AF4">
        <f t="shared" si="3"/>
        <v>2.67</v>
      </c>
      <c r="AG4" t="e">
        <f t="shared" si="4"/>
        <v>#N/A</v>
      </c>
      <c r="AH4" t="e">
        <f t="shared" si="5"/>
        <v>#N/A</v>
      </c>
      <c r="AI4" t="e">
        <f t="shared" si="6"/>
        <v>#N/A</v>
      </c>
    </row>
    <row r="5" spans="1:35" x14ac:dyDescent="0.45">
      <c r="A5" t="s">
        <v>68</v>
      </c>
      <c r="B5">
        <v>76</v>
      </c>
      <c r="C5" t="s">
        <v>45</v>
      </c>
      <c r="D5" t="s">
        <v>45</v>
      </c>
      <c r="E5" t="s">
        <v>2614</v>
      </c>
      <c r="F5" t="s">
        <v>69</v>
      </c>
      <c r="G5" t="s">
        <v>70</v>
      </c>
      <c r="H5" t="s">
        <v>71</v>
      </c>
      <c r="I5" t="s">
        <v>72</v>
      </c>
      <c r="J5" t="s">
        <v>73</v>
      </c>
      <c r="K5" t="s">
        <v>74</v>
      </c>
      <c r="L5" t="s">
        <v>64</v>
      </c>
      <c r="M5" t="s">
        <v>75</v>
      </c>
      <c r="N5" t="s">
        <v>76</v>
      </c>
      <c r="O5" t="s">
        <v>64</v>
      </c>
      <c r="P5" t="s">
        <v>39</v>
      </c>
      <c r="Q5" t="s">
        <v>75</v>
      </c>
      <c r="R5">
        <v>159</v>
      </c>
      <c r="S5">
        <v>1</v>
      </c>
      <c r="T5" t="s">
        <v>41</v>
      </c>
      <c r="U5" t="s">
        <v>42</v>
      </c>
      <c r="V5">
        <v>1.1100000000000001</v>
      </c>
      <c r="W5">
        <v>2.5099999999999998</v>
      </c>
      <c r="X5">
        <v>8.3000000000000007</v>
      </c>
      <c r="Y5">
        <v>23.8</v>
      </c>
      <c r="Z5">
        <v>5.6</v>
      </c>
      <c r="AA5">
        <f>VALUE(SUBSTITUTE(DACS19___Pfizer’s_Personalised_Medicine_in[[#This Row],[Dose]],"mg",""))</f>
        <v>150</v>
      </c>
      <c r="AB5">
        <f t="shared" si="0"/>
        <v>150</v>
      </c>
      <c r="AC5" t="s">
        <v>75</v>
      </c>
      <c r="AD5">
        <f t="shared" si="1"/>
        <v>1</v>
      </c>
      <c r="AE5">
        <f t="shared" si="2"/>
        <v>3</v>
      </c>
      <c r="AF5" t="e">
        <f t="shared" si="3"/>
        <v>#N/A</v>
      </c>
      <c r="AG5">
        <f t="shared" si="4"/>
        <v>2.5099999999999998</v>
      </c>
      <c r="AH5" t="e">
        <f t="shared" si="5"/>
        <v>#N/A</v>
      </c>
      <c r="AI5" t="e">
        <f t="shared" si="6"/>
        <v>#N/A</v>
      </c>
    </row>
    <row r="6" spans="1:35" x14ac:dyDescent="0.45">
      <c r="A6" t="s">
        <v>77</v>
      </c>
      <c r="B6">
        <v>39</v>
      </c>
      <c r="C6" t="s">
        <v>44</v>
      </c>
      <c r="D6" t="s">
        <v>45</v>
      </c>
      <c r="E6" t="s">
        <v>78</v>
      </c>
      <c r="F6" t="s">
        <v>79</v>
      </c>
      <c r="G6" t="s">
        <v>80</v>
      </c>
      <c r="H6" t="s">
        <v>81</v>
      </c>
      <c r="I6" t="s">
        <v>49</v>
      </c>
      <c r="J6" t="s">
        <v>82</v>
      </c>
      <c r="K6" t="s">
        <v>83</v>
      </c>
      <c r="L6" t="s">
        <v>36</v>
      </c>
      <c r="M6" t="s">
        <v>75</v>
      </c>
      <c r="N6" t="s">
        <v>84</v>
      </c>
      <c r="O6" t="s">
        <v>36</v>
      </c>
      <c r="P6" t="s">
        <v>55</v>
      </c>
      <c r="Q6" t="s">
        <v>75</v>
      </c>
      <c r="R6">
        <v>44</v>
      </c>
      <c r="S6">
        <v>0</v>
      </c>
      <c r="T6" t="s">
        <v>85</v>
      </c>
      <c r="U6" t="s">
        <v>57</v>
      </c>
      <c r="V6">
        <v>3.38</v>
      </c>
      <c r="W6">
        <v>2.52</v>
      </c>
      <c r="X6">
        <v>9.6999999999999993</v>
      </c>
      <c r="Y6">
        <v>21.2</v>
      </c>
      <c r="Z6">
        <v>17.3</v>
      </c>
      <c r="AA6">
        <f>VALUE(SUBSTITUTE(DACS19___Pfizer’s_Personalised_Medicine_in[[#This Row],[Dose]],"mg",""))</f>
        <v>200</v>
      </c>
      <c r="AB6">
        <f t="shared" si="0"/>
        <v>200</v>
      </c>
      <c r="AC6" t="s">
        <v>75</v>
      </c>
      <c r="AD6">
        <f t="shared" si="1"/>
        <v>1</v>
      </c>
      <c r="AE6">
        <f t="shared" si="2"/>
        <v>2</v>
      </c>
      <c r="AF6" t="e">
        <f t="shared" si="3"/>
        <v>#N/A</v>
      </c>
      <c r="AG6" t="e">
        <f t="shared" si="4"/>
        <v>#N/A</v>
      </c>
      <c r="AH6" t="e">
        <f t="shared" si="5"/>
        <v>#N/A</v>
      </c>
      <c r="AI6">
        <f t="shared" si="6"/>
        <v>2.52</v>
      </c>
    </row>
    <row r="7" spans="1:35" x14ac:dyDescent="0.45">
      <c r="A7" t="s">
        <v>86</v>
      </c>
      <c r="B7">
        <v>57</v>
      </c>
      <c r="C7" t="s">
        <v>45</v>
      </c>
      <c r="D7" t="s">
        <v>87</v>
      </c>
      <c r="E7" t="s">
        <v>78</v>
      </c>
      <c r="F7" t="s">
        <v>88</v>
      </c>
      <c r="G7" t="s">
        <v>89</v>
      </c>
      <c r="H7" t="s">
        <v>61</v>
      </c>
      <c r="I7" t="s">
        <v>49</v>
      </c>
      <c r="J7" t="s">
        <v>90</v>
      </c>
      <c r="K7" t="s">
        <v>91</v>
      </c>
      <c r="L7" t="s">
        <v>92</v>
      </c>
      <c r="M7" t="s">
        <v>40</v>
      </c>
      <c r="N7" t="s">
        <v>93</v>
      </c>
      <c r="O7" t="s">
        <v>92</v>
      </c>
      <c r="P7" t="s">
        <v>55</v>
      </c>
      <c r="Q7" t="s">
        <v>40</v>
      </c>
      <c r="R7">
        <v>76</v>
      </c>
      <c r="S7">
        <v>0</v>
      </c>
      <c r="T7" t="s">
        <v>41</v>
      </c>
      <c r="U7" t="s">
        <v>57</v>
      </c>
      <c r="V7">
        <v>2.87</v>
      </c>
      <c r="W7">
        <v>2.66</v>
      </c>
      <c r="X7">
        <v>3.5</v>
      </c>
      <c r="Y7">
        <v>7</v>
      </c>
      <c r="Z7">
        <v>17.7</v>
      </c>
      <c r="AA7">
        <f>VALUE(SUBSTITUTE(DACS19___Pfizer’s_Personalised_Medicine_in[[#This Row],[Dose]],"mg",""))</f>
        <v>50</v>
      </c>
      <c r="AB7">
        <f t="shared" si="0"/>
        <v>50</v>
      </c>
      <c r="AC7" t="s">
        <v>40</v>
      </c>
      <c r="AD7">
        <f t="shared" si="1"/>
        <v>3</v>
      </c>
      <c r="AE7">
        <f t="shared" si="2"/>
        <v>2</v>
      </c>
      <c r="AF7">
        <f t="shared" si="3"/>
        <v>2.66</v>
      </c>
      <c r="AG7" t="e">
        <f t="shared" si="4"/>
        <v>#N/A</v>
      </c>
      <c r="AH7" t="e">
        <f t="shared" si="5"/>
        <v>#N/A</v>
      </c>
      <c r="AI7" t="e">
        <f t="shared" si="6"/>
        <v>#N/A</v>
      </c>
    </row>
    <row r="8" spans="1:35" x14ac:dyDescent="0.45">
      <c r="A8" t="s">
        <v>94</v>
      </c>
      <c r="B8">
        <v>65</v>
      </c>
      <c r="C8" t="s">
        <v>44</v>
      </c>
      <c r="D8" t="s">
        <v>95</v>
      </c>
      <c r="E8" t="s">
        <v>78</v>
      </c>
      <c r="F8" t="s">
        <v>69</v>
      </c>
      <c r="G8" t="s">
        <v>96</v>
      </c>
      <c r="H8" t="s">
        <v>32</v>
      </c>
      <c r="I8" t="s">
        <v>49</v>
      </c>
      <c r="J8" t="s">
        <v>97</v>
      </c>
      <c r="K8" t="s">
        <v>98</v>
      </c>
      <c r="L8" t="s">
        <v>52</v>
      </c>
      <c r="M8" t="s">
        <v>99</v>
      </c>
      <c r="N8" t="s">
        <v>100</v>
      </c>
      <c r="O8" t="s">
        <v>52</v>
      </c>
      <c r="P8" t="s">
        <v>55</v>
      </c>
      <c r="Q8" t="s">
        <v>75</v>
      </c>
      <c r="R8">
        <v>138</v>
      </c>
      <c r="S8">
        <v>0</v>
      </c>
      <c r="T8" t="s">
        <v>85</v>
      </c>
      <c r="U8" t="s">
        <v>57</v>
      </c>
      <c r="V8">
        <v>4.25</v>
      </c>
      <c r="W8">
        <v>5</v>
      </c>
      <c r="X8">
        <v>10</v>
      </c>
      <c r="Y8">
        <v>16</v>
      </c>
      <c r="Z8">
        <v>16.100000000000001</v>
      </c>
      <c r="AA8">
        <f>VALUE(SUBSTITUTE(DACS19___Pfizer’s_Personalised_Medicine_in[[#This Row],[Dose]],"mg",""))</f>
        <v>100</v>
      </c>
      <c r="AB8">
        <f t="shared" si="0"/>
        <v>100</v>
      </c>
      <c r="AC8" t="s">
        <v>75</v>
      </c>
      <c r="AD8">
        <f t="shared" si="1"/>
        <v>1</v>
      </c>
      <c r="AE8">
        <f t="shared" si="2"/>
        <v>2</v>
      </c>
      <c r="AF8" t="e">
        <f t="shared" si="3"/>
        <v>#N/A</v>
      </c>
      <c r="AG8" t="e">
        <f t="shared" si="4"/>
        <v>#N/A</v>
      </c>
      <c r="AH8">
        <f t="shared" si="5"/>
        <v>5</v>
      </c>
      <c r="AI8" t="e">
        <f t="shared" si="6"/>
        <v>#N/A</v>
      </c>
    </row>
    <row r="9" spans="1:35" x14ac:dyDescent="0.45">
      <c r="A9" t="s">
        <v>101</v>
      </c>
      <c r="B9">
        <v>47</v>
      </c>
      <c r="C9" t="s">
        <v>27</v>
      </c>
      <c r="D9" t="s">
        <v>95</v>
      </c>
      <c r="E9" t="s">
        <v>2614</v>
      </c>
      <c r="F9" t="s">
        <v>79</v>
      </c>
      <c r="G9" t="s">
        <v>102</v>
      </c>
      <c r="H9" t="s">
        <v>61</v>
      </c>
      <c r="I9" t="s">
        <v>33</v>
      </c>
      <c r="J9" t="s">
        <v>103</v>
      </c>
      <c r="K9" t="s">
        <v>104</v>
      </c>
      <c r="L9" t="s">
        <v>92</v>
      </c>
      <c r="M9" t="s">
        <v>75</v>
      </c>
      <c r="N9" t="s">
        <v>93</v>
      </c>
      <c r="O9" t="s">
        <v>92</v>
      </c>
      <c r="P9" t="s">
        <v>55</v>
      </c>
      <c r="Q9" t="s">
        <v>75</v>
      </c>
      <c r="R9">
        <v>42</v>
      </c>
      <c r="S9">
        <v>0</v>
      </c>
      <c r="T9" t="s">
        <v>41</v>
      </c>
      <c r="U9" t="s">
        <v>42</v>
      </c>
      <c r="V9">
        <v>4.78</v>
      </c>
      <c r="W9">
        <v>4.4000000000000004</v>
      </c>
      <c r="X9">
        <v>3.2</v>
      </c>
      <c r="Y9">
        <v>14.1</v>
      </c>
      <c r="Z9">
        <v>5.2</v>
      </c>
      <c r="AA9">
        <f>VALUE(SUBSTITUTE(DACS19___Pfizer’s_Personalised_Medicine_in[[#This Row],[Dose]],"mg",""))</f>
        <v>50</v>
      </c>
      <c r="AB9">
        <f t="shared" si="0"/>
        <v>50</v>
      </c>
      <c r="AC9" t="s">
        <v>75</v>
      </c>
      <c r="AD9">
        <f t="shared" si="1"/>
        <v>1</v>
      </c>
      <c r="AE9">
        <f t="shared" si="2"/>
        <v>2</v>
      </c>
      <c r="AF9">
        <f t="shared" si="3"/>
        <v>4.4000000000000004</v>
      </c>
      <c r="AG9" t="e">
        <f t="shared" si="4"/>
        <v>#N/A</v>
      </c>
      <c r="AH9" t="e">
        <f t="shared" si="5"/>
        <v>#N/A</v>
      </c>
      <c r="AI9" t="e">
        <f t="shared" si="6"/>
        <v>#N/A</v>
      </c>
    </row>
    <row r="10" spans="1:35" x14ac:dyDescent="0.45">
      <c r="A10" t="s">
        <v>105</v>
      </c>
      <c r="B10">
        <v>69</v>
      </c>
      <c r="C10" t="s">
        <v>44</v>
      </c>
      <c r="D10" t="s">
        <v>106</v>
      </c>
      <c r="E10" t="s">
        <v>29</v>
      </c>
      <c r="F10" t="s">
        <v>88</v>
      </c>
      <c r="G10" t="s">
        <v>96</v>
      </c>
      <c r="H10" t="s">
        <v>32</v>
      </c>
      <c r="I10" t="s">
        <v>72</v>
      </c>
      <c r="J10" t="s">
        <v>107</v>
      </c>
      <c r="K10" t="s">
        <v>108</v>
      </c>
      <c r="L10" t="s">
        <v>64</v>
      </c>
      <c r="M10" t="s">
        <v>2614</v>
      </c>
      <c r="N10" t="s">
        <v>109</v>
      </c>
      <c r="O10" t="s">
        <v>64</v>
      </c>
      <c r="P10" t="s">
        <v>110</v>
      </c>
      <c r="Q10" t="s">
        <v>75</v>
      </c>
      <c r="R10">
        <v>86</v>
      </c>
      <c r="S10">
        <v>0</v>
      </c>
      <c r="T10" t="s">
        <v>56</v>
      </c>
      <c r="U10" t="s">
        <v>57</v>
      </c>
      <c r="V10">
        <v>4.82</v>
      </c>
      <c r="W10">
        <v>3.42</v>
      </c>
      <c r="X10">
        <v>3.1</v>
      </c>
      <c r="Y10">
        <v>18.100000000000001</v>
      </c>
      <c r="Z10">
        <v>13.5</v>
      </c>
      <c r="AA10">
        <f>VALUE(SUBSTITUTE(DACS19___Pfizer’s_Personalised_Medicine_in[[#This Row],[Dose]],"mg",""))</f>
        <v>150</v>
      </c>
      <c r="AB10">
        <f t="shared" si="0"/>
        <v>150</v>
      </c>
      <c r="AC10" t="s">
        <v>75</v>
      </c>
      <c r="AD10">
        <f t="shared" si="1"/>
        <v>1</v>
      </c>
      <c r="AE10">
        <f t="shared" si="2"/>
        <v>1</v>
      </c>
      <c r="AF10" t="e">
        <f t="shared" si="3"/>
        <v>#N/A</v>
      </c>
      <c r="AG10" t="e">
        <f t="shared" si="4"/>
        <v>#N/A</v>
      </c>
      <c r="AH10">
        <f t="shared" si="5"/>
        <v>3.42</v>
      </c>
      <c r="AI10" t="e">
        <f t="shared" si="6"/>
        <v>#N/A</v>
      </c>
    </row>
    <row r="11" spans="1:35" x14ac:dyDescent="0.45">
      <c r="A11" t="s">
        <v>111</v>
      </c>
      <c r="B11">
        <v>53</v>
      </c>
      <c r="C11" t="s">
        <v>27</v>
      </c>
      <c r="D11" t="s">
        <v>45</v>
      </c>
      <c r="E11" t="s">
        <v>29</v>
      </c>
      <c r="F11" t="s">
        <v>2614</v>
      </c>
      <c r="G11" t="s">
        <v>112</v>
      </c>
      <c r="H11" t="s">
        <v>81</v>
      </c>
      <c r="I11" t="s">
        <v>33</v>
      </c>
      <c r="J11" t="s">
        <v>113</v>
      </c>
      <c r="K11" t="s">
        <v>114</v>
      </c>
      <c r="L11" t="s">
        <v>36</v>
      </c>
      <c r="M11" t="s">
        <v>2617</v>
      </c>
      <c r="N11" t="s">
        <v>116</v>
      </c>
      <c r="O11" t="s">
        <v>36</v>
      </c>
      <c r="P11" t="s">
        <v>55</v>
      </c>
      <c r="Q11" t="s">
        <v>40</v>
      </c>
      <c r="R11">
        <v>77</v>
      </c>
      <c r="S11">
        <v>0</v>
      </c>
      <c r="T11" t="s">
        <v>85</v>
      </c>
      <c r="U11" t="s">
        <v>57</v>
      </c>
      <c r="V11">
        <v>2.4300000000000002</v>
      </c>
      <c r="W11">
        <v>1.45</v>
      </c>
      <c r="X11">
        <v>7</v>
      </c>
      <c r="Y11">
        <v>15.4</v>
      </c>
      <c r="Z11">
        <v>16.100000000000001</v>
      </c>
      <c r="AA11">
        <f>VALUE(SUBSTITUTE(DACS19___Pfizer’s_Personalised_Medicine_in[[#This Row],[Dose]],"mg",""))</f>
        <v>200</v>
      </c>
      <c r="AB11">
        <f t="shared" si="0"/>
        <v>200</v>
      </c>
      <c r="AC11" t="s">
        <v>40</v>
      </c>
      <c r="AD11">
        <f t="shared" si="1"/>
        <v>3</v>
      </c>
      <c r="AE11">
        <f t="shared" si="2"/>
        <v>2</v>
      </c>
      <c r="AF11" t="e">
        <f t="shared" si="3"/>
        <v>#N/A</v>
      </c>
      <c r="AG11" t="e">
        <f t="shared" si="4"/>
        <v>#N/A</v>
      </c>
      <c r="AH11" t="e">
        <f t="shared" si="5"/>
        <v>#N/A</v>
      </c>
      <c r="AI11">
        <f t="shared" si="6"/>
        <v>1.45</v>
      </c>
    </row>
    <row r="12" spans="1:35" x14ac:dyDescent="0.45">
      <c r="A12" t="s">
        <v>117</v>
      </c>
      <c r="B12">
        <v>48</v>
      </c>
      <c r="C12" t="s">
        <v>27</v>
      </c>
      <c r="D12" t="s">
        <v>28</v>
      </c>
      <c r="E12" t="s">
        <v>46</v>
      </c>
      <c r="F12" t="s">
        <v>2614</v>
      </c>
      <c r="G12" t="s">
        <v>118</v>
      </c>
      <c r="H12" t="s">
        <v>81</v>
      </c>
      <c r="I12" t="s">
        <v>33</v>
      </c>
      <c r="J12" t="s">
        <v>119</v>
      </c>
      <c r="K12" t="s">
        <v>120</v>
      </c>
      <c r="L12" t="s">
        <v>52</v>
      </c>
      <c r="M12" t="s">
        <v>2618</v>
      </c>
      <c r="N12" t="s">
        <v>122</v>
      </c>
      <c r="O12" t="s">
        <v>52</v>
      </c>
      <c r="P12" t="s">
        <v>39</v>
      </c>
      <c r="Q12" t="s">
        <v>40</v>
      </c>
      <c r="R12">
        <v>124</v>
      </c>
      <c r="S12">
        <v>1</v>
      </c>
      <c r="T12" t="s">
        <v>123</v>
      </c>
      <c r="U12" t="s">
        <v>42</v>
      </c>
      <c r="V12">
        <v>3.08</v>
      </c>
      <c r="W12">
        <v>4.41</v>
      </c>
      <c r="X12">
        <v>6</v>
      </c>
      <c r="Y12">
        <v>16.100000000000001</v>
      </c>
      <c r="Z12">
        <v>17.899999999999999</v>
      </c>
      <c r="AA12">
        <f>VALUE(SUBSTITUTE(DACS19___Pfizer’s_Personalised_Medicine_in[[#This Row],[Dose]],"mg",""))</f>
        <v>100</v>
      </c>
      <c r="AB12">
        <f t="shared" si="0"/>
        <v>100</v>
      </c>
      <c r="AC12" t="s">
        <v>40</v>
      </c>
      <c r="AD12">
        <f t="shared" si="1"/>
        <v>3</v>
      </c>
      <c r="AE12">
        <f t="shared" si="2"/>
        <v>3</v>
      </c>
      <c r="AF12" t="e">
        <f t="shared" si="3"/>
        <v>#N/A</v>
      </c>
      <c r="AG12" t="e">
        <f t="shared" si="4"/>
        <v>#N/A</v>
      </c>
      <c r="AH12" t="e">
        <f t="shared" si="5"/>
        <v>#N/A</v>
      </c>
      <c r="AI12">
        <f t="shared" si="6"/>
        <v>4.41</v>
      </c>
    </row>
    <row r="13" spans="1:35" x14ac:dyDescent="0.45">
      <c r="A13" t="s">
        <v>124</v>
      </c>
      <c r="B13">
        <v>24</v>
      </c>
      <c r="C13" t="s">
        <v>44</v>
      </c>
      <c r="D13" t="s">
        <v>95</v>
      </c>
      <c r="E13" t="s">
        <v>29</v>
      </c>
      <c r="F13" t="s">
        <v>2614</v>
      </c>
      <c r="G13" t="s">
        <v>125</v>
      </c>
      <c r="H13" t="s">
        <v>71</v>
      </c>
      <c r="I13" t="s">
        <v>72</v>
      </c>
      <c r="J13" t="s">
        <v>126</v>
      </c>
      <c r="K13" t="s">
        <v>127</v>
      </c>
      <c r="L13" t="s">
        <v>64</v>
      </c>
      <c r="M13" t="s">
        <v>67</v>
      </c>
      <c r="N13" t="s">
        <v>128</v>
      </c>
      <c r="O13" t="s">
        <v>64</v>
      </c>
      <c r="P13" t="s">
        <v>110</v>
      </c>
      <c r="Q13" t="s">
        <v>129</v>
      </c>
      <c r="R13">
        <v>152</v>
      </c>
      <c r="S13">
        <v>0</v>
      </c>
      <c r="T13" t="s">
        <v>41</v>
      </c>
      <c r="U13" t="s">
        <v>42</v>
      </c>
      <c r="V13">
        <v>2.61</v>
      </c>
      <c r="W13">
        <v>1.54</v>
      </c>
      <c r="X13">
        <v>1.3</v>
      </c>
      <c r="Y13">
        <v>19.600000000000001</v>
      </c>
      <c r="Z13">
        <v>13.5</v>
      </c>
      <c r="AA13">
        <f>VALUE(SUBSTITUTE(DACS19___Pfizer’s_Personalised_Medicine_in[[#This Row],[Dose]],"mg",""))</f>
        <v>150</v>
      </c>
      <c r="AB13">
        <f t="shared" si="0"/>
        <v>150</v>
      </c>
      <c r="AC13" t="s">
        <v>129</v>
      </c>
      <c r="AD13">
        <f t="shared" si="1"/>
        <v>4</v>
      </c>
      <c r="AE13">
        <f t="shared" si="2"/>
        <v>1</v>
      </c>
      <c r="AF13" t="e">
        <f t="shared" si="3"/>
        <v>#N/A</v>
      </c>
      <c r="AG13">
        <f t="shared" si="4"/>
        <v>1.54</v>
      </c>
      <c r="AH13" t="e">
        <f t="shared" si="5"/>
        <v>#N/A</v>
      </c>
      <c r="AI13" t="e">
        <f t="shared" si="6"/>
        <v>#N/A</v>
      </c>
    </row>
    <row r="14" spans="1:35" x14ac:dyDescent="0.45">
      <c r="A14" t="s">
        <v>130</v>
      </c>
      <c r="B14">
        <v>68</v>
      </c>
      <c r="C14" t="s">
        <v>27</v>
      </c>
      <c r="D14" t="s">
        <v>45</v>
      </c>
      <c r="E14" t="s">
        <v>2614</v>
      </c>
      <c r="F14" t="s">
        <v>2614</v>
      </c>
      <c r="G14" t="s">
        <v>131</v>
      </c>
      <c r="H14" t="s">
        <v>81</v>
      </c>
      <c r="I14" t="s">
        <v>132</v>
      </c>
      <c r="J14" t="s">
        <v>133</v>
      </c>
      <c r="K14" t="s">
        <v>134</v>
      </c>
      <c r="L14" t="s">
        <v>36</v>
      </c>
      <c r="M14" t="s">
        <v>135</v>
      </c>
      <c r="N14" t="s">
        <v>136</v>
      </c>
      <c r="O14" t="s">
        <v>36</v>
      </c>
      <c r="P14" t="s">
        <v>55</v>
      </c>
      <c r="Q14" t="s">
        <v>67</v>
      </c>
      <c r="R14">
        <v>124</v>
      </c>
      <c r="S14">
        <v>0</v>
      </c>
      <c r="T14" t="s">
        <v>137</v>
      </c>
      <c r="U14" t="s">
        <v>57</v>
      </c>
      <c r="V14">
        <v>3.82</v>
      </c>
      <c r="W14">
        <v>1.85</v>
      </c>
      <c r="X14">
        <v>2.2000000000000002</v>
      </c>
      <c r="Y14">
        <v>6.3</v>
      </c>
      <c r="Z14">
        <v>9</v>
      </c>
      <c r="AA14">
        <f>VALUE(SUBSTITUTE(DACS19___Pfizer’s_Personalised_Medicine_in[[#This Row],[Dose]],"mg",""))</f>
        <v>200</v>
      </c>
      <c r="AB14">
        <f t="shared" si="0"/>
        <v>200</v>
      </c>
      <c r="AC14" t="s">
        <v>67</v>
      </c>
      <c r="AD14">
        <f t="shared" si="1"/>
        <v>2</v>
      </c>
      <c r="AE14">
        <f t="shared" si="2"/>
        <v>2</v>
      </c>
      <c r="AF14" t="e">
        <f t="shared" si="3"/>
        <v>#N/A</v>
      </c>
      <c r="AG14" t="e">
        <f t="shared" si="4"/>
        <v>#N/A</v>
      </c>
      <c r="AH14" t="e">
        <f t="shared" si="5"/>
        <v>#N/A</v>
      </c>
      <c r="AI14">
        <f t="shared" si="6"/>
        <v>1.85</v>
      </c>
    </row>
    <row r="15" spans="1:35" x14ac:dyDescent="0.45">
      <c r="A15" t="s">
        <v>138</v>
      </c>
      <c r="B15">
        <v>23</v>
      </c>
      <c r="C15" t="s">
        <v>45</v>
      </c>
      <c r="D15" t="s">
        <v>106</v>
      </c>
      <c r="E15" t="s">
        <v>46</v>
      </c>
      <c r="F15" t="s">
        <v>69</v>
      </c>
      <c r="G15" t="s">
        <v>80</v>
      </c>
      <c r="H15" t="s">
        <v>81</v>
      </c>
      <c r="I15" t="s">
        <v>132</v>
      </c>
      <c r="J15" t="s">
        <v>139</v>
      </c>
      <c r="K15" t="s">
        <v>140</v>
      </c>
      <c r="L15" t="s">
        <v>36</v>
      </c>
      <c r="M15" t="s">
        <v>2619</v>
      </c>
      <c r="N15" t="s">
        <v>142</v>
      </c>
      <c r="O15" t="s">
        <v>36</v>
      </c>
      <c r="P15" t="s">
        <v>110</v>
      </c>
      <c r="Q15" t="s">
        <v>2614</v>
      </c>
      <c r="R15">
        <v>95</v>
      </c>
      <c r="S15">
        <v>0</v>
      </c>
      <c r="T15" t="s">
        <v>56</v>
      </c>
      <c r="U15" t="s">
        <v>57</v>
      </c>
      <c r="V15">
        <v>3.36</v>
      </c>
      <c r="W15">
        <v>2.57</v>
      </c>
      <c r="X15">
        <v>4.9000000000000004</v>
      </c>
      <c r="Y15">
        <v>22.3</v>
      </c>
      <c r="Z15">
        <v>8.9</v>
      </c>
      <c r="AA15">
        <f>VALUE(SUBSTITUTE(DACS19___Pfizer’s_Personalised_Medicine_in[[#This Row],[Dose]],"mg",""))</f>
        <v>200</v>
      </c>
      <c r="AB15">
        <f t="shared" si="0"/>
        <v>200</v>
      </c>
      <c r="AC15" t="s">
        <v>2614</v>
      </c>
      <c r="AD15">
        <f t="shared" si="1"/>
        <v>0</v>
      </c>
      <c r="AE15">
        <f t="shared" si="2"/>
        <v>1</v>
      </c>
      <c r="AF15" t="e">
        <f t="shared" si="3"/>
        <v>#N/A</v>
      </c>
      <c r="AG15" t="e">
        <f t="shared" si="4"/>
        <v>#N/A</v>
      </c>
      <c r="AH15" t="e">
        <f t="shared" si="5"/>
        <v>#N/A</v>
      </c>
      <c r="AI15">
        <f t="shared" si="6"/>
        <v>2.57</v>
      </c>
    </row>
    <row r="16" spans="1:35" x14ac:dyDescent="0.45">
      <c r="A16" t="s">
        <v>143</v>
      </c>
      <c r="B16">
        <v>76</v>
      </c>
      <c r="C16" t="s">
        <v>27</v>
      </c>
      <c r="D16" t="s">
        <v>28</v>
      </c>
      <c r="E16" t="s">
        <v>46</v>
      </c>
      <c r="F16" t="s">
        <v>69</v>
      </c>
      <c r="G16" t="s">
        <v>70</v>
      </c>
      <c r="H16" t="s">
        <v>71</v>
      </c>
      <c r="I16" t="s">
        <v>49</v>
      </c>
      <c r="J16" t="s">
        <v>144</v>
      </c>
      <c r="K16" t="s">
        <v>145</v>
      </c>
      <c r="L16" t="s">
        <v>92</v>
      </c>
      <c r="M16" t="s">
        <v>40</v>
      </c>
      <c r="N16" t="s">
        <v>146</v>
      </c>
      <c r="O16" t="s">
        <v>92</v>
      </c>
      <c r="P16" t="s">
        <v>110</v>
      </c>
      <c r="Q16" t="s">
        <v>67</v>
      </c>
      <c r="R16">
        <v>47</v>
      </c>
      <c r="S16">
        <v>0</v>
      </c>
      <c r="T16" t="s">
        <v>41</v>
      </c>
      <c r="U16" t="s">
        <v>42</v>
      </c>
      <c r="V16">
        <v>3.06</v>
      </c>
      <c r="W16">
        <v>4.13</v>
      </c>
      <c r="X16">
        <v>4.5999999999999996</v>
      </c>
      <c r="Y16">
        <v>17.2</v>
      </c>
      <c r="Z16">
        <v>17.7</v>
      </c>
      <c r="AA16">
        <f>VALUE(SUBSTITUTE(DACS19___Pfizer’s_Personalised_Medicine_in[[#This Row],[Dose]],"mg",""))</f>
        <v>50</v>
      </c>
      <c r="AB16">
        <f t="shared" si="0"/>
        <v>50</v>
      </c>
      <c r="AC16" t="s">
        <v>67</v>
      </c>
      <c r="AD16">
        <f t="shared" si="1"/>
        <v>2</v>
      </c>
      <c r="AE16">
        <f t="shared" si="2"/>
        <v>1</v>
      </c>
      <c r="AF16" t="e">
        <f t="shared" si="3"/>
        <v>#N/A</v>
      </c>
      <c r="AG16">
        <f t="shared" si="4"/>
        <v>4.13</v>
      </c>
      <c r="AH16" t="e">
        <f t="shared" si="5"/>
        <v>#N/A</v>
      </c>
      <c r="AI16" t="e">
        <f t="shared" si="6"/>
        <v>#N/A</v>
      </c>
    </row>
    <row r="17" spans="1:35" x14ac:dyDescent="0.45">
      <c r="A17" t="s">
        <v>147</v>
      </c>
      <c r="B17">
        <v>45</v>
      </c>
      <c r="C17" t="s">
        <v>45</v>
      </c>
      <c r="D17" t="s">
        <v>95</v>
      </c>
      <c r="E17" t="s">
        <v>2614</v>
      </c>
      <c r="F17" t="s">
        <v>69</v>
      </c>
      <c r="G17" t="s">
        <v>70</v>
      </c>
      <c r="H17" t="s">
        <v>81</v>
      </c>
      <c r="I17" t="s">
        <v>49</v>
      </c>
      <c r="J17" t="s">
        <v>148</v>
      </c>
      <c r="K17" t="s">
        <v>149</v>
      </c>
      <c r="L17" t="s">
        <v>92</v>
      </c>
      <c r="M17" t="s">
        <v>75</v>
      </c>
      <c r="N17" t="s">
        <v>150</v>
      </c>
      <c r="O17" t="s">
        <v>92</v>
      </c>
      <c r="P17" t="s">
        <v>55</v>
      </c>
      <c r="Q17" t="s">
        <v>75</v>
      </c>
      <c r="R17">
        <v>103</v>
      </c>
      <c r="S17">
        <v>0</v>
      </c>
      <c r="T17" t="s">
        <v>123</v>
      </c>
      <c r="U17" t="s">
        <v>57</v>
      </c>
      <c r="V17">
        <v>4.8</v>
      </c>
      <c r="W17">
        <v>1.59</v>
      </c>
      <c r="X17">
        <v>9.3000000000000007</v>
      </c>
      <c r="Y17">
        <v>14.9</v>
      </c>
      <c r="Z17">
        <v>7.4</v>
      </c>
      <c r="AA17">
        <f>VALUE(SUBSTITUTE(DACS19___Pfizer’s_Personalised_Medicine_in[[#This Row],[Dose]],"mg",""))</f>
        <v>50</v>
      </c>
      <c r="AB17">
        <f t="shared" si="0"/>
        <v>50</v>
      </c>
      <c r="AC17" t="s">
        <v>75</v>
      </c>
      <c r="AD17">
        <f t="shared" si="1"/>
        <v>1</v>
      </c>
      <c r="AE17">
        <f t="shared" si="2"/>
        <v>2</v>
      </c>
      <c r="AF17" t="e">
        <f t="shared" si="3"/>
        <v>#N/A</v>
      </c>
      <c r="AG17" t="e">
        <f t="shared" si="4"/>
        <v>#N/A</v>
      </c>
      <c r="AH17" t="e">
        <f t="shared" si="5"/>
        <v>#N/A</v>
      </c>
      <c r="AI17">
        <f t="shared" si="6"/>
        <v>1.59</v>
      </c>
    </row>
    <row r="18" spans="1:35" x14ac:dyDescent="0.45">
      <c r="A18" t="s">
        <v>151</v>
      </c>
      <c r="B18">
        <v>40</v>
      </c>
      <c r="C18" t="s">
        <v>27</v>
      </c>
      <c r="D18" t="s">
        <v>87</v>
      </c>
      <c r="E18" t="s">
        <v>29</v>
      </c>
      <c r="F18" t="s">
        <v>79</v>
      </c>
      <c r="G18" t="s">
        <v>152</v>
      </c>
      <c r="H18" t="s">
        <v>32</v>
      </c>
      <c r="I18" t="s">
        <v>132</v>
      </c>
      <c r="J18" t="s">
        <v>153</v>
      </c>
      <c r="K18" t="s">
        <v>154</v>
      </c>
      <c r="L18" t="s">
        <v>36</v>
      </c>
      <c r="M18" t="s">
        <v>155</v>
      </c>
      <c r="N18" t="s">
        <v>156</v>
      </c>
      <c r="O18" t="s">
        <v>36</v>
      </c>
      <c r="P18" t="s">
        <v>39</v>
      </c>
      <c r="Q18" t="s">
        <v>2614</v>
      </c>
      <c r="R18">
        <v>50</v>
      </c>
      <c r="S18">
        <v>1</v>
      </c>
      <c r="T18" t="s">
        <v>123</v>
      </c>
      <c r="U18" t="s">
        <v>42</v>
      </c>
      <c r="V18">
        <v>2.84</v>
      </c>
      <c r="W18">
        <v>4.92</v>
      </c>
      <c r="X18">
        <v>5.4</v>
      </c>
      <c r="Y18">
        <v>11.9</v>
      </c>
      <c r="Z18">
        <v>13.8</v>
      </c>
      <c r="AA18">
        <f>VALUE(SUBSTITUTE(DACS19___Pfizer’s_Personalised_Medicine_in[[#This Row],[Dose]],"mg",""))</f>
        <v>200</v>
      </c>
      <c r="AB18">
        <f t="shared" si="0"/>
        <v>200</v>
      </c>
      <c r="AC18" t="s">
        <v>2614</v>
      </c>
      <c r="AD18">
        <f t="shared" si="1"/>
        <v>0</v>
      </c>
      <c r="AE18">
        <f t="shared" si="2"/>
        <v>3</v>
      </c>
      <c r="AF18" t="e">
        <f t="shared" si="3"/>
        <v>#N/A</v>
      </c>
      <c r="AG18" t="e">
        <f t="shared" si="4"/>
        <v>#N/A</v>
      </c>
      <c r="AH18">
        <f t="shared" si="5"/>
        <v>4.92</v>
      </c>
      <c r="AI18" t="e">
        <f t="shared" si="6"/>
        <v>#N/A</v>
      </c>
    </row>
    <row r="19" spans="1:35" x14ac:dyDescent="0.45">
      <c r="A19" t="s">
        <v>157</v>
      </c>
      <c r="B19">
        <v>69</v>
      </c>
      <c r="C19" t="s">
        <v>44</v>
      </c>
      <c r="D19" t="s">
        <v>95</v>
      </c>
      <c r="E19" t="s">
        <v>29</v>
      </c>
      <c r="F19" t="s">
        <v>88</v>
      </c>
      <c r="G19" t="s">
        <v>112</v>
      </c>
      <c r="H19" t="s">
        <v>61</v>
      </c>
      <c r="I19" t="s">
        <v>33</v>
      </c>
      <c r="J19" t="s">
        <v>158</v>
      </c>
      <c r="K19" t="s">
        <v>159</v>
      </c>
      <c r="L19" t="s">
        <v>92</v>
      </c>
      <c r="M19" t="s">
        <v>160</v>
      </c>
      <c r="N19" t="s">
        <v>161</v>
      </c>
      <c r="O19" t="s">
        <v>92</v>
      </c>
      <c r="P19" t="s">
        <v>110</v>
      </c>
      <c r="Q19" t="s">
        <v>40</v>
      </c>
      <c r="R19">
        <v>99</v>
      </c>
      <c r="S19">
        <v>0</v>
      </c>
      <c r="T19" t="s">
        <v>123</v>
      </c>
      <c r="U19" t="s">
        <v>42</v>
      </c>
      <c r="V19">
        <v>1.96</v>
      </c>
      <c r="W19">
        <v>1.3</v>
      </c>
      <c r="X19">
        <v>2.2000000000000002</v>
      </c>
      <c r="Y19">
        <v>8.3000000000000007</v>
      </c>
      <c r="Z19">
        <v>5.6</v>
      </c>
      <c r="AA19">
        <f>VALUE(SUBSTITUTE(DACS19___Pfizer’s_Personalised_Medicine_in[[#This Row],[Dose]],"mg",""))</f>
        <v>50</v>
      </c>
      <c r="AB19">
        <f t="shared" si="0"/>
        <v>50</v>
      </c>
      <c r="AC19" t="s">
        <v>40</v>
      </c>
      <c r="AD19">
        <f t="shared" si="1"/>
        <v>3</v>
      </c>
      <c r="AE19">
        <f t="shared" si="2"/>
        <v>1</v>
      </c>
      <c r="AF19">
        <f t="shared" si="3"/>
        <v>1.3</v>
      </c>
      <c r="AG19" t="e">
        <f t="shared" si="4"/>
        <v>#N/A</v>
      </c>
      <c r="AH19" t="e">
        <f t="shared" si="5"/>
        <v>#N/A</v>
      </c>
      <c r="AI19" t="e">
        <f t="shared" si="6"/>
        <v>#N/A</v>
      </c>
    </row>
    <row r="20" spans="1:35" x14ac:dyDescent="0.45">
      <c r="A20" t="s">
        <v>162</v>
      </c>
      <c r="B20">
        <v>53</v>
      </c>
      <c r="C20" t="s">
        <v>45</v>
      </c>
      <c r="D20" t="s">
        <v>45</v>
      </c>
      <c r="E20" t="s">
        <v>163</v>
      </c>
      <c r="F20" t="s">
        <v>59</v>
      </c>
      <c r="G20" t="s">
        <v>164</v>
      </c>
      <c r="H20" t="s">
        <v>71</v>
      </c>
      <c r="I20" t="s">
        <v>72</v>
      </c>
      <c r="J20" t="s">
        <v>165</v>
      </c>
      <c r="K20" t="s">
        <v>166</v>
      </c>
      <c r="L20" t="s">
        <v>52</v>
      </c>
      <c r="M20" t="s">
        <v>2620</v>
      </c>
      <c r="N20" t="s">
        <v>168</v>
      </c>
      <c r="O20" t="s">
        <v>52</v>
      </c>
      <c r="P20" t="s">
        <v>110</v>
      </c>
      <c r="Q20" t="s">
        <v>67</v>
      </c>
      <c r="R20">
        <v>50</v>
      </c>
      <c r="S20">
        <v>0</v>
      </c>
      <c r="T20" t="s">
        <v>85</v>
      </c>
      <c r="U20" t="s">
        <v>57</v>
      </c>
      <c r="V20">
        <v>1.56</v>
      </c>
      <c r="W20">
        <v>3.56</v>
      </c>
      <c r="X20">
        <v>2.6</v>
      </c>
      <c r="Y20">
        <v>12.2</v>
      </c>
      <c r="Z20">
        <v>18.2</v>
      </c>
      <c r="AA20">
        <f>VALUE(SUBSTITUTE(DACS19___Pfizer’s_Personalised_Medicine_in[[#This Row],[Dose]],"mg",""))</f>
        <v>100</v>
      </c>
      <c r="AB20">
        <f t="shared" si="0"/>
        <v>100</v>
      </c>
      <c r="AC20" t="s">
        <v>67</v>
      </c>
      <c r="AD20">
        <f t="shared" si="1"/>
        <v>2</v>
      </c>
      <c r="AE20">
        <f t="shared" si="2"/>
        <v>1</v>
      </c>
      <c r="AF20" t="e">
        <f t="shared" si="3"/>
        <v>#N/A</v>
      </c>
      <c r="AG20">
        <f t="shared" si="4"/>
        <v>3.56</v>
      </c>
      <c r="AH20" t="e">
        <f t="shared" si="5"/>
        <v>#N/A</v>
      </c>
      <c r="AI20" t="e">
        <f t="shared" si="6"/>
        <v>#N/A</v>
      </c>
    </row>
    <row r="21" spans="1:35" x14ac:dyDescent="0.45">
      <c r="A21" t="s">
        <v>169</v>
      </c>
      <c r="B21">
        <v>24</v>
      </c>
      <c r="C21" t="s">
        <v>27</v>
      </c>
      <c r="D21" t="s">
        <v>95</v>
      </c>
      <c r="E21" t="s">
        <v>46</v>
      </c>
      <c r="F21" t="s">
        <v>2614</v>
      </c>
      <c r="G21" t="s">
        <v>31</v>
      </c>
      <c r="H21" t="s">
        <v>81</v>
      </c>
      <c r="I21" t="s">
        <v>132</v>
      </c>
      <c r="J21" t="s">
        <v>170</v>
      </c>
      <c r="K21" t="s">
        <v>171</v>
      </c>
      <c r="L21" t="s">
        <v>36</v>
      </c>
      <c r="M21" t="s">
        <v>2618</v>
      </c>
      <c r="N21" t="s">
        <v>172</v>
      </c>
      <c r="O21" t="s">
        <v>36</v>
      </c>
      <c r="P21" t="s">
        <v>55</v>
      </c>
      <c r="Q21" t="s">
        <v>40</v>
      </c>
      <c r="R21">
        <v>77</v>
      </c>
      <c r="S21">
        <v>0</v>
      </c>
      <c r="T21" t="s">
        <v>85</v>
      </c>
      <c r="U21" t="s">
        <v>57</v>
      </c>
      <c r="V21">
        <v>2.9</v>
      </c>
      <c r="W21">
        <v>3.67</v>
      </c>
      <c r="X21">
        <v>2.6</v>
      </c>
      <c r="Y21">
        <v>9.5</v>
      </c>
      <c r="Z21">
        <v>3.7</v>
      </c>
      <c r="AA21">
        <f>VALUE(SUBSTITUTE(DACS19___Pfizer’s_Personalised_Medicine_in[[#This Row],[Dose]],"mg",""))</f>
        <v>200</v>
      </c>
      <c r="AB21">
        <f t="shared" si="0"/>
        <v>200</v>
      </c>
      <c r="AC21" t="s">
        <v>40</v>
      </c>
      <c r="AD21">
        <f t="shared" si="1"/>
        <v>3</v>
      </c>
      <c r="AE21">
        <f t="shared" si="2"/>
        <v>2</v>
      </c>
      <c r="AF21" t="e">
        <f t="shared" si="3"/>
        <v>#N/A</v>
      </c>
      <c r="AG21" t="e">
        <f t="shared" si="4"/>
        <v>#N/A</v>
      </c>
      <c r="AH21" t="e">
        <f t="shared" si="5"/>
        <v>#N/A</v>
      </c>
      <c r="AI21">
        <f t="shared" si="6"/>
        <v>3.67</v>
      </c>
    </row>
    <row r="22" spans="1:35" x14ac:dyDescent="0.45">
      <c r="A22" t="s">
        <v>173</v>
      </c>
      <c r="B22">
        <v>28</v>
      </c>
      <c r="C22" t="s">
        <v>45</v>
      </c>
      <c r="D22" t="s">
        <v>28</v>
      </c>
      <c r="E22" t="s">
        <v>46</v>
      </c>
      <c r="F22" t="s">
        <v>2614</v>
      </c>
      <c r="G22" t="s">
        <v>125</v>
      </c>
      <c r="H22" t="s">
        <v>32</v>
      </c>
      <c r="I22" t="s">
        <v>72</v>
      </c>
      <c r="J22" t="s">
        <v>174</v>
      </c>
      <c r="K22" t="s">
        <v>175</v>
      </c>
      <c r="L22" t="s">
        <v>52</v>
      </c>
      <c r="M22" t="s">
        <v>2620</v>
      </c>
      <c r="N22" t="s">
        <v>176</v>
      </c>
      <c r="O22" t="s">
        <v>52</v>
      </c>
      <c r="P22" t="s">
        <v>39</v>
      </c>
      <c r="Q22" t="s">
        <v>129</v>
      </c>
      <c r="R22">
        <v>108</v>
      </c>
      <c r="S22">
        <v>1</v>
      </c>
      <c r="T22" t="s">
        <v>56</v>
      </c>
      <c r="U22" t="s">
        <v>57</v>
      </c>
      <c r="V22">
        <v>1.68</v>
      </c>
      <c r="W22">
        <v>2.11</v>
      </c>
      <c r="X22">
        <v>2.6</v>
      </c>
      <c r="Y22">
        <v>7.6</v>
      </c>
      <c r="Z22">
        <v>5.0999999999999996</v>
      </c>
      <c r="AA22">
        <f>VALUE(SUBSTITUTE(DACS19___Pfizer’s_Personalised_Medicine_in[[#This Row],[Dose]],"mg",""))</f>
        <v>100</v>
      </c>
      <c r="AB22">
        <f t="shared" si="0"/>
        <v>100</v>
      </c>
      <c r="AC22" t="s">
        <v>129</v>
      </c>
      <c r="AD22">
        <f t="shared" si="1"/>
        <v>4</v>
      </c>
      <c r="AE22">
        <f t="shared" si="2"/>
        <v>3</v>
      </c>
      <c r="AF22" t="e">
        <f t="shared" si="3"/>
        <v>#N/A</v>
      </c>
      <c r="AG22" t="e">
        <f t="shared" si="4"/>
        <v>#N/A</v>
      </c>
      <c r="AH22">
        <f t="shared" si="5"/>
        <v>2.11</v>
      </c>
      <c r="AI22" t="e">
        <f t="shared" si="6"/>
        <v>#N/A</v>
      </c>
    </row>
    <row r="23" spans="1:35" x14ac:dyDescent="0.45">
      <c r="A23" t="s">
        <v>177</v>
      </c>
      <c r="B23">
        <v>52</v>
      </c>
      <c r="C23" t="s">
        <v>27</v>
      </c>
      <c r="D23" t="s">
        <v>106</v>
      </c>
      <c r="E23" t="s">
        <v>163</v>
      </c>
      <c r="F23" t="s">
        <v>47</v>
      </c>
      <c r="G23" t="s">
        <v>178</v>
      </c>
      <c r="H23" t="s">
        <v>81</v>
      </c>
      <c r="I23" t="s">
        <v>49</v>
      </c>
      <c r="J23" t="s">
        <v>179</v>
      </c>
      <c r="K23" t="s">
        <v>180</v>
      </c>
      <c r="L23" t="s">
        <v>92</v>
      </c>
      <c r="M23" t="s">
        <v>2621</v>
      </c>
      <c r="N23" t="s">
        <v>182</v>
      </c>
      <c r="O23" t="s">
        <v>92</v>
      </c>
      <c r="P23" t="s">
        <v>55</v>
      </c>
      <c r="Q23" t="s">
        <v>40</v>
      </c>
      <c r="R23">
        <v>129</v>
      </c>
      <c r="S23">
        <v>0</v>
      </c>
      <c r="T23" t="s">
        <v>123</v>
      </c>
      <c r="U23" t="s">
        <v>42</v>
      </c>
      <c r="V23">
        <v>2.84</v>
      </c>
      <c r="W23">
        <v>1.83</v>
      </c>
      <c r="X23">
        <v>4.3</v>
      </c>
      <c r="Y23">
        <v>15.1</v>
      </c>
      <c r="Z23">
        <v>14.7</v>
      </c>
      <c r="AA23">
        <f>VALUE(SUBSTITUTE(DACS19___Pfizer’s_Personalised_Medicine_in[[#This Row],[Dose]],"mg",""))</f>
        <v>50</v>
      </c>
      <c r="AB23">
        <f t="shared" si="0"/>
        <v>50</v>
      </c>
      <c r="AC23" t="s">
        <v>40</v>
      </c>
      <c r="AD23">
        <f t="shared" si="1"/>
        <v>3</v>
      </c>
      <c r="AE23">
        <f t="shared" si="2"/>
        <v>2</v>
      </c>
      <c r="AF23" t="e">
        <f t="shared" si="3"/>
        <v>#N/A</v>
      </c>
      <c r="AG23" t="e">
        <f t="shared" si="4"/>
        <v>#N/A</v>
      </c>
      <c r="AH23" t="e">
        <f t="shared" si="5"/>
        <v>#N/A</v>
      </c>
      <c r="AI23">
        <f t="shared" si="6"/>
        <v>1.83</v>
      </c>
    </row>
    <row r="24" spans="1:35" x14ac:dyDescent="0.45">
      <c r="A24" t="s">
        <v>183</v>
      </c>
      <c r="B24">
        <v>84</v>
      </c>
      <c r="C24" t="s">
        <v>27</v>
      </c>
      <c r="D24" t="s">
        <v>95</v>
      </c>
      <c r="E24" t="s">
        <v>46</v>
      </c>
      <c r="F24" t="s">
        <v>59</v>
      </c>
      <c r="G24" t="s">
        <v>184</v>
      </c>
      <c r="H24" t="s">
        <v>81</v>
      </c>
      <c r="I24" t="s">
        <v>72</v>
      </c>
      <c r="J24" t="s">
        <v>185</v>
      </c>
      <c r="K24" t="s">
        <v>186</v>
      </c>
      <c r="L24" t="s">
        <v>36</v>
      </c>
      <c r="M24" t="s">
        <v>187</v>
      </c>
      <c r="N24" t="s">
        <v>188</v>
      </c>
      <c r="O24" t="s">
        <v>36</v>
      </c>
      <c r="P24" t="s">
        <v>55</v>
      </c>
      <c r="Q24" t="s">
        <v>67</v>
      </c>
      <c r="R24">
        <v>156</v>
      </c>
      <c r="S24">
        <v>0</v>
      </c>
      <c r="T24" t="s">
        <v>85</v>
      </c>
      <c r="U24" t="s">
        <v>42</v>
      </c>
      <c r="V24">
        <v>1.1599999999999999</v>
      </c>
      <c r="W24">
        <v>4.2</v>
      </c>
      <c r="X24">
        <v>6.7</v>
      </c>
      <c r="Y24">
        <v>7.5</v>
      </c>
      <c r="Z24">
        <v>17.899999999999999</v>
      </c>
      <c r="AA24">
        <f>VALUE(SUBSTITUTE(DACS19___Pfizer’s_Personalised_Medicine_in[[#This Row],[Dose]],"mg",""))</f>
        <v>200</v>
      </c>
      <c r="AB24">
        <f t="shared" si="0"/>
        <v>200</v>
      </c>
      <c r="AC24" t="s">
        <v>67</v>
      </c>
      <c r="AD24">
        <f t="shared" si="1"/>
        <v>2</v>
      </c>
      <c r="AE24">
        <f t="shared" si="2"/>
        <v>2</v>
      </c>
      <c r="AF24" t="e">
        <f t="shared" si="3"/>
        <v>#N/A</v>
      </c>
      <c r="AG24" t="e">
        <f t="shared" si="4"/>
        <v>#N/A</v>
      </c>
      <c r="AH24" t="e">
        <f t="shared" si="5"/>
        <v>#N/A</v>
      </c>
      <c r="AI24">
        <f t="shared" si="6"/>
        <v>4.2</v>
      </c>
    </row>
    <row r="25" spans="1:35" x14ac:dyDescent="0.45">
      <c r="A25" t="s">
        <v>189</v>
      </c>
      <c r="B25">
        <v>76</v>
      </c>
      <c r="C25" t="s">
        <v>27</v>
      </c>
      <c r="D25" t="s">
        <v>106</v>
      </c>
      <c r="E25" t="s">
        <v>2614</v>
      </c>
      <c r="F25" t="s">
        <v>47</v>
      </c>
      <c r="G25" t="s">
        <v>31</v>
      </c>
      <c r="H25" t="s">
        <v>81</v>
      </c>
      <c r="I25" t="s">
        <v>132</v>
      </c>
      <c r="J25" t="s">
        <v>190</v>
      </c>
      <c r="K25" t="s">
        <v>191</v>
      </c>
      <c r="L25" t="s">
        <v>52</v>
      </c>
      <c r="M25" t="s">
        <v>2615</v>
      </c>
      <c r="N25" t="s">
        <v>192</v>
      </c>
      <c r="O25" t="s">
        <v>52</v>
      </c>
      <c r="P25" t="s">
        <v>55</v>
      </c>
      <c r="Q25" t="s">
        <v>67</v>
      </c>
      <c r="R25">
        <v>131</v>
      </c>
      <c r="S25">
        <v>0</v>
      </c>
      <c r="T25" t="s">
        <v>137</v>
      </c>
      <c r="U25" t="s">
        <v>57</v>
      </c>
      <c r="V25">
        <v>4.68</v>
      </c>
      <c r="W25">
        <v>1.24</v>
      </c>
      <c r="X25">
        <v>3.5</v>
      </c>
      <c r="Y25">
        <v>20.5</v>
      </c>
      <c r="Z25">
        <v>15.7</v>
      </c>
      <c r="AA25">
        <f>VALUE(SUBSTITUTE(DACS19___Pfizer’s_Personalised_Medicine_in[[#This Row],[Dose]],"mg",""))</f>
        <v>100</v>
      </c>
      <c r="AB25">
        <f t="shared" si="0"/>
        <v>100</v>
      </c>
      <c r="AC25" t="s">
        <v>67</v>
      </c>
      <c r="AD25">
        <f t="shared" si="1"/>
        <v>2</v>
      </c>
      <c r="AE25">
        <f t="shared" si="2"/>
        <v>2</v>
      </c>
      <c r="AF25" t="e">
        <f t="shared" si="3"/>
        <v>#N/A</v>
      </c>
      <c r="AG25" t="e">
        <f t="shared" si="4"/>
        <v>#N/A</v>
      </c>
      <c r="AH25" t="e">
        <f t="shared" si="5"/>
        <v>#N/A</v>
      </c>
      <c r="AI25">
        <f t="shared" si="6"/>
        <v>1.24</v>
      </c>
    </row>
    <row r="26" spans="1:35" x14ac:dyDescent="0.45">
      <c r="A26" t="s">
        <v>193</v>
      </c>
      <c r="B26">
        <v>80</v>
      </c>
      <c r="C26" t="s">
        <v>45</v>
      </c>
      <c r="D26" t="s">
        <v>106</v>
      </c>
      <c r="E26" t="s">
        <v>2614</v>
      </c>
      <c r="F26" t="s">
        <v>47</v>
      </c>
      <c r="G26" t="s">
        <v>194</v>
      </c>
      <c r="H26" t="s">
        <v>61</v>
      </c>
      <c r="I26" t="s">
        <v>72</v>
      </c>
      <c r="J26" t="s">
        <v>195</v>
      </c>
      <c r="K26" t="s">
        <v>196</v>
      </c>
      <c r="L26" t="s">
        <v>92</v>
      </c>
      <c r="M26" t="s">
        <v>197</v>
      </c>
      <c r="N26" t="s">
        <v>198</v>
      </c>
      <c r="O26" t="s">
        <v>92</v>
      </c>
      <c r="P26" t="s">
        <v>110</v>
      </c>
      <c r="Q26" t="s">
        <v>129</v>
      </c>
      <c r="R26">
        <v>134</v>
      </c>
      <c r="S26">
        <v>0</v>
      </c>
      <c r="T26" t="s">
        <v>56</v>
      </c>
      <c r="U26" t="s">
        <v>42</v>
      </c>
      <c r="V26">
        <v>1.74</v>
      </c>
      <c r="W26">
        <v>1.84</v>
      </c>
      <c r="X26">
        <v>4.3</v>
      </c>
      <c r="Y26">
        <v>14.7</v>
      </c>
      <c r="Z26">
        <v>13.5</v>
      </c>
      <c r="AA26">
        <f>VALUE(SUBSTITUTE(DACS19___Pfizer’s_Personalised_Medicine_in[[#This Row],[Dose]],"mg",""))</f>
        <v>50</v>
      </c>
      <c r="AB26">
        <f t="shared" si="0"/>
        <v>50</v>
      </c>
      <c r="AC26" t="s">
        <v>129</v>
      </c>
      <c r="AD26">
        <f t="shared" si="1"/>
        <v>4</v>
      </c>
      <c r="AE26">
        <f t="shared" si="2"/>
        <v>1</v>
      </c>
      <c r="AF26">
        <f t="shared" si="3"/>
        <v>1.84</v>
      </c>
      <c r="AG26" t="e">
        <f t="shared" si="4"/>
        <v>#N/A</v>
      </c>
      <c r="AH26" t="e">
        <f t="shared" si="5"/>
        <v>#N/A</v>
      </c>
      <c r="AI26" t="e">
        <f t="shared" si="6"/>
        <v>#N/A</v>
      </c>
    </row>
    <row r="27" spans="1:35" x14ac:dyDescent="0.45">
      <c r="A27" t="s">
        <v>199</v>
      </c>
      <c r="B27">
        <v>56</v>
      </c>
      <c r="C27" t="s">
        <v>27</v>
      </c>
      <c r="D27" t="s">
        <v>28</v>
      </c>
      <c r="E27" t="s">
        <v>46</v>
      </c>
      <c r="F27" t="s">
        <v>2614</v>
      </c>
      <c r="G27" t="s">
        <v>131</v>
      </c>
      <c r="H27" t="s">
        <v>61</v>
      </c>
      <c r="I27" t="s">
        <v>33</v>
      </c>
      <c r="J27" t="s">
        <v>200</v>
      </c>
      <c r="K27" t="s">
        <v>201</v>
      </c>
      <c r="L27" t="s">
        <v>36</v>
      </c>
      <c r="M27" t="s">
        <v>2622</v>
      </c>
      <c r="N27" t="s">
        <v>203</v>
      </c>
      <c r="O27" t="s">
        <v>36</v>
      </c>
      <c r="P27" t="s">
        <v>110</v>
      </c>
      <c r="Q27" t="s">
        <v>129</v>
      </c>
      <c r="R27">
        <v>57</v>
      </c>
      <c r="S27">
        <v>0</v>
      </c>
      <c r="T27" t="s">
        <v>41</v>
      </c>
      <c r="U27" t="s">
        <v>57</v>
      </c>
      <c r="V27">
        <v>2.48</v>
      </c>
      <c r="W27">
        <v>2.85</v>
      </c>
      <c r="X27">
        <v>7.7</v>
      </c>
      <c r="Y27">
        <v>6.7</v>
      </c>
      <c r="Z27">
        <v>7.3</v>
      </c>
      <c r="AA27">
        <f>VALUE(SUBSTITUTE(DACS19___Pfizer’s_Personalised_Medicine_in[[#This Row],[Dose]],"mg",""))</f>
        <v>200</v>
      </c>
      <c r="AB27">
        <f t="shared" si="0"/>
        <v>200</v>
      </c>
      <c r="AC27" t="s">
        <v>129</v>
      </c>
      <c r="AD27">
        <f t="shared" si="1"/>
        <v>4</v>
      </c>
      <c r="AE27">
        <f t="shared" si="2"/>
        <v>1</v>
      </c>
      <c r="AF27">
        <f t="shared" si="3"/>
        <v>2.85</v>
      </c>
      <c r="AG27" t="e">
        <f t="shared" si="4"/>
        <v>#N/A</v>
      </c>
      <c r="AH27" t="e">
        <f t="shared" si="5"/>
        <v>#N/A</v>
      </c>
      <c r="AI27" t="e">
        <f t="shared" si="6"/>
        <v>#N/A</v>
      </c>
    </row>
    <row r="28" spans="1:35" x14ac:dyDescent="0.45">
      <c r="A28" t="s">
        <v>204</v>
      </c>
      <c r="B28">
        <v>39</v>
      </c>
      <c r="C28" t="s">
        <v>45</v>
      </c>
      <c r="D28" t="s">
        <v>45</v>
      </c>
      <c r="E28" t="s">
        <v>163</v>
      </c>
      <c r="F28" t="s">
        <v>2614</v>
      </c>
      <c r="G28" t="s">
        <v>131</v>
      </c>
      <c r="H28" t="s">
        <v>32</v>
      </c>
      <c r="I28" t="s">
        <v>33</v>
      </c>
      <c r="J28" t="s">
        <v>205</v>
      </c>
      <c r="K28" t="s">
        <v>206</v>
      </c>
      <c r="L28" t="s">
        <v>52</v>
      </c>
      <c r="M28" t="s">
        <v>207</v>
      </c>
      <c r="N28" t="s">
        <v>208</v>
      </c>
      <c r="O28" t="s">
        <v>52</v>
      </c>
      <c r="P28" t="s">
        <v>55</v>
      </c>
      <c r="Q28" t="s">
        <v>40</v>
      </c>
      <c r="R28">
        <v>180</v>
      </c>
      <c r="S28">
        <v>0</v>
      </c>
      <c r="T28" t="s">
        <v>85</v>
      </c>
      <c r="U28" t="s">
        <v>42</v>
      </c>
      <c r="V28">
        <v>3.85</v>
      </c>
      <c r="W28">
        <v>4.58</v>
      </c>
      <c r="X28">
        <v>5.6</v>
      </c>
      <c r="Y28">
        <v>15.6</v>
      </c>
      <c r="Z28">
        <v>4.8</v>
      </c>
      <c r="AA28">
        <f>VALUE(SUBSTITUTE(DACS19___Pfizer’s_Personalised_Medicine_in[[#This Row],[Dose]],"mg",""))</f>
        <v>100</v>
      </c>
      <c r="AB28">
        <f t="shared" si="0"/>
        <v>100</v>
      </c>
      <c r="AC28" t="s">
        <v>40</v>
      </c>
      <c r="AD28">
        <f t="shared" si="1"/>
        <v>3</v>
      </c>
      <c r="AE28">
        <f t="shared" si="2"/>
        <v>2</v>
      </c>
      <c r="AF28" t="e">
        <f t="shared" si="3"/>
        <v>#N/A</v>
      </c>
      <c r="AG28" t="e">
        <f t="shared" si="4"/>
        <v>#N/A</v>
      </c>
      <c r="AH28">
        <f t="shared" si="5"/>
        <v>4.58</v>
      </c>
      <c r="AI28" t="e">
        <f t="shared" si="6"/>
        <v>#N/A</v>
      </c>
    </row>
    <row r="29" spans="1:35" x14ac:dyDescent="0.45">
      <c r="A29" t="s">
        <v>209</v>
      </c>
      <c r="B29">
        <v>62</v>
      </c>
      <c r="C29" t="s">
        <v>27</v>
      </c>
      <c r="D29" t="s">
        <v>95</v>
      </c>
      <c r="E29" t="s">
        <v>163</v>
      </c>
      <c r="F29" t="s">
        <v>88</v>
      </c>
      <c r="G29" t="s">
        <v>102</v>
      </c>
      <c r="H29" t="s">
        <v>71</v>
      </c>
      <c r="I29" t="s">
        <v>132</v>
      </c>
      <c r="J29" t="s">
        <v>210</v>
      </c>
      <c r="K29" t="s">
        <v>211</v>
      </c>
      <c r="L29" t="s">
        <v>52</v>
      </c>
      <c r="M29" t="s">
        <v>2620</v>
      </c>
      <c r="N29" t="s">
        <v>212</v>
      </c>
      <c r="O29" t="s">
        <v>52</v>
      </c>
      <c r="P29" t="s">
        <v>55</v>
      </c>
      <c r="Q29" t="s">
        <v>40</v>
      </c>
      <c r="R29">
        <v>111</v>
      </c>
      <c r="S29">
        <v>0</v>
      </c>
      <c r="T29" t="s">
        <v>123</v>
      </c>
      <c r="U29" t="s">
        <v>57</v>
      </c>
      <c r="V29">
        <v>2.79</v>
      </c>
      <c r="W29">
        <v>3.13</v>
      </c>
      <c r="X29">
        <v>3.2</v>
      </c>
      <c r="Y29">
        <v>10.8</v>
      </c>
      <c r="Z29">
        <v>9.4</v>
      </c>
      <c r="AA29">
        <f>VALUE(SUBSTITUTE(DACS19___Pfizer’s_Personalised_Medicine_in[[#This Row],[Dose]],"mg",""))</f>
        <v>100</v>
      </c>
      <c r="AB29">
        <f t="shared" si="0"/>
        <v>100</v>
      </c>
      <c r="AC29" t="s">
        <v>40</v>
      </c>
      <c r="AD29">
        <f t="shared" si="1"/>
        <v>3</v>
      </c>
      <c r="AE29">
        <f t="shared" si="2"/>
        <v>2</v>
      </c>
      <c r="AF29" t="e">
        <f t="shared" si="3"/>
        <v>#N/A</v>
      </c>
      <c r="AG29">
        <f t="shared" si="4"/>
        <v>3.13</v>
      </c>
      <c r="AH29" t="e">
        <f t="shared" si="5"/>
        <v>#N/A</v>
      </c>
      <c r="AI29" t="e">
        <f t="shared" si="6"/>
        <v>#N/A</v>
      </c>
    </row>
    <row r="30" spans="1:35" x14ac:dyDescent="0.45">
      <c r="A30" t="s">
        <v>213</v>
      </c>
      <c r="B30">
        <v>23</v>
      </c>
      <c r="C30" t="s">
        <v>45</v>
      </c>
      <c r="D30" t="s">
        <v>87</v>
      </c>
      <c r="E30" t="s">
        <v>163</v>
      </c>
      <c r="F30" t="s">
        <v>2614</v>
      </c>
      <c r="G30" t="s">
        <v>102</v>
      </c>
      <c r="H30" t="s">
        <v>71</v>
      </c>
      <c r="I30" t="s">
        <v>72</v>
      </c>
      <c r="J30" t="s">
        <v>214</v>
      </c>
      <c r="K30" t="s">
        <v>215</v>
      </c>
      <c r="L30" t="s">
        <v>64</v>
      </c>
      <c r="M30" t="s">
        <v>216</v>
      </c>
      <c r="N30" t="s">
        <v>217</v>
      </c>
      <c r="O30" t="s">
        <v>64</v>
      </c>
      <c r="P30" t="s">
        <v>110</v>
      </c>
      <c r="Q30" t="s">
        <v>67</v>
      </c>
      <c r="R30">
        <v>77</v>
      </c>
      <c r="S30">
        <v>0</v>
      </c>
      <c r="T30" t="s">
        <v>56</v>
      </c>
      <c r="U30" t="s">
        <v>57</v>
      </c>
      <c r="V30">
        <v>1.08</v>
      </c>
      <c r="W30">
        <v>2.29</v>
      </c>
      <c r="X30">
        <v>2.9</v>
      </c>
      <c r="Y30">
        <v>11.9</v>
      </c>
      <c r="Z30">
        <v>5</v>
      </c>
      <c r="AA30">
        <f>VALUE(SUBSTITUTE(DACS19___Pfizer’s_Personalised_Medicine_in[[#This Row],[Dose]],"mg",""))</f>
        <v>150</v>
      </c>
      <c r="AB30">
        <f t="shared" si="0"/>
        <v>150</v>
      </c>
      <c r="AC30" t="s">
        <v>67</v>
      </c>
      <c r="AD30">
        <f t="shared" si="1"/>
        <v>2</v>
      </c>
      <c r="AE30">
        <f t="shared" si="2"/>
        <v>1</v>
      </c>
      <c r="AF30" t="e">
        <f t="shared" si="3"/>
        <v>#N/A</v>
      </c>
      <c r="AG30">
        <f t="shared" si="4"/>
        <v>2.29</v>
      </c>
      <c r="AH30" t="e">
        <f t="shared" si="5"/>
        <v>#N/A</v>
      </c>
      <c r="AI30" t="e">
        <f t="shared" si="6"/>
        <v>#N/A</v>
      </c>
    </row>
    <row r="31" spans="1:35" x14ac:dyDescent="0.45">
      <c r="A31" t="s">
        <v>218</v>
      </c>
      <c r="B31">
        <v>21</v>
      </c>
      <c r="C31" t="s">
        <v>45</v>
      </c>
      <c r="D31" t="s">
        <v>45</v>
      </c>
      <c r="E31" t="s">
        <v>46</v>
      </c>
      <c r="F31" t="s">
        <v>47</v>
      </c>
      <c r="G31" t="s">
        <v>131</v>
      </c>
      <c r="H31" t="s">
        <v>61</v>
      </c>
      <c r="I31" t="s">
        <v>72</v>
      </c>
      <c r="J31" t="s">
        <v>219</v>
      </c>
      <c r="K31" t="s">
        <v>220</v>
      </c>
      <c r="L31" t="s">
        <v>92</v>
      </c>
      <c r="M31" t="s">
        <v>221</v>
      </c>
      <c r="N31" t="s">
        <v>222</v>
      </c>
      <c r="O31" t="s">
        <v>92</v>
      </c>
      <c r="P31" t="s">
        <v>39</v>
      </c>
      <c r="Q31" t="s">
        <v>40</v>
      </c>
      <c r="R31">
        <v>59</v>
      </c>
      <c r="S31">
        <v>1</v>
      </c>
      <c r="T31" t="s">
        <v>137</v>
      </c>
      <c r="U31" t="s">
        <v>57</v>
      </c>
      <c r="V31">
        <v>4.5599999999999996</v>
      </c>
      <c r="W31">
        <v>3.37</v>
      </c>
      <c r="X31">
        <v>7.1</v>
      </c>
      <c r="Y31">
        <v>20.2</v>
      </c>
      <c r="Z31">
        <v>11.5</v>
      </c>
      <c r="AA31">
        <f>VALUE(SUBSTITUTE(DACS19___Pfizer’s_Personalised_Medicine_in[[#This Row],[Dose]],"mg",""))</f>
        <v>50</v>
      </c>
      <c r="AB31">
        <f t="shared" si="0"/>
        <v>50</v>
      </c>
      <c r="AC31" t="s">
        <v>40</v>
      </c>
      <c r="AD31">
        <f t="shared" si="1"/>
        <v>3</v>
      </c>
      <c r="AE31">
        <f t="shared" si="2"/>
        <v>3</v>
      </c>
      <c r="AF31">
        <f t="shared" si="3"/>
        <v>3.37</v>
      </c>
      <c r="AG31" t="e">
        <f t="shared" si="4"/>
        <v>#N/A</v>
      </c>
      <c r="AH31" t="e">
        <f t="shared" si="5"/>
        <v>#N/A</v>
      </c>
      <c r="AI31" t="e">
        <f t="shared" si="6"/>
        <v>#N/A</v>
      </c>
    </row>
    <row r="32" spans="1:35" x14ac:dyDescent="0.45">
      <c r="A32" t="s">
        <v>223</v>
      </c>
      <c r="B32">
        <v>85</v>
      </c>
      <c r="C32" t="s">
        <v>45</v>
      </c>
      <c r="D32" t="s">
        <v>28</v>
      </c>
      <c r="E32" t="s">
        <v>29</v>
      </c>
      <c r="F32" t="s">
        <v>47</v>
      </c>
      <c r="G32" t="s">
        <v>80</v>
      </c>
      <c r="H32" t="s">
        <v>61</v>
      </c>
      <c r="I32" t="s">
        <v>132</v>
      </c>
      <c r="J32" t="s">
        <v>224</v>
      </c>
      <c r="K32" t="s">
        <v>225</v>
      </c>
      <c r="L32" t="s">
        <v>64</v>
      </c>
      <c r="M32" t="s">
        <v>2623</v>
      </c>
      <c r="N32" t="s">
        <v>227</v>
      </c>
      <c r="O32" t="s">
        <v>64</v>
      </c>
      <c r="P32" t="s">
        <v>55</v>
      </c>
      <c r="Q32" t="s">
        <v>129</v>
      </c>
      <c r="R32">
        <v>91</v>
      </c>
      <c r="S32">
        <v>0</v>
      </c>
      <c r="T32" t="s">
        <v>137</v>
      </c>
      <c r="U32" t="s">
        <v>42</v>
      </c>
      <c r="V32">
        <v>1.35</v>
      </c>
      <c r="W32">
        <v>3.15</v>
      </c>
      <c r="X32">
        <v>6.3</v>
      </c>
      <c r="Y32">
        <v>19.399999999999999</v>
      </c>
      <c r="Z32">
        <v>10.3</v>
      </c>
      <c r="AA32">
        <f>VALUE(SUBSTITUTE(DACS19___Pfizer’s_Personalised_Medicine_in[[#This Row],[Dose]],"mg",""))</f>
        <v>150</v>
      </c>
      <c r="AB32">
        <f t="shared" si="0"/>
        <v>150</v>
      </c>
      <c r="AC32" t="s">
        <v>129</v>
      </c>
      <c r="AD32">
        <f t="shared" si="1"/>
        <v>4</v>
      </c>
      <c r="AE32">
        <f t="shared" si="2"/>
        <v>2</v>
      </c>
      <c r="AF32">
        <f t="shared" si="3"/>
        <v>3.15</v>
      </c>
      <c r="AG32" t="e">
        <f t="shared" si="4"/>
        <v>#N/A</v>
      </c>
      <c r="AH32" t="e">
        <f t="shared" si="5"/>
        <v>#N/A</v>
      </c>
      <c r="AI32" t="e">
        <f t="shared" si="6"/>
        <v>#N/A</v>
      </c>
    </row>
    <row r="33" spans="1:35" x14ac:dyDescent="0.45">
      <c r="A33" t="s">
        <v>228</v>
      </c>
      <c r="B33">
        <v>41</v>
      </c>
      <c r="C33" t="s">
        <v>44</v>
      </c>
      <c r="D33" t="s">
        <v>106</v>
      </c>
      <c r="E33" t="s">
        <v>29</v>
      </c>
      <c r="F33" t="s">
        <v>69</v>
      </c>
      <c r="G33" t="s">
        <v>96</v>
      </c>
      <c r="H33" t="s">
        <v>81</v>
      </c>
      <c r="I33" t="s">
        <v>33</v>
      </c>
      <c r="J33" t="s">
        <v>229</v>
      </c>
      <c r="K33" t="s">
        <v>230</v>
      </c>
      <c r="L33" t="s">
        <v>52</v>
      </c>
      <c r="M33" t="s">
        <v>231</v>
      </c>
      <c r="N33" t="s">
        <v>146</v>
      </c>
      <c r="O33" t="s">
        <v>52</v>
      </c>
      <c r="P33" t="s">
        <v>39</v>
      </c>
      <c r="Q33" t="s">
        <v>2614</v>
      </c>
      <c r="R33">
        <v>145</v>
      </c>
      <c r="S33">
        <v>1</v>
      </c>
      <c r="T33" t="s">
        <v>85</v>
      </c>
      <c r="U33" t="s">
        <v>42</v>
      </c>
      <c r="V33">
        <v>1.51</v>
      </c>
      <c r="W33">
        <v>2.14</v>
      </c>
      <c r="X33">
        <v>4.3</v>
      </c>
      <c r="Y33">
        <v>17.600000000000001</v>
      </c>
      <c r="Z33">
        <v>12.7</v>
      </c>
      <c r="AA33">
        <f>VALUE(SUBSTITUTE(DACS19___Pfizer’s_Personalised_Medicine_in[[#This Row],[Dose]],"mg",""))</f>
        <v>100</v>
      </c>
      <c r="AB33">
        <f t="shared" si="0"/>
        <v>100</v>
      </c>
      <c r="AC33" t="s">
        <v>2614</v>
      </c>
      <c r="AD33">
        <f t="shared" si="1"/>
        <v>0</v>
      </c>
      <c r="AE33">
        <f t="shared" si="2"/>
        <v>3</v>
      </c>
      <c r="AF33" t="e">
        <f t="shared" si="3"/>
        <v>#N/A</v>
      </c>
      <c r="AG33" t="e">
        <f t="shared" si="4"/>
        <v>#N/A</v>
      </c>
      <c r="AH33" t="e">
        <f t="shared" si="5"/>
        <v>#N/A</v>
      </c>
      <c r="AI33">
        <f t="shared" si="6"/>
        <v>2.14</v>
      </c>
    </row>
    <row r="34" spans="1:35" x14ac:dyDescent="0.45">
      <c r="A34" t="s">
        <v>232</v>
      </c>
      <c r="B34">
        <v>63</v>
      </c>
      <c r="C34" t="s">
        <v>27</v>
      </c>
      <c r="D34" t="s">
        <v>95</v>
      </c>
      <c r="E34" t="s">
        <v>46</v>
      </c>
      <c r="F34" t="s">
        <v>47</v>
      </c>
      <c r="G34" t="s">
        <v>178</v>
      </c>
      <c r="H34" t="s">
        <v>81</v>
      </c>
      <c r="I34" t="s">
        <v>33</v>
      </c>
      <c r="J34" t="s">
        <v>233</v>
      </c>
      <c r="K34" t="s">
        <v>234</v>
      </c>
      <c r="L34" t="s">
        <v>36</v>
      </c>
      <c r="M34" t="s">
        <v>129</v>
      </c>
      <c r="N34" t="s">
        <v>235</v>
      </c>
      <c r="O34" t="s">
        <v>36</v>
      </c>
      <c r="P34" t="s">
        <v>39</v>
      </c>
      <c r="Q34" t="s">
        <v>67</v>
      </c>
      <c r="R34">
        <v>104</v>
      </c>
      <c r="S34">
        <v>1</v>
      </c>
      <c r="T34" t="s">
        <v>123</v>
      </c>
      <c r="U34" t="s">
        <v>57</v>
      </c>
      <c r="V34">
        <v>2.42</v>
      </c>
      <c r="W34">
        <v>4.95</v>
      </c>
      <c r="X34">
        <v>6.5</v>
      </c>
      <c r="Y34">
        <v>10.3</v>
      </c>
      <c r="Z34">
        <v>4.7</v>
      </c>
      <c r="AA34">
        <f>VALUE(SUBSTITUTE(DACS19___Pfizer’s_Personalised_Medicine_in[[#This Row],[Dose]],"mg",""))</f>
        <v>200</v>
      </c>
      <c r="AB34">
        <f t="shared" si="0"/>
        <v>200</v>
      </c>
      <c r="AC34" t="s">
        <v>67</v>
      </c>
      <c r="AD34">
        <f t="shared" si="1"/>
        <v>2</v>
      </c>
      <c r="AE34">
        <f t="shared" si="2"/>
        <v>3</v>
      </c>
      <c r="AF34" t="e">
        <f t="shared" si="3"/>
        <v>#N/A</v>
      </c>
      <c r="AG34" t="e">
        <f t="shared" si="4"/>
        <v>#N/A</v>
      </c>
      <c r="AH34" t="e">
        <f t="shared" si="5"/>
        <v>#N/A</v>
      </c>
      <c r="AI34">
        <f t="shared" si="6"/>
        <v>4.95</v>
      </c>
    </row>
    <row r="35" spans="1:35" x14ac:dyDescent="0.45">
      <c r="A35" t="s">
        <v>236</v>
      </c>
      <c r="B35">
        <v>46</v>
      </c>
      <c r="C35" t="s">
        <v>45</v>
      </c>
      <c r="D35" t="s">
        <v>28</v>
      </c>
      <c r="E35" t="s">
        <v>46</v>
      </c>
      <c r="F35" t="s">
        <v>2614</v>
      </c>
      <c r="G35" t="s">
        <v>80</v>
      </c>
      <c r="H35" t="s">
        <v>81</v>
      </c>
      <c r="I35" t="s">
        <v>49</v>
      </c>
      <c r="J35" t="s">
        <v>237</v>
      </c>
      <c r="K35" t="s">
        <v>238</v>
      </c>
      <c r="L35" t="s">
        <v>64</v>
      </c>
      <c r="M35" t="s">
        <v>2624</v>
      </c>
      <c r="N35" t="s">
        <v>240</v>
      </c>
      <c r="O35" t="s">
        <v>64</v>
      </c>
      <c r="P35" t="s">
        <v>55</v>
      </c>
      <c r="Q35" t="s">
        <v>129</v>
      </c>
      <c r="R35">
        <v>93</v>
      </c>
      <c r="S35">
        <v>0</v>
      </c>
      <c r="T35" t="s">
        <v>137</v>
      </c>
      <c r="U35" t="s">
        <v>42</v>
      </c>
      <c r="V35">
        <v>1.61</v>
      </c>
      <c r="W35">
        <v>1.98</v>
      </c>
      <c r="X35">
        <v>2.4</v>
      </c>
      <c r="Y35">
        <v>9.4</v>
      </c>
      <c r="Z35">
        <v>7.8</v>
      </c>
      <c r="AA35">
        <f>VALUE(SUBSTITUTE(DACS19___Pfizer’s_Personalised_Medicine_in[[#This Row],[Dose]],"mg",""))</f>
        <v>150</v>
      </c>
      <c r="AB35">
        <f t="shared" si="0"/>
        <v>150</v>
      </c>
      <c r="AC35" t="s">
        <v>129</v>
      </c>
      <c r="AD35">
        <f t="shared" si="1"/>
        <v>4</v>
      </c>
      <c r="AE35">
        <f t="shared" si="2"/>
        <v>2</v>
      </c>
      <c r="AF35" t="e">
        <f t="shared" si="3"/>
        <v>#N/A</v>
      </c>
      <c r="AG35" t="e">
        <f t="shared" si="4"/>
        <v>#N/A</v>
      </c>
      <c r="AH35" t="e">
        <f t="shared" si="5"/>
        <v>#N/A</v>
      </c>
      <c r="AI35">
        <f t="shared" si="6"/>
        <v>1.98</v>
      </c>
    </row>
    <row r="36" spans="1:35" x14ac:dyDescent="0.45">
      <c r="A36" t="s">
        <v>241</v>
      </c>
      <c r="B36">
        <v>75</v>
      </c>
      <c r="C36" t="s">
        <v>44</v>
      </c>
      <c r="D36" t="s">
        <v>28</v>
      </c>
      <c r="E36" t="s">
        <v>163</v>
      </c>
      <c r="F36" t="s">
        <v>88</v>
      </c>
      <c r="G36" t="s">
        <v>60</v>
      </c>
      <c r="H36" t="s">
        <v>71</v>
      </c>
      <c r="I36" t="s">
        <v>132</v>
      </c>
      <c r="J36" t="s">
        <v>242</v>
      </c>
      <c r="K36" t="s">
        <v>243</v>
      </c>
      <c r="L36" t="s">
        <v>52</v>
      </c>
      <c r="M36" t="s">
        <v>67</v>
      </c>
      <c r="N36" t="s">
        <v>244</v>
      </c>
      <c r="O36" t="s">
        <v>52</v>
      </c>
      <c r="P36" t="s">
        <v>110</v>
      </c>
      <c r="Q36" t="s">
        <v>2614</v>
      </c>
      <c r="R36">
        <v>166</v>
      </c>
      <c r="S36">
        <v>0</v>
      </c>
      <c r="T36" t="s">
        <v>137</v>
      </c>
      <c r="U36" t="s">
        <v>42</v>
      </c>
      <c r="V36">
        <v>1.69</v>
      </c>
      <c r="W36">
        <v>4.59</v>
      </c>
      <c r="X36">
        <v>1.7</v>
      </c>
      <c r="Y36">
        <v>15.4</v>
      </c>
      <c r="Z36">
        <v>10</v>
      </c>
      <c r="AA36">
        <f>VALUE(SUBSTITUTE(DACS19___Pfizer’s_Personalised_Medicine_in[[#This Row],[Dose]],"mg",""))</f>
        <v>100</v>
      </c>
      <c r="AB36">
        <f t="shared" si="0"/>
        <v>100</v>
      </c>
      <c r="AC36" t="s">
        <v>2614</v>
      </c>
      <c r="AD36">
        <f t="shared" si="1"/>
        <v>0</v>
      </c>
      <c r="AE36">
        <f t="shared" si="2"/>
        <v>1</v>
      </c>
      <c r="AF36" t="e">
        <f t="shared" si="3"/>
        <v>#N/A</v>
      </c>
      <c r="AG36">
        <f t="shared" si="4"/>
        <v>4.59</v>
      </c>
      <c r="AH36" t="e">
        <f t="shared" si="5"/>
        <v>#N/A</v>
      </c>
      <c r="AI36" t="e">
        <f t="shared" si="6"/>
        <v>#N/A</v>
      </c>
    </row>
    <row r="37" spans="1:35" x14ac:dyDescent="0.45">
      <c r="A37" t="s">
        <v>245</v>
      </c>
      <c r="B37">
        <v>59</v>
      </c>
      <c r="C37" t="s">
        <v>45</v>
      </c>
      <c r="D37" t="s">
        <v>28</v>
      </c>
      <c r="E37" t="s">
        <v>2614</v>
      </c>
      <c r="F37" t="s">
        <v>2614</v>
      </c>
      <c r="G37" t="s">
        <v>246</v>
      </c>
      <c r="H37" t="s">
        <v>61</v>
      </c>
      <c r="I37" t="s">
        <v>72</v>
      </c>
      <c r="J37" t="s">
        <v>247</v>
      </c>
      <c r="K37" t="s">
        <v>248</v>
      </c>
      <c r="L37" t="s">
        <v>52</v>
      </c>
      <c r="M37" t="s">
        <v>249</v>
      </c>
      <c r="N37" t="s">
        <v>250</v>
      </c>
      <c r="O37" t="s">
        <v>52</v>
      </c>
      <c r="P37" t="s">
        <v>55</v>
      </c>
      <c r="Q37" t="s">
        <v>67</v>
      </c>
      <c r="R37">
        <v>130</v>
      </c>
      <c r="S37">
        <v>0</v>
      </c>
      <c r="T37" t="s">
        <v>56</v>
      </c>
      <c r="U37" t="s">
        <v>42</v>
      </c>
      <c r="V37">
        <v>4.93</v>
      </c>
      <c r="W37">
        <v>1.45</v>
      </c>
      <c r="X37">
        <v>4.5999999999999996</v>
      </c>
      <c r="Y37">
        <v>23.5</v>
      </c>
      <c r="Z37">
        <v>17.7</v>
      </c>
      <c r="AA37">
        <f>VALUE(SUBSTITUTE(DACS19___Pfizer’s_Personalised_Medicine_in[[#This Row],[Dose]],"mg",""))</f>
        <v>100</v>
      </c>
      <c r="AB37">
        <f t="shared" si="0"/>
        <v>100</v>
      </c>
      <c r="AC37" t="s">
        <v>67</v>
      </c>
      <c r="AD37">
        <f t="shared" si="1"/>
        <v>2</v>
      </c>
      <c r="AE37">
        <f t="shared" si="2"/>
        <v>2</v>
      </c>
      <c r="AF37">
        <f t="shared" si="3"/>
        <v>1.45</v>
      </c>
      <c r="AG37" t="e">
        <f t="shared" si="4"/>
        <v>#N/A</v>
      </c>
      <c r="AH37" t="e">
        <f t="shared" si="5"/>
        <v>#N/A</v>
      </c>
      <c r="AI37" t="e">
        <f t="shared" si="6"/>
        <v>#N/A</v>
      </c>
    </row>
    <row r="38" spans="1:35" x14ac:dyDescent="0.45">
      <c r="A38" t="s">
        <v>251</v>
      </c>
      <c r="B38">
        <v>52</v>
      </c>
      <c r="C38" t="s">
        <v>45</v>
      </c>
      <c r="D38" t="s">
        <v>95</v>
      </c>
      <c r="E38" t="s">
        <v>78</v>
      </c>
      <c r="F38" t="s">
        <v>88</v>
      </c>
      <c r="G38" t="s">
        <v>131</v>
      </c>
      <c r="H38" t="s">
        <v>32</v>
      </c>
      <c r="I38" t="s">
        <v>132</v>
      </c>
      <c r="J38" t="s">
        <v>252</v>
      </c>
      <c r="K38" t="s">
        <v>253</v>
      </c>
      <c r="L38" t="s">
        <v>92</v>
      </c>
      <c r="M38" t="s">
        <v>2624</v>
      </c>
      <c r="N38" t="s">
        <v>254</v>
      </c>
      <c r="O38" t="s">
        <v>92</v>
      </c>
      <c r="P38" t="s">
        <v>110</v>
      </c>
      <c r="Q38" t="s">
        <v>2614</v>
      </c>
      <c r="R38">
        <v>46</v>
      </c>
      <c r="S38">
        <v>0</v>
      </c>
      <c r="T38" t="s">
        <v>85</v>
      </c>
      <c r="U38" t="s">
        <v>57</v>
      </c>
      <c r="V38">
        <v>4.2699999999999996</v>
      </c>
      <c r="W38">
        <v>2.0299999999999998</v>
      </c>
      <c r="X38">
        <v>2.5</v>
      </c>
      <c r="Y38">
        <v>18</v>
      </c>
      <c r="Z38">
        <v>18.8</v>
      </c>
      <c r="AA38">
        <f>VALUE(SUBSTITUTE(DACS19___Pfizer’s_Personalised_Medicine_in[[#This Row],[Dose]],"mg",""))</f>
        <v>50</v>
      </c>
      <c r="AB38">
        <f t="shared" si="0"/>
        <v>50</v>
      </c>
      <c r="AC38" t="s">
        <v>2614</v>
      </c>
      <c r="AD38">
        <f t="shared" si="1"/>
        <v>0</v>
      </c>
      <c r="AE38">
        <f t="shared" si="2"/>
        <v>1</v>
      </c>
      <c r="AF38" t="e">
        <f t="shared" si="3"/>
        <v>#N/A</v>
      </c>
      <c r="AG38" t="e">
        <f t="shared" si="4"/>
        <v>#N/A</v>
      </c>
      <c r="AH38">
        <f t="shared" si="5"/>
        <v>2.0299999999999998</v>
      </c>
      <c r="AI38" t="e">
        <f t="shared" si="6"/>
        <v>#N/A</v>
      </c>
    </row>
    <row r="39" spans="1:35" x14ac:dyDescent="0.45">
      <c r="A39" t="s">
        <v>255</v>
      </c>
      <c r="B39">
        <v>45</v>
      </c>
      <c r="C39" t="s">
        <v>44</v>
      </c>
      <c r="D39" t="s">
        <v>106</v>
      </c>
      <c r="E39" t="s">
        <v>78</v>
      </c>
      <c r="F39" t="s">
        <v>59</v>
      </c>
      <c r="G39" t="s">
        <v>31</v>
      </c>
      <c r="H39" t="s">
        <v>71</v>
      </c>
      <c r="I39" t="s">
        <v>33</v>
      </c>
      <c r="J39" t="s">
        <v>256</v>
      </c>
      <c r="K39" t="s">
        <v>257</v>
      </c>
      <c r="L39" t="s">
        <v>92</v>
      </c>
      <c r="M39" t="s">
        <v>40</v>
      </c>
      <c r="N39" t="s">
        <v>258</v>
      </c>
      <c r="O39" t="s">
        <v>92</v>
      </c>
      <c r="P39" t="s">
        <v>39</v>
      </c>
      <c r="Q39" t="s">
        <v>67</v>
      </c>
      <c r="R39">
        <v>142</v>
      </c>
      <c r="S39">
        <v>1</v>
      </c>
      <c r="T39" t="s">
        <v>56</v>
      </c>
      <c r="U39" t="s">
        <v>42</v>
      </c>
      <c r="V39">
        <v>3.23</v>
      </c>
      <c r="W39">
        <v>3.29</v>
      </c>
      <c r="X39">
        <v>3.5</v>
      </c>
      <c r="Y39">
        <v>19.899999999999999</v>
      </c>
      <c r="Z39">
        <v>6.2</v>
      </c>
      <c r="AA39">
        <f>VALUE(SUBSTITUTE(DACS19___Pfizer’s_Personalised_Medicine_in[[#This Row],[Dose]],"mg",""))</f>
        <v>50</v>
      </c>
      <c r="AB39">
        <f t="shared" si="0"/>
        <v>50</v>
      </c>
      <c r="AC39" t="s">
        <v>67</v>
      </c>
      <c r="AD39">
        <f t="shared" si="1"/>
        <v>2</v>
      </c>
      <c r="AE39">
        <f t="shared" si="2"/>
        <v>3</v>
      </c>
      <c r="AF39" t="e">
        <f t="shared" si="3"/>
        <v>#N/A</v>
      </c>
      <c r="AG39">
        <f t="shared" si="4"/>
        <v>3.29</v>
      </c>
      <c r="AH39" t="e">
        <f t="shared" si="5"/>
        <v>#N/A</v>
      </c>
      <c r="AI39" t="e">
        <f t="shared" si="6"/>
        <v>#N/A</v>
      </c>
    </row>
    <row r="40" spans="1:35" x14ac:dyDescent="0.45">
      <c r="A40" t="s">
        <v>259</v>
      </c>
      <c r="B40">
        <v>72</v>
      </c>
      <c r="C40" t="s">
        <v>27</v>
      </c>
      <c r="D40" t="s">
        <v>106</v>
      </c>
      <c r="E40" t="s">
        <v>2614</v>
      </c>
      <c r="F40" t="s">
        <v>59</v>
      </c>
      <c r="G40" t="s">
        <v>125</v>
      </c>
      <c r="H40" t="s">
        <v>32</v>
      </c>
      <c r="I40" t="s">
        <v>132</v>
      </c>
      <c r="J40" t="s">
        <v>260</v>
      </c>
      <c r="K40" t="s">
        <v>261</v>
      </c>
      <c r="L40" t="s">
        <v>52</v>
      </c>
      <c r="M40" t="s">
        <v>40</v>
      </c>
      <c r="N40" t="s">
        <v>262</v>
      </c>
      <c r="O40" t="s">
        <v>52</v>
      </c>
      <c r="P40" t="s">
        <v>55</v>
      </c>
      <c r="Q40" t="s">
        <v>67</v>
      </c>
      <c r="R40">
        <v>139</v>
      </c>
      <c r="S40">
        <v>0</v>
      </c>
      <c r="T40" t="s">
        <v>123</v>
      </c>
      <c r="U40" t="s">
        <v>42</v>
      </c>
      <c r="V40">
        <v>2.29</v>
      </c>
      <c r="W40">
        <v>2.7</v>
      </c>
      <c r="X40">
        <v>5.6</v>
      </c>
      <c r="Y40">
        <v>10.4</v>
      </c>
      <c r="Z40">
        <v>5</v>
      </c>
      <c r="AA40">
        <f>VALUE(SUBSTITUTE(DACS19___Pfizer’s_Personalised_Medicine_in[[#This Row],[Dose]],"mg",""))</f>
        <v>100</v>
      </c>
      <c r="AB40">
        <f t="shared" si="0"/>
        <v>100</v>
      </c>
      <c r="AC40" t="s">
        <v>67</v>
      </c>
      <c r="AD40">
        <f t="shared" si="1"/>
        <v>2</v>
      </c>
      <c r="AE40">
        <f t="shared" si="2"/>
        <v>2</v>
      </c>
      <c r="AF40" t="e">
        <f t="shared" si="3"/>
        <v>#N/A</v>
      </c>
      <c r="AG40" t="e">
        <f t="shared" si="4"/>
        <v>#N/A</v>
      </c>
      <c r="AH40">
        <f t="shared" si="5"/>
        <v>2.7</v>
      </c>
      <c r="AI40" t="e">
        <f t="shared" si="6"/>
        <v>#N/A</v>
      </c>
    </row>
    <row r="41" spans="1:35" x14ac:dyDescent="0.45">
      <c r="A41" t="s">
        <v>263</v>
      </c>
      <c r="B41">
        <v>18</v>
      </c>
      <c r="C41" t="s">
        <v>27</v>
      </c>
      <c r="D41" t="s">
        <v>95</v>
      </c>
      <c r="E41" t="s">
        <v>163</v>
      </c>
      <c r="F41" t="s">
        <v>79</v>
      </c>
      <c r="G41" t="s">
        <v>246</v>
      </c>
      <c r="H41" t="s">
        <v>81</v>
      </c>
      <c r="I41" t="s">
        <v>49</v>
      </c>
      <c r="J41" t="s">
        <v>264</v>
      </c>
      <c r="K41" t="s">
        <v>265</v>
      </c>
      <c r="L41" t="s">
        <v>36</v>
      </c>
      <c r="M41" t="s">
        <v>266</v>
      </c>
      <c r="N41" t="s">
        <v>267</v>
      </c>
      <c r="O41" t="s">
        <v>36</v>
      </c>
      <c r="P41" t="s">
        <v>55</v>
      </c>
      <c r="Q41" t="s">
        <v>129</v>
      </c>
      <c r="R41">
        <v>56</v>
      </c>
      <c r="S41">
        <v>0</v>
      </c>
      <c r="T41" t="s">
        <v>123</v>
      </c>
      <c r="U41" t="s">
        <v>57</v>
      </c>
      <c r="V41">
        <v>3.44</v>
      </c>
      <c r="W41">
        <v>2.15</v>
      </c>
      <c r="X41">
        <v>6.2</v>
      </c>
      <c r="Y41">
        <v>8.8000000000000007</v>
      </c>
      <c r="Z41">
        <v>11.2</v>
      </c>
      <c r="AA41">
        <f>VALUE(SUBSTITUTE(DACS19___Pfizer’s_Personalised_Medicine_in[[#This Row],[Dose]],"mg",""))</f>
        <v>200</v>
      </c>
      <c r="AB41">
        <f t="shared" si="0"/>
        <v>200</v>
      </c>
      <c r="AC41" t="s">
        <v>129</v>
      </c>
      <c r="AD41">
        <f t="shared" si="1"/>
        <v>4</v>
      </c>
      <c r="AE41">
        <f t="shared" si="2"/>
        <v>2</v>
      </c>
      <c r="AF41" t="e">
        <f t="shared" si="3"/>
        <v>#N/A</v>
      </c>
      <c r="AG41" t="e">
        <f t="shared" si="4"/>
        <v>#N/A</v>
      </c>
      <c r="AH41" t="e">
        <f t="shared" si="5"/>
        <v>#N/A</v>
      </c>
      <c r="AI41">
        <f t="shared" si="6"/>
        <v>2.15</v>
      </c>
    </row>
    <row r="42" spans="1:35" x14ac:dyDescent="0.45">
      <c r="A42" t="s">
        <v>268</v>
      </c>
      <c r="B42">
        <v>65</v>
      </c>
      <c r="C42" t="s">
        <v>44</v>
      </c>
      <c r="D42" t="s">
        <v>106</v>
      </c>
      <c r="E42" t="s">
        <v>78</v>
      </c>
      <c r="F42" t="s">
        <v>2614</v>
      </c>
      <c r="G42" t="s">
        <v>96</v>
      </c>
      <c r="H42" t="s">
        <v>71</v>
      </c>
      <c r="I42" t="s">
        <v>49</v>
      </c>
      <c r="J42" t="s">
        <v>269</v>
      </c>
      <c r="K42" t="s">
        <v>270</v>
      </c>
      <c r="L42" t="s">
        <v>52</v>
      </c>
      <c r="M42" t="s">
        <v>2615</v>
      </c>
      <c r="N42" t="s">
        <v>262</v>
      </c>
      <c r="O42" t="s">
        <v>52</v>
      </c>
      <c r="P42" t="s">
        <v>110</v>
      </c>
      <c r="Q42" t="s">
        <v>67</v>
      </c>
      <c r="R42">
        <v>135</v>
      </c>
      <c r="S42">
        <v>0</v>
      </c>
      <c r="T42" t="s">
        <v>85</v>
      </c>
      <c r="U42" t="s">
        <v>57</v>
      </c>
      <c r="V42">
        <v>3.13</v>
      </c>
      <c r="W42">
        <v>1.21</v>
      </c>
      <c r="X42">
        <v>4</v>
      </c>
      <c r="Y42">
        <v>8.4</v>
      </c>
      <c r="Z42">
        <v>4.0999999999999996</v>
      </c>
      <c r="AA42">
        <f>VALUE(SUBSTITUTE(DACS19___Pfizer’s_Personalised_Medicine_in[[#This Row],[Dose]],"mg",""))</f>
        <v>100</v>
      </c>
      <c r="AB42">
        <f t="shared" si="0"/>
        <v>100</v>
      </c>
      <c r="AC42" t="s">
        <v>67</v>
      </c>
      <c r="AD42">
        <f t="shared" si="1"/>
        <v>2</v>
      </c>
      <c r="AE42">
        <f t="shared" si="2"/>
        <v>1</v>
      </c>
      <c r="AF42" t="e">
        <f t="shared" si="3"/>
        <v>#N/A</v>
      </c>
      <c r="AG42">
        <f t="shared" si="4"/>
        <v>1.21</v>
      </c>
      <c r="AH42" t="e">
        <f t="shared" si="5"/>
        <v>#N/A</v>
      </c>
      <c r="AI42" t="e">
        <f t="shared" si="6"/>
        <v>#N/A</v>
      </c>
    </row>
    <row r="43" spans="1:35" x14ac:dyDescent="0.45">
      <c r="A43" t="s">
        <v>271</v>
      </c>
      <c r="B43">
        <v>45</v>
      </c>
      <c r="C43" t="s">
        <v>27</v>
      </c>
      <c r="D43" t="s">
        <v>87</v>
      </c>
      <c r="E43" t="s">
        <v>46</v>
      </c>
      <c r="F43" t="s">
        <v>2614</v>
      </c>
      <c r="G43" t="s">
        <v>80</v>
      </c>
      <c r="H43" t="s">
        <v>81</v>
      </c>
      <c r="I43" t="s">
        <v>132</v>
      </c>
      <c r="J43" t="s">
        <v>272</v>
      </c>
      <c r="K43" t="s">
        <v>273</v>
      </c>
      <c r="L43" t="s">
        <v>52</v>
      </c>
      <c r="M43" t="s">
        <v>274</v>
      </c>
      <c r="N43" t="s">
        <v>172</v>
      </c>
      <c r="O43" t="s">
        <v>52</v>
      </c>
      <c r="P43" t="s">
        <v>110</v>
      </c>
      <c r="Q43" t="s">
        <v>75</v>
      </c>
      <c r="R43">
        <v>102</v>
      </c>
      <c r="S43">
        <v>0</v>
      </c>
      <c r="T43" t="s">
        <v>123</v>
      </c>
      <c r="U43" t="s">
        <v>57</v>
      </c>
      <c r="V43">
        <v>4.96</v>
      </c>
      <c r="W43">
        <v>2.29</v>
      </c>
      <c r="X43">
        <v>8.3000000000000007</v>
      </c>
      <c r="Y43">
        <v>10.6</v>
      </c>
      <c r="Z43">
        <v>14.6</v>
      </c>
      <c r="AA43">
        <f>VALUE(SUBSTITUTE(DACS19___Pfizer’s_Personalised_Medicine_in[[#This Row],[Dose]],"mg",""))</f>
        <v>100</v>
      </c>
      <c r="AB43">
        <f t="shared" si="0"/>
        <v>100</v>
      </c>
      <c r="AC43" t="s">
        <v>75</v>
      </c>
      <c r="AD43">
        <f t="shared" si="1"/>
        <v>1</v>
      </c>
      <c r="AE43">
        <f t="shared" si="2"/>
        <v>1</v>
      </c>
      <c r="AF43" t="e">
        <f t="shared" si="3"/>
        <v>#N/A</v>
      </c>
      <c r="AG43" t="e">
        <f t="shared" si="4"/>
        <v>#N/A</v>
      </c>
      <c r="AH43" t="e">
        <f t="shared" si="5"/>
        <v>#N/A</v>
      </c>
      <c r="AI43">
        <f t="shared" si="6"/>
        <v>2.29</v>
      </c>
    </row>
    <row r="44" spans="1:35" x14ac:dyDescent="0.45">
      <c r="A44" t="s">
        <v>275</v>
      </c>
      <c r="B44">
        <v>44</v>
      </c>
      <c r="C44" t="s">
        <v>45</v>
      </c>
      <c r="D44" t="s">
        <v>45</v>
      </c>
      <c r="E44" t="s">
        <v>29</v>
      </c>
      <c r="F44" t="s">
        <v>47</v>
      </c>
      <c r="G44" t="s">
        <v>276</v>
      </c>
      <c r="H44" t="s">
        <v>61</v>
      </c>
      <c r="I44" t="s">
        <v>72</v>
      </c>
      <c r="J44" t="s">
        <v>277</v>
      </c>
      <c r="K44" t="s">
        <v>278</v>
      </c>
      <c r="L44" t="s">
        <v>36</v>
      </c>
      <c r="M44" t="s">
        <v>2623</v>
      </c>
      <c r="N44" t="s">
        <v>182</v>
      </c>
      <c r="O44" t="s">
        <v>36</v>
      </c>
      <c r="P44" t="s">
        <v>55</v>
      </c>
      <c r="Q44" t="s">
        <v>2614</v>
      </c>
      <c r="R44">
        <v>63</v>
      </c>
      <c r="S44">
        <v>0</v>
      </c>
      <c r="T44" t="s">
        <v>56</v>
      </c>
      <c r="U44" t="s">
        <v>57</v>
      </c>
      <c r="V44">
        <v>4.04</v>
      </c>
      <c r="W44">
        <v>3.38</v>
      </c>
      <c r="X44">
        <v>5.2</v>
      </c>
      <c r="Y44">
        <v>13.4</v>
      </c>
      <c r="Z44">
        <v>8.9</v>
      </c>
      <c r="AA44">
        <f>VALUE(SUBSTITUTE(DACS19___Pfizer’s_Personalised_Medicine_in[[#This Row],[Dose]],"mg",""))</f>
        <v>200</v>
      </c>
      <c r="AB44">
        <f t="shared" si="0"/>
        <v>200</v>
      </c>
      <c r="AC44" t="s">
        <v>2614</v>
      </c>
      <c r="AD44">
        <f t="shared" si="1"/>
        <v>0</v>
      </c>
      <c r="AE44">
        <f t="shared" si="2"/>
        <v>2</v>
      </c>
      <c r="AF44">
        <f t="shared" si="3"/>
        <v>3.38</v>
      </c>
      <c r="AG44" t="e">
        <f t="shared" si="4"/>
        <v>#N/A</v>
      </c>
      <c r="AH44" t="e">
        <f t="shared" si="5"/>
        <v>#N/A</v>
      </c>
      <c r="AI44" t="e">
        <f t="shared" si="6"/>
        <v>#N/A</v>
      </c>
    </row>
    <row r="45" spans="1:35" x14ac:dyDescent="0.45">
      <c r="A45" t="s">
        <v>279</v>
      </c>
      <c r="B45">
        <v>64</v>
      </c>
      <c r="C45" t="s">
        <v>45</v>
      </c>
      <c r="D45" t="s">
        <v>106</v>
      </c>
      <c r="E45" t="s">
        <v>78</v>
      </c>
      <c r="F45" t="s">
        <v>2614</v>
      </c>
      <c r="G45" t="s">
        <v>125</v>
      </c>
      <c r="H45" t="s">
        <v>61</v>
      </c>
      <c r="I45" t="s">
        <v>49</v>
      </c>
      <c r="J45" t="s">
        <v>280</v>
      </c>
      <c r="K45" t="s">
        <v>281</v>
      </c>
      <c r="L45" t="s">
        <v>92</v>
      </c>
      <c r="M45" t="s">
        <v>2625</v>
      </c>
      <c r="N45" t="s">
        <v>262</v>
      </c>
      <c r="O45" t="s">
        <v>92</v>
      </c>
      <c r="P45" t="s">
        <v>110</v>
      </c>
      <c r="Q45" t="s">
        <v>75</v>
      </c>
      <c r="R45">
        <v>136</v>
      </c>
      <c r="S45">
        <v>0</v>
      </c>
      <c r="T45" t="s">
        <v>56</v>
      </c>
      <c r="U45" t="s">
        <v>57</v>
      </c>
      <c r="V45">
        <v>4.72</v>
      </c>
      <c r="W45">
        <v>4.32</v>
      </c>
      <c r="X45">
        <v>9.6999999999999993</v>
      </c>
      <c r="Y45">
        <v>8.1999999999999993</v>
      </c>
      <c r="Z45">
        <v>15.4</v>
      </c>
      <c r="AA45">
        <f>VALUE(SUBSTITUTE(DACS19___Pfizer’s_Personalised_Medicine_in[[#This Row],[Dose]],"mg",""))</f>
        <v>50</v>
      </c>
      <c r="AB45">
        <f t="shared" si="0"/>
        <v>50</v>
      </c>
      <c r="AC45" t="s">
        <v>75</v>
      </c>
      <c r="AD45">
        <f t="shared" si="1"/>
        <v>1</v>
      </c>
      <c r="AE45">
        <f t="shared" si="2"/>
        <v>1</v>
      </c>
      <c r="AF45">
        <f t="shared" si="3"/>
        <v>4.32</v>
      </c>
      <c r="AG45" t="e">
        <f t="shared" si="4"/>
        <v>#N/A</v>
      </c>
      <c r="AH45" t="e">
        <f t="shared" si="5"/>
        <v>#N/A</v>
      </c>
      <c r="AI45" t="e">
        <f t="shared" si="6"/>
        <v>#N/A</v>
      </c>
    </row>
    <row r="46" spans="1:35" x14ac:dyDescent="0.45">
      <c r="A46" t="s">
        <v>283</v>
      </c>
      <c r="B46">
        <v>28</v>
      </c>
      <c r="C46" t="s">
        <v>45</v>
      </c>
      <c r="D46" t="s">
        <v>45</v>
      </c>
      <c r="E46" t="s">
        <v>29</v>
      </c>
      <c r="F46" t="s">
        <v>2614</v>
      </c>
      <c r="G46" t="s">
        <v>184</v>
      </c>
      <c r="H46" t="s">
        <v>61</v>
      </c>
      <c r="I46" t="s">
        <v>132</v>
      </c>
      <c r="J46" t="s">
        <v>284</v>
      </c>
      <c r="K46" t="s">
        <v>285</v>
      </c>
      <c r="L46" t="s">
        <v>52</v>
      </c>
      <c r="M46" t="s">
        <v>2626</v>
      </c>
      <c r="N46" t="s">
        <v>287</v>
      </c>
      <c r="O46" t="s">
        <v>52</v>
      </c>
      <c r="P46" t="s">
        <v>110</v>
      </c>
      <c r="Q46" t="s">
        <v>129</v>
      </c>
      <c r="R46">
        <v>109</v>
      </c>
      <c r="S46">
        <v>0</v>
      </c>
      <c r="T46" t="s">
        <v>56</v>
      </c>
      <c r="U46" t="s">
        <v>42</v>
      </c>
      <c r="V46">
        <v>4.75</v>
      </c>
      <c r="W46">
        <v>1.72</v>
      </c>
      <c r="X46">
        <v>1.6</v>
      </c>
      <c r="Y46">
        <v>19.3</v>
      </c>
      <c r="Z46">
        <v>12.8</v>
      </c>
      <c r="AA46">
        <f>VALUE(SUBSTITUTE(DACS19___Pfizer’s_Personalised_Medicine_in[[#This Row],[Dose]],"mg",""))</f>
        <v>100</v>
      </c>
      <c r="AB46">
        <f t="shared" si="0"/>
        <v>100</v>
      </c>
      <c r="AC46" t="s">
        <v>129</v>
      </c>
      <c r="AD46">
        <f t="shared" si="1"/>
        <v>4</v>
      </c>
      <c r="AE46">
        <f t="shared" si="2"/>
        <v>1</v>
      </c>
      <c r="AF46">
        <f t="shared" si="3"/>
        <v>1.72</v>
      </c>
      <c r="AG46" t="e">
        <f t="shared" si="4"/>
        <v>#N/A</v>
      </c>
      <c r="AH46" t="e">
        <f t="shared" si="5"/>
        <v>#N/A</v>
      </c>
      <c r="AI46" t="e">
        <f t="shared" si="6"/>
        <v>#N/A</v>
      </c>
    </row>
    <row r="47" spans="1:35" x14ac:dyDescent="0.45">
      <c r="A47" t="s">
        <v>288</v>
      </c>
      <c r="B47">
        <v>25</v>
      </c>
      <c r="C47" t="s">
        <v>27</v>
      </c>
      <c r="D47" t="s">
        <v>87</v>
      </c>
      <c r="E47" t="s">
        <v>78</v>
      </c>
      <c r="F47" t="s">
        <v>69</v>
      </c>
      <c r="G47" t="s">
        <v>152</v>
      </c>
      <c r="H47" t="s">
        <v>61</v>
      </c>
      <c r="I47" t="s">
        <v>132</v>
      </c>
      <c r="J47" t="s">
        <v>289</v>
      </c>
      <c r="K47" t="s">
        <v>290</v>
      </c>
      <c r="L47" t="s">
        <v>52</v>
      </c>
      <c r="M47" t="s">
        <v>221</v>
      </c>
      <c r="N47" t="s">
        <v>291</v>
      </c>
      <c r="O47" t="s">
        <v>52</v>
      </c>
      <c r="P47" t="s">
        <v>110</v>
      </c>
      <c r="Q47" t="s">
        <v>75</v>
      </c>
      <c r="R47">
        <v>96</v>
      </c>
      <c r="S47">
        <v>0</v>
      </c>
      <c r="T47" t="s">
        <v>41</v>
      </c>
      <c r="U47" t="s">
        <v>57</v>
      </c>
      <c r="V47">
        <v>4.37</v>
      </c>
      <c r="W47">
        <v>1.56</v>
      </c>
      <c r="X47">
        <v>8.1999999999999993</v>
      </c>
      <c r="Y47">
        <v>9.6</v>
      </c>
      <c r="Z47">
        <v>5.8</v>
      </c>
      <c r="AA47">
        <f>VALUE(SUBSTITUTE(DACS19___Pfizer’s_Personalised_Medicine_in[[#This Row],[Dose]],"mg",""))</f>
        <v>100</v>
      </c>
      <c r="AB47">
        <f t="shared" si="0"/>
        <v>100</v>
      </c>
      <c r="AC47" t="s">
        <v>75</v>
      </c>
      <c r="AD47">
        <f t="shared" si="1"/>
        <v>1</v>
      </c>
      <c r="AE47">
        <f t="shared" si="2"/>
        <v>1</v>
      </c>
      <c r="AF47">
        <f t="shared" si="3"/>
        <v>1.56</v>
      </c>
      <c r="AG47" t="e">
        <f t="shared" si="4"/>
        <v>#N/A</v>
      </c>
      <c r="AH47" t="e">
        <f t="shared" si="5"/>
        <v>#N/A</v>
      </c>
      <c r="AI47" t="e">
        <f t="shared" si="6"/>
        <v>#N/A</v>
      </c>
    </row>
    <row r="48" spans="1:35" x14ac:dyDescent="0.45">
      <c r="A48" t="s">
        <v>292</v>
      </c>
      <c r="B48">
        <v>34</v>
      </c>
      <c r="C48" t="s">
        <v>45</v>
      </c>
      <c r="D48" t="s">
        <v>28</v>
      </c>
      <c r="E48" t="s">
        <v>163</v>
      </c>
      <c r="F48" t="s">
        <v>2614</v>
      </c>
      <c r="G48" t="s">
        <v>164</v>
      </c>
      <c r="H48" t="s">
        <v>32</v>
      </c>
      <c r="I48" t="s">
        <v>33</v>
      </c>
      <c r="J48" t="s">
        <v>293</v>
      </c>
      <c r="K48" t="s">
        <v>294</v>
      </c>
      <c r="L48" t="s">
        <v>92</v>
      </c>
      <c r="M48" t="s">
        <v>2627</v>
      </c>
      <c r="N48" t="s">
        <v>296</v>
      </c>
      <c r="O48" t="s">
        <v>92</v>
      </c>
      <c r="P48" t="s">
        <v>55</v>
      </c>
      <c r="Q48" t="s">
        <v>75</v>
      </c>
      <c r="R48">
        <v>72</v>
      </c>
      <c r="S48">
        <v>0</v>
      </c>
      <c r="T48" t="s">
        <v>137</v>
      </c>
      <c r="U48" t="s">
        <v>42</v>
      </c>
      <c r="V48">
        <v>1.66</v>
      </c>
      <c r="W48">
        <v>4.26</v>
      </c>
      <c r="X48">
        <v>7</v>
      </c>
      <c r="Y48">
        <v>15.4</v>
      </c>
      <c r="Z48">
        <v>9.1</v>
      </c>
      <c r="AA48">
        <f>VALUE(SUBSTITUTE(DACS19___Pfizer’s_Personalised_Medicine_in[[#This Row],[Dose]],"mg",""))</f>
        <v>50</v>
      </c>
      <c r="AB48">
        <f t="shared" si="0"/>
        <v>50</v>
      </c>
      <c r="AC48" t="s">
        <v>75</v>
      </c>
      <c r="AD48">
        <f t="shared" si="1"/>
        <v>1</v>
      </c>
      <c r="AE48">
        <f t="shared" si="2"/>
        <v>2</v>
      </c>
      <c r="AF48" t="e">
        <f t="shared" si="3"/>
        <v>#N/A</v>
      </c>
      <c r="AG48" t="e">
        <f t="shared" si="4"/>
        <v>#N/A</v>
      </c>
      <c r="AH48">
        <f t="shared" si="5"/>
        <v>4.26</v>
      </c>
      <c r="AI48" t="e">
        <f t="shared" si="6"/>
        <v>#N/A</v>
      </c>
    </row>
    <row r="49" spans="1:35" x14ac:dyDescent="0.45">
      <c r="A49" t="s">
        <v>297</v>
      </c>
      <c r="B49">
        <v>50</v>
      </c>
      <c r="C49" t="s">
        <v>27</v>
      </c>
      <c r="D49" t="s">
        <v>45</v>
      </c>
      <c r="E49" t="s">
        <v>163</v>
      </c>
      <c r="F49" t="s">
        <v>69</v>
      </c>
      <c r="G49" t="s">
        <v>164</v>
      </c>
      <c r="H49" t="s">
        <v>61</v>
      </c>
      <c r="I49" t="s">
        <v>49</v>
      </c>
      <c r="J49" t="s">
        <v>298</v>
      </c>
      <c r="K49" t="s">
        <v>299</v>
      </c>
      <c r="L49" t="s">
        <v>36</v>
      </c>
      <c r="M49" t="s">
        <v>67</v>
      </c>
      <c r="N49" t="s">
        <v>300</v>
      </c>
      <c r="O49" t="s">
        <v>36</v>
      </c>
      <c r="P49" t="s">
        <v>110</v>
      </c>
      <c r="Q49" t="s">
        <v>40</v>
      </c>
      <c r="R49">
        <v>87</v>
      </c>
      <c r="S49">
        <v>0</v>
      </c>
      <c r="T49" t="s">
        <v>137</v>
      </c>
      <c r="U49" t="s">
        <v>42</v>
      </c>
      <c r="V49">
        <v>4.51</v>
      </c>
      <c r="W49">
        <v>2.57</v>
      </c>
      <c r="X49">
        <v>8.3000000000000007</v>
      </c>
      <c r="Y49">
        <v>13.9</v>
      </c>
      <c r="Z49">
        <v>9.4</v>
      </c>
      <c r="AA49">
        <f>VALUE(SUBSTITUTE(DACS19___Pfizer’s_Personalised_Medicine_in[[#This Row],[Dose]],"mg",""))</f>
        <v>200</v>
      </c>
      <c r="AB49">
        <f t="shared" si="0"/>
        <v>200</v>
      </c>
      <c r="AC49" t="s">
        <v>40</v>
      </c>
      <c r="AD49">
        <f t="shared" si="1"/>
        <v>3</v>
      </c>
      <c r="AE49">
        <f t="shared" si="2"/>
        <v>1</v>
      </c>
      <c r="AF49">
        <f t="shared" si="3"/>
        <v>2.57</v>
      </c>
      <c r="AG49" t="e">
        <f t="shared" si="4"/>
        <v>#N/A</v>
      </c>
      <c r="AH49" t="e">
        <f t="shared" si="5"/>
        <v>#N/A</v>
      </c>
      <c r="AI49" t="e">
        <f t="shared" si="6"/>
        <v>#N/A</v>
      </c>
    </row>
    <row r="50" spans="1:35" x14ac:dyDescent="0.45">
      <c r="A50" t="s">
        <v>301</v>
      </c>
      <c r="B50">
        <v>71</v>
      </c>
      <c r="C50" t="s">
        <v>45</v>
      </c>
      <c r="D50" t="s">
        <v>28</v>
      </c>
      <c r="E50" t="s">
        <v>2614</v>
      </c>
      <c r="F50" t="s">
        <v>2614</v>
      </c>
      <c r="G50" t="s">
        <v>80</v>
      </c>
      <c r="H50" t="s">
        <v>32</v>
      </c>
      <c r="I50" t="s">
        <v>49</v>
      </c>
      <c r="J50" t="s">
        <v>302</v>
      </c>
      <c r="K50" t="s">
        <v>303</v>
      </c>
      <c r="L50" t="s">
        <v>52</v>
      </c>
      <c r="M50" t="s">
        <v>304</v>
      </c>
      <c r="N50" t="s">
        <v>305</v>
      </c>
      <c r="O50" t="s">
        <v>52</v>
      </c>
      <c r="P50" t="s">
        <v>55</v>
      </c>
      <c r="Q50" t="s">
        <v>2614</v>
      </c>
      <c r="R50">
        <v>113</v>
      </c>
      <c r="S50">
        <v>0</v>
      </c>
      <c r="T50" t="s">
        <v>123</v>
      </c>
      <c r="U50" t="s">
        <v>57</v>
      </c>
      <c r="V50">
        <v>2.85</v>
      </c>
      <c r="W50">
        <v>2.21</v>
      </c>
      <c r="X50">
        <v>7.7</v>
      </c>
      <c r="Y50">
        <v>15</v>
      </c>
      <c r="Z50">
        <v>6.9</v>
      </c>
      <c r="AA50">
        <f>VALUE(SUBSTITUTE(DACS19___Pfizer’s_Personalised_Medicine_in[[#This Row],[Dose]],"mg",""))</f>
        <v>100</v>
      </c>
      <c r="AB50">
        <f t="shared" si="0"/>
        <v>100</v>
      </c>
      <c r="AC50" t="s">
        <v>2614</v>
      </c>
      <c r="AD50">
        <f t="shared" si="1"/>
        <v>0</v>
      </c>
      <c r="AE50">
        <f t="shared" si="2"/>
        <v>2</v>
      </c>
      <c r="AF50" t="e">
        <f t="shared" si="3"/>
        <v>#N/A</v>
      </c>
      <c r="AG50" t="e">
        <f t="shared" si="4"/>
        <v>#N/A</v>
      </c>
      <c r="AH50">
        <f t="shared" si="5"/>
        <v>2.21</v>
      </c>
      <c r="AI50" t="e">
        <f t="shared" si="6"/>
        <v>#N/A</v>
      </c>
    </row>
    <row r="51" spans="1:35" x14ac:dyDescent="0.45">
      <c r="A51" t="s">
        <v>306</v>
      </c>
      <c r="B51">
        <v>19</v>
      </c>
      <c r="C51" t="s">
        <v>44</v>
      </c>
      <c r="D51" t="s">
        <v>106</v>
      </c>
      <c r="E51" t="s">
        <v>2614</v>
      </c>
      <c r="F51" t="s">
        <v>2614</v>
      </c>
      <c r="G51" t="s">
        <v>276</v>
      </c>
      <c r="H51" t="s">
        <v>71</v>
      </c>
      <c r="I51" t="s">
        <v>33</v>
      </c>
      <c r="J51" t="s">
        <v>307</v>
      </c>
      <c r="K51" t="s">
        <v>308</v>
      </c>
      <c r="L51" t="s">
        <v>52</v>
      </c>
      <c r="M51" t="s">
        <v>309</v>
      </c>
      <c r="N51" t="s">
        <v>54</v>
      </c>
      <c r="O51" t="s">
        <v>52</v>
      </c>
      <c r="P51" t="s">
        <v>55</v>
      </c>
      <c r="Q51" t="s">
        <v>129</v>
      </c>
      <c r="R51">
        <v>89</v>
      </c>
      <c r="S51">
        <v>0</v>
      </c>
      <c r="T51" t="s">
        <v>85</v>
      </c>
      <c r="U51" t="s">
        <v>57</v>
      </c>
      <c r="V51">
        <v>4.5999999999999996</v>
      </c>
      <c r="W51">
        <v>2.54</v>
      </c>
      <c r="X51">
        <v>5.9</v>
      </c>
      <c r="Y51">
        <v>22.3</v>
      </c>
      <c r="Z51">
        <v>13.6</v>
      </c>
      <c r="AA51">
        <f>VALUE(SUBSTITUTE(DACS19___Pfizer’s_Personalised_Medicine_in[[#This Row],[Dose]],"mg",""))</f>
        <v>100</v>
      </c>
      <c r="AB51">
        <f t="shared" si="0"/>
        <v>100</v>
      </c>
      <c r="AC51" t="s">
        <v>129</v>
      </c>
      <c r="AD51">
        <f t="shared" si="1"/>
        <v>4</v>
      </c>
      <c r="AE51">
        <f t="shared" si="2"/>
        <v>2</v>
      </c>
      <c r="AF51" t="e">
        <f t="shared" si="3"/>
        <v>#N/A</v>
      </c>
      <c r="AG51">
        <f t="shared" si="4"/>
        <v>2.54</v>
      </c>
      <c r="AH51" t="e">
        <f t="shared" si="5"/>
        <v>#N/A</v>
      </c>
      <c r="AI51" t="e">
        <f t="shared" si="6"/>
        <v>#N/A</v>
      </c>
    </row>
    <row r="52" spans="1:35" x14ac:dyDescent="0.45">
      <c r="A52" t="s">
        <v>310</v>
      </c>
      <c r="B52">
        <v>19</v>
      </c>
      <c r="C52" t="s">
        <v>44</v>
      </c>
      <c r="D52" t="s">
        <v>87</v>
      </c>
      <c r="E52" t="s">
        <v>78</v>
      </c>
      <c r="F52" t="s">
        <v>2614</v>
      </c>
      <c r="G52" t="s">
        <v>276</v>
      </c>
      <c r="H52" t="s">
        <v>61</v>
      </c>
      <c r="I52" t="s">
        <v>72</v>
      </c>
      <c r="J52" t="s">
        <v>311</v>
      </c>
      <c r="K52" t="s">
        <v>312</v>
      </c>
      <c r="L52" t="s">
        <v>92</v>
      </c>
      <c r="M52" t="s">
        <v>2614</v>
      </c>
      <c r="N52" t="s">
        <v>313</v>
      </c>
      <c r="O52" t="s">
        <v>92</v>
      </c>
      <c r="P52" t="s">
        <v>39</v>
      </c>
      <c r="Q52" t="s">
        <v>67</v>
      </c>
      <c r="R52">
        <v>163</v>
      </c>
      <c r="S52">
        <v>1</v>
      </c>
      <c r="T52" t="s">
        <v>56</v>
      </c>
      <c r="U52" t="s">
        <v>57</v>
      </c>
      <c r="V52">
        <v>1.47</v>
      </c>
      <c r="W52">
        <v>4.76</v>
      </c>
      <c r="X52">
        <v>6.6</v>
      </c>
      <c r="Y52">
        <v>12</v>
      </c>
      <c r="Z52">
        <v>5.4</v>
      </c>
      <c r="AA52">
        <f>VALUE(SUBSTITUTE(DACS19___Pfizer’s_Personalised_Medicine_in[[#This Row],[Dose]],"mg",""))</f>
        <v>50</v>
      </c>
      <c r="AB52">
        <f t="shared" si="0"/>
        <v>50</v>
      </c>
      <c r="AC52" t="s">
        <v>67</v>
      </c>
      <c r="AD52">
        <f t="shared" si="1"/>
        <v>2</v>
      </c>
      <c r="AE52">
        <f t="shared" si="2"/>
        <v>3</v>
      </c>
      <c r="AF52">
        <f t="shared" si="3"/>
        <v>4.76</v>
      </c>
      <c r="AG52" t="e">
        <f t="shared" si="4"/>
        <v>#N/A</v>
      </c>
      <c r="AH52" t="e">
        <f t="shared" si="5"/>
        <v>#N/A</v>
      </c>
      <c r="AI52" t="e">
        <f t="shared" si="6"/>
        <v>#N/A</v>
      </c>
    </row>
    <row r="53" spans="1:35" x14ac:dyDescent="0.45">
      <c r="A53" t="s">
        <v>314</v>
      </c>
      <c r="B53">
        <v>76</v>
      </c>
      <c r="C53" t="s">
        <v>45</v>
      </c>
      <c r="D53" t="s">
        <v>87</v>
      </c>
      <c r="E53" t="s">
        <v>29</v>
      </c>
      <c r="F53" t="s">
        <v>79</v>
      </c>
      <c r="G53" t="s">
        <v>131</v>
      </c>
      <c r="H53" t="s">
        <v>61</v>
      </c>
      <c r="I53" t="s">
        <v>49</v>
      </c>
      <c r="J53" t="s">
        <v>315</v>
      </c>
      <c r="K53" t="s">
        <v>316</v>
      </c>
      <c r="L53" t="s">
        <v>64</v>
      </c>
      <c r="M53" t="s">
        <v>2628</v>
      </c>
      <c r="N53" t="s">
        <v>318</v>
      </c>
      <c r="O53" t="s">
        <v>64</v>
      </c>
      <c r="P53" t="s">
        <v>110</v>
      </c>
      <c r="Q53" t="s">
        <v>2614</v>
      </c>
      <c r="R53">
        <v>111</v>
      </c>
      <c r="S53">
        <v>0</v>
      </c>
      <c r="T53" t="s">
        <v>56</v>
      </c>
      <c r="U53" t="s">
        <v>57</v>
      </c>
      <c r="V53">
        <v>4.18</v>
      </c>
      <c r="W53">
        <v>3.48</v>
      </c>
      <c r="X53">
        <v>5.8</v>
      </c>
      <c r="Y53">
        <v>22.1</v>
      </c>
      <c r="Z53">
        <v>16.399999999999999</v>
      </c>
      <c r="AA53">
        <f>VALUE(SUBSTITUTE(DACS19___Pfizer’s_Personalised_Medicine_in[[#This Row],[Dose]],"mg",""))</f>
        <v>150</v>
      </c>
      <c r="AB53">
        <f t="shared" si="0"/>
        <v>150</v>
      </c>
      <c r="AC53" t="s">
        <v>2614</v>
      </c>
      <c r="AD53">
        <f t="shared" si="1"/>
        <v>0</v>
      </c>
      <c r="AE53">
        <f t="shared" si="2"/>
        <v>1</v>
      </c>
      <c r="AF53">
        <f t="shared" si="3"/>
        <v>3.48</v>
      </c>
      <c r="AG53" t="e">
        <f t="shared" si="4"/>
        <v>#N/A</v>
      </c>
      <c r="AH53" t="e">
        <f t="shared" si="5"/>
        <v>#N/A</v>
      </c>
      <c r="AI53" t="e">
        <f t="shared" si="6"/>
        <v>#N/A</v>
      </c>
    </row>
    <row r="54" spans="1:35" x14ac:dyDescent="0.45">
      <c r="A54" t="s">
        <v>319</v>
      </c>
      <c r="B54">
        <v>47</v>
      </c>
      <c r="C54" t="s">
        <v>27</v>
      </c>
      <c r="D54" t="s">
        <v>106</v>
      </c>
      <c r="E54" t="s">
        <v>46</v>
      </c>
      <c r="F54" t="s">
        <v>2614</v>
      </c>
      <c r="G54" t="s">
        <v>80</v>
      </c>
      <c r="H54" t="s">
        <v>61</v>
      </c>
      <c r="I54" t="s">
        <v>72</v>
      </c>
      <c r="J54" t="s">
        <v>320</v>
      </c>
      <c r="K54" t="s">
        <v>321</v>
      </c>
      <c r="L54" t="s">
        <v>64</v>
      </c>
      <c r="M54" t="s">
        <v>2629</v>
      </c>
      <c r="N54" t="s">
        <v>323</v>
      </c>
      <c r="O54" t="s">
        <v>64</v>
      </c>
      <c r="P54" t="s">
        <v>39</v>
      </c>
      <c r="Q54" t="s">
        <v>40</v>
      </c>
      <c r="R54">
        <v>108</v>
      </c>
      <c r="S54">
        <v>1</v>
      </c>
      <c r="T54" t="s">
        <v>56</v>
      </c>
      <c r="U54" t="s">
        <v>57</v>
      </c>
      <c r="V54">
        <v>1.61</v>
      </c>
      <c r="W54">
        <v>2.25</v>
      </c>
      <c r="X54">
        <v>3.2</v>
      </c>
      <c r="Y54">
        <v>19.399999999999999</v>
      </c>
      <c r="Z54">
        <v>3.6</v>
      </c>
      <c r="AA54">
        <f>VALUE(SUBSTITUTE(DACS19___Pfizer’s_Personalised_Medicine_in[[#This Row],[Dose]],"mg",""))</f>
        <v>150</v>
      </c>
      <c r="AB54">
        <f t="shared" si="0"/>
        <v>150</v>
      </c>
      <c r="AC54" t="s">
        <v>40</v>
      </c>
      <c r="AD54">
        <f t="shared" si="1"/>
        <v>3</v>
      </c>
      <c r="AE54">
        <f t="shared" si="2"/>
        <v>3</v>
      </c>
      <c r="AF54">
        <f t="shared" si="3"/>
        <v>2.25</v>
      </c>
      <c r="AG54" t="e">
        <f t="shared" si="4"/>
        <v>#N/A</v>
      </c>
      <c r="AH54" t="e">
        <f t="shared" si="5"/>
        <v>#N/A</v>
      </c>
      <c r="AI54" t="e">
        <f t="shared" si="6"/>
        <v>#N/A</v>
      </c>
    </row>
    <row r="55" spans="1:35" x14ac:dyDescent="0.45">
      <c r="A55" t="s">
        <v>324</v>
      </c>
      <c r="B55">
        <v>33</v>
      </c>
      <c r="C55" t="s">
        <v>27</v>
      </c>
      <c r="D55" t="s">
        <v>106</v>
      </c>
      <c r="E55" t="s">
        <v>2614</v>
      </c>
      <c r="F55" t="s">
        <v>2614</v>
      </c>
      <c r="G55" t="s">
        <v>152</v>
      </c>
      <c r="H55" t="s">
        <v>61</v>
      </c>
      <c r="I55" t="s">
        <v>72</v>
      </c>
      <c r="J55" t="s">
        <v>325</v>
      </c>
      <c r="K55" t="s">
        <v>326</v>
      </c>
      <c r="L55" t="s">
        <v>52</v>
      </c>
      <c r="M55" t="s">
        <v>187</v>
      </c>
      <c r="N55" t="s">
        <v>327</v>
      </c>
      <c r="O55" t="s">
        <v>52</v>
      </c>
      <c r="P55" t="s">
        <v>55</v>
      </c>
      <c r="Q55" t="s">
        <v>2614</v>
      </c>
      <c r="R55">
        <v>74</v>
      </c>
      <c r="S55">
        <v>0</v>
      </c>
      <c r="T55" t="s">
        <v>123</v>
      </c>
      <c r="U55" t="s">
        <v>57</v>
      </c>
      <c r="V55">
        <v>3.28</v>
      </c>
      <c r="W55">
        <v>4.05</v>
      </c>
      <c r="X55">
        <v>8.9</v>
      </c>
      <c r="Y55">
        <v>12.2</v>
      </c>
      <c r="Z55">
        <v>17</v>
      </c>
      <c r="AA55">
        <f>VALUE(SUBSTITUTE(DACS19___Pfizer’s_Personalised_Medicine_in[[#This Row],[Dose]],"mg",""))</f>
        <v>100</v>
      </c>
      <c r="AB55">
        <f t="shared" si="0"/>
        <v>100</v>
      </c>
      <c r="AC55" t="s">
        <v>2614</v>
      </c>
      <c r="AD55">
        <f t="shared" si="1"/>
        <v>0</v>
      </c>
      <c r="AE55">
        <f t="shared" si="2"/>
        <v>2</v>
      </c>
      <c r="AF55">
        <f t="shared" si="3"/>
        <v>4.05</v>
      </c>
      <c r="AG55" t="e">
        <f t="shared" si="4"/>
        <v>#N/A</v>
      </c>
      <c r="AH55" t="e">
        <f t="shared" si="5"/>
        <v>#N/A</v>
      </c>
      <c r="AI55" t="e">
        <f t="shared" si="6"/>
        <v>#N/A</v>
      </c>
    </row>
    <row r="56" spans="1:35" x14ac:dyDescent="0.45">
      <c r="A56" t="s">
        <v>328</v>
      </c>
      <c r="B56">
        <v>75</v>
      </c>
      <c r="C56" t="s">
        <v>45</v>
      </c>
      <c r="D56" t="s">
        <v>45</v>
      </c>
      <c r="E56" t="s">
        <v>46</v>
      </c>
      <c r="F56" t="s">
        <v>88</v>
      </c>
      <c r="G56" t="s">
        <v>96</v>
      </c>
      <c r="H56" t="s">
        <v>61</v>
      </c>
      <c r="I56" t="s">
        <v>49</v>
      </c>
      <c r="J56" t="s">
        <v>329</v>
      </c>
      <c r="K56" t="s">
        <v>330</v>
      </c>
      <c r="L56" t="s">
        <v>36</v>
      </c>
      <c r="M56" t="s">
        <v>2629</v>
      </c>
      <c r="N56" t="s">
        <v>331</v>
      </c>
      <c r="O56" t="s">
        <v>36</v>
      </c>
      <c r="P56" t="s">
        <v>39</v>
      </c>
      <c r="Q56" t="s">
        <v>129</v>
      </c>
      <c r="R56">
        <v>80</v>
      </c>
      <c r="S56">
        <v>1</v>
      </c>
      <c r="T56" t="s">
        <v>56</v>
      </c>
      <c r="U56" t="s">
        <v>42</v>
      </c>
      <c r="V56">
        <v>1.44</v>
      </c>
      <c r="W56">
        <v>4.3899999999999997</v>
      </c>
      <c r="X56">
        <v>2.1</v>
      </c>
      <c r="Y56">
        <v>13.2</v>
      </c>
      <c r="Z56">
        <v>16.600000000000001</v>
      </c>
      <c r="AA56">
        <f>VALUE(SUBSTITUTE(DACS19___Pfizer’s_Personalised_Medicine_in[[#This Row],[Dose]],"mg",""))</f>
        <v>200</v>
      </c>
      <c r="AB56">
        <f t="shared" si="0"/>
        <v>200</v>
      </c>
      <c r="AC56" t="s">
        <v>129</v>
      </c>
      <c r="AD56">
        <f t="shared" si="1"/>
        <v>4</v>
      </c>
      <c r="AE56">
        <f t="shared" si="2"/>
        <v>3</v>
      </c>
      <c r="AF56">
        <f t="shared" si="3"/>
        <v>4.3899999999999997</v>
      </c>
      <c r="AG56" t="e">
        <f t="shared" si="4"/>
        <v>#N/A</v>
      </c>
      <c r="AH56" t="e">
        <f t="shared" si="5"/>
        <v>#N/A</v>
      </c>
      <c r="AI56" t="e">
        <f t="shared" si="6"/>
        <v>#N/A</v>
      </c>
    </row>
    <row r="57" spans="1:35" x14ac:dyDescent="0.45">
      <c r="A57" t="s">
        <v>332</v>
      </c>
      <c r="B57">
        <v>29</v>
      </c>
      <c r="C57" t="s">
        <v>44</v>
      </c>
      <c r="D57" t="s">
        <v>87</v>
      </c>
      <c r="E57" t="s">
        <v>163</v>
      </c>
      <c r="F57" t="s">
        <v>2614</v>
      </c>
      <c r="G57" t="s">
        <v>118</v>
      </c>
      <c r="H57" t="s">
        <v>71</v>
      </c>
      <c r="I57" t="s">
        <v>33</v>
      </c>
      <c r="J57" t="s">
        <v>333</v>
      </c>
      <c r="K57" t="s">
        <v>334</v>
      </c>
      <c r="L57" t="s">
        <v>36</v>
      </c>
      <c r="M57" t="s">
        <v>2614</v>
      </c>
      <c r="N57" t="s">
        <v>335</v>
      </c>
      <c r="O57" t="s">
        <v>36</v>
      </c>
      <c r="P57" t="s">
        <v>39</v>
      </c>
      <c r="Q57" t="s">
        <v>2614</v>
      </c>
      <c r="R57">
        <v>101</v>
      </c>
      <c r="S57">
        <v>1</v>
      </c>
      <c r="T57" t="s">
        <v>56</v>
      </c>
      <c r="U57" t="s">
        <v>42</v>
      </c>
      <c r="V57">
        <v>1.6</v>
      </c>
      <c r="W57">
        <v>1.92</v>
      </c>
      <c r="X57">
        <v>7.5</v>
      </c>
      <c r="Y57">
        <v>19</v>
      </c>
      <c r="Z57">
        <v>13.9</v>
      </c>
      <c r="AA57">
        <f>VALUE(SUBSTITUTE(DACS19___Pfizer’s_Personalised_Medicine_in[[#This Row],[Dose]],"mg",""))</f>
        <v>200</v>
      </c>
      <c r="AB57">
        <f t="shared" si="0"/>
        <v>200</v>
      </c>
      <c r="AC57" t="s">
        <v>2614</v>
      </c>
      <c r="AD57">
        <f t="shared" si="1"/>
        <v>0</v>
      </c>
      <c r="AE57">
        <f t="shared" si="2"/>
        <v>3</v>
      </c>
      <c r="AF57" t="e">
        <f t="shared" si="3"/>
        <v>#N/A</v>
      </c>
      <c r="AG57">
        <f t="shared" si="4"/>
        <v>1.92</v>
      </c>
      <c r="AH57" t="e">
        <f t="shared" si="5"/>
        <v>#N/A</v>
      </c>
      <c r="AI57" t="e">
        <f t="shared" si="6"/>
        <v>#N/A</v>
      </c>
    </row>
    <row r="58" spans="1:35" x14ac:dyDescent="0.45">
      <c r="A58" t="s">
        <v>336</v>
      </c>
      <c r="B58">
        <v>22</v>
      </c>
      <c r="C58" t="s">
        <v>45</v>
      </c>
      <c r="D58" t="s">
        <v>45</v>
      </c>
      <c r="E58" t="s">
        <v>29</v>
      </c>
      <c r="F58" t="s">
        <v>59</v>
      </c>
      <c r="G58" t="s">
        <v>70</v>
      </c>
      <c r="H58" t="s">
        <v>81</v>
      </c>
      <c r="I58" t="s">
        <v>33</v>
      </c>
      <c r="J58" t="s">
        <v>337</v>
      </c>
      <c r="K58" t="s">
        <v>338</v>
      </c>
      <c r="L58" t="s">
        <v>52</v>
      </c>
      <c r="M58" t="s">
        <v>339</v>
      </c>
      <c r="N58" t="s">
        <v>340</v>
      </c>
      <c r="O58" t="s">
        <v>52</v>
      </c>
      <c r="P58" t="s">
        <v>110</v>
      </c>
      <c r="Q58" t="s">
        <v>129</v>
      </c>
      <c r="R58">
        <v>127</v>
      </c>
      <c r="S58">
        <v>0</v>
      </c>
      <c r="T58" t="s">
        <v>137</v>
      </c>
      <c r="U58" t="s">
        <v>57</v>
      </c>
      <c r="V58">
        <v>3.78</v>
      </c>
      <c r="W58">
        <v>3.17</v>
      </c>
      <c r="X58">
        <v>3.3</v>
      </c>
      <c r="Y58">
        <v>12.2</v>
      </c>
      <c r="Z58">
        <v>6.1</v>
      </c>
      <c r="AA58">
        <f>VALUE(SUBSTITUTE(DACS19___Pfizer’s_Personalised_Medicine_in[[#This Row],[Dose]],"mg",""))</f>
        <v>100</v>
      </c>
      <c r="AB58">
        <f t="shared" si="0"/>
        <v>100</v>
      </c>
      <c r="AC58" t="s">
        <v>129</v>
      </c>
      <c r="AD58">
        <f t="shared" si="1"/>
        <v>4</v>
      </c>
      <c r="AE58">
        <f t="shared" si="2"/>
        <v>1</v>
      </c>
      <c r="AF58" t="e">
        <f t="shared" si="3"/>
        <v>#N/A</v>
      </c>
      <c r="AG58" t="e">
        <f t="shared" si="4"/>
        <v>#N/A</v>
      </c>
      <c r="AH58" t="e">
        <f t="shared" si="5"/>
        <v>#N/A</v>
      </c>
      <c r="AI58">
        <f t="shared" si="6"/>
        <v>3.17</v>
      </c>
    </row>
    <row r="59" spans="1:35" x14ac:dyDescent="0.45">
      <c r="A59" t="s">
        <v>341</v>
      </c>
      <c r="B59">
        <v>80</v>
      </c>
      <c r="C59" t="s">
        <v>44</v>
      </c>
      <c r="D59" t="s">
        <v>45</v>
      </c>
      <c r="E59" t="s">
        <v>29</v>
      </c>
      <c r="F59" t="s">
        <v>59</v>
      </c>
      <c r="G59" t="s">
        <v>112</v>
      </c>
      <c r="H59" t="s">
        <v>61</v>
      </c>
      <c r="I59" t="s">
        <v>132</v>
      </c>
      <c r="J59" t="s">
        <v>342</v>
      </c>
      <c r="K59" t="s">
        <v>343</v>
      </c>
      <c r="L59" t="s">
        <v>64</v>
      </c>
      <c r="M59" t="s">
        <v>40</v>
      </c>
      <c r="N59" t="s">
        <v>344</v>
      </c>
      <c r="O59" t="s">
        <v>64</v>
      </c>
      <c r="P59" t="s">
        <v>55</v>
      </c>
      <c r="Q59" t="s">
        <v>75</v>
      </c>
      <c r="R59">
        <v>89</v>
      </c>
      <c r="S59">
        <v>0</v>
      </c>
      <c r="T59" t="s">
        <v>41</v>
      </c>
      <c r="U59" t="s">
        <v>42</v>
      </c>
      <c r="V59">
        <v>4.63</v>
      </c>
      <c r="W59">
        <v>3.33</v>
      </c>
      <c r="X59">
        <v>4.5999999999999996</v>
      </c>
      <c r="Y59">
        <v>14.3</v>
      </c>
      <c r="Z59">
        <v>19.100000000000001</v>
      </c>
      <c r="AA59">
        <f>VALUE(SUBSTITUTE(DACS19___Pfizer’s_Personalised_Medicine_in[[#This Row],[Dose]],"mg",""))</f>
        <v>150</v>
      </c>
      <c r="AB59">
        <f t="shared" si="0"/>
        <v>150</v>
      </c>
      <c r="AC59" t="s">
        <v>75</v>
      </c>
      <c r="AD59">
        <f t="shared" si="1"/>
        <v>1</v>
      </c>
      <c r="AE59">
        <f t="shared" si="2"/>
        <v>2</v>
      </c>
      <c r="AF59">
        <f t="shared" si="3"/>
        <v>3.33</v>
      </c>
      <c r="AG59" t="e">
        <f t="shared" si="4"/>
        <v>#N/A</v>
      </c>
      <c r="AH59" t="e">
        <f t="shared" si="5"/>
        <v>#N/A</v>
      </c>
      <c r="AI59" t="e">
        <f t="shared" si="6"/>
        <v>#N/A</v>
      </c>
    </row>
    <row r="60" spans="1:35" x14ac:dyDescent="0.45">
      <c r="A60" t="s">
        <v>345</v>
      </c>
      <c r="B60">
        <v>49</v>
      </c>
      <c r="C60" t="s">
        <v>45</v>
      </c>
      <c r="D60" t="s">
        <v>106</v>
      </c>
      <c r="E60" t="s">
        <v>2614</v>
      </c>
      <c r="F60" t="s">
        <v>2614</v>
      </c>
      <c r="G60" t="s">
        <v>118</v>
      </c>
      <c r="H60" t="s">
        <v>71</v>
      </c>
      <c r="I60" t="s">
        <v>33</v>
      </c>
      <c r="J60" t="s">
        <v>346</v>
      </c>
      <c r="K60" t="s">
        <v>347</v>
      </c>
      <c r="L60" t="s">
        <v>64</v>
      </c>
      <c r="M60" t="s">
        <v>2630</v>
      </c>
      <c r="N60" t="s">
        <v>318</v>
      </c>
      <c r="O60" t="s">
        <v>64</v>
      </c>
      <c r="P60" t="s">
        <v>55</v>
      </c>
      <c r="Q60" t="s">
        <v>75</v>
      </c>
      <c r="R60">
        <v>174</v>
      </c>
      <c r="S60">
        <v>0</v>
      </c>
      <c r="T60" t="s">
        <v>41</v>
      </c>
      <c r="U60" t="s">
        <v>42</v>
      </c>
      <c r="V60">
        <v>1.61</v>
      </c>
      <c r="W60">
        <v>3.34</v>
      </c>
      <c r="X60">
        <v>5.6</v>
      </c>
      <c r="Y60">
        <v>17</v>
      </c>
      <c r="Z60">
        <v>3.3</v>
      </c>
      <c r="AA60">
        <f>VALUE(SUBSTITUTE(DACS19___Pfizer’s_Personalised_Medicine_in[[#This Row],[Dose]],"mg",""))</f>
        <v>150</v>
      </c>
      <c r="AB60">
        <f t="shared" si="0"/>
        <v>150</v>
      </c>
      <c r="AC60" t="s">
        <v>75</v>
      </c>
      <c r="AD60">
        <f t="shared" si="1"/>
        <v>1</v>
      </c>
      <c r="AE60">
        <f t="shared" si="2"/>
        <v>2</v>
      </c>
      <c r="AF60" t="e">
        <f t="shared" si="3"/>
        <v>#N/A</v>
      </c>
      <c r="AG60">
        <f t="shared" si="4"/>
        <v>3.34</v>
      </c>
      <c r="AH60" t="e">
        <f t="shared" si="5"/>
        <v>#N/A</v>
      </c>
      <c r="AI60" t="e">
        <f t="shared" si="6"/>
        <v>#N/A</v>
      </c>
    </row>
    <row r="61" spans="1:35" x14ac:dyDescent="0.45">
      <c r="A61" t="s">
        <v>349</v>
      </c>
      <c r="B61">
        <v>81</v>
      </c>
      <c r="C61" t="s">
        <v>45</v>
      </c>
      <c r="D61" t="s">
        <v>28</v>
      </c>
      <c r="E61" t="s">
        <v>46</v>
      </c>
      <c r="F61" t="s">
        <v>88</v>
      </c>
      <c r="G61" t="s">
        <v>118</v>
      </c>
      <c r="H61" t="s">
        <v>71</v>
      </c>
      <c r="I61" t="s">
        <v>72</v>
      </c>
      <c r="J61" t="s">
        <v>350</v>
      </c>
      <c r="K61" t="s">
        <v>351</v>
      </c>
      <c r="L61" t="s">
        <v>64</v>
      </c>
      <c r="M61" t="s">
        <v>352</v>
      </c>
      <c r="N61" t="s">
        <v>353</v>
      </c>
      <c r="O61" t="s">
        <v>64</v>
      </c>
      <c r="P61" t="s">
        <v>39</v>
      </c>
      <c r="Q61" t="s">
        <v>2614</v>
      </c>
      <c r="R61">
        <v>45</v>
      </c>
      <c r="S61">
        <v>1</v>
      </c>
      <c r="T61" t="s">
        <v>123</v>
      </c>
      <c r="U61" t="s">
        <v>42</v>
      </c>
      <c r="V61">
        <v>4.49</v>
      </c>
      <c r="W61">
        <v>4.7300000000000004</v>
      </c>
      <c r="X61">
        <v>6.1</v>
      </c>
      <c r="Y61">
        <v>18.5</v>
      </c>
      <c r="Z61">
        <v>18.7</v>
      </c>
      <c r="AA61">
        <f>VALUE(SUBSTITUTE(DACS19___Pfizer’s_Personalised_Medicine_in[[#This Row],[Dose]],"mg",""))</f>
        <v>150</v>
      </c>
      <c r="AB61">
        <f t="shared" si="0"/>
        <v>150</v>
      </c>
      <c r="AC61" t="s">
        <v>2614</v>
      </c>
      <c r="AD61">
        <f t="shared" si="1"/>
        <v>0</v>
      </c>
      <c r="AE61">
        <f t="shared" si="2"/>
        <v>3</v>
      </c>
      <c r="AF61" t="e">
        <f t="shared" si="3"/>
        <v>#N/A</v>
      </c>
      <c r="AG61">
        <f t="shared" si="4"/>
        <v>4.7300000000000004</v>
      </c>
      <c r="AH61" t="e">
        <f t="shared" si="5"/>
        <v>#N/A</v>
      </c>
      <c r="AI61" t="e">
        <f t="shared" si="6"/>
        <v>#N/A</v>
      </c>
    </row>
    <row r="62" spans="1:35" x14ac:dyDescent="0.45">
      <c r="A62" t="s">
        <v>354</v>
      </c>
      <c r="B62">
        <v>36</v>
      </c>
      <c r="C62" t="s">
        <v>27</v>
      </c>
      <c r="D62" t="s">
        <v>45</v>
      </c>
      <c r="E62" t="s">
        <v>2614</v>
      </c>
      <c r="F62" t="s">
        <v>2614</v>
      </c>
      <c r="G62" t="s">
        <v>194</v>
      </c>
      <c r="H62" t="s">
        <v>81</v>
      </c>
      <c r="I62" t="s">
        <v>49</v>
      </c>
      <c r="J62" t="s">
        <v>355</v>
      </c>
      <c r="K62" t="s">
        <v>356</v>
      </c>
      <c r="L62" t="s">
        <v>52</v>
      </c>
      <c r="M62" t="s">
        <v>2631</v>
      </c>
      <c r="N62" t="s">
        <v>358</v>
      </c>
      <c r="O62" t="s">
        <v>52</v>
      </c>
      <c r="P62" t="s">
        <v>39</v>
      </c>
      <c r="Q62" t="s">
        <v>75</v>
      </c>
      <c r="R62">
        <v>121</v>
      </c>
      <c r="S62">
        <v>1</v>
      </c>
      <c r="T62" t="s">
        <v>41</v>
      </c>
      <c r="U62" t="s">
        <v>42</v>
      </c>
      <c r="V62">
        <v>3.83</v>
      </c>
      <c r="W62">
        <v>1.61</v>
      </c>
      <c r="X62">
        <v>6.2</v>
      </c>
      <c r="Y62">
        <v>16.899999999999999</v>
      </c>
      <c r="Z62">
        <v>10.199999999999999</v>
      </c>
      <c r="AA62">
        <f>VALUE(SUBSTITUTE(DACS19___Pfizer’s_Personalised_Medicine_in[[#This Row],[Dose]],"mg",""))</f>
        <v>100</v>
      </c>
      <c r="AB62">
        <f t="shared" si="0"/>
        <v>100</v>
      </c>
      <c r="AC62" t="s">
        <v>75</v>
      </c>
      <c r="AD62">
        <f t="shared" si="1"/>
        <v>1</v>
      </c>
      <c r="AE62">
        <f t="shared" si="2"/>
        <v>3</v>
      </c>
      <c r="AF62" t="e">
        <f t="shared" si="3"/>
        <v>#N/A</v>
      </c>
      <c r="AG62" t="e">
        <f t="shared" si="4"/>
        <v>#N/A</v>
      </c>
      <c r="AH62" t="e">
        <f t="shared" si="5"/>
        <v>#N/A</v>
      </c>
      <c r="AI62">
        <f t="shared" si="6"/>
        <v>1.61</v>
      </c>
    </row>
    <row r="63" spans="1:35" x14ac:dyDescent="0.45">
      <c r="A63" t="s">
        <v>359</v>
      </c>
      <c r="B63">
        <v>66</v>
      </c>
      <c r="C63" t="s">
        <v>44</v>
      </c>
      <c r="D63" t="s">
        <v>28</v>
      </c>
      <c r="E63" t="s">
        <v>46</v>
      </c>
      <c r="F63" t="s">
        <v>88</v>
      </c>
      <c r="G63" t="s">
        <v>80</v>
      </c>
      <c r="H63" t="s">
        <v>81</v>
      </c>
      <c r="I63" t="s">
        <v>49</v>
      </c>
      <c r="J63" t="s">
        <v>360</v>
      </c>
      <c r="K63" t="s">
        <v>361</v>
      </c>
      <c r="L63" t="s">
        <v>52</v>
      </c>
      <c r="M63" t="s">
        <v>362</v>
      </c>
      <c r="N63" t="s">
        <v>109</v>
      </c>
      <c r="O63" t="s">
        <v>52</v>
      </c>
      <c r="P63" t="s">
        <v>55</v>
      </c>
      <c r="Q63" t="s">
        <v>129</v>
      </c>
      <c r="R63">
        <v>90</v>
      </c>
      <c r="S63">
        <v>0</v>
      </c>
      <c r="T63" t="s">
        <v>137</v>
      </c>
      <c r="U63" t="s">
        <v>57</v>
      </c>
      <c r="V63">
        <v>3.95</v>
      </c>
      <c r="W63">
        <v>4.74</v>
      </c>
      <c r="X63">
        <v>9.3000000000000007</v>
      </c>
      <c r="Y63">
        <v>14.1</v>
      </c>
      <c r="Z63">
        <v>4.9000000000000004</v>
      </c>
      <c r="AA63">
        <f>VALUE(SUBSTITUTE(DACS19___Pfizer’s_Personalised_Medicine_in[[#This Row],[Dose]],"mg",""))</f>
        <v>100</v>
      </c>
      <c r="AB63">
        <f t="shared" si="0"/>
        <v>100</v>
      </c>
      <c r="AC63" t="s">
        <v>129</v>
      </c>
      <c r="AD63">
        <f t="shared" si="1"/>
        <v>4</v>
      </c>
      <c r="AE63">
        <f t="shared" si="2"/>
        <v>2</v>
      </c>
      <c r="AF63" t="e">
        <f t="shared" si="3"/>
        <v>#N/A</v>
      </c>
      <c r="AG63" t="e">
        <f t="shared" si="4"/>
        <v>#N/A</v>
      </c>
      <c r="AH63" t="e">
        <f t="shared" si="5"/>
        <v>#N/A</v>
      </c>
      <c r="AI63">
        <f t="shared" si="6"/>
        <v>4.74</v>
      </c>
    </row>
    <row r="64" spans="1:35" x14ac:dyDescent="0.45">
      <c r="A64" t="s">
        <v>363</v>
      </c>
      <c r="B64">
        <v>39</v>
      </c>
      <c r="C64" t="s">
        <v>45</v>
      </c>
      <c r="D64" t="s">
        <v>87</v>
      </c>
      <c r="E64" t="s">
        <v>2614</v>
      </c>
      <c r="F64" t="s">
        <v>59</v>
      </c>
      <c r="G64" t="s">
        <v>89</v>
      </c>
      <c r="H64" t="s">
        <v>71</v>
      </c>
      <c r="I64" t="s">
        <v>49</v>
      </c>
      <c r="J64" t="s">
        <v>364</v>
      </c>
      <c r="K64" t="s">
        <v>365</v>
      </c>
      <c r="L64" t="s">
        <v>92</v>
      </c>
      <c r="M64" t="s">
        <v>40</v>
      </c>
      <c r="N64" t="s">
        <v>366</v>
      </c>
      <c r="O64" t="s">
        <v>92</v>
      </c>
      <c r="P64" t="s">
        <v>110</v>
      </c>
      <c r="Q64" t="s">
        <v>40</v>
      </c>
      <c r="R64">
        <v>72</v>
      </c>
      <c r="S64">
        <v>0</v>
      </c>
      <c r="T64" t="s">
        <v>56</v>
      </c>
      <c r="U64" t="s">
        <v>57</v>
      </c>
      <c r="V64">
        <v>4.9400000000000004</v>
      </c>
      <c r="W64">
        <v>4.3600000000000003</v>
      </c>
      <c r="X64">
        <v>2.1</v>
      </c>
      <c r="Y64">
        <v>22.6</v>
      </c>
      <c r="Z64">
        <v>17.8</v>
      </c>
      <c r="AA64">
        <f>VALUE(SUBSTITUTE(DACS19___Pfizer’s_Personalised_Medicine_in[[#This Row],[Dose]],"mg",""))</f>
        <v>50</v>
      </c>
      <c r="AB64">
        <f t="shared" si="0"/>
        <v>50</v>
      </c>
      <c r="AC64" t="s">
        <v>40</v>
      </c>
      <c r="AD64">
        <f t="shared" si="1"/>
        <v>3</v>
      </c>
      <c r="AE64">
        <f t="shared" si="2"/>
        <v>1</v>
      </c>
      <c r="AF64" t="e">
        <f t="shared" si="3"/>
        <v>#N/A</v>
      </c>
      <c r="AG64">
        <f t="shared" si="4"/>
        <v>4.3600000000000003</v>
      </c>
      <c r="AH64" t="e">
        <f t="shared" si="5"/>
        <v>#N/A</v>
      </c>
      <c r="AI64" t="e">
        <f t="shared" si="6"/>
        <v>#N/A</v>
      </c>
    </row>
    <row r="65" spans="1:35" x14ac:dyDescent="0.45">
      <c r="A65" t="s">
        <v>367</v>
      </c>
      <c r="B65">
        <v>66</v>
      </c>
      <c r="C65" t="s">
        <v>44</v>
      </c>
      <c r="D65" t="s">
        <v>45</v>
      </c>
      <c r="E65" t="s">
        <v>78</v>
      </c>
      <c r="F65" t="s">
        <v>47</v>
      </c>
      <c r="G65" t="s">
        <v>80</v>
      </c>
      <c r="H65" t="s">
        <v>71</v>
      </c>
      <c r="I65" t="s">
        <v>72</v>
      </c>
      <c r="J65" t="s">
        <v>368</v>
      </c>
      <c r="K65" t="s">
        <v>369</v>
      </c>
      <c r="L65" t="s">
        <v>64</v>
      </c>
      <c r="M65" t="s">
        <v>2614</v>
      </c>
      <c r="N65" t="s">
        <v>370</v>
      </c>
      <c r="O65" t="s">
        <v>64</v>
      </c>
      <c r="P65" t="s">
        <v>39</v>
      </c>
      <c r="Q65" t="s">
        <v>129</v>
      </c>
      <c r="R65">
        <v>117</v>
      </c>
      <c r="S65">
        <v>1</v>
      </c>
      <c r="T65" t="s">
        <v>41</v>
      </c>
      <c r="U65" t="s">
        <v>57</v>
      </c>
      <c r="V65">
        <v>3.08</v>
      </c>
      <c r="W65">
        <v>3.37</v>
      </c>
      <c r="X65">
        <v>4.5999999999999996</v>
      </c>
      <c r="Y65">
        <v>7</v>
      </c>
      <c r="Z65">
        <v>8.6999999999999993</v>
      </c>
      <c r="AA65">
        <f>VALUE(SUBSTITUTE(DACS19___Pfizer’s_Personalised_Medicine_in[[#This Row],[Dose]],"mg",""))</f>
        <v>150</v>
      </c>
      <c r="AB65">
        <f t="shared" si="0"/>
        <v>150</v>
      </c>
      <c r="AC65" t="s">
        <v>129</v>
      </c>
      <c r="AD65">
        <f t="shared" si="1"/>
        <v>4</v>
      </c>
      <c r="AE65">
        <f t="shared" si="2"/>
        <v>3</v>
      </c>
      <c r="AF65" t="e">
        <f t="shared" si="3"/>
        <v>#N/A</v>
      </c>
      <c r="AG65">
        <f t="shared" si="4"/>
        <v>3.37</v>
      </c>
      <c r="AH65" t="e">
        <f t="shared" si="5"/>
        <v>#N/A</v>
      </c>
      <c r="AI65" t="e">
        <f t="shared" si="6"/>
        <v>#N/A</v>
      </c>
    </row>
    <row r="66" spans="1:35" x14ac:dyDescent="0.45">
      <c r="A66" t="s">
        <v>371</v>
      </c>
      <c r="B66">
        <v>38</v>
      </c>
      <c r="C66" t="s">
        <v>45</v>
      </c>
      <c r="D66" t="s">
        <v>87</v>
      </c>
      <c r="E66" t="s">
        <v>29</v>
      </c>
      <c r="F66" t="s">
        <v>2614</v>
      </c>
      <c r="G66" t="s">
        <v>125</v>
      </c>
      <c r="H66" t="s">
        <v>32</v>
      </c>
      <c r="I66" t="s">
        <v>33</v>
      </c>
      <c r="J66" t="s">
        <v>372</v>
      </c>
      <c r="K66" t="s">
        <v>373</v>
      </c>
      <c r="L66" t="s">
        <v>36</v>
      </c>
      <c r="M66" t="s">
        <v>129</v>
      </c>
      <c r="N66" t="s">
        <v>374</v>
      </c>
      <c r="O66" t="s">
        <v>36</v>
      </c>
      <c r="P66" t="s">
        <v>55</v>
      </c>
      <c r="Q66" t="s">
        <v>67</v>
      </c>
      <c r="R66">
        <v>78</v>
      </c>
      <c r="S66">
        <v>0</v>
      </c>
      <c r="T66" t="s">
        <v>56</v>
      </c>
      <c r="U66" t="s">
        <v>57</v>
      </c>
      <c r="V66">
        <v>4.21</v>
      </c>
      <c r="W66">
        <v>1.02</v>
      </c>
      <c r="X66">
        <v>4</v>
      </c>
      <c r="Y66">
        <v>13.2</v>
      </c>
      <c r="Z66">
        <v>12.1</v>
      </c>
      <c r="AA66">
        <f>VALUE(SUBSTITUTE(DACS19___Pfizer’s_Personalised_Medicine_in[[#This Row],[Dose]],"mg",""))</f>
        <v>200</v>
      </c>
      <c r="AB66">
        <f t="shared" ref="AB66:AB129" si="7">VALUE(SUBSTITUTE(O66,"mg",""))</f>
        <v>200</v>
      </c>
      <c r="AC66" t="s">
        <v>67</v>
      </c>
      <c r="AD66">
        <f t="shared" ref="AD66:AD129" si="8">IF(Q66="","",IF(Q66="Dizziness",1,IF(Q66="Fatigue",2,IF(Q66="Headache",3,IF(Q66="Nausea",4,IF(Q66="Not Reported",0,""))))))</f>
        <v>2</v>
      </c>
      <c r="AE66">
        <f t="shared" ref="AE66:AE129" si="9">IF(P66="Deteriorated",1,IF(P66="No Change",2,IF(P66="Improved",3,0)))</f>
        <v>2</v>
      </c>
      <c r="AF66" t="e">
        <f t="shared" ref="AF66:AF129" si="10">IF($H66="DrugA",$W66,NA())</f>
        <v>#N/A</v>
      </c>
      <c r="AG66" t="e">
        <f t="shared" ref="AG66:AG129" si="11">IF($H66="DrugB",$W66,NA())</f>
        <v>#N/A</v>
      </c>
      <c r="AH66">
        <f t="shared" ref="AH66:AH129" si="12">IF($H66="DrugC",$W66,NA())</f>
        <v>1.02</v>
      </c>
      <c r="AI66" t="e">
        <f t="shared" ref="AI66:AI129" si="13">IF($H66="DrugD",$W66,NA())</f>
        <v>#N/A</v>
      </c>
    </row>
    <row r="67" spans="1:35" x14ac:dyDescent="0.45">
      <c r="A67" t="s">
        <v>375</v>
      </c>
      <c r="B67">
        <v>54</v>
      </c>
      <c r="C67" t="s">
        <v>44</v>
      </c>
      <c r="D67" t="s">
        <v>106</v>
      </c>
      <c r="E67" t="s">
        <v>163</v>
      </c>
      <c r="F67" t="s">
        <v>69</v>
      </c>
      <c r="G67" t="s">
        <v>178</v>
      </c>
      <c r="H67" t="s">
        <v>81</v>
      </c>
      <c r="I67" t="s">
        <v>72</v>
      </c>
      <c r="J67" t="s">
        <v>376</v>
      </c>
      <c r="K67" t="s">
        <v>377</v>
      </c>
      <c r="L67" t="s">
        <v>92</v>
      </c>
      <c r="M67" t="s">
        <v>378</v>
      </c>
      <c r="N67" t="s">
        <v>379</v>
      </c>
      <c r="O67" t="s">
        <v>92</v>
      </c>
      <c r="P67" t="s">
        <v>39</v>
      </c>
      <c r="Q67" t="s">
        <v>129</v>
      </c>
      <c r="R67">
        <v>82</v>
      </c>
      <c r="S67">
        <v>1</v>
      </c>
      <c r="T67" t="s">
        <v>41</v>
      </c>
      <c r="U67" t="s">
        <v>57</v>
      </c>
      <c r="V67">
        <v>4.68</v>
      </c>
      <c r="W67">
        <v>2.39</v>
      </c>
      <c r="X67">
        <v>4.0999999999999996</v>
      </c>
      <c r="Y67">
        <v>19.3</v>
      </c>
      <c r="Z67">
        <v>10.7</v>
      </c>
      <c r="AA67">
        <f>VALUE(SUBSTITUTE(DACS19___Pfizer’s_Personalised_Medicine_in[[#This Row],[Dose]],"mg",""))</f>
        <v>50</v>
      </c>
      <c r="AB67">
        <f t="shared" si="7"/>
        <v>50</v>
      </c>
      <c r="AC67" t="s">
        <v>129</v>
      </c>
      <c r="AD67">
        <f t="shared" si="8"/>
        <v>4</v>
      </c>
      <c r="AE67">
        <f t="shared" si="9"/>
        <v>3</v>
      </c>
      <c r="AF67" t="e">
        <f t="shared" si="10"/>
        <v>#N/A</v>
      </c>
      <c r="AG67" t="e">
        <f t="shared" si="11"/>
        <v>#N/A</v>
      </c>
      <c r="AH67" t="e">
        <f t="shared" si="12"/>
        <v>#N/A</v>
      </c>
      <c r="AI67">
        <f t="shared" si="13"/>
        <v>2.39</v>
      </c>
    </row>
    <row r="68" spans="1:35" x14ac:dyDescent="0.45">
      <c r="A68" t="s">
        <v>380</v>
      </c>
      <c r="B68">
        <v>28</v>
      </c>
      <c r="C68" t="s">
        <v>44</v>
      </c>
      <c r="D68" t="s">
        <v>87</v>
      </c>
      <c r="E68" t="s">
        <v>2614</v>
      </c>
      <c r="F68" t="s">
        <v>2614</v>
      </c>
      <c r="G68" t="s">
        <v>70</v>
      </c>
      <c r="H68" t="s">
        <v>81</v>
      </c>
      <c r="I68" t="s">
        <v>132</v>
      </c>
      <c r="J68" t="s">
        <v>381</v>
      </c>
      <c r="K68" t="s">
        <v>382</v>
      </c>
      <c r="L68" t="s">
        <v>52</v>
      </c>
      <c r="M68" t="s">
        <v>2627</v>
      </c>
      <c r="N68" t="s">
        <v>383</v>
      </c>
      <c r="O68" t="s">
        <v>52</v>
      </c>
      <c r="P68" t="s">
        <v>55</v>
      </c>
      <c r="Q68" t="s">
        <v>129</v>
      </c>
      <c r="R68">
        <v>97</v>
      </c>
      <c r="S68">
        <v>0</v>
      </c>
      <c r="T68" t="s">
        <v>56</v>
      </c>
      <c r="U68" t="s">
        <v>57</v>
      </c>
      <c r="V68">
        <v>1.9</v>
      </c>
      <c r="W68">
        <v>2.81</v>
      </c>
      <c r="X68">
        <v>2.2999999999999998</v>
      </c>
      <c r="Y68">
        <v>9.1999999999999993</v>
      </c>
      <c r="Z68">
        <v>11.5</v>
      </c>
      <c r="AA68">
        <f>VALUE(SUBSTITUTE(DACS19___Pfizer’s_Personalised_Medicine_in[[#This Row],[Dose]],"mg",""))</f>
        <v>100</v>
      </c>
      <c r="AB68">
        <f t="shared" si="7"/>
        <v>100</v>
      </c>
      <c r="AC68" t="s">
        <v>129</v>
      </c>
      <c r="AD68">
        <f t="shared" si="8"/>
        <v>4</v>
      </c>
      <c r="AE68">
        <f t="shared" si="9"/>
        <v>2</v>
      </c>
      <c r="AF68" t="e">
        <f t="shared" si="10"/>
        <v>#N/A</v>
      </c>
      <c r="AG68" t="e">
        <f t="shared" si="11"/>
        <v>#N/A</v>
      </c>
      <c r="AH68" t="e">
        <f t="shared" si="12"/>
        <v>#N/A</v>
      </c>
      <c r="AI68">
        <f t="shared" si="13"/>
        <v>2.81</v>
      </c>
    </row>
    <row r="69" spans="1:35" x14ac:dyDescent="0.45">
      <c r="A69" t="s">
        <v>384</v>
      </c>
      <c r="B69">
        <v>51</v>
      </c>
      <c r="C69" t="s">
        <v>27</v>
      </c>
      <c r="D69" t="s">
        <v>28</v>
      </c>
      <c r="E69" t="s">
        <v>29</v>
      </c>
      <c r="F69" t="s">
        <v>88</v>
      </c>
      <c r="G69" t="s">
        <v>125</v>
      </c>
      <c r="H69" t="s">
        <v>32</v>
      </c>
      <c r="I69" t="s">
        <v>33</v>
      </c>
      <c r="J69" t="s">
        <v>385</v>
      </c>
      <c r="K69" t="s">
        <v>386</v>
      </c>
      <c r="L69" t="s">
        <v>36</v>
      </c>
      <c r="M69" t="s">
        <v>2631</v>
      </c>
      <c r="N69" t="s">
        <v>387</v>
      </c>
      <c r="O69" t="s">
        <v>36</v>
      </c>
      <c r="P69" t="s">
        <v>55</v>
      </c>
      <c r="Q69" t="s">
        <v>2614</v>
      </c>
      <c r="R69">
        <v>50</v>
      </c>
      <c r="S69">
        <v>0</v>
      </c>
      <c r="T69" t="s">
        <v>56</v>
      </c>
      <c r="U69" t="s">
        <v>42</v>
      </c>
      <c r="V69">
        <v>2.68</v>
      </c>
      <c r="W69">
        <v>4.66</v>
      </c>
      <c r="X69">
        <v>4.3</v>
      </c>
      <c r="Y69">
        <v>16.5</v>
      </c>
      <c r="Z69">
        <v>13.7</v>
      </c>
      <c r="AA69">
        <f>VALUE(SUBSTITUTE(DACS19___Pfizer’s_Personalised_Medicine_in[[#This Row],[Dose]],"mg",""))</f>
        <v>200</v>
      </c>
      <c r="AB69">
        <f t="shared" si="7"/>
        <v>200</v>
      </c>
      <c r="AC69" t="s">
        <v>2614</v>
      </c>
      <c r="AD69">
        <f t="shared" si="8"/>
        <v>0</v>
      </c>
      <c r="AE69">
        <f t="shared" si="9"/>
        <v>2</v>
      </c>
      <c r="AF69" t="e">
        <f t="shared" si="10"/>
        <v>#N/A</v>
      </c>
      <c r="AG69" t="e">
        <f t="shared" si="11"/>
        <v>#N/A</v>
      </c>
      <c r="AH69">
        <f t="shared" si="12"/>
        <v>4.66</v>
      </c>
      <c r="AI69" t="e">
        <f t="shared" si="13"/>
        <v>#N/A</v>
      </c>
    </row>
    <row r="70" spans="1:35" x14ac:dyDescent="0.45">
      <c r="A70" t="s">
        <v>388</v>
      </c>
      <c r="B70">
        <v>82</v>
      </c>
      <c r="C70" t="s">
        <v>45</v>
      </c>
      <c r="D70" t="s">
        <v>45</v>
      </c>
      <c r="E70" t="s">
        <v>29</v>
      </c>
      <c r="F70" t="s">
        <v>2614</v>
      </c>
      <c r="G70" t="s">
        <v>152</v>
      </c>
      <c r="H70" t="s">
        <v>71</v>
      </c>
      <c r="I70" t="s">
        <v>49</v>
      </c>
      <c r="J70" t="s">
        <v>389</v>
      </c>
      <c r="K70" t="s">
        <v>390</v>
      </c>
      <c r="L70" t="s">
        <v>52</v>
      </c>
      <c r="M70" t="s">
        <v>129</v>
      </c>
      <c r="N70" t="s">
        <v>391</v>
      </c>
      <c r="O70" t="s">
        <v>52</v>
      </c>
      <c r="P70" t="s">
        <v>39</v>
      </c>
      <c r="Q70" t="s">
        <v>40</v>
      </c>
      <c r="R70">
        <v>81</v>
      </c>
      <c r="S70">
        <v>1</v>
      </c>
      <c r="T70" t="s">
        <v>41</v>
      </c>
      <c r="U70" t="s">
        <v>57</v>
      </c>
      <c r="V70">
        <v>1.05</v>
      </c>
      <c r="W70">
        <v>3.65</v>
      </c>
      <c r="X70">
        <v>2.6</v>
      </c>
      <c r="Y70">
        <v>23.3</v>
      </c>
      <c r="Z70">
        <v>5.5</v>
      </c>
      <c r="AA70">
        <f>VALUE(SUBSTITUTE(DACS19___Pfizer’s_Personalised_Medicine_in[[#This Row],[Dose]],"mg",""))</f>
        <v>100</v>
      </c>
      <c r="AB70">
        <f t="shared" si="7"/>
        <v>100</v>
      </c>
      <c r="AC70" t="s">
        <v>40</v>
      </c>
      <c r="AD70">
        <f t="shared" si="8"/>
        <v>3</v>
      </c>
      <c r="AE70">
        <f t="shared" si="9"/>
        <v>3</v>
      </c>
      <c r="AF70" t="e">
        <f t="shared" si="10"/>
        <v>#N/A</v>
      </c>
      <c r="AG70">
        <f t="shared" si="11"/>
        <v>3.65</v>
      </c>
      <c r="AH70" t="e">
        <f t="shared" si="12"/>
        <v>#N/A</v>
      </c>
      <c r="AI70" t="e">
        <f t="shared" si="13"/>
        <v>#N/A</v>
      </c>
    </row>
    <row r="71" spans="1:35" x14ac:dyDescent="0.45">
      <c r="A71" t="s">
        <v>392</v>
      </c>
      <c r="B71">
        <v>58</v>
      </c>
      <c r="C71" t="s">
        <v>45</v>
      </c>
      <c r="D71" t="s">
        <v>87</v>
      </c>
      <c r="E71" t="s">
        <v>163</v>
      </c>
      <c r="F71" t="s">
        <v>47</v>
      </c>
      <c r="G71" t="s">
        <v>178</v>
      </c>
      <c r="H71" t="s">
        <v>32</v>
      </c>
      <c r="I71" t="s">
        <v>132</v>
      </c>
      <c r="J71" t="s">
        <v>393</v>
      </c>
      <c r="K71" t="s">
        <v>394</v>
      </c>
      <c r="L71" t="s">
        <v>36</v>
      </c>
      <c r="M71" t="s">
        <v>40</v>
      </c>
      <c r="N71" t="s">
        <v>116</v>
      </c>
      <c r="O71" t="s">
        <v>36</v>
      </c>
      <c r="P71" t="s">
        <v>39</v>
      </c>
      <c r="Q71" t="s">
        <v>75</v>
      </c>
      <c r="R71">
        <v>180</v>
      </c>
      <c r="S71">
        <v>1</v>
      </c>
      <c r="T71" t="s">
        <v>85</v>
      </c>
      <c r="U71" t="s">
        <v>42</v>
      </c>
      <c r="V71">
        <v>2.66</v>
      </c>
      <c r="W71">
        <v>1.34</v>
      </c>
      <c r="X71">
        <v>10</v>
      </c>
      <c r="Y71">
        <v>15</v>
      </c>
      <c r="Z71">
        <v>13.1</v>
      </c>
      <c r="AA71">
        <f>VALUE(SUBSTITUTE(DACS19___Pfizer’s_Personalised_Medicine_in[[#This Row],[Dose]],"mg",""))</f>
        <v>200</v>
      </c>
      <c r="AB71">
        <f t="shared" si="7"/>
        <v>200</v>
      </c>
      <c r="AC71" t="s">
        <v>75</v>
      </c>
      <c r="AD71">
        <f t="shared" si="8"/>
        <v>1</v>
      </c>
      <c r="AE71">
        <f t="shared" si="9"/>
        <v>3</v>
      </c>
      <c r="AF71" t="e">
        <f t="shared" si="10"/>
        <v>#N/A</v>
      </c>
      <c r="AG71" t="e">
        <f t="shared" si="11"/>
        <v>#N/A</v>
      </c>
      <c r="AH71">
        <f t="shared" si="12"/>
        <v>1.34</v>
      </c>
      <c r="AI71" t="e">
        <f t="shared" si="13"/>
        <v>#N/A</v>
      </c>
    </row>
    <row r="72" spans="1:35" x14ac:dyDescent="0.45">
      <c r="A72" t="s">
        <v>395</v>
      </c>
      <c r="B72">
        <v>31</v>
      </c>
      <c r="C72" t="s">
        <v>45</v>
      </c>
      <c r="D72" t="s">
        <v>87</v>
      </c>
      <c r="E72" t="s">
        <v>2614</v>
      </c>
      <c r="F72" t="s">
        <v>2614</v>
      </c>
      <c r="G72" t="s">
        <v>194</v>
      </c>
      <c r="H72" t="s">
        <v>81</v>
      </c>
      <c r="I72" t="s">
        <v>132</v>
      </c>
      <c r="J72" t="s">
        <v>396</v>
      </c>
      <c r="K72" t="s">
        <v>397</v>
      </c>
      <c r="L72" t="s">
        <v>36</v>
      </c>
      <c r="M72" t="s">
        <v>67</v>
      </c>
      <c r="N72" t="s">
        <v>398</v>
      </c>
      <c r="O72" t="s">
        <v>36</v>
      </c>
      <c r="P72" t="s">
        <v>55</v>
      </c>
      <c r="Q72" t="s">
        <v>67</v>
      </c>
      <c r="R72">
        <v>132</v>
      </c>
      <c r="S72">
        <v>0</v>
      </c>
      <c r="T72" t="s">
        <v>123</v>
      </c>
      <c r="U72" t="s">
        <v>57</v>
      </c>
      <c r="V72">
        <v>1.27</v>
      </c>
      <c r="W72">
        <v>4</v>
      </c>
      <c r="X72">
        <v>2.9</v>
      </c>
      <c r="Y72">
        <v>22.2</v>
      </c>
      <c r="Z72">
        <v>6.5</v>
      </c>
      <c r="AA72">
        <f>VALUE(SUBSTITUTE(DACS19___Pfizer’s_Personalised_Medicine_in[[#This Row],[Dose]],"mg",""))</f>
        <v>200</v>
      </c>
      <c r="AB72">
        <f t="shared" si="7"/>
        <v>200</v>
      </c>
      <c r="AC72" t="s">
        <v>67</v>
      </c>
      <c r="AD72">
        <f t="shared" si="8"/>
        <v>2</v>
      </c>
      <c r="AE72">
        <f t="shared" si="9"/>
        <v>2</v>
      </c>
      <c r="AF72" t="e">
        <f t="shared" si="10"/>
        <v>#N/A</v>
      </c>
      <c r="AG72" t="e">
        <f t="shared" si="11"/>
        <v>#N/A</v>
      </c>
      <c r="AH72" t="e">
        <f t="shared" si="12"/>
        <v>#N/A</v>
      </c>
      <c r="AI72">
        <f t="shared" si="13"/>
        <v>4</v>
      </c>
    </row>
    <row r="73" spans="1:35" x14ac:dyDescent="0.45">
      <c r="A73" t="s">
        <v>399</v>
      </c>
      <c r="B73">
        <v>60</v>
      </c>
      <c r="C73" t="s">
        <v>45</v>
      </c>
      <c r="D73" t="s">
        <v>106</v>
      </c>
      <c r="E73" t="s">
        <v>163</v>
      </c>
      <c r="F73" t="s">
        <v>2614</v>
      </c>
      <c r="G73" t="s">
        <v>184</v>
      </c>
      <c r="H73" t="s">
        <v>32</v>
      </c>
      <c r="I73" t="s">
        <v>49</v>
      </c>
      <c r="J73" t="s">
        <v>400</v>
      </c>
      <c r="K73" t="s">
        <v>401</v>
      </c>
      <c r="L73" t="s">
        <v>36</v>
      </c>
      <c r="M73" t="s">
        <v>160</v>
      </c>
      <c r="N73" t="s">
        <v>100</v>
      </c>
      <c r="O73" t="s">
        <v>36</v>
      </c>
      <c r="P73" t="s">
        <v>110</v>
      </c>
      <c r="Q73" t="s">
        <v>40</v>
      </c>
      <c r="R73">
        <v>112</v>
      </c>
      <c r="S73">
        <v>0</v>
      </c>
      <c r="T73" t="s">
        <v>137</v>
      </c>
      <c r="U73" t="s">
        <v>57</v>
      </c>
      <c r="V73">
        <v>1.76</v>
      </c>
      <c r="W73">
        <v>1.1499999999999999</v>
      </c>
      <c r="X73">
        <v>5.2</v>
      </c>
      <c r="Y73">
        <v>16.2</v>
      </c>
      <c r="Z73">
        <v>4.0999999999999996</v>
      </c>
      <c r="AA73">
        <f>VALUE(SUBSTITUTE(DACS19___Pfizer’s_Personalised_Medicine_in[[#This Row],[Dose]],"mg",""))</f>
        <v>200</v>
      </c>
      <c r="AB73">
        <f t="shared" si="7"/>
        <v>200</v>
      </c>
      <c r="AC73" t="s">
        <v>40</v>
      </c>
      <c r="AD73">
        <f t="shared" si="8"/>
        <v>3</v>
      </c>
      <c r="AE73">
        <f t="shared" si="9"/>
        <v>1</v>
      </c>
      <c r="AF73" t="e">
        <f t="shared" si="10"/>
        <v>#N/A</v>
      </c>
      <c r="AG73" t="e">
        <f t="shared" si="11"/>
        <v>#N/A</v>
      </c>
      <c r="AH73">
        <f t="shared" si="12"/>
        <v>1.1499999999999999</v>
      </c>
      <c r="AI73" t="e">
        <f t="shared" si="13"/>
        <v>#N/A</v>
      </c>
    </row>
    <row r="74" spans="1:35" x14ac:dyDescent="0.45">
      <c r="A74" t="s">
        <v>402</v>
      </c>
      <c r="B74">
        <v>29</v>
      </c>
      <c r="C74" t="s">
        <v>27</v>
      </c>
      <c r="D74" t="s">
        <v>95</v>
      </c>
      <c r="E74" t="s">
        <v>46</v>
      </c>
      <c r="F74" t="s">
        <v>2614</v>
      </c>
      <c r="G74" t="s">
        <v>48</v>
      </c>
      <c r="H74" t="s">
        <v>81</v>
      </c>
      <c r="I74" t="s">
        <v>132</v>
      </c>
      <c r="J74" t="s">
        <v>403</v>
      </c>
      <c r="K74" t="s">
        <v>404</v>
      </c>
      <c r="L74" t="s">
        <v>92</v>
      </c>
      <c r="M74" t="s">
        <v>378</v>
      </c>
      <c r="N74" t="s">
        <v>227</v>
      </c>
      <c r="O74" t="s">
        <v>92</v>
      </c>
      <c r="P74" t="s">
        <v>110</v>
      </c>
      <c r="Q74" t="s">
        <v>75</v>
      </c>
      <c r="R74">
        <v>37</v>
      </c>
      <c r="S74">
        <v>0</v>
      </c>
      <c r="T74" t="s">
        <v>41</v>
      </c>
      <c r="U74" t="s">
        <v>42</v>
      </c>
      <c r="V74">
        <v>4.0999999999999996</v>
      </c>
      <c r="W74">
        <v>2.81</v>
      </c>
      <c r="X74">
        <v>5.7</v>
      </c>
      <c r="Y74">
        <v>13.9</v>
      </c>
      <c r="Z74">
        <v>9.8000000000000007</v>
      </c>
      <c r="AA74">
        <f>VALUE(SUBSTITUTE(DACS19___Pfizer’s_Personalised_Medicine_in[[#This Row],[Dose]],"mg",""))</f>
        <v>50</v>
      </c>
      <c r="AB74">
        <f t="shared" si="7"/>
        <v>50</v>
      </c>
      <c r="AC74" t="s">
        <v>75</v>
      </c>
      <c r="AD74">
        <f t="shared" si="8"/>
        <v>1</v>
      </c>
      <c r="AE74">
        <f t="shared" si="9"/>
        <v>1</v>
      </c>
      <c r="AF74" t="e">
        <f t="shared" si="10"/>
        <v>#N/A</v>
      </c>
      <c r="AG74" t="e">
        <f t="shared" si="11"/>
        <v>#N/A</v>
      </c>
      <c r="AH74" t="e">
        <f t="shared" si="12"/>
        <v>#N/A</v>
      </c>
      <c r="AI74">
        <f t="shared" si="13"/>
        <v>2.81</v>
      </c>
    </row>
    <row r="75" spans="1:35" x14ac:dyDescent="0.45">
      <c r="A75" t="s">
        <v>405</v>
      </c>
      <c r="B75">
        <v>43</v>
      </c>
      <c r="C75" t="s">
        <v>27</v>
      </c>
      <c r="D75" t="s">
        <v>106</v>
      </c>
      <c r="E75" t="s">
        <v>163</v>
      </c>
      <c r="F75" t="s">
        <v>59</v>
      </c>
      <c r="G75" t="s">
        <v>89</v>
      </c>
      <c r="H75" t="s">
        <v>32</v>
      </c>
      <c r="I75" t="s">
        <v>132</v>
      </c>
      <c r="J75" t="s">
        <v>406</v>
      </c>
      <c r="K75" t="s">
        <v>407</v>
      </c>
      <c r="L75" t="s">
        <v>92</v>
      </c>
      <c r="M75" t="s">
        <v>221</v>
      </c>
      <c r="N75" t="s">
        <v>408</v>
      </c>
      <c r="O75" t="s">
        <v>92</v>
      </c>
      <c r="P75" t="s">
        <v>110</v>
      </c>
      <c r="Q75" t="s">
        <v>40</v>
      </c>
      <c r="R75">
        <v>75</v>
      </c>
      <c r="S75">
        <v>0</v>
      </c>
      <c r="T75" t="s">
        <v>56</v>
      </c>
      <c r="U75" t="s">
        <v>57</v>
      </c>
      <c r="V75">
        <v>3.24</v>
      </c>
      <c r="W75">
        <v>1.62</v>
      </c>
      <c r="X75">
        <v>2.6</v>
      </c>
      <c r="Y75">
        <v>21.5</v>
      </c>
      <c r="Z75">
        <v>19.100000000000001</v>
      </c>
      <c r="AA75">
        <f>VALUE(SUBSTITUTE(DACS19___Pfizer’s_Personalised_Medicine_in[[#This Row],[Dose]],"mg",""))</f>
        <v>50</v>
      </c>
      <c r="AB75">
        <f t="shared" si="7"/>
        <v>50</v>
      </c>
      <c r="AC75" t="s">
        <v>40</v>
      </c>
      <c r="AD75">
        <f t="shared" si="8"/>
        <v>3</v>
      </c>
      <c r="AE75">
        <f t="shared" si="9"/>
        <v>1</v>
      </c>
      <c r="AF75" t="e">
        <f t="shared" si="10"/>
        <v>#N/A</v>
      </c>
      <c r="AG75" t="e">
        <f t="shared" si="11"/>
        <v>#N/A</v>
      </c>
      <c r="AH75">
        <f t="shared" si="12"/>
        <v>1.62</v>
      </c>
      <c r="AI75" t="e">
        <f t="shared" si="13"/>
        <v>#N/A</v>
      </c>
    </row>
    <row r="76" spans="1:35" x14ac:dyDescent="0.45">
      <c r="A76" t="s">
        <v>409</v>
      </c>
      <c r="B76">
        <v>62</v>
      </c>
      <c r="C76" t="s">
        <v>27</v>
      </c>
      <c r="D76" t="s">
        <v>28</v>
      </c>
      <c r="E76" t="s">
        <v>163</v>
      </c>
      <c r="F76" t="s">
        <v>47</v>
      </c>
      <c r="G76" t="s">
        <v>118</v>
      </c>
      <c r="H76" t="s">
        <v>71</v>
      </c>
      <c r="I76" t="s">
        <v>72</v>
      </c>
      <c r="J76" t="s">
        <v>410</v>
      </c>
      <c r="K76" t="s">
        <v>411</v>
      </c>
      <c r="L76" t="s">
        <v>52</v>
      </c>
      <c r="M76" t="s">
        <v>187</v>
      </c>
      <c r="N76" t="s">
        <v>412</v>
      </c>
      <c r="O76" t="s">
        <v>52</v>
      </c>
      <c r="P76" t="s">
        <v>110</v>
      </c>
      <c r="Q76" t="s">
        <v>129</v>
      </c>
      <c r="R76">
        <v>151</v>
      </c>
      <c r="S76">
        <v>0</v>
      </c>
      <c r="T76" t="s">
        <v>41</v>
      </c>
      <c r="U76" t="s">
        <v>42</v>
      </c>
      <c r="V76">
        <v>2.4900000000000002</v>
      </c>
      <c r="W76">
        <v>2.08</v>
      </c>
      <c r="X76">
        <v>6.8</v>
      </c>
      <c r="Y76">
        <v>13.4</v>
      </c>
      <c r="Z76">
        <v>3.4</v>
      </c>
      <c r="AA76">
        <f>VALUE(SUBSTITUTE(DACS19___Pfizer’s_Personalised_Medicine_in[[#This Row],[Dose]],"mg",""))</f>
        <v>100</v>
      </c>
      <c r="AB76">
        <f t="shared" si="7"/>
        <v>100</v>
      </c>
      <c r="AC76" t="s">
        <v>129</v>
      </c>
      <c r="AD76">
        <f t="shared" si="8"/>
        <v>4</v>
      </c>
      <c r="AE76">
        <f t="shared" si="9"/>
        <v>1</v>
      </c>
      <c r="AF76" t="e">
        <f t="shared" si="10"/>
        <v>#N/A</v>
      </c>
      <c r="AG76">
        <f t="shared" si="11"/>
        <v>2.08</v>
      </c>
      <c r="AH76" t="e">
        <f t="shared" si="12"/>
        <v>#N/A</v>
      </c>
      <c r="AI76" t="e">
        <f t="shared" si="13"/>
        <v>#N/A</v>
      </c>
    </row>
    <row r="77" spans="1:35" x14ac:dyDescent="0.45">
      <c r="A77" t="s">
        <v>413</v>
      </c>
      <c r="B77">
        <v>19</v>
      </c>
      <c r="C77" t="s">
        <v>27</v>
      </c>
      <c r="D77" t="s">
        <v>28</v>
      </c>
      <c r="E77" t="s">
        <v>29</v>
      </c>
      <c r="F77" t="s">
        <v>2614</v>
      </c>
      <c r="G77" t="s">
        <v>276</v>
      </c>
      <c r="H77" t="s">
        <v>32</v>
      </c>
      <c r="I77" t="s">
        <v>33</v>
      </c>
      <c r="J77" t="s">
        <v>414</v>
      </c>
      <c r="K77" t="s">
        <v>415</v>
      </c>
      <c r="L77" t="s">
        <v>52</v>
      </c>
      <c r="M77" t="s">
        <v>2628</v>
      </c>
      <c r="N77" t="s">
        <v>416</v>
      </c>
      <c r="O77" t="s">
        <v>52</v>
      </c>
      <c r="P77" t="s">
        <v>39</v>
      </c>
      <c r="Q77" t="s">
        <v>129</v>
      </c>
      <c r="R77">
        <v>160</v>
      </c>
      <c r="S77">
        <v>1</v>
      </c>
      <c r="T77" t="s">
        <v>137</v>
      </c>
      <c r="U77" t="s">
        <v>57</v>
      </c>
      <c r="V77">
        <v>1.62</v>
      </c>
      <c r="W77">
        <v>3.86</v>
      </c>
      <c r="X77">
        <v>6.9</v>
      </c>
      <c r="Y77">
        <v>6.5</v>
      </c>
      <c r="Z77">
        <v>6.8</v>
      </c>
      <c r="AA77">
        <f>VALUE(SUBSTITUTE(DACS19___Pfizer’s_Personalised_Medicine_in[[#This Row],[Dose]],"mg",""))</f>
        <v>100</v>
      </c>
      <c r="AB77">
        <f t="shared" si="7"/>
        <v>100</v>
      </c>
      <c r="AC77" t="s">
        <v>129</v>
      </c>
      <c r="AD77">
        <f t="shared" si="8"/>
        <v>4</v>
      </c>
      <c r="AE77">
        <f t="shared" si="9"/>
        <v>3</v>
      </c>
      <c r="AF77" t="e">
        <f t="shared" si="10"/>
        <v>#N/A</v>
      </c>
      <c r="AG77" t="e">
        <f t="shared" si="11"/>
        <v>#N/A</v>
      </c>
      <c r="AH77">
        <f t="shared" si="12"/>
        <v>3.86</v>
      </c>
      <c r="AI77" t="e">
        <f t="shared" si="13"/>
        <v>#N/A</v>
      </c>
    </row>
    <row r="78" spans="1:35" x14ac:dyDescent="0.45">
      <c r="A78" t="s">
        <v>417</v>
      </c>
      <c r="B78">
        <v>56</v>
      </c>
      <c r="C78" t="s">
        <v>45</v>
      </c>
      <c r="D78" t="s">
        <v>87</v>
      </c>
      <c r="E78" t="s">
        <v>78</v>
      </c>
      <c r="F78" t="s">
        <v>59</v>
      </c>
      <c r="G78" t="s">
        <v>31</v>
      </c>
      <c r="H78" t="s">
        <v>32</v>
      </c>
      <c r="I78" t="s">
        <v>132</v>
      </c>
      <c r="J78" t="s">
        <v>418</v>
      </c>
      <c r="K78" t="s">
        <v>419</v>
      </c>
      <c r="L78" t="s">
        <v>52</v>
      </c>
      <c r="M78" t="s">
        <v>75</v>
      </c>
      <c r="N78" t="s">
        <v>217</v>
      </c>
      <c r="O78" t="s">
        <v>52</v>
      </c>
      <c r="P78" t="s">
        <v>110</v>
      </c>
      <c r="Q78" t="s">
        <v>2614</v>
      </c>
      <c r="R78">
        <v>65</v>
      </c>
      <c r="S78">
        <v>0</v>
      </c>
      <c r="T78" t="s">
        <v>123</v>
      </c>
      <c r="U78" t="s">
        <v>57</v>
      </c>
      <c r="V78">
        <v>1.92</v>
      </c>
      <c r="W78">
        <v>3.69</v>
      </c>
      <c r="X78">
        <v>1.2</v>
      </c>
      <c r="Y78">
        <v>7.9</v>
      </c>
      <c r="Z78">
        <v>16.600000000000001</v>
      </c>
      <c r="AA78">
        <f>VALUE(SUBSTITUTE(DACS19___Pfizer’s_Personalised_Medicine_in[[#This Row],[Dose]],"mg",""))</f>
        <v>100</v>
      </c>
      <c r="AB78">
        <f t="shared" si="7"/>
        <v>100</v>
      </c>
      <c r="AC78" t="s">
        <v>2614</v>
      </c>
      <c r="AD78">
        <f t="shared" si="8"/>
        <v>0</v>
      </c>
      <c r="AE78">
        <f t="shared" si="9"/>
        <v>1</v>
      </c>
      <c r="AF78" t="e">
        <f t="shared" si="10"/>
        <v>#N/A</v>
      </c>
      <c r="AG78" t="e">
        <f t="shared" si="11"/>
        <v>#N/A</v>
      </c>
      <c r="AH78">
        <f t="shared" si="12"/>
        <v>3.69</v>
      </c>
      <c r="AI78" t="e">
        <f t="shared" si="13"/>
        <v>#N/A</v>
      </c>
    </row>
    <row r="79" spans="1:35" x14ac:dyDescent="0.45">
      <c r="A79" t="s">
        <v>420</v>
      </c>
      <c r="B79">
        <v>55</v>
      </c>
      <c r="C79" t="s">
        <v>44</v>
      </c>
      <c r="D79" t="s">
        <v>95</v>
      </c>
      <c r="E79" t="s">
        <v>78</v>
      </c>
      <c r="F79" t="s">
        <v>88</v>
      </c>
      <c r="G79" t="s">
        <v>80</v>
      </c>
      <c r="H79" t="s">
        <v>71</v>
      </c>
      <c r="I79" t="s">
        <v>132</v>
      </c>
      <c r="J79" t="s">
        <v>382</v>
      </c>
      <c r="K79" t="s">
        <v>421</v>
      </c>
      <c r="L79" t="s">
        <v>36</v>
      </c>
      <c r="M79" t="s">
        <v>2632</v>
      </c>
      <c r="N79" t="s">
        <v>423</v>
      </c>
      <c r="O79" t="s">
        <v>36</v>
      </c>
      <c r="P79" t="s">
        <v>110</v>
      </c>
      <c r="Q79" t="s">
        <v>67</v>
      </c>
      <c r="R79">
        <v>105</v>
      </c>
      <c r="S79">
        <v>0</v>
      </c>
      <c r="T79" t="s">
        <v>123</v>
      </c>
      <c r="U79" t="s">
        <v>57</v>
      </c>
      <c r="V79">
        <v>1.71</v>
      </c>
      <c r="W79">
        <v>3.61</v>
      </c>
      <c r="X79">
        <v>3.1</v>
      </c>
      <c r="Y79">
        <v>7.8</v>
      </c>
      <c r="Z79">
        <v>7.1</v>
      </c>
      <c r="AA79">
        <f>VALUE(SUBSTITUTE(DACS19___Pfizer’s_Personalised_Medicine_in[[#This Row],[Dose]],"mg",""))</f>
        <v>200</v>
      </c>
      <c r="AB79">
        <f t="shared" si="7"/>
        <v>200</v>
      </c>
      <c r="AC79" t="s">
        <v>67</v>
      </c>
      <c r="AD79">
        <f t="shared" si="8"/>
        <v>2</v>
      </c>
      <c r="AE79">
        <f t="shared" si="9"/>
        <v>1</v>
      </c>
      <c r="AF79" t="e">
        <f t="shared" si="10"/>
        <v>#N/A</v>
      </c>
      <c r="AG79">
        <f t="shared" si="11"/>
        <v>3.61</v>
      </c>
      <c r="AH79" t="e">
        <f t="shared" si="12"/>
        <v>#N/A</v>
      </c>
      <c r="AI79" t="e">
        <f t="shared" si="13"/>
        <v>#N/A</v>
      </c>
    </row>
    <row r="80" spans="1:35" x14ac:dyDescent="0.45">
      <c r="A80" t="s">
        <v>424</v>
      </c>
      <c r="B80">
        <v>34</v>
      </c>
      <c r="C80" t="s">
        <v>45</v>
      </c>
      <c r="D80" t="s">
        <v>28</v>
      </c>
      <c r="E80" t="s">
        <v>29</v>
      </c>
      <c r="F80" t="s">
        <v>2614</v>
      </c>
      <c r="G80" t="s">
        <v>112</v>
      </c>
      <c r="H80" t="s">
        <v>32</v>
      </c>
      <c r="I80" t="s">
        <v>49</v>
      </c>
      <c r="J80" t="s">
        <v>425</v>
      </c>
      <c r="K80" t="s">
        <v>426</v>
      </c>
      <c r="L80" t="s">
        <v>64</v>
      </c>
      <c r="M80" t="s">
        <v>2633</v>
      </c>
      <c r="N80" t="s">
        <v>370</v>
      </c>
      <c r="O80" t="s">
        <v>64</v>
      </c>
      <c r="P80" t="s">
        <v>110</v>
      </c>
      <c r="Q80" t="s">
        <v>2614</v>
      </c>
      <c r="R80">
        <v>148</v>
      </c>
      <c r="S80">
        <v>0</v>
      </c>
      <c r="T80" t="s">
        <v>123</v>
      </c>
      <c r="U80" t="s">
        <v>57</v>
      </c>
      <c r="V80">
        <v>3.89</v>
      </c>
      <c r="W80">
        <v>4.42</v>
      </c>
      <c r="X80">
        <v>8.5</v>
      </c>
      <c r="Y80">
        <v>13.1</v>
      </c>
      <c r="Z80">
        <v>14.4</v>
      </c>
      <c r="AA80">
        <f>VALUE(SUBSTITUTE(DACS19___Pfizer’s_Personalised_Medicine_in[[#This Row],[Dose]],"mg",""))</f>
        <v>150</v>
      </c>
      <c r="AB80">
        <f t="shared" si="7"/>
        <v>150</v>
      </c>
      <c r="AC80" t="s">
        <v>2614</v>
      </c>
      <c r="AD80">
        <f t="shared" si="8"/>
        <v>0</v>
      </c>
      <c r="AE80">
        <f t="shared" si="9"/>
        <v>1</v>
      </c>
      <c r="AF80" t="e">
        <f t="shared" si="10"/>
        <v>#N/A</v>
      </c>
      <c r="AG80" t="e">
        <f t="shared" si="11"/>
        <v>#N/A</v>
      </c>
      <c r="AH80">
        <f t="shared" si="12"/>
        <v>4.42</v>
      </c>
      <c r="AI80" t="e">
        <f t="shared" si="13"/>
        <v>#N/A</v>
      </c>
    </row>
    <row r="81" spans="1:35" x14ac:dyDescent="0.45">
      <c r="A81" t="s">
        <v>428</v>
      </c>
      <c r="B81">
        <v>24</v>
      </c>
      <c r="C81" t="s">
        <v>45</v>
      </c>
      <c r="D81" t="s">
        <v>45</v>
      </c>
      <c r="E81" t="s">
        <v>29</v>
      </c>
      <c r="F81" t="s">
        <v>2614</v>
      </c>
      <c r="G81" t="s">
        <v>125</v>
      </c>
      <c r="H81" t="s">
        <v>81</v>
      </c>
      <c r="I81" t="s">
        <v>72</v>
      </c>
      <c r="J81" t="s">
        <v>429</v>
      </c>
      <c r="K81" t="s">
        <v>430</v>
      </c>
      <c r="L81" t="s">
        <v>36</v>
      </c>
      <c r="M81" t="s">
        <v>2634</v>
      </c>
      <c r="N81" t="s">
        <v>116</v>
      </c>
      <c r="O81" t="s">
        <v>36</v>
      </c>
      <c r="P81" t="s">
        <v>39</v>
      </c>
      <c r="Q81" t="s">
        <v>67</v>
      </c>
      <c r="R81">
        <v>117</v>
      </c>
      <c r="S81">
        <v>1</v>
      </c>
      <c r="T81" t="s">
        <v>56</v>
      </c>
      <c r="U81" t="s">
        <v>57</v>
      </c>
      <c r="V81">
        <v>1.82</v>
      </c>
      <c r="W81">
        <v>2.17</v>
      </c>
      <c r="X81">
        <v>9.1</v>
      </c>
      <c r="Y81">
        <v>6.2</v>
      </c>
      <c r="Z81">
        <v>4.5</v>
      </c>
      <c r="AA81">
        <f>VALUE(SUBSTITUTE(DACS19___Pfizer’s_Personalised_Medicine_in[[#This Row],[Dose]],"mg",""))</f>
        <v>200</v>
      </c>
      <c r="AB81">
        <f t="shared" si="7"/>
        <v>200</v>
      </c>
      <c r="AC81" t="s">
        <v>67</v>
      </c>
      <c r="AD81">
        <f t="shared" si="8"/>
        <v>2</v>
      </c>
      <c r="AE81">
        <f t="shared" si="9"/>
        <v>3</v>
      </c>
      <c r="AF81" t="e">
        <f t="shared" si="10"/>
        <v>#N/A</v>
      </c>
      <c r="AG81" t="e">
        <f t="shared" si="11"/>
        <v>#N/A</v>
      </c>
      <c r="AH81" t="e">
        <f t="shared" si="12"/>
        <v>#N/A</v>
      </c>
      <c r="AI81">
        <f t="shared" si="13"/>
        <v>2.17</v>
      </c>
    </row>
    <row r="82" spans="1:35" x14ac:dyDescent="0.45">
      <c r="A82" t="s">
        <v>432</v>
      </c>
      <c r="B82">
        <v>36</v>
      </c>
      <c r="C82" t="s">
        <v>44</v>
      </c>
      <c r="D82" t="s">
        <v>106</v>
      </c>
      <c r="E82" t="s">
        <v>163</v>
      </c>
      <c r="F82" t="s">
        <v>79</v>
      </c>
      <c r="G82" t="s">
        <v>31</v>
      </c>
      <c r="H82" t="s">
        <v>61</v>
      </c>
      <c r="I82" t="s">
        <v>49</v>
      </c>
      <c r="J82" t="s">
        <v>433</v>
      </c>
      <c r="K82" t="s">
        <v>434</v>
      </c>
      <c r="L82" t="s">
        <v>52</v>
      </c>
      <c r="M82" t="s">
        <v>266</v>
      </c>
      <c r="N82" t="s">
        <v>435</v>
      </c>
      <c r="O82" t="s">
        <v>52</v>
      </c>
      <c r="P82" t="s">
        <v>110</v>
      </c>
      <c r="Q82" t="s">
        <v>40</v>
      </c>
      <c r="R82">
        <v>139</v>
      </c>
      <c r="S82">
        <v>0</v>
      </c>
      <c r="T82" t="s">
        <v>56</v>
      </c>
      <c r="U82" t="s">
        <v>57</v>
      </c>
      <c r="V82">
        <v>1.83</v>
      </c>
      <c r="W82">
        <v>1.1100000000000001</v>
      </c>
      <c r="X82">
        <v>2.6</v>
      </c>
      <c r="Y82">
        <v>16.5</v>
      </c>
      <c r="Z82">
        <v>10.199999999999999</v>
      </c>
      <c r="AA82">
        <f>VALUE(SUBSTITUTE(DACS19___Pfizer’s_Personalised_Medicine_in[[#This Row],[Dose]],"mg",""))</f>
        <v>100</v>
      </c>
      <c r="AB82">
        <f t="shared" si="7"/>
        <v>100</v>
      </c>
      <c r="AC82" t="s">
        <v>40</v>
      </c>
      <c r="AD82">
        <f t="shared" si="8"/>
        <v>3</v>
      </c>
      <c r="AE82">
        <f t="shared" si="9"/>
        <v>1</v>
      </c>
      <c r="AF82">
        <f t="shared" si="10"/>
        <v>1.1100000000000001</v>
      </c>
      <c r="AG82" t="e">
        <f t="shared" si="11"/>
        <v>#N/A</v>
      </c>
      <c r="AH82" t="e">
        <f t="shared" si="12"/>
        <v>#N/A</v>
      </c>
      <c r="AI82" t="e">
        <f t="shared" si="13"/>
        <v>#N/A</v>
      </c>
    </row>
    <row r="83" spans="1:35" x14ac:dyDescent="0.45">
      <c r="A83" t="s">
        <v>436</v>
      </c>
      <c r="B83">
        <v>79</v>
      </c>
      <c r="C83" t="s">
        <v>44</v>
      </c>
      <c r="D83" t="s">
        <v>87</v>
      </c>
      <c r="E83" t="s">
        <v>163</v>
      </c>
      <c r="F83" t="s">
        <v>2614</v>
      </c>
      <c r="G83" t="s">
        <v>194</v>
      </c>
      <c r="H83" t="s">
        <v>61</v>
      </c>
      <c r="I83" t="s">
        <v>132</v>
      </c>
      <c r="J83" t="s">
        <v>342</v>
      </c>
      <c r="K83" t="s">
        <v>437</v>
      </c>
      <c r="L83" t="s">
        <v>92</v>
      </c>
      <c r="M83" t="s">
        <v>2635</v>
      </c>
      <c r="N83" t="s">
        <v>291</v>
      </c>
      <c r="O83" t="s">
        <v>92</v>
      </c>
      <c r="P83" t="s">
        <v>55</v>
      </c>
      <c r="Q83" t="s">
        <v>67</v>
      </c>
      <c r="R83">
        <v>56</v>
      </c>
      <c r="S83">
        <v>0</v>
      </c>
      <c r="T83" t="s">
        <v>56</v>
      </c>
      <c r="U83" t="s">
        <v>57</v>
      </c>
      <c r="V83">
        <v>4.57</v>
      </c>
      <c r="W83">
        <v>4.2699999999999996</v>
      </c>
      <c r="X83">
        <v>4.0999999999999996</v>
      </c>
      <c r="Y83">
        <v>10.7</v>
      </c>
      <c r="Z83">
        <v>9.5</v>
      </c>
      <c r="AA83">
        <f>VALUE(SUBSTITUTE(DACS19___Pfizer’s_Personalised_Medicine_in[[#This Row],[Dose]],"mg",""))</f>
        <v>50</v>
      </c>
      <c r="AB83">
        <f t="shared" si="7"/>
        <v>50</v>
      </c>
      <c r="AC83" t="s">
        <v>67</v>
      </c>
      <c r="AD83">
        <f t="shared" si="8"/>
        <v>2</v>
      </c>
      <c r="AE83">
        <f t="shared" si="9"/>
        <v>2</v>
      </c>
      <c r="AF83">
        <f t="shared" si="10"/>
        <v>4.2699999999999996</v>
      </c>
      <c r="AG83" t="e">
        <f t="shared" si="11"/>
        <v>#N/A</v>
      </c>
      <c r="AH83" t="e">
        <f t="shared" si="12"/>
        <v>#N/A</v>
      </c>
      <c r="AI83" t="e">
        <f t="shared" si="13"/>
        <v>#N/A</v>
      </c>
    </row>
    <row r="84" spans="1:35" x14ac:dyDescent="0.45">
      <c r="A84" t="s">
        <v>439</v>
      </c>
      <c r="B84">
        <v>39</v>
      </c>
      <c r="C84" t="s">
        <v>27</v>
      </c>
      <c r="D84" t="s">
        <v>87</v>
      </c>
      <c r="E84" t="s">
        <v>2614</v>
      </c>
      <c r="F84" t="s">
        <v>2614</v>
      </c>
      <c r="G84" t="s">
        <v>440</v>
      </c>
      <c r="H84" t="s">
        <v>32</v>
      </c>
      <c r="I84" t="s">
        <v>33</v>
      </c>
      <c r="J84" t="s">
        <v>441</v>
      </c>
      <c r="K84" t="s">
        <v>442</v>
      </c>
      <c r="L84" t="s">
        <v>52</v>
      </c>
      <c r="M84" t="s">
        <v>40</v>
      </c>
      <c r="N84" t="s">
        <v>258</v>
      </c>
      <c r="O84" t="s">
        <v>52</v>
      </c>
      <c r="P84" t="s">
        <v>39</v>
      </c>
      <c r="Q84" t="s">
        <v>67</v>
      </c>
      <c r="R84">
        <v>63</v>
      </c>
      <c r="S84">
        <v>1</v>
      </c>
      <c r="T84" t="s">
        <v>41</v>
      </c>
      <c r="U84" t="s">
        <v>42</v>
      </c>
      <c r="V84">
        <v>3.36</v>
      </c>
      <c r="W84">
        <v>2.0699999999999998</v>
      </c>
      <c r="X84">
        <v>6.6</v>
      </c>
      <c r="Y84">
        <v>13.4</v>
      </c>
      <c r="Z84">
        <v>12.4</v>
      </c>
      <c r="AA84">
        <f>VALUE(SUBSTITUTE(DACS19___Pfizer’s_Personalised_Medicine_in[[#This Row],[Dose]],"mg",""))</f>
        <v>100</v>
      </c>
      <c r="AB84">
        <f t="shared" si="7"/>
        <v>100</v>
      </c>
      <c r="AC84" t="s">
        <v>67</v>
      </c>
      <c r="AD84">
        <f t="shared" si="8"/>
        <v>2</v>
      </c>
      <c r="AE84">
        <f t="shared" si="9"/>
        <v>3</v>
      </c>
      <c r="AF84" t="e">
        <f t="shared" si="10"/>
        <v>#N/A</v>
      </c>
      <c r="AG84" t="e">
        <f t="shared" si="11"/>
        <v>#N/A</v>
      </c>
      <c r="AH84">
        <f t="shared" si="12"/>
        <v>2.0699999999999998</v>
      </c>
      <c r="AI84" t="e">
        <f t="shared" si="13"/>
        <v>#N/A</v>
      </c>
    </row>
    <row r="85" spans="1:35" x14ac:dyDescent="0.45">
      <c r="A85" t="s">
        <v>443</v>
      </c>
      <c r="B85">
        <v>82</v>
      </c>
      <c r="C85" t="s">
        <v>27</v>
      </c>
      <c r="D85" t="s">
        <v>87</v>
      </c>
      <c r="E85" t="s">
        <v>2614</v>
      </c>
      <c r="F85" t="s">
        <v>2614</v>
      </c>
      <c r="G85" t="s">
        <v>118</v>
      </c>
      <c r="H85" t="s">
        <v>81</v>
      </c>
      <c r="I85" t="s">
        <v>132</v>
      </c>
      <c r="J85" t="s">
        <v>444</v>
      </c>
      <c r="K85" t="s">
        <v>445</v>
      </c>
      <c r="L85" t="s">
        <v>92</v>
      </c>
      <c r="M85" t="s">
        <v>446</v>
      </c>
      <c r="N85" t="s">
        <v>447</v>
      </c>
      <c r="O85" t="s">
        <v>92</v>
      </c>
      <c r="P85" t="s">
        <v>39</v>
      </c>
      <c r="Q85" t="s">
        <v>40</v>
      </c>
      <c r="R85">
        <v>143</v>
      </c>
      <c r="S85">
        <v>1</v>
      </c>
      <c r="T85" t="s">
        <v>56</v>
      </c>
      <c r="U85" t="s">
        <v>42</v>
      </c>
      <c r="V85">
        <v>2.74</v>
      </c>
      <c r="W85">
        <v>2.1800000000000002</v>
      </c>
      <c r="X85">
        <v>9.5</v>
      </c>
      <c r="Y85">
        <v>19.7</v>
      </c>
      <c r="Z85">
        <v>5.4</v>
      </c>
      <c r="AA85">
        <f>VALUE(SUBSTITUTE(DACS19___Pfizer’s_Personalised_Medicine_in[[#This Row],[Dose]],"mg",""))</f>
        <v>50</v>
      </c>
      <c r="AB85">
        <f t="shared" si="7"/>
        <v>50</v>
      </c>
      <c r="AC85" t="s">
        <v>40</v>
      </c>
      <c r="AD85">
        <f t="shared" si="8"/>
        <v>3</v>
      </c>
      <c r="AE85">
        <f t="shared" si="9"/>
        <v>3</v>
      </c>
      <c r="AF85" t="e">
        <f t="shared" si="10"/>
        <v>#N/A</v>
      </c>
      <c r="AG85" t="e">
        <f t="shared" si="11"/>
        <v>#N/A</v>
      </c>
      <c r="AH85" t="e">
        <f t="shared" si="12"/>
        <v>#N/A</v>
      </c>
      <c r="AI85">
        <f t="shared" si="13"/>
        <v>2.1800000000000002</v>
      </c>
    </row>
    <row r="86" spans="1:35" x14ac:dyDescent="0.45">
      <c r="A86" t="s">
        <v>448</v>
      </c>
      <c r="B86">
        <v>50</v>
      </c>
      <c r="C86" t="s">
        <v>44</v>
      </c>
      <c r="D86" t="s">
        <v>106</v>
      </c>
      <c r="E86" t="s">
        <v>46</v>
      </c>
      <c r="F86" t="s">
        <v>2614</v>
      </c>
      <c r="G86" t="s">
        <v>164</v>
      </c>
      <c r="H86" t="s">
        <v>32</v>
      </c>
      <c r="I86" t="s">
        <v>33</v>
      </c>
      <c r="J86" t="s">
        <v>449</v>
      </c>
      <c r="K86" t="s">
        <v>450</v>
      </c>
      <c r="L86" t="s">
        <v>52</v>
      </c>
      <c r="M86" t="s">
        <v>451</v>
      </c>
      <c r="N86" t="s">
        <v>452</v>
      </c>
      <c r="O86" t="s">
        <v>52</v>
      </c>
      <c r="P86" t="s">
        <v>39</v>
      </c>
      <c r="Q86" t="s">
        <v>129</v>
      </c>
      <c r="R86">
        <v>157</v>
      </c>
      <c r="S86">
        <v>1</v>
      </c>
      <c r="T86" t="s">
        <v>41</v>
      </c>
      <c r="U86" t="s">
        <v>42</v>
      </c>
      <c r="V86">
        <v>4.47</v>
      </c>
      <c r="W86">
        <v>2.95</v>
      </c>
      <c r="X86">
        <v>9.1</v>
      </c>
      <c r="Y86">
        <v>20.399999999999999</v>
      </c>
      <c r="Z86">
        <v>10.199999999999999</v>
      </c>
      <c r="AA86">
        <f>VALUE(SUBSTITUTE(DACS19___Pfizer’s_Personalised_Medicine_in[[#This Row],[Dose]],"mg",""))</f>
        <v>100</v>
      </c>
      <c r="AB86">
        <f t="shared" si="7"/>
        <v>100</v>
      </c>
      <c r="AC86" t="s">
        <v>129</v>
      </c>
      <c r="AD86">
        <f t="shared" si="8"/>
        <v>4</v>
      </c>
      <c r="AE86">
        <f t="shared" si="9"/>
        <v>3</v>
      </c>
      <c r="AF86" t="e">
        <f t="shared" si="10"/>
        <v>#N/A</v>
      </c>
      <c r="AG86" t="e">
        <f t="shared" si="11"/>
        <v>#N/A</v>
      </c>
      <c r="AH86">
        <f t="shared" si="12"/>
        <v>2.95</v>
      </c>
      <c r="AI86" t="e">
        <f t="shared" si="13"/>
        <v>#N/A</v>
      </c>
    </row>
    <row r="87" spans="1:35" x14ac:dyDescent="0.45">
      <c r="A87" t="s">
        <v>453</v>
      </c>
      <c r="B87">
        <v>51</v>
      </c>
      <c r="C87" t="s">
        <v>45</v>
      </c>
      <c r="D87" t="s">
        <v>106</v>
      </c>
      <c r="E87" t="s">
        <v>2614</v>
      </c>
      <c r="F87" t="s">
        <v>2614</v>
      </c>
      <c r="G87" t="s">
        <v>276</v>
      </c>
      <c r="H87" t="s">
        <v>71</v>
      </c>
      <c r="I87" t="s">
        <v>49</v>
      </c>
      <c r="J87" t="s">
        <v>454</v>
      </c>
      <c r="K87" t="s">
        <v>455</v>
      </c>
      <c r="L87" t="s">
        <v>36</v>
      </c>
      <c r="M87" t="s">
        <v>37</v>
      </c>
      <c r="N87" t="s">
        <v>182</v>
      </c>
      <c r="O87" t="s">
        <v>36</v>
      </c>
      <c r="P87" t="s">
        <v>110</v>
      </c>
      <c r="Q87" t="s">
        <v>129</v>
      </c>
      <c r="R87">
        <v>58</v>
      </c>
      <c r="S87">
        <v>0</v>
      </c>
      <c r="T87" t="s">
        <v>85</v>
      </c>
      <c r="U87" t="s">
        <v>57</v>
      </c>
      <c r="V87">
        <v>1.0900000000000001</v>
      </c>
      <c r="W87">
        <v>2.0699999999999998</v>
      </c>
      <c r="X87">
        <v>5.9</v>
      </c>
      <c r="Y87">
        <v>17.399999999999999</v>
      </c>
      <c r="Z87">
        <v>7.4</v>
      </c>
      <c r="AA87">
        <f>VALUE(SUBSTITUTE(DACS19___Pfizer’s_Personalised_Medicine_in[[#This Row],[Dose]],"mg",""))</f>
        <v>200</v>
      </c>
      <c r="AB87">
        <f t="shared" si="7"/>
        <v>200</v>
      </c>
      <c r="AC87" t="s">
        <v>129</v>
      </c>
      <c r="AD87">
        <f t="shared" si="8"/>
        <v>4</v>
      </c>
      <c r="AE87">
        <f t="shared" si="9"/>
        <v>1</v>
      </c>
      <c r="AF87" t="e">
        <f t="shared" si="10"/>
        <v>#N/A</v>
      </c>
      <c r="AG87">
        <f t="shared" si="11"/>
        <v>2.0699999999999998</v>
      </c>
      <c r="AH87" t="e">
        <f t="shared" si="12"/>
        <v>#N/A</v>
      </c>
      <c r="AI87" t="e">
        <f t="shared" si="13"/>
        <v>#N/A</v>
      </c>
    </row>
    <row r="88" spans="1:35" x14ac:dyDescent="0.45">
      <c r="A88" t="s">
        <v>456</v>
      </c>
      <c r="B88">
        <v>37</v>
      </c>
      <c r="C88" t="s">
        <v>27</v>
      </c>
      <c r="D88" t="s">
        <v>45</v>
      </c>
      <c r="E88" t="s">
        <v>163</v>
      </c>
      <c r="F88" t="s">
        <v>2614</v>
      </c>
      <c r="G88" t="s">
        <v>102</v>
      </c>
      <c r="H88" t="s">
        <v>32</v>
      </c>
      <c r="I88" t="s">
        <v>72</v>
      </c>
      <c r="J88" t="s">
        <v>457</v>
      </c>
      <c r="K88" t="s">
        <v>458</v>
      </c>
      <c r="L88" t="s">
        <v>92</v>
      </c>
      <c r="M88" t="s">
        <v>67</v>
      </c>
      <c r="N88" t="s">
        <v>459</v>
      </c>
      <c r="O88" t="s">
        <v>92</v>
      </c>
      <c r="P88" t="s">
        <v>55</v>
      </c>
      <c r="Q88" t="s">
        <v>2614</v>
      </c>
      <c r="R88">
        <v>110</v>
      </c>
      <c r="S88">
        <v>0</v>
      </c>
      <c r="T88" t="s">
        <v>56</v>
      </c>
      <c r="U88" t="s">
        <v>42</v>
      </c>
      <c r="V88">
        <v>1.56</v>
      </c>
      <c r="W88">
        <v>4.34</v>
      </c>
      <c r="X88">
        <v>9.9</v>
      </c>
      <c r="Y88">
        <v>15.5</v>
      </c>
      <c r="Z88">
        <v>5.9</v>
      </c>
      <c r="AA88">
        <f>VALUE(SUBSTITUTE(DACS19___Pfizer’s_Personalised_Medicine_in[[#This Row],[Dose]],"mg",""))</f>
        <v>50</v>
      </c>
      <c r="AB88">
        <f t="shared" si="7"/>
        <v>50</v>
      </c>
      <c r="AC88" t="s">
        <v>2614</v>
      </c>
      <c r="AD88">
        <f t="shared" si="8"/>
        <v>0</v>
      </c>
      <c r="AE88">
        <f t="shared" si="9"/>
        <v>2</v>
      </c>
      <c r="AF88" t="e">
        <f t="shared" si="10"/>
        <v>#N/A</v>
      </c>
      <c r="AG88" t="e">
        <f t="shared" si="11"/>
        <v>#N/A</v>
      </c>
      <c r="AH88">
        <f t="shared" si="12"/>
        <v>4.34</v>
      </c>
      <c r="AI88" t="e">
        <f t="shared" si="13"/>
        <v>#N/A</v>
      </c>
    </row>
    <row r="89" spans="1:35" x14ac:dyDescent="0.45">
      <c r="A89" t="s">
        <v>460</v>
      </c>
      <c r="B89">
        <v>30</v>
      </c>
      <c r="C89" t="s">
        <v>27</v>
      </c>
      <c r="D89" t="s">
        <v>87</v>
      </c>
      <c r="E89" t="s">
        <v>46</v>
      </c>
      <c r="F89" t="s">
        <v>2614</v>
      </c>
      <c r="G89" t="s">
        <v>112</v>
      </c>
      <c r="H89" t="s">
        <v>32</v>
      </c>
      <c r="I89" t="s">
        <v>132</v>
      </c>
      <c r="J89" t="s">
        <v>461</v>
      </c>
      <c r="K89" t="s">
        <v>462</v>
      </c>
      <c r="L89" t="s">
        <v>92</v>
      </c>
      <c r="M89" t="s">
        <v>2615</v>
      </c>
      <c r="N89" t="s">
        <v>463</v>
      </c>
      <c r="O89" t="s">
        <v>92</v>
      </c>
      <c r="P89" t="s">
        <v>55</v>
      </c>
      <c r="Q89" t="s">
        <v>40</v>
      </c>
      <c r="R89">
        <v>146</v>
      </c>
      <c r="S89">
        <v>0</v>
      </c>
      <c r="T89" t="s">
        <v>137</v>
      </c>
      <c r="U89" t="s">
        <v>57</v>
      </c>
      <c r="V89">
        <v>2.09</v>
      </c>
      <c r="W89">
        <v>1.07</v>
      </c>
      <c r="X89">
        <v>9.1999999999999993</v>
      </c>
      <c r="Y89">
        <v>8.1</v>
      </c>
      <c r="Z89">
        <v>12.8</v>
      </c>
      <c r="AA89">
        <f>VALUE(SUBSTITUTE(DACS19___Pfizer’s_Personalised_Medicine_in[[#This Row],[Dose]],"mg",""))</f>
        <v>50</v>
      </c>
      <c r="AB89">
        <f t="shared" si="7"/>
        <v>50</v>
      </c>
      <c r="AC89" t="s">
        <v>40</v>
      </c>
      <c r="AD89">
        <f t="shared" si="8"/>
        <v>3</v>
      </c>
      <c r="AE89">
        <f t="shared" si="9"/>
        <v>2</v>
      </c>
      <c r="AF89" t="e">
        <f t="shared" si="10"/>
        <v>#N/A</v>
      </c>
      <c r="AG89" t="e">
        <f t="shared" si="11"/>
        <v>#N/A</v>
      </c>
      <c r="AH89">
        <f t="shared" si="12"/>
        <v>1.07</v>
      </c>
      <c r="AI89" t="e">
        <f t="shared" si="13"/>
        <v>#N/A</v>
      </c>
    </row>
    <row r="90" spans="1:35" x14ac:dyDescent="0.45">
      <c r="A90" t="s">
        <v>464</v>
      </c>
      <c r="B90">
        <v>79</v>
      </c>
      <c r="C90" t="s">
        <v>44</v>
      </c>
      <c r="D90" t="s">
        <v>106</v>
      </c>
      <c r="E90" t="s">
        <v>163</v>
      </c>
      <c r="F90" t="s">
        <v>88</v>
      </c>
      <c r="G90" t="s">
        <v>112</v>
      </c>
      <c r="H90" t="s">
        <v>61</v>
      </c>
      <c r="I90" t="s">
        <v>33</v>
      </c>
      <c r="J90" t="s">
        <v>82</v>
      </c>
      <c r="K90" t="s">
        <v>465</v>
      </c>
      <c r="L90" t="s">
        <v>36</v>
      </c>
      <c r="M90" t="s">
        <v>75</v>
      </c>
      <c r="N90" t="s">
        <v>466</v>
      </c>
      <c r="O90" t="s">
        <v>36</v>
      </c>
      <c r="P90" t="s">
        <v>55</v>
      </c>
      <c r="Q90" t="s">
        <v>75</v>
      </c>
      <c r="R90">
        <v>37</v>
      </c>
      <c r="S90">
        <v>0</v>
      </c>
      <c r="T90" t="s">
        <v>41</v>
      </c>
      <c r="U90" t="s">
        <v>57</v>
      </c>
      <c r="V90">
        <v>2.1</v>
      </c>
      <c r="W90">
        <v>3.22</v>
      </c>
      <c r="X90">
        <v>6.9</v>
      </c>
      <c r="Y90">
        <v>20.9</v>
      </c>
      <c r="Z90">
        <v>6.5</v>
      </c>
      <c r="AA90">
        <f>VALUE(SUBSTITUTE(DACS19___Pfizer’s_Personalised_Medicine_in[[#This Row],[Dose]],"mg",""))</f>
        <v>200</v>
      </c>
      <c r="AB90">
        <f t="shared" si="7"/>
        <v>200</v>
      </c>
      <c r="AC90" t="s">
        <v>75</v>
      </c>
      <c r="AD90">
        <f t="shared" si="8"/>
        <v>1</v>
      </c>
      <c r="AE90">
        <f t="shared" si="9"/>
        <v>2</v>
      </c>
      <c r="AF90">
        <f t="shared" si="10"/>
        <v>3.22</v>
      </c>
      <c r="AG90" t="e">
        <f t="shared" si="11"/>
        <v>#N/A</v>
      </c>
      <c r="AH90" t="e">
        <f t="shared" si="12"/>
        <v>#N/A</v>
      </c>
      <c r="AI90" t="e">
        <f t="shared" si="13"/>
        <v>#N/A</v>
      </c>
    </row>
    <row r="91" spans="1:35" x14ac:dyDescent="0.45">
      <c r="A91" t="s">
        <v>467</v>
      </c>
      <c r="B91">
        <v>80</v>
      </c>
      <c r="C91" t="s">
        <v>27</v>
      </c>
      <c r="D91" t="s">
        <v>95</v>
      </c>
      <c r="E91" t="s">
        <v>78</v>
      </c>
      <c r="F91" t="s">
        <v>59</v>
      </c>
      <c r="G91" t="s">
        <v>31</v>
      </c>
      <c r="H91" t="s">
        <v>61</v>
      </c>
      <c r="I91" t="s">
        <v>72</v>
      </c>
      <c r="J91" t="s">
        <v>468</v>
      </c>
      <c r="K91" t="s">
        <v>73</v>
      </c>
      <c r="L91" t="s">
        <v>92</v>
      </c>
      <c r="M91" t="s">
        <v>469</v>
      </c>
      <c r="N91" t="s">
        <v>291</v>
      </c>
      <c r="O91" t="s">
        <v>92</v>
      </c>
      <c r="P91" t="s">
        <v>110</v>
      </c>
      <c r="Q91" t="s">
        <v>40</v>
      </c>
      <c r="R91">
        <v>68</v>
      </c>
      <c r="S91">
        <v>0</v>
      </c>
      <c r="T91" t="s">
        <v>85</v>
      </c>
      <c r="U91" t="s">
        <v>42</v>
      </c>
      <c r="V91">
        <v>1.04</v>
      </c>
      <c r="W91">
        <v>1.55</v>
      </c>
      <c r="X91">
        <v>9.1</v>
      </c>
      <c r="Y91">
        <v>21.7</v>
      </c>
      <c r="Z91">
        <v>13.2</v>
      </c>
      <c r="AA91">
        <f>VALUE(SUBSTITUTE(DACS19___Pfizer’s_Personalised_Medicine_in[[#This Row],[Dose]],"mg",""))</f>
        <v>50</v>
      </c>
      <c r="AB91">
        <f t="shared" si="7"/>
        <v>50</v>
      </c>
      <c r="AC91" t="s">
        <v>40</v>
      </c>
      <c r="AD91">
        <f t="shared" si="8"/>
        <v>3</v>
      </c>
      <c r="AE91">
        <f t="shared" si="9"/>
        <v>1</v>
      </c>
      <c r="AF91">
        <f t="shared" si="10"/>
        <v>1.55</v>
      </c>
      <c r="AG91" t="e">
        <f t="shared" si="11"/>
        <v>#N/A</v>
      </c>
      <c r="AH91" t="e">
        <f t="shared" si="12"/>
        <v>#N/A</v>
      </c>
      <c r="AI91" t="e">
        <f t="shared" si="13"/>
        <v>#N/A</v>
      </c>
    </row>
    <row r="92" spans="1:35" x14ac:dyDescent="0.45">
      <c r="A92" t="s">
        <v>470</v>
      </c>
      <c r="B92">
        <v>19</v>
      </c>
      <c r="C92" t="s">
        <v>45</v>
      </c>
      <c r="D92" t="s">
        <v>106</v>
      </c>
      <c r="E92" t="s">
        <v>29</v>
      </c>
      <c r="F92" t="s">
        <v>2614</v>
      </c>
      <c r="G92" t="s">
        <v>70</v>
      </c>
      <c r="H92" t="s">
        <v>71</v>
      </c>
      <c r="I92" t="s">
        <v>49</v>
      </c>
      <c r="J92" t="s">
        <v>471</v>
      </c>
      <c r="K92" t="s">
        <v>472</v>
      </c>
      <c r="L92" t="s">
        <v>64</v>
      </c>
      <c r="M92" t="s">
        <v>75</v>
      </c>
      <c r="N92" t="s">
        <v>473</v>
      </c>
      <c r="O92" t="s">
        <v>64</v>
      </c>
      <c r="P92" t="s">
        <v>110</v>
      </c>
      <c r="Q92" t="s">
        <v>40</v>
      </c>
      <c r="R92">
        <v>133</v>
      </c>
      <c r="S92">
        <v>0</v>
      </c>
      <c r="T92" t="s">
        <v>41</v>
      </c>
      <c r="U92" t="s">
        <v>42</v>
      </c>
      <c r="V92">
        <v>3.4</v>
      </c>
      <c r="W92">
        <v>3.66</v>
      </c>
      <c r="X92">
        <v>2.6</v>
      </c>
      <c r="Y92">
        <v>22.5</v>
      </c>
      <c r="Z92">
        <v>10.1</v>
      </c>
      <c r="AA92">
        <f>VALUE(SUBSTITUTE(DACS19___Pfizer’s_Personalised_Medicine_in[[#This Row],[Dose]],"mg",""))</f>
        <v>150</v>
      </c>
      <c r="AB92">
        <f t="shared" si="7"/>
        <v>150</v>
      </c>
      <c r="AC92" t="s">
        <v>40</v>
      </c>
      <c r="AD92">
        <f t="shared" si="8"/>
        <v>3</v>
      </c>
      <c r="AE92">
        <f t="shared" si="9"/>
        <v>1</v>
      </c>
      <c r="AF92" t="e">
        <f t="shared" si="10"/>
        <v>#N/A</v>
      </c>
      <c r="AG92">
        <f t="shared" si="11"/>
        <v>3.66</v>
      </c>
      <c r="AH92" t="e">
        <f t="shared" si="12"/>
        <v>#N/A</v>
      </c>
      <c r="AI92" t="e">
        <f t="shared" si="13"/>
        <v>#N/A</v>
      </c>
    </row>
    <row r="93" spans="1:35" x14ac:dyDescent="0.45">
      <c r="A93" t="s">
        <v>474</v>
      </c>
      <c r="B93">
        <v>76</v>
      </c>
      <c r="C93" t="s">
        <v>44</v>
      </c>
      <c r="D93" t="s">
        <v>45</v>
      </c>
      <c r="E93" t="s">
        <v>78</v>
      </c>
      <c r="F93" t="s">
        <v>47</v>
      </c>
      <c r="G93" t="s">
        <v>440</v>
      </c>
      <c r="H93" t="s">
        <v>32</v>
      </c>
      <c r="I93" t="s">
        <v>49</v>
      </c>
      <c r="J93" t="s">
        <v>475</v>
      </c>
      <c r="K93" t="s">
        <v>476</v>
      </c>
      <c r="L93" t="s">
        <v>92</v>
      </c>
      <c r="M93" t="s">
        <v>187</v>
      </c>
      <c r="N93" t="s">
        <v>477</v>
      </c>
      <c r="O93" t="s">
        <v>92</v>
      </c>
      <c r="P93" t="s">
        <v>110</v>
      </c>
      <c r="Q93" t="s">
        <v>129</v>
      </c>
      <c r="R93">
        <v>53</v>
      </c>
      <c r="S93">
        <v>0</v>
      </c>
      <c r="T93" t="s">
        <v>85</v>
      </c>
      <c r="U93" t="s">
        <v>57</v>
      </c>
      <c r="V93">
        <v>2.5299999999999998</v>
      </c>
      <c r="W93">
        <v>3.08</v>
      </c>
      <c r="X93">
        <v>1.4</v>
      </c>
      <c r="Y93">
        <v>9</v>
      </c>
      <c r="Z93">
        <v>15.5</v>
      </c>
      <c r="AA93">
        <f>VALUE(SUBSTITUTE(DACS19___Pfizer’s_Personalised_Medicine_in[[#This Row],[Dose]],"mg",""))</f>
        <v>50</v>
      </c>
      <c r="AB93">
        <f t="shared" si="7"/>
        <v>50</v>
      </c>
      <c r="AC93" t="s">
        <v>129</v>
      </c>
      <c r="AD93">
        <f t="shared" si="8"/>
        <v>4</v>
      </c>
      <c r="AE93">
        <f t="shared" si="9"/>
        <v>1</v>
      </c>
      <c r="AF93" t="e">
        <f t="shared" si="10"/>
        <v>#N/A</v>
      </c>
      <c r="AG93" t="e">
        <f t="shared" si="11"/>
        <v>#N/A</v>
      </c>
      <c r="AH93">
        <f t="shared" si="12"/>
        <v>3.08</v>
      </c>
      <c r="AI93" t="e">
        <f t="shared" si="13"/>
        <v>#N/A</v>
      </c>
    </row>
    <row r="94" spans="1:35" x14ac:dyDescent="0.45">
      <c r="A94" t="s">
        <v>478</v>
      </c>
      <c r="B94">
        <v>83</v>
      </c>
      <c r="C94" t="s">
        <v>45</v>
      </c>
      <c r="D94" t="s">
        <v>106</v>
      </c>
      <c r="E94" t="s">
        <v>78</v>
      </c>
      <c r="F94" t="s">
        <v>2614</v>
      </c>
      <c r="G94" t="s">
        <v>194</v>
      </c>
      <c r="H94" t="s">
        <v>61</v>
      </c>
      <c r="I94" t="s">
        <v>72</v>
      </c>
      <c r="J94" t="s">
        <v>479</v>
      </c>
      <c r="K94" t="s">
        <v>480</v>
      </c>
      <c r="L94" t="s">
        <v>36</v>
      </c>
      <c r="M94" t="s">
        <v>2634</v>
      </c>
      <c r="N94" t="s">
        <v>212</v>
      </c>
      <c r="O94" t="s">
        <v>36</v>
      </c>
      <c r="P94" t="s">
        <v>110</v>
      </c>
      <c r="Q94" t="s">
        <v>67</v>
      </c>
      <c r="R94">
        <v>30</v>
      </c>
      <c r="S94">
        <v>0</v>
      </c>
      <c r="T94" t="s">
        <v>137</v>
      </c>
      <c r="U94" t="s">
        <v>57</v>
      </c>
      <c r="V94">
        <v>1.33</v>
      </c>
      <c r="W94">
        <v>3.41</v>
      </c>
      <c r="X94">
        <v>3.2</v>
      </c>
      <c r="Y94">
        <v>13</v>
      </c>
      <c r="Z94">
        <v>7.9</v>
      </c>
      <c r="AA94">
        <f>VALUE(SUBSTITUTE(DACS19___Pfizer’s_Personalised_Medicine_in[[#This Row],[Dose]],"mg",""))</f>
        <v>200</v>
      </c>
      <c r="AB94">
        <f t="shared" si="7"/>
        <v>200</v>
      </c>
      <c r="AC94" t="s">
        <v>67</v>
      </c>
      <c r="AD94">
        <f t="shared" si="8"/>
        <v>2</v>
      </c>
      <c r="AE94">
        <f t="shared" si="9"/>
        <v>1</v>
      </c>
      <c r="AF94">
        <f t="shared" si="10"/>
        <v>3.41</v>
      </c>
      <c r="AG94" t="e">
        <f t="shared" si="11"/>
        <v>#N/A</v>
      </c>
      <c r="AH94" t="e">
        <f t="shared" si="12"/>
        <v>#N/A</v>
      </c>
      <c r="AI94" t="e">
        <f t="shared" si="13"/>
        <v>#N/A</v>
      </c>
    </row>
    <row r="95" spans="1:35" x14ac:dyDescent="0.45">
      <c r="A95" t="s">
        <v>481</v>
      </c>
      <c r="B95">
        <v>55</v>
      </c>
      <c r="C95" t="s">
        <v>45</v>
      </c>
      <c r="D95" t="s">
        <v>45</v>
      </c>
      <c r="E95" t="s">
        <v>2614</v>
      </c>
      <c r="F95" t="s">
        <v>2614</v>
      </c>
      <c r="G95" t="s">
        <v>118</v>
      </c>
      <c r="H95" t="s">
        <v>71</v>
      </c>
      <c r="I95" t="s">
        <v>33</v>
      </c>
      <c r="J95" t="s">
        <v>482</v>
      </c>
      <c r="K95" t="s">
        <v>483</v>
      </c>
      <c r="L95" t="s">
        <v>36</v>
      </c>
      <c r="M95" t="s">
        <v>2614</v>
      </c>
      <c r="N95" t="s">
        <v>484</v>
      </c>
      <c r="O95" t="s">
        <v>36</v>
      </c>
      <c r="P95" t="s">
        <v>39</v>
      </c>
      <c r="Q95" t="s">
        <v>67</v>
      </c>
      <c r="R95">
        <v>60</v>
      </c>
      <c r="S95">
        <v>1</v>
      </c>
      <c r="T95" t="s">
        <v>56</v>
      </c>
      <c r="U95" t="s">
        <v>42</v>
      </c>
      <c r="V95">
        <v>2.42</v>
      </c>
      <c r="W95">
        <v>3.88</v>
      </c>
      <c r="X95">
        <v>3.7</v>
      </c>
      <c r="Y95">
        <v>16.2</v>
      </c>
      <c r="Z95">
        <v>11.1</v>
      </c>
      <c r="AA95">
        <f>VALUE(SUBSTITUTE(DACS19___Pfizer’s_Personalised_Medicine_in[[#This Row],[Dose]],"mg",""))</f>
        <v>200</v>
      </c>
      <c r="AB95">
        <f t="shared" si="7"/>
        <v>200</v>
      </c>
      <c r="AC95" t="s">
        <v>67</v>
      </c>
      <c r="AD95">
        <f t="shared" si="8"/>
        <v>2</v>
      </c>
      <c r="AE95">
        <f t="shared" si="9"/>
        <v>3</v>
      </c>
      <c r="AF95" t="e">
        <f t="shared" si="10"/>
        <v>#N/A</v>
      </c>
      <c r="AG95">
        <f t="shared" si="11"/>
        <v>3.88</v>
      </c>
      <c r="AH95" t="e">
        <f t="shared" si="12"/>
        <v>#N/A</v>
      </c>
      <c r="AI95" t="e">
        <f t="shared" si="13"/>
        <v>#N/A</v>
      </c>
    </row>
    <row r="96" spans="1:35" x14ac:dyDescent="0.45">
      <c r="A96" t="s">
        <v>485</v>
      </c>
      <c r="B96">
        <v>76</v>
      </c>
      <c r="C96" t="s">
        <v>27</v>
      </c>
      <c r="D96" t="s">
        <v>28</v>
      </c>
      <c r="E96" t="s">
        <v>163</v>
      </c>
      <c r="F96" t="s">
        <v>2614</v>
      </c>
      <c r="G96" t="s">
        <v>118</v>
      </c>
      <c r="H96" t="s">
        <v>61</v>
      </c>
      <c r="I96" t="s">
        <v>33</v>
      </c>
      <c r="J96" t="s">
        <v>486</v>
      </c>
      <c r="K96" t="s">
        <v>487</v>
      </c>
      <c r="L96" t="s">
        <v>52</v>
      </c>
      <c r="M96" t="s">
        <v>451</v>
      </c>
      <c r="N96" t="s">
        <v>172</v>
      </c>
      <c r="O96" t="s">
        <v>52</v>
      </c>
      <c r="P96" t="s">
        <v>55</v>
      </c>
      <c r="Q96" t="s">
        <v>75</v>
      </c>
      <c r="R96">
        <v>153</v>
      </c>
      <c r="S96">
        <v>0</v>
      </c>
      <c r="T96" t="s">
        <v>85</v>
      </c>
      <c r="U96" t="s">
        <v>42</v>
      </c>
      <c r="V96">
        <v>3.65</v>
      </c>
      <c r="W96">
        <v>4.75</v>
      </c>
      <c r="X96">
        <v>7.6</v>
      </c>
      <c r="Y96">
        <v>9.9</v>
      </c>
      <c r="Z96">
        <v>3.5</v>
      </c>
      <c r="AA96">
        <f>VALUE(SUBSTITUTE(DACS19___Pfizer’s_Personalised_Medicine_in[[#This Row],[Dose]],"mg",""))</f>
        <v>100</v>
      </c>
      <c r="AB96">
        <f t="shared" si="7"/>
        <v>100</v>
      </c>
      <c r="AC96" t="s">
        <v>75</v>
      </c>
      <c r="AD96">
        <f t="shared" si="8"/>
        <v>1</v>
      </c>
      <c r="AE96">
        <f t="shared" si="9"/>
        <v>2</v>
      </c>
      <c r="AF96">
        <f t="shared" si="10"/>
        <v>4.75</v>
      </c>
      <c r="AG96" t="e">
        <f t="shared" si="11"/>
        <v>#N/A</v>
      </c>
      <c r="AH96" t="e">
        <f t="shared" si="12"/>
        <v>#N/A</v>
      </c>
      <c r="AI96" t="e">
        <f t="shared" si="13"/>
        <v>#N/A</v>
      </c>
    </row>
    <row r="97" spans="1:35" x14ac:dyDescent="0.45">
      <c r="A97" t="s">
        <v>488</v>
      </c>
      <c r="B97">
        <v>40</v>
      </c>
      <c r="C97" t="s">
        <v>45</v>
      </c>
      <c r="D97" t="s">
        <v>106</v>
      </c>
      <c r="E97" t="s">
        <v>163</v>
      </c>
      <c r="F97" t="s">
        <v>69</v>
      </c>
      <c r="G97" t="s">
        <v>152</v>
      </c>
      <c r="H97" t="s">
        <v>32</v>
      </c>
      <c r="I97" t="s">
        <v>33</v>
      </c>
      <c r="J97" t="s">
        <v>489</v>
      </c>
      <c r="K97" t="s">
        <v>490</v>
      </c>
      <c r="L97" t="s">
        <v>52</v>
      </c>
      <c r="M97" t="s">
        <v>2627</v>
      </c>
      <c r="N97" t="s">
        <v>491</v>
      </c>
      <c r="O97" t="s">
        <v>52</v>
      </c>
      <c r="P97" t="s">
        <v>55</v>
      </c>
      <c r="Q97" t="s">
        <v>67</v>
      </c>
      <c r="R97">
        <v>65</v>
      </c>
      <c r="S97">
        <v>0</v>
      </c>
      <c r="T97" t="s">
        <v>56</v>
      </c>
      <c r="U97" t="s">
        <v>57</v>
      </c>
      <c r="V97">
        <v>2.0499999999999998</v>
      </c>
      <c r="W97">
        <v>3.38</v>
      </c>
      <c r="X97">
        <v>1.5</v>
      </c>
      <c r="Y97">
        <v>14.9</v>
      </c>
      <c r="Z97">
        <v>13.1</v>
      </c>
      <c r="AA97">
        <f>VALUE(SUBSTITUTE(DACS19___Pfizer’s_Personalised_Medicine_in[[#This Row],[Dose]],"mg",""))</f>
        <v>100</v>
      </c>
      <c r="AB97">
        <f t="shared" si="7"/>
        <v>100</v>
      </c>
      <c r="AC97" t="s">
        <v>67</v>
      </c>
      <c r="AD97">
        <f t="shared" si="8"/>
        <v>2</v>
      </c>
      <c r="AE97">
        <f t="shared" si="9"/>
        <v>2</v>
      </c>
      <c r="AF97" t="e">
        <f t="shared" si="10"/>
        <v>#N/A</v>
      </c>
      <c r="AG97" t="e">
        <f t="shared" si="11"/>
        <v>#N/A</v>
      </c>
      <c r="AH97">
        <f t="shared" si="12"/>
        <v>3.38</v>
      </c>
      <c r="AI97" t="e">
        <f t="shared" si="13"/>
        <v>#N/A</v>
      </c>
    </row>
    <row r="98" spans="1:35" x14ac:dyDescent="0.45">
      <c r="A98" t="s">
        <v>492</v>
      </c>
      <c r="B98">
        <v>58</v>
      </c>
      <c r="C98" t="s">
        <v>45</v>
      </c>
      <c r="D98" t="s">
        <v>45</v>
      </c>
      <c r="E98" t="s">
        <v>46</v>
      </c>
      <c r="F98" t="s">
        <v>69</v>
      </c>
      <c r="G98" t="s">
        <v>276</v>
      </c>
      <c r="H98" t="s">
        <v>32</v>
      </c>
      <c r="I98" t="s">
        <v>72</v>
      </c>
      <c r="J98" t="s">
        <v>149</v>
      </c>
      <c r="K98" t="s">
        <v>493</v>
      </c>
      <c r="L98" t="s">
        <v>64</v>
      </c>
      <c r="M98" t="s">
        <v>2622</v>
      </c>
      <c r="N98" t="s">
        <v>192</v>
      </c>
      <c r="O98" t="s">
        <v>64</v>
      </c>
      <c r="P98" t="s">
        <v>110</v>
      </c>
      <c r="Q98" t="s">
        <v>75</v>
      </c>
      <c r="R98">
        <v>136</v>
      </c>
      <c r="S98">
        <v>0</v>
      </c>
      <c r="T98" t="s">
        <v>85</v>
      </c>
      <c r="U98" t="s">
        <v>57</v>
      </c>
      <c r="V98">
        <v>2.34</v>
      </c>
      <c r="W98">
        <v>4.08</v>
      </c>
      <c r="X98">
        <v>2</v>
      </c>
      <c r="Y98">
        <v>7.4</v>
      </c>
      <c r="Z98">
        <v>15.4</v>
      </c>
      <c r="AA98">
        <f>VALUE(SUBSTITUTE(DACS19___Pfizer’s_Personalised_Medicine_in[[#This Row],[Dose]],"mg",""))</f>
        <v>150</v>
      </c>
      <c r="AB98">
        <f t="shared" si="7"/>
        <v>150</v>
      </c>
      <c r="AC98" t="s">
        <v>75</v>
      </c>
      <c r="AD98">
        <f t="shared" si="8"/>
        <v>1</v>
      </c>
      <c r="AE98">
        <f t="shared" si="9"/>
        <v>1</v>
      </c>
      <c r="AF98" t="e">
        <f t="shared" si="10"/>
        <v>#N/A</v>
      </c>
      <c r="AG98" t="e">
        <f t="shared" si="11"/>
        <v>#N/A</v>
      </c>
      <c r="AH98">
        <f t="shared" si="12"/>
        <v>4.08</v>
      </c>
      <c r="AI98" t="e">
        <f t="shared" si="13"/>
        <v>#N/A</v>
      </c>
    </row>
    <row r="99" spans="1:35" x14ac:dyDescent="0.45">
      <c r="A99" t="s">
        <v>494</v>
      </c>
      <c r="B99">
        <v>72</v>
      </c>
      <c r="C99" t="s">
        <v>27</v>
      </c>
      <c r="D99" t="s">
        <v>45</v>
      </c>
      <c r="E99" t="s">
        <v>163</v>
      </c>
      <c r="F99" t="s">
        <v>79</v>
      </c>
      <c r="G99" t="s">
        <v>118</v>
      </c>
      <c r="H99" t="s">
        <v>61</v>
      </c>
      <c r="I99" t="s">
        <v>72</v>
      </c>
      <c r="J99" t="s">
        <v>495</v>
      </c>
      <c r="K99" t="s">
        <v>496</v>
      </c>
      <c r="L99" t="s">
        <v>64</v>
      </c>
      <c r="M99" t="s">
        <v>129</v>
      </c>
      <c r="N99" t="s">
        <v>447</v>
      </c>
      <c r="O99" t="s">
        <v>64</v>
      </c>
      <c r="P99" t="s">
        <v>55</v>
      </c>
      <c r="Q99" t="s">
        <v>67</v>
      </c>
      <c r="R99">
        <v>168</v>
      </c>
      <c r="S99">
        <v>0</v>
      </c>
      <c r="T99" t="s">
        <v>123</v>
      </c>
      <c r="U99" t="s">
        <v>57</v>
      </c>
      <c r="V99">
        <v>2.98</v>
      </c>
      <c r="W99">
        <v>3.75</v>
      </c>
      <c r="X99">
        <v>4.9000000000000004</v>
      </c>
      <c r="Y99">
        <v>10.4</v>
      </c>
      <c r="Z99">
        <v>16.899999999999999</v>
      </c>
      <c r="AA99">
        <f>VALUE(SUBSTITUTE(DACS19___Pfizer’s_Personalised_Medicine_in[[#This Row],[Dose]],"mg",""))</f>
        <v>150</v>
      </c>
      <c r="AB99">
        <f t="shared" si="7"/>
        <v>150</v>
      </c>
      <c r="AC99" t="s">
        <v>67</v>
      </c>
      <c r="AD99">
        <f t="shared" si="8"/>
        <v>2</v>
      </c>
      <c r="AE99">
        <f t="shared" si="9"/>
        <v>2</v>
      </c>
      <c r="AF99">
        <f t="shared" si="10"/>
        <v>3.75</v>
      </c>
      <c r="AG99" t="e">
        <f t="shared" si="11"/>
        <v>#N/A</v>
      </c>
      <c r="AH99" t="e">
        <f t="shared" si="12"/>
        <v>#N/A</v>
      </c>
      <c r="AI99" t="e">
        <f t="shared" si="13"/>
        <v>#N/A</v>
      </c>
    </row>
    <row r="100" spans="1:35" x14ac:dyDescent="0.45">
      <c r="A100" t="s">
        <v>497</v>
      </c>
      <c r="B100">
        <v>75</v>
      </c>
      <c r="C100" t="s">
        <v>27</v>
      </c>
      <c r="D100" t="s">
        <v>45</v>
      </c>
      <c r="E100" t="s">
        <v>29</v>
      </c>
      <c r="F100" t="s">
        <v>2614</v>
      </c>
      <c r="G100" t="s">
        <v>178</v>
      </c>
      <c r="H100" t="s">
        <v>81</v>
      </c>
      <c r="I100" t="s">
        <v>72</v>
      </c>
      <c r="J100" t="s">
        <v>498</v>
      </c>
      <c r="K100" t="s">
        <v>499</v>
      </c>
      <c r="L100" t="s">
        <v>92</v>
      </c>
      <c r="M100" t="s">
        <v>500</v>
      </c>
      <c r="N100" t="s">
        <v>501</v>
      </c>
      <c r="O100" t="s">
        <v>92</v>
      </c>
      <c r="P100" t="s">
        <v>55</v>
      </c>
      <c r="Q100" t="s">
        <v>75</v>
      </c>
      <c r="R100">
        <v>43</v>
      </c>
      <c r="S100">
        <v>0</v>
      </c>
      <c r="T100" t="s">
        <v>123</v>
      </c>
      <c r="U100" t="s">
        <v>57</v>
      </c>
      <c r="V100">
        <v>4.2</v>
      </c>
      <c r="W100">
        <v>3.78</v>
      </c>
      <c r="X100">
        <v>3.4</v>
      </c>
      <c r="Y100">
        <v>16.600000000000001</v>
      </c>
      <c r="Z100">
        <v>9.1</v>
      </c>
      <c r="AA100">
        <f>VALUE(SUBSTITUTE(DACS19___Pfizer’s_Personalised_Medicine_in[[#This Row],[Dose]],"mg",""))</f>
        <v>50</v>
      </c>
      <c r="AB100">
        <f t="shared" si="7"/>
        <v>50</v>
      </c>
      <c r="AC100" t="s">
        <v>75</v>
      </c>
      <c r="AD100">
        <f t="shared" si="8"/>
        <v>1</v>
      </c>
      <c r="AE100">
        <f t="shared" si="9"/>
        <v>2</v>
      </c>
      <c r="AF100" t="e">
        <f t="shared" si="10"/>
        <v>#N/A</v>
      </c>
      <c r="AG100" t="e">
        <f t="shared" si="11"/>
        <v>#N/A</v>
      </c>
      <c r="AH100" t="e">
        <f t="shared" si="12"/>
        <v>#N/A</v>
      </c>
      <c r="AI100">
        <f t="shared" si="13"/>
        <v>3.78</v>
      </c>
    </row>
    <row r="101" spans="1:35" x14ac:dyDescent="0.45">
      <c r="A101" t="s">
        <v>502</v>
      </c>
      <c r="B101">
        <v>43</v>
      </c>
      <c r="C101" t="s">
        <v>45</v>
      </c>
      <c r="D101" t="s">
        <v>95</v>
      </c>
      <c r="E101" t="s">
        <v>46</v>
      </c>
      <c r="F101" t="s">
        <v>2614</v>
      </c>
      <c r="G101" t="s">
        <v>194</v>
      </c>
      <c r="H101" t="s">
        <v>71</v>
      </c>
      <c r="I101" t="s">
        <v>72</v>
      </c>
      <c r="J101" t="s">
        <v>503</v>
      </c>
      <c r="K101" t="s">
        <v>390</v>
      </c>
      <c r="L101" t="s">
        <v>92</v>
      </c>
      <c r="M101" t="s">
        <v>67</v>
      </c>
      <c r="N101" t="s">
        <v>504</v>
      </c>
      <c r="O101" t="s">
        <v>92</v>
      </c>
      <c r="P101" t="s">
        <v>110</v>
      </c>
      <c r="Q101" t="s">
        <v>129</v>
      </c>
      <c r="R101">
        <v>126</v>
      </c>
      <c r="S101">
        <v>0</v>
      </c>
      <c r="T101" t="s">
        <v>123</v>
      </c>
      <c r="U101" t="s">
        <v>57</v>
      </c>
      <c r="V101">
        <v>1.37</v>
      </c>
      <c r="W101">
        <v>4.67</v>
      </c>
      <c r="X101">
        <v>2.2000000000000002</v>
      </c>
      <c r="Y101">
        <v>23.1</v>
      </c>
      <c r="Z101">
        <v>10.6</v>
      </c>
      <c r="AA101">
        <f>VALUE(SUBSTITUTE(DACS19___Pfizer’s_Personalised_Medicine_in[[#This Row],[Dose]],"mg",""))</f>
        <v>50</v>
      </c>
      <c r="AB101">
        <f t="shared" si="7"/>
        <v>50</v>
      </c>
      <c r="AC101" t="s">
        <v>129</v>
      </c>
      <c r="AD101">
        <f t="shared" si="8"/>
        <v>4</v>
      </c>
      <c r="AE101">
        <f t="shared" si="9"/>
        <v>1</v>
      </c>
      <c r="AF101" t="e">
        <f t="shared" si="10"/>
        <v>#N/A</v>
      </c>
      <c r="AG101">
        <f t="shared" si="11"/>
        <v>4.67</v>
      </c>
      <c r="AH101" t="e">
        <f t="shared" si="12"/>
        <v>#N/A</v>
      </c>
      <c r="AI101" t="e">
        <f t="shared" si="13"/>
        <v>#N/A</v>
      </c>
    </row>
    <row r="102" spans="1:35" x14ac:dyDescent="0.45">
      <c r="A102" t="s">
        <v>505</v>
      </c>
      <c r="B102">
        <v>53</v>
      </c>
      <c r="C102" t="s">
        <v>45</v>
      </c>
      <c r="D102" t="s">
        <v>28</v>
      </c>
      <c r="E102" t="s">
        <v>46</v>
      </c>
      <c r="F102" t="s">
        <v>59</v>
      </c>
      <c r="G102" t="s">
        <v>164</v>
      </c>
      <c r="H102" t="s">
        <v>32</v>
      </c>
      <c r="I102" t="s">
        <v>33</v>
      </c>
      <c r="J102" t="s">
        <v>330</v>
      </c>
      <c r="K102" t="s">
        <v>506</v>
      </c>
      <c r="L102" t="s">
        <v>92</v>
      </c>
      <c r="M102" t="s">
        <v>2621</v>
      </c>
      <c r="N102" t="s">
        <v>507</v>
      </c>
      <c r="O102" t="s">
        <v>92</v>
      </c>
      <c r="P102" t="s">
        <v>110</v>
      </c>
      <c r="Q102" t="s">
        <v>2614</v>
      </c>
      <c r="R102">
        <v>48</v>
      </c>
      <c r="S102">
        <v>0</v>
      </c>
      <c r="T102" t="s">
        <v>137</v>
      </c>
      <c r="U102" t="s">
        <v>42</v>
      </c>
      <c r="V102">
        <v>1.74</v>
      </c>
      <c r="W102">
        <v>3.17</v>
      </c>
      <c r="X102">
        <v>8.9</v>
      </c>
      <c r="Y102">
        <v>19.2</v>
      </c>
      <c r="Z102">
        <v>16.7</v>
      </c>
      <c r="AA102">
        <f>VALUE(SUBSTITUTE(DACS19___Pfizer’s_Personalised_Medicine_in[[#This Row],[Dose]],"mg",""))</f>
        <v>50</v>
      </c>
      <c r="AB102">
        <f t="shared" si="7"/>
        <v>50</v>
      </c>
      <c r="AC102" t="s">
        <v>2614</v>
      </c>
      <c r="AD102">
        <f t="shared" si="8"/>
        <v>0</v>
      </c>
      <c r="AE102">
        <f t="shared" si="9"/>
        <v>1</v>
      </c>
      <c r="AF102" t="e">
        <f t="shared" si="10"/>
        <v>#N/A</v>
      </c>
      <c r="AG102" t="e">
        <f t="shared" si="11"/>
        <v>#N/A</v>
      </c>
      <c r="AH102">
        <f t="shared" si="12"/>
        <v>3.17</v>
      </c>
      <c r="AI102" t="e">
        <f t="shared" si="13"/>
        <v>#N/A</v>
      </c>
    </row>
    <row r="103" spans="1:35" x14ac:dyDescent="0.45">
      <c r="A103" t="s">
        <v>508</v>
      </c>
      <c r="B103">
        <v>41</v>
      </c>
      <c r="C103" t="s">
        <v>45</v>
      </c>
      <c r="D103" t="s">
        <v>87</v>
      </c>
      <c r="E103" t="s">
        <v>29</v>
      </c>
      <c r="F103" t="s">
        <v>69</v>
      </c>
      <c r="G103" t="s">
        <v>178</v>
      </c>
      <c r="H103" t="s">
        <v>81</v>
      </c>
      <c r="I103" t="s">
        <v>49</v>
      </c>
      <c r="J103" t="s">
        <v>509</v>
      </c>
      <c r="K103" t="s">
        <v>510</v>
      </c>
      <c r="L103" t="s">
        <v>64</v>
      </c>
      <c r="M103" t="s">
        <v>2633</v>
      </c>
      <c r="N103" t="s">
        <v>240</v>
      </c>
      <c r="O103" t="s">
        <v>64</v>
      </c>
      <c r="P103" t="s">
        <v>110</v>
      </c>
      <c r="Q103" t="s">
        <v>75</v>
      </c>
      <c r="R103">
        <v>151</v>
      </c>
      <c r="S103">
        <v>0</v>
      </c>
      <c r="T103" t="s">
        <v>85</v>
      </c>
      <c r="U103" t="s">
        <v>42</v>
      </c>
      <c r="V103">
        <v>3.64</v>
      </c>
      <c r="W103">
        <v>3.77</v>
      </c>
      <c r="X103">
        <v>8.6</v>
      </c>
      <c r="Y103">
        <v>10.5</v>
      </c>
      <c r="Z103">
        <v>11.3</v>
      </c>
      <c r="AA103">
        <f>VALUE(SUBSTITUTE(DACS19___Pfizer’s_Personalised_Medicine_in[[#This Row],[Dose]],"mg",""))</f>
        <v>150</v>
      </c>
      <c r="AB103">
        <f t="shared" si="7"/>
        <v>150</v>
      </c>
      <c r="AC103" t="s">
        <v>75</v>
      </c>
      <c r="AD103">
        <f t="shared" si="8"/>
        <v>1</v>
      </c>
      <c r="AE103">
        <f t="shared" si="9"/>
        <v>1</v>
      </c>
      <c r="AF103" t="e">
        <f t="shared" si="10"/>
        <v>#N/A</v>
      </c>
      <c r="AG103" t="e">
        <f t="shared" si="11"/>
        <v>#N/A</v>
      </c>
      <c r="AH103" t="e">
        <f t="shared" si="12"/>
        <v>#N/A</v>
      </c>
      <c r="AI103">
        <f t="shared" si="13"/>
        <v>3.77</v>
      </c>
    </row>
    <row r="104" spans="1:35" x14ac:dyDescent="0.45">
      <c r="A104" t="s">
        <v>511</v>
      </c>
      <c r="B104">
        <v>32</v>
      </c>
      <c r="C104" t="s">
        <v>45</v>
      </c>
      <c r="D104" t="s">
        <v>28</v>
      </c>
      <c r="E104" t="s">
        <v>78</v>
      </c>
      <c r="F104" t="s">
        <v>69</v>
      </c>
      <c r="G104" t="s">
        <v>152</v>
      </c>
      <c r="H104" t="s">
        <v>71</v>
      </c>
      <c r="I104" t="s">
        <v>49</v>
      </c>
      <c r="J104" t="s">
        <v>512</v>
      </c>
      <c r="K104" t="s">
        <v>368</v>
      </c>
      <c r="L104" t="s">
        <v>36</v>
      </c>
      <c r="M104" t="s">
        <v>2625</v>
      </c>
      <c r="N104" t="s">
        <v>513</v>
      </c>
      <c r="O104" t="s">
        <v>36</v>
      </c>
      <c r="P104" t="s">
        <v>110</v>
      </c>
      <c r="Q104" t="s">
        <v>2614</v>
      </c>
      <c r="R104">
        <v>161</v>
      </c>
      <c r="S104">
        <v>0</v>
      </c>
      <c r="T104" t="s">
        <v>85</v>
      </c>
      <c r="U104" t="s">
        <v>57</v>
      </c>
      <c r="V104">
        <v>1.88</v>
      </c>
      <c r="W104">
        <v>4.95</v>
      </c>
      <c r="X104">
        <v>9.5</v>
      </c>
      <c r="Y104">
        <v>6.7</v>
      </c>
      <c r="Z104">
        <v>15</v>
      </c>
      <c r="AA104">
        <f>VALUE(SUBSTITUTE(DACS19___Pfizer’s_Personalised_Medicine_in[[#This Row],[Dose]],"mg",""))</f>
        <v>200</v>
      </c>
      <c r="AB104">
        <f t="shared" si="7"/>
        <v>200</v>
      </c>
      <c r="AC104" t="s">
        <v>2614</v>
      </c>
      <c r="AD104">
        <f t="shared" si="8"/>
        <v>0</v>
      </c>
      <c r="AE104">
        <f t="shared" si="9"/>
        <v>1</v>
      </c>
      <c r="AF104" t="e">
        <f t="shared" si="10"/>
        <v>#N/A</v>
      </c>
      <c r="AG104">
        <f t="shared" si="11"/>
        <v>4.95</v>
      </c>
      <c r="AH104" t="e">
        <f t="shared" si="12"/>
        <v>#N/A</v>
      </c>
      <c r="AI104" t="e">
        <f t="shared" si="13"/>
        <v>#N/A</v>
      </c>
    </row>
    <row r="105" spans="1:35" x14ac:dyDescent="0.45">
      <c r="A105" t="s">
        <v>514</v>
      </c>
      <c r="B105">
        <v>80</v>
      </c>
      <c r="C105" t="s">
        <v>27</v>
      </c>
      <c r="D105" t="s">
        <v>28</v>
      </c>
      <c r="E105" t="s">
        <v>46</v>
      </c>
      <c r="F105" t="s">
        <v>88</v>
      </c>
      <c r="G105" t="s">
        <v>102</v>
      </c>
      <c r="H105" t="s">
        <v>71</v>
      </c>
      <c r="I105" t="s">
        <v>49</v>
      </c>
      <c r="J105" t="s">
        <v>515</v>
      </c>
      <c r="K105" t="s">
        <v>516</v>
      </c>
      <c r="L105" t="s">
        <v>52</v>
      </c>
      <c r="M105" t="s">
        <v>517</v>
      </c>
      <c r="N105" t="s">
        <v>203</v>
      </c>
      <c r="O105" t="s">
        <v>52</v>
      </c>
      <c r="P105" t="s">
        <v>110</v>
      </c>
      <c r="Q105" t="s">
        <v>40</v>
      </c>
      <c r="R105">
        <v>48</v>
      </c>
      <c r="S105">
        <v>0</v>
      </c>
      <c r="T105" t="s">
        <v>41</v>
      </c>
      <c r="U105" t="s">
        <v>42</v>
      </c>
      <c r="V105">
        <v>4.7</v>
      </c>
      <c r="W105">
        <v>1.72</v>
      </c>
      <c r="X105">
        <v>6.1</v>
      </c>
      <c r="Y105">
        <v>22.5</v>
      </c>
      <c r="Z105">
        <v>3.6</v>
      </c>
      <c r="AA105">
        <f>VALUE(SUBSTITUTE(DACS19___Pfizer’s_Personalised_Medicine_in[[#This Row],[Dose]],"mg",""))</f>
        <v>100</v>
      </c>
      <c r="AB105">
        <f t="shared" si="7"/>
        <v>100</v>
      </c>
      <c r="AC105" t="s">
        <v>40</v>
      </c>
      <c r="AD105">
        <f t="shared" si="8"/>
        <v>3</v>
      </c>
      <c r="AE105">
        <f t="shared" si="9"/>
        <v>1</v>
      </c>
      <c r="AF105" t="e">
        <f t="shared" si="10"/>
        <v>#N/A</v>
      </c>
      <c r="AG105">
        <f t="shared" si="11"/>
        <v>1.72</v>
      </c>
      <c r="AH105" t="e">
        <f t="shared" si="12"/>
        <v>#N/A</v>
      </c>
      <c r="AI105" t="e">
        <f t="shared" si="13"/>
        <v>#N/A</v>
      </c>
    </row>
    <row r="106" spans="1:35" x14ac:dyDescent="0.45">
      <c r="A106" t="s">
        <v>518</v>
      </c>
      <c r="B106">
        <v>76</v>
      </c>
      <c r="C106" t="s">
        <v>45</v>
      </c>
      <c r="D106" t="s">
        <v>28</v>
      </c>
      <c r="E106" t="s">
        <v>163</v>
      </c>
      <c r="F106" t="s">
        <v>88</v>
      </c>
      <c r="G106" t="s">
        <v>112</v>
      </c>
      <c r="H106" t="s">
        <v>32</v>
      </c>
      <c r="I106" t="s">
        <v>49</v>
      </c>
      <c r="J106" t="s">
        <v>519</v>
      </c>
      <c r="K106" t="s">
        <v>520</v>
      </c>
      <c r="L106" t="s">
        <v>36</v>
      </c>
      <c r="M106" t="s">
        <v>500</v>
      </c>
      <c r="N106" t="s">
        <v>521</v>
      </c>
      <c r="O106" t="s">
        <v>36</v>
      </c>
      <c r="P106" t="s">
        <v>39</v>
      </c>
      <c r="Q106" t="s">
        <v>40</v>
      </c>
      <c r="R106">
        <v>60</v>
      </c>
      <c r="S106">
        <v>1</v>
      </c>
      <c r="T106" t="s">
        <v>85</v>
      </c>
      <c r="U106" t="s">
        <v>42</v>
      </c>
      <c r="V106">
        <v>3.79</v>
      </c>
      <c r="W106">
        <v>2.19</v>
      </c>
      <c r="X106">
        <v>9.3000000000000007</v>
      </c>
      <c r="Y106">
        <v>23.5</v>
      </c>
      <c r="Z106">
        <v>19.100000000000001</v>
      </c>
      <c r="AA106">
        <f>VALUE(SUBSTITUTE(DACS19___Pfizer’s_Personalised_Medicine_in[[#This Row],[Dose]],"mg",""))</f>
        <v>200</v>
      </c>
      <c r="AB106">
        <f t="shared" si="7"/>
        <v>200</v>
      </c>
      <c r="AC106" t="s">
        <v>40</v>
      </c>
      <c r="AD106">
        <f t="shared" si="8"/>
        <v>3</v>
      </c>
      <c r="AE106">
        <f t="shared" si="9"/>
        <v>3</v>
      </c>
      <c r="AF106" t="e">
        <f t="shared" si="10"/>
        <v>#N/A</v>
      </c>
      <c r="AG106" t="e">
        <f t="shared" si="11"/>
        <v>#N/A</v>
      </c>
      <c r="AH106">
        <f t="shared" si="12"/>
        <v>2.19</v>
      </c>
      <c r="AI106" t="e">
        <f t="shared" si="13"/>
        <v>#N/A</v>
      </c>
    </row>
    <row r="107" spans="1:35" x14ac:dyDescent="0.45">
      <c r="A107" t="s">
        <v>522</v>
      </c>
      <c r="B107">
        <v>26</v>
      </c>
      <c r="C107" t="s">
        <v>45</v>
      </c>
      <c r="D107" t="s">
        <v>45</v>
      </c>
      <c r="E107" t="s">
        <v>163</v>
      </c>
      <c r="F107" t="s">
        <v>2614</v>
      </c>
      <c r="G107" t="s">
        <v>125</v>
      </c>
      <c r="H107" t="s">
        <v>32</v>
      </c>
      <c r="I107" t="s">
        <v>49</v>
      </c>
      <c r="J107" t="s">
        <v>523</v>
      </c>
      <c r="K107" t="s">
        <v>524</v>
      </c>
      <c r="L107" t="s">
        <v>92</v>
      </c>
      <c r="M107" t="s">
        <v>500</v>
      </c>
      <c r="N107" t="s">
        <v>525</v>
      </c>
      <c r="O107" t="s">
        <v>92</v>
      </c>
      <c r="P107" t="s">
        <v>110</v>
      </c>
      <c r="Q107" t="s">
        <v>129</v>
      </c>
      <c r="R107">
        <v>151</v>
      </c>
      <c r="S107">
        <v>0</v>
      </c>
      <c r="T107" t="s">
        <v>41</v>
      </c>
      <c r="U107" t="s">
        <v>42</v>
      </c>
      <c r="V107">
        <v>2.9</v>
      </c>
      <c r="W107">
        <v>4.45</v>
      </c>
      <c r="X107">
        <v>8.6</v>
      </c>
      <c r="Y107">
        <v>11.7</v>
      </c>
      <c r="Z107">
        <v>17.100000000000001</v>
      </c>
      <c r="AA107">
        <f>VALUE(SUBSTITUTE(DACS19___Pfizer’s_Personalised_Medicine_in[[#This Row],[Dose]],"mg",""))</f>
        <v>50</v>
      </c>
      <c r="AB107">
        <f t="shared" si="7"/>
        <v>50</v>
      </c>
      <c r="AC107" t="s">
        <v>129</v>
      </c>
      <c r="AD107">
        <f t="shared" si="8"/>
        <v>4</v>
      </c>
      <c r="AE107">
        <f t="shared" si="9"/>
        <v>1</v>
      </c>
      <c r="AF107" t="e">
        <f t="shared" si="10"/>
        <v>#N/A</v>
      </c>
      <c r="AG107" t="e">
        <f t="shared" si="11"/>
        <v>#N/A</v>
      </c>
      <c r="AH107">
        <f t="shared" si="12"/>
        <v>4.45</v>
      </c>
      <c r="AI107" t="e">
        <f t="shared" si="13"/>
        <v>#N/A</v>
      </c>
    </row>
    <row r="108" spans="1:35" x14ac:dyDescent="0.45">
      <c r="A108" t="s">
        <v>526</v>
      </c>
      <c r="B108">
        <v>35</v>
      </c>
      <c r="C108" t="s">
        <v>45</v>
      </c>
      <c r="D108" t="s">
        <v>95</v>
      </c>
      <c r="E108" t="s">
        <v>29</v>
      </c>
      <c r="F108" t="s">
        <v>79</v>
      </c>
      <c r="G108" t="s">
        <v>276</v>
      </c>
      <c r="H108" t="s">
        <v>32</v>
      </c>
      <c r="I108" t="s">
        <v>49</v>
      </c>
      <c r="J108" t="s">
        <v>119</v>
      </c>
      <c r="K108" t="s">
        <v>527</v>
      </c>
      <c r="L108" t="s">
        <v>92</v>
      </c>
      <c r="M108" t="s">
        <v>75</v>
      </c>
      <c r="N108" t="s">
        <v>528</v>
      </c>
      <c r="O108" t="s">
        <v>92</v>
      </c>
      <c r="P108" t="s">
        <v>55</v>
      </c>
      <c r="Q108" t="s">
        <v>75</v>
      </c>
      <c r="R108">
        <v>170</v>
      </c>
      <c r="S108">
        <v>0</v>
      </c>
      <c r="T108" t="s">
        <v>123</v>
      </c>
      <c r="U108" t="s">
        <v>57</v>
      </c>
      <c r="V108">
        <v>1.1499999999999999</v>
      </c>
      <c r="W108">
        <v>3.39</v>
      </c>
      <c r="X108">
        <v>3.1</v>
      </c>
      <c r="Y108">
        <v>8.1999999999999993</v>
      </c>
      <c r="Z108">
        <v>4.3</v>
      </c>
      <c r="AA108">
        <f>VALUE(SUBSTITUTE(DACS19___Pfizer’s_Personalised_Medicine_in[[#This Row],[Dose]],"mg",""))</f>
        <v>50</v>
      </c>
      <c r="AB108">
        <f t="shared" si="7"/>
        <v>50</v>
      </c>
      <c r="AC108" t="s">
        <v>75</v>
      </c>
      <c r="AD108">
        <f t="shared" si="8"/>
        <v>1</v>
      </c>
      <c r="AE108">
        <f t="shared" si="9"/>
        <v>2</v>
      </c>
      <c r="AF108" t="e">
        <f t="shared" si="10"/>
        <v>#N/A</v>
      </c>
      <c r="AG108" t="e">
        <f t="shared" si="11"/>
        <v>#N/A</v>
      </c>
      <c r="AH108">
        <f t="shared" si="12"/>
        <v>3.39</v>
      </c>
      <c r="AI108" t="e">
        <f t="shared" si="13"/>
        <v>#N/A</v>
      </c>
    </row>
    <row r="109" spans="1:35" x14ac:dyDescent="0.45">
      <c r="A109" t="s">
        <v>529</v>
      </c>
      <c r="B109">
        <v>44</v>
      </c>
      <c r="C109" t="s">
        <v>45</v>
      </c>
      <c r="D109" t="s">
        <v>28</v>
      </c>
      <c r="E109" t="s">
        <v>46</v>
      </c>
      <c r="F109" t="s">
        <v>69</v>
      </c>
      <c r="G109" t="s">
        <v>96</v>
      </c>
      <c r="H109" t="s">
        <v>71</v>
      </c>
      <c r="I109" t="s">
        <v>72</v>
      </c>
      <c r="J109" t="s">
        <v>530</v>
      </c>
      <c r="K109" t="s">
        <v>531</v>
      </c>
      <c r="L109" t="s">
        <v>52</v>
      </c>
      <c r="M109" t="s">
        <v>67</v>
      </c>
      <c r="N109" t="s">
        <v>532</v>
      </c>
      <c r="O109" t="s">
        <v>52</v>
      </c>
      <c r="P109" t="s">
        <v>110</v>
      </c>
      <c r="Q109" t="s">
        <v>129</v>
      </c>
      <c r="R109">
        <v>170</v>
      </c>
      <c r="S109">
        <v>0</v>
      </c>
      <c r="T109" t="s">
        <v>56</v>
      </c>
      <c r="U109" t="s">
        <v>42</v>
      </c>
      <c r="V109">
        <v>3.79</v>
      </c>
      <c r="W109">
        <v>2.36</v>
      </c>
      <c r="X109">
        <v>7.5</v>
      </c>
      <c r="Y109">
        <v>7.2</v>
      </c>
      <c r="Z109">
        <v>8.4</v>
      </c>
      <c r="AA109">
        <f>VALUE(SUBSTITUTE(DACS19___Pfizer’s_Personalised_Medicine_in[[#This Row],[Dose]],"mg",""))</f>
        <v>100</v>
      </c>
      <c r="AB109">
        <f t="shared" si="7"/>
        <v>100</v>
      </c>
      <c r="AC109" t="s">
        <v>129</v>
      </c>
      <c r="AD109">
        <f t="shared" si="8"/>
        <v>4</v>
      </c>
      <c r="AE109">
        <f t="shared" si="9"/>
        <v>1</v>
      </c>
      <c r="AF109" t="e">
        <f t="shared" si="10"/>
        <v>#N/A</v>
      </c>
      <c r="AG109">
        <f t="shared" si="11"/>
        <v>2.36</v>
      </c>
      <c r="AH109" t="e">
        <f t="shared" si="12"/>
        <v>#N/A</v>
      </c>
      <c r="AI109" t="e">
        <f t="shared" si="13"/>
        <v>#N/A</v>
      </c>
    </row>
    <row r="110" spans="1:35" x14ac:dyDescent="0.45">
      <c r="A110" t="s">
        <v>533</v>
      </c>
      <c r="B110">
        <v>55</v>
      </c>
      <c r="C110" t="s">
        <v>45</v>
      </c>
      <c r="D110" t="s">
        <v>87</v>
      </c>
      <c r="E110" t="s">
        <v>2614</v>
      </c>
      <c r="F110" t="s">
        <v>69</v>
      </c>
      <c r="G110" t="s">
        <v>70</v>
      </c>
      <c r="H110" t="s">
        <v>32</v>
      </c>
      <c r="I110" t="s">
        <v>132</v>
      </c>
      <c r="J110" t="s">
        <v>534</v>
      </c>
      <c r="K110" t="s">
        <v>535</v>
      </c>
      <c r="L110" t="s">
        <v>92</v>
      </c>
      <c r="M110" t="s">
        <v>536</v>
      </c>
      <c r="N110" t="s">
        <v>537</v>
      </c>
      <c r="O110" t="s">
        <v>92</v>
      </c>
      <c r="P110" t="s">
        <v>55</v>
      </c>
      <c r="Q110" t="s">
        <v>40</v>
      </c>
      <c r="R110">
        <v>145</v>
      </c>
      <c r="S110">
        <v>0</v>
      </c>
      <c r="T110" t="s">
        <v>137</v>
      </c>
      <c r="U110" t="s">
        <v>57</v>
      </c>
      <c r="V110">
        <v>3.16</v>
      </c>
      <c r="W110">
        <v>4.16</v>
      </c>
      <c r="X110">
        <v>3.9</v>
      </c>
      <c r="Y110">
        <v>17.3</v>
      </c>
      <c r="Z110">
        <v>18.100000000000001</v>
      </c>
      <c r="AA110">
        <f>VALUE(SUBSTITUTE(DACS19___Pfizer’s_Personalised_Medicine_in[[#This Row],[Dose]],"mg",""))</f>
        <v>50</v>
      </c>
      <c r="AB110">
        <f t="shared" si="7"/>
        <v>50</v>
      </c>
      <c r="AC110" t="s">
        <v>40</v>
      </c>
      <c r="AD110">
        <f t="shared" si="8"/>
        <v>3</v>
      </c>
      <c r="AE110">
        <f t="shared" si="9"/>
        <v>2</v>
      </c>
      <c r="AF110" t="e">
        <f t="shared" si="10"/>
        <v>#N/A</v>
      </c>
      <c r="AG110" t="e">
        <f t="shared" si="11"/>
        <v>#N/A</v>
      </c>
      <c r="AH110">
        <f t="shared" si="12"/>
        <v>4.16</v>
      </c>
      <c r="AI110" t="e">
        <f t="shared" si="13"/>
        <v>#N/A</v>
      </c>
    </row>
    <row r="111" spans="1:35" x14ac:dyDescent="0.45">
      <c r="A111" t="s">
        <v>538</v>
      </c>
      <c r="B111">
        <v>37</v>
      </c>
      <c r="C111" t="s">
        <v>45</v>
      </c>
      <c r="D111" t="s">
        <v>45</v>
      </c>
      <c r="E111" t="s">
        <v>2614</v>
      </c>
      <c r="F111" t="s">
        <v>2614</v>
      </c>
      <c r="G111" t="s">
        <v>48</v>
      </c>
      <c r="H111" t="s">
        <v>71</v>
      </c>
      <c r="I111" t="s">
        <v>49</v>
      </c>
      <c r="J111" t="s">
        <v>539</v>
      </c>
      <c r="K111" t="s">
        <v>540</v>
      </c>
      <c r="L111" t="s">
        <v>36</v>
      </c>
      <c r="M111" t="s">
        <v>2615</v>
      </c>
      <c r="N111" t="s">
        <v>327</v>
      </c>
      <c r="O111" t="s">
        <v>36</v>
      </c>
      <c r="P111" t="s">
        <v>110</v>
      </c>
      <c r="Q111" t="s">
        <v>2614</v>
      </c>
      <c r="R111">
        <v>152</v>
      </c>
      <c r="S111">
        <v>0</v>
      </c>
      <c r="T111" t="s">
        <v>56</v>
      </c>
      <c r="U111" t="s">
        <v>57</v>
      </c>
      <c r="V111">
        <v>3.46</v>
      </c>
      <c r="W111">
        <v>1.93</v>
      </c>
      <c r="X111">
        <v>1.2</v>
      </c>
      <c r="Y111">
        <v>21.7</v>
      </c>
      <c r="Z111">
        <v>3.4</v>
      </c>
      <c r="AA111">
        <f>VALUE(SUBSTITUTE(DACS19___Pfizer’s_Personalised_Medicine_in[[#This Row],[Dose]],"mg",""))</f>
        <v>200</v>
      </c>
      <c r="AB111">
        <f t="shared" si="7"/>
        <v>200</v>
      </c>
      <c r="AC111" t="s">
        <v>2614</v>
      </c>
      <c r="AD111">
        <f t="shared" si="8"/>
        <v>0</v>
      </c>
      <c r="AE111">
        <f t="shared" si="9"/>
        <v>1</v>
      </c>
      <c r="AF111" t="e">
        <f t="shared" si="10"/>
        <v>#N/A</v>
      </c>
      <c r="AG111">
        <f t="shared" si="11"/>
        <v>1.93</v>
      </c>
      <c r="AH111" t="e">
        <f t="shared" si="12"/>
        <v>#N/A</v>
      </c>
      <c r="AI111" t="e">
        <f t="shared" si="13"/>
        <v>#N/A</v>
      </c>
    </row>
    <row r="112" spans="1:35" x14ac:dyDescent="0.45">
      <c r="A112" t="s">
        <v>541</v>
      </c>
      <c r="B112">
        <v>63</v>
      </c>
      <c r="C112" t="s">
        <v>44</v>
      </c>
      <c r="D112" t="s">
        <v>95</v>
      </c>
      <c r="E112" t="s">
        <v>29</v>
      </c>
      <c r="F112" t="s">
        <v>69</v>
      </c>
      <c r="G112" t="s">
        <v>125</v>
      </c>
      <c r="H112" t="s">
        <v>32</v>
      </c>
      <c r="I112" t="s">
        <v>72</v>
      </c>
      <c r="J112" t="s">
        <v>519</v>
      </c>
      <c r="K112" t="s">
        <v>542</v>
      </c>
      <c r="L112" t="s">
        <v>92</v>
      </c>
      <c r="M112" t="s">
        <v>2636</v>
      </c>
      <c r="N112" t="s">
        <v>340</v>
      </c>
      <c r="O112" t="s">
        <v>92</v>
      </c>
      <c r="P112" t="s">
        <v>39</v>
      </c>
      <c r="Q112" t="s">
        <v>75</v>
      </c>
      <c r="R112">
        <v>178</v>
      </c>
      <c r="S112">
        <v>1</v>
      </c>
      <c r="T112" t="s">
        <v>56</v>
      </c>
      <c r="U112" t="s">
        <v>42</v>
      </c>
      <c r="V112">
        <v>4.5</v>
      </c>
      <c r="W112">
        <v>3.12</v>
      </c>
      <c r="X112">
        <v>9.5</v>
      </c>
      <c r="Y112">
        <v>20.399999999999999</v>
      </c>
      <c r="Z112">
        <v>20</v>
      </c>
      <c r="AA112">
        <f>VALUE(SUBSTITUTE(DACS19___Pfizer’s_Personalised_Medicine_in[[#This Row],[Dose]],"mg",""))</f>
        <v>50</v>
      </c>
      <c r="AB112">
        <f t="shared" si="7"/>
        <v>50</v>
      </c>
      <c r="AC112" t="s">
        <v>75</v>
      </c>
      <c r="AD112">
        <f t="shared" si="8"/>
        <v>1</v>
      </c>
      <c r="AE112">
        <f t="shared" si="9"/>
        <v>3</v>
      </c>
      <c r="AF112" t="e">
        <f t="shared" si="10"/>
        <v>#N/A</v>
      </c>
      <c r="AG112" t="e">
        <f t="shared" si="11"/>
        <v>#N/A</v>
      </c>
      <c r="AH112">
        <f t="shared" si="12"/>
        <v>3.12</v>
      </c>
      <c r="AI112" t="e">
        <f t="shared" si="13"/>
        <v>#N/A</v>
      </c>
    </row>
    <row r="113" spans="1:35" x14ac:dyDescent="0.45">
      <c r="A113" t="s">
        <v>544</v>
      </c>
      <c r="B113">
        <v>22</v>
      </c>
      <c r="C113" t="s">
        <v>45</v>
      </c>
      <c r="D113" t="s">
        <v>28</v>
      </c>
      <c r="E113" t="s">
        <v>29</v>
      </c>
      <c r="F113" t="s">
        <v>2614</v>
      </c>
      <c r="G113" t="s">
        <v>178</v>
      </c>
      <c r="H113" t="s">
        <v>81</v>
      </c>
      <c r="I113" t="s">
        <v>72</v>
      </c>
      <c r="J113" t="s">
        <v>545</v>
      </c>
      <c r="K113" t="s">
        <v>103</v>
      </c>
      <c r="L113" t="s">
        <v>64</v>
      </c>
      <c r="M113" t="s">
        <v>40</v>
      </c>
      <c r="N113" t="s">
        <v>546</v>
      </c>
      <c r="O113" t="s">
        <v>64</v>
      </c>
      <c r="P113" t="s">
        <v>110</v>
      </c>
      <c r="Q113" t="s">
        <v>129</v>
      </c>
      <c r="R113">
        <v>131</v>
      </c>
      <c r="S113">
        <v>0</v>
      </c>
      <c r="T113" t="s">
        <v>137</v>
      </c>
      <c r="U113" t="s">
        <v>42</v>
      </c>
      <c r="V113">
        <v>2.4</v>
      </c>
      <c r="W113">
        <v>4.07</v>
      </c>
      <c r="X113">
        <v>4.5999999999999996</v>
      </c>
      <c r="Y113">
        <v>14.6</v>
      </c>
      <c r="Z113">
        <v>13.7</v>
      </c>
      <c r="AA113">
        <f>VALUE(SUBSTITUTE(DACS19___Pfizer’s_Personalised_Medicine_in[[#This Row],[Dose]],"mg",""))</f>
        <v>150</v>
      </c>
      <c r="AB113">
        <f t="shared" si="7"/>
        <v>150</v>
      </c>
      <c r="AC113" t="s">
        <v>129</v>
      </c>
      <c r="AD113">
        <f t="shared" si="8"/>
        <v>4</v>
      </c>
      <c r="AE113">
        <f t="shared" si="9"/>
        <v>1</v>
      </c>
      <c r="AF113" t="e">
        <f t="shared" si="10"/>
        <v>#N/A</v>
      </c>
      <c r="AG113" t="e">
        <f t="shared" si="11"/>
        <v>#N/A</v>
      </c>
      <c r="AH113" t="e">
        <f t="shared" si="12"/>
        <v>#N/A</v>
      </c>
      <c r="AI113">
        <f t="shared" si="13"/>
        <v>4.07</v>
      </c>
    </row>
    <row r="114" spans="1:35" x14ac:dyDescent="0.45">
      <c r="A114" t="s">
        <v>547</v>
      </c>
      <c r="B114">
        <v>48</v>
      </c>
      <c r="C114" t="s">
        <v>45</v>
      </c>
      <c r="D114" t="s">
        <v>106</v>
      </c>
      <c r="E114" t="s">
        <v>29</v>
      </c>
      <c r="F114" t="s">
        <v>79</v>
      </c>
      <c r="G114" t="s">
        <v>112</v>
      </c>
      <c r="H114" t="s">
        <v>71</v>
      </c>
      <c r="I114" t="s">
        <v>33</v>
      </c>
      <c r="J114" t="s">
        <v>548</v>
      </c>
      <c r="K114" t="s">
        <v>549</v>
      </c>
      <c r="L114" t="s">
        <v>36</v>
      </c>
      <c r="M114" t="s">
        <v>129</v>
      </c>
      <c r="N114" t="s">
        <v>550</v>
      </c>
      <c r="O114" t="s">
        <v>36</v>
      </c>
      <c r="P114" t="s">
        <v>55</v>
      </c>
      <c r="Q114" t="s">
        <v>67</v>
      </c>
      <c r="R114">
        <v>40</v>
      </c>
      <c r="S114">
        <v>0</v>
      </c>
      <c r="T114" t="s">
        <v>41</v>
      </c>
      <c r="U114" t="s">
        <v>57</v>
      </c>
      <c r="V114">
        <v>4.49</v>
      </c>
      <c r="W114">
        <v>4.9400000000000004</v>
      </c>
      <c r="X114">
        <v>7.9</v>
      </c>
      <c r="Y114">
        <v>13.5</v>
      </c>
      <c r="Z114">
        <v>10.199999999999999</v>
      </c>
      <c r="AA114">
        <f>VALUE(SUBSTITUTE(DACS19___Pfizer’s_Personalised_Medicine_in[[#This Row],[Dose]],"mg",""))</f>
        <v>200</v>
      </c>
      <c r="AB114">
        <f t="shared" si="7"/>
        <v>200</v>
      </c>
      <c r="AC114" t="s">
        <v>67</v>
      </c>
      <c r="AD114">
        <f t="shared" si="8"/>
        <v>2</v>
      </c>
      <c r="AE114">
        <f t="shared" si="9"/>
        <v>2</v>
      </c>
      <c r="AF114" t="e">
        <f t="shared" si="10"/>
        <v>#N/A</v>
      </c>
      <c r="AG114">
        <f t="shared" si="11"/>
        <v>4.9400000000000004</v>
      </c>
      <c r="AH114" t="e">
        <f t="shared" si="12"/>
        <v>#N/A</v>
      </c>
      <c r="AI114" t="e">
        <f t="shared" si="13"/>
        <v>#N/A</v>
      </c>
    </row>
    <row r="115" spans="1:35" x14ac:dyDescent="0.45">
      <c r="A115" t="s">
        <v>551</v>
      </c>
      <c r="B115">
        <v>67</v>
      </c>
      <c r="C115" t="s">
        <v>44</v>
      </c>
      <c r="D115" t="s">
        <v>95</v>
      </c>
      <c r="E115" t="s">
        <v>163</v>
      </c>
      <c r="F115" t="s">
        <v>59</v>
      </c>
      <c r="G115" t="s">
        <v>102</v>
      </c>
      <c r="H115" t="s">
        <v>32</v>
      </c>
      <c r="I115" t="s">
        <v>132</v>
      </c>
      <c r="J115" t="s">
        <v>552</v>
      </c>
      <c r="K115" t="s">
        <v>553</v>
      </c>
      <c r="L115" t="s">
        <v>36</v>
      </c>
      <c r="M115" t="s">
        <v>2637</v>
      </c>
      <c r="N115" t="s">
        <v>142</v>
      </c>
      <c r="O115" t="s">
        <v>36</v>
      </c>
      <c r="P115" t="s">
        <v>39</v>
      </c>
      <c r="Q115" t="s">
        <v>75</v>
      </c>
      <c r="R115">
        <v>94</v>
      </c>
      <c r="S115">
        <v>1</v>
      </c>
      <c r="T115" t="s">
        <v>56</v>
      </c>
      <c r="U115" t="s">
        <v>42</v>
      </c>
      <c r="V115">
        <v>3.95</v>
      </c>
      <c r="W115">
        <v>1.96</v>
      </c>
      <c r="X115">
        <v>2</v>
      </c>
      <c r="Y115">
        <v>12.4</v>
      </c>
      <c r="Z115">
        <v>7.9</v>
      </c>
      <c r="AA115">
        <f>VALUE(SUBSTITUTE(DACS19___Pfizer’s_Personalised_Medicine_in[[#This Row],[Dose]],"mg",""))</f>
        <v>200</v>
      </c>
      <c r="AB115">
        <f t="shared" si="7"/>
        <v>200</v>
      </c>
      <c r="AC115" t="s">
        <v>75</v>
      </c>
      <c r="AD115">
        <f t="shared" si="8"/>
        <v>1</v>
      </c>
      <c r="AE115">
        <f t="shared" si="9"/>
        <v>3</v>
      </c>
      <c r="AF115" t="e">
        <f t="shared" si="10"/>
        <v>#N/A</v>
      </c>
      <c r="AG115" t="e">
        <f t="shared" si="11"/>
        <v>#N/A</v>
      </c>
      <c r="AH115">
        <f t="shared" si="12"/>
        <v>1.96</v>
      </c>
      <c r="AI115" t="e">
        <f t="shared" si="13"/>
        <v>#N/A</v>
      </c>
    </row>
    <row r="116" spans="1:35" x14ac:dyDescent="0.45">
      <c r="A116" t="s">
        <v>555</v>
      </c>
      <c r="B116">
        <v>84</v>
      </c>
      <c r="C116" t="s">
        <v>44</v>
      </c>
      <c r="D116" t="s">
        <v>28</v>
      </c>
      <c r="E116" t="s">
        <v>2614</v>
      </c>
      <c r="F116" t="s">
        <v>47</v>
      </c>
      <c r="G116" t="s">
        <v>152</v>
      </c>
      <c r="H116" t="s">
        <v>61</v>
      </c>
      <c r="I116" t="s">
        <v>72</v>
      </c>
      <c r="J116" t="s">
        <v>411</v>
      </c>
      <c r="K116" t="s">
        <v>556</v>
      </c>
      <c r="L116" t="s">
        <v>64</v>
      </c>
      <c r="M116" t="s">
        <v>67</v>
      </c>
      <c r="N116" t="s">
        <v>383</v>
      </c>
      <c r="O116" t="s">
        <v>64</v>
      </c>
      <c r="P116" t="s">
        <v>39</v>
      </c>
      <c r="Q116" t="s">
        <v>2614</v>
      </c>
      <c r="R116">
        <v>60</v>
      </c>
      <c r="S116">
        <v>1</v>
      </c>
      <c r="T116" t="s">
        <v>41</v>
      </c>
      <c r="U116" t="s">
        <v>57</v>
      </c>
      <c r="V116">
        <v>2.19</v>
      </c>
      <c r="W116">
        <v>1.93</v>
      </c>
      <c r="X116">
        <v>1.4</v>
      </c>
      <c r="Y116">
        <v>6.3</v>
      </c>
      <c r="Z116">
        <v>19.8</v>
      </c>
      <c r="AA116">
        <f>VALUE(SUBSTITUTE(DACS19___Pfizer’s_Personalised_Medicine_in[[#This Row],[Dose]],"mg",""))</f>
        <v>150</v>
      </c>
      <c r="AB116">
        <f t="shared" si="7"/>
        <v>150</v>
      </c>
      <c r="AC116" t="s">
        <v>2614</v>
      </c>
      <c r="AD116">
        <f t="shared" si="8"/>
        <v>0</v>
      </c>
      <c r="AE116">
        <f t="shared" si="9"/>
        <v>3</v>
      </c>
      <c r="AF116">
        <f t="shared" si="10"/>
        <v>1.93</v>
      </c>
      <c r="AG116" t="e">
        <f t="shared" si="11"/>
        <v>#N/A</v>
      </c>
      <c r="AH116" t="e">
        <f t="shared" si="12"/>
        <v>#N/A</v>
      </c>
      <c r="AI116" t="e">
        <f t="shared" si="13"/>
        <v>#N/A</v>
      </c>
    </row>
    <row r="117" spans="1:35" x14ac:dyDescent="0.45">
      <c r="A117" t="s">
        <v>557</v>
      </c>
      <c r="B117">
        <v>60</v>
      </c>
      <c r="C117" t="s">
        <v>45</v>
      </c>
      <c r="D117" t="s">
        <v>87</v>
      </c>
      <c r="E117" t="s">
        <v>78</v>
      </c>
      <c r="F117" t="s">
        <v>2614</v>
      </c>
      <c r="G117" t="s">
        <v>70</v>
      </c>
      <c r="H117" t="s">
        <v>71</v>
      </c>
      <c r="I117" t="s">
        <v>72</v>
      </c>
      <c r="J117" t="s">
        <v>558</v>
      </c>
      <c r="K117" t="s">
        <v>549</v>
      </c>
      <c r="L117" t="s">
        <v>52</v>
      </c>
      <c r="M117" t="s">
        <v>309</v>
      </c>
      <c r="N117" t="s">
        <v>340</v>
      </c>
      <c r="O117" t="s">
        <v>52</v>
      </c>
      <c r="P117" t="s">
        <v>110</v>
      </c>
      <c r="Q117" t="s">
        <v>129</v>
      </c>
      <c r="R117">
        <v>176</v>
      </c>
      <c r="S117">
        <v>0</v>
      </c>
      <c r="T117" t="s">
        <v>41</v>
      </c>
      <c r="U117" t="s">
        <v>42</v>
      </c>
      <c r="V117">
        <v>2.71</v>
      </c>
      <c r="W117">
        <v>2.54</v>
      </c>
      <c r="X117">
        <v>7.1</v>
      </c>
      <c r="Y117">
        <v>9.9</v>
      </c>
      <c r="Z117">
        <v>19.100000000000001</v>
      </c>
      <c r="AA117">
        <f>VALUE(SUBSTITUTE(DACS19___Pfizer’s_Personalised_Medicine_in[[#This Row],[Dose]],"mg",""))</f>
        <v>100</v>
      </c>
      <c r="AB117">
        <f t="shared" si="7"/>
        <v>100</v>
      </c>
      <c r="AC117" t="s">
        <v>129</v>
      </c>
      <c r="AD117">
        <f t="shared" si="8"/>
        <v>4</v>
      </c>
      <c r="AE117">
        <f t="shared" si="9"/>
        <v>1</v>
      </c>
      <c r="AF117" t="e">
        <f t="shared" si="10"/>
        <v>#N/A</v>
      </c>
      <c r="AG117">
        <f t="shared" si="11"/>
        <v>2.54</v>
      </c>
      <c r="AH117" t="e">
        <f t="shared" si="12"/>
        <v>#N/A</v>
      </c>
      <c r="AI117" t="e">
        <f t="shared" si="13"/>
        <v>#N/A</v>
      </c>
    </row>
    <row r="118" spans="1:35" x14ac:dyDescent="0.45">
      <c r="A118" t="s">
        <v>559</v>
      </c>
      <c r="B118">
        <v>39</v>
      </c>
      <c r="C118" t="s">
        <v>44</v>
      </c>
      <c r="D118" t="s">
        <v>106</v>
      </c>
      <c r="E118" t="s">
        <v>29</v>
      </c>
      <c r="F118" t="s">
        <v>2614</v>
      </c>
      <c r="G118" t="s">
        <v>152</v>
      </c>
      <c r="H118" t="s">
        <v>61</v>
      </c>
      <c r="I118" t="s">
        <v>132</v>
      </c>
      <c r="J118" t="s">
        <v>560</v>
      </c>
      <c r="K118" t="s">
        <v>561</v>
      </c>
      <c r="L118" t="s">
        <v>36</v>
      </c>
      <c r="M118" t="s">
        <v>339</v>
      </c>
      <c r="N118" t="s">
        <v>562</v>
      </c>
      <c r="O118" t="s">
        <v>36</v>
      </c>
      <c r="P118" t="s">
        <v>110</v>
      </c>
      <c r="Q118" t="s">
        <v>67</v>
      </c>
      <c r="R118">
        <v>179</v>
      </c>
      <c r="S118">
        <v>0</v>
      </c>
      <c r="T118" t="s">
        <v>41</v>
      </c>
      <c r="U118" t="s">
        <v>57</v>
      </c>
      <c r="V118">
        <v>4.1500000000000004</v>
      </c>
      <c r="W118">
        <v>1.36</v>
      </c>
      <c r="X118">
        <v>4.8</v>
      </c>
      <c r="Y118">
        <v>21.8</v>
      </c>
      <c r="Z118">
        <v>19.100000000000001</v>
      </c>
      <c r="AA118">
        <f>VALUE(SUBSTITUTE(DACS19___Pfizer’s_Personalised_Medicine_in[[#This Row],[Dose]],"mg",""))</f>
        <v>200</v>
      </c>
      <c r="AB118">
        <f t="shared" si="7"/>
        <v>200</v>
      </c>
      <c r="AC118" t="s">
        <v>67</v>
      </c>
      <c r="AD118">
        <f t="shared" si="8"/>
        <v>2</v>
      </c>
      <c r="AE118">
        <f t="shared" si="9"/>
        <v>1</v>
      </c>
      <c r="AF118">
        <f t="shared" si="10"/>
        <v>1.36</v>
      </c>
      <c r="AG118" t="e">
        <f t="shared" si="11"/>
        <v>#N/A</v>
      </c>
      <c r="AH118" t="e">
        <f t="shared" si="12"/>
        <v>#N/A</v>
      </c>
      <c r="AI118" t="e">
        <f t="shared" si="13"/>
        <v>#N/A</v>
      </c>
    </row>
    <row r="119" spans="1:35" x14ac:dyDescent="0.45">
      <c r="A119" t="s">
        <v>563</v>
      </c>
      <c r="B119">
        <v>39</v>
      </c>
      <c r="C119" t="s">
        <v>45</v>
      </c>
      <c r="D119" t="s">
        <v>28</v>
      </c>
      <c r="E119" t="s">
        <v>78</v>
      </c>
      <c r="F119" t="s">
        <v>2614</v>
      </c>
      <c r="G119" t="s">
        <v>125</v>
      </c>
      <c r="H119" t="s">
        <v>71</v>
      </c>
      <c r="I119" t="s">
        <v>33</v>
      </c>
      <c r="J119" t="s">
        <v>564</v>
      </c>
      <c r="K119" t="s">
        <v>565</v>
      </c>
      <c r="L119" t="s">
        <v>52</v>
      </c>
      <c r="M119" t="s">
        <v>566</v>
      </c>
      <c r="N119" t="s">
        <v>567</v>
      </c>
      <c r="O119" t="s">
        <v>52</v>
      </c>
      <c r="P119" t="s">
        <v>39</v>
      </c>
      <c r="Q119" t="s">
        <v>67</v>
      </c>
      <c r="R119">
        <v>151</v>
      </c>
      <c r="S119">
        <v>1</v>
      </c>
      <c r="T119" t="s">
        <v>85</v>
      </c>
      <c r="U119" t="s">
        <v>42</v>
      </c>
      <c r="V119">
        <v>2.87</v>
      </c>
      <c r="W119">
        <v>3.45</v>
      </c>
      <c r="X119">
        <v>2.5</v>
      </c>
      <c r="Y119">
        <v>23.8</v>
      </c>
      <c r="Z119">
        <v>6.9</v>
      </c>
      <c r="AA119">
        <f>VALUE(SUBSTITUTE(DACS19___Pfizer’s_Personalised_Medicine_in[[#This Row],[Dose]],"mg",""))</f>
        <v>100</v>
      </c>
      <c r="AB119">
        <f t="shared" si="7"/>
        <v>100</v>
      </c>
      <c r="AC119" t="s">
        <v>67</v>
      </c>
      <c r="AD119">
        <f t="shared" si="8"/>
        <v>2</v>
      </c>
      <c r="AE119">
        <f t="shared" si="9"/>
        <v>3</v>
      </c>
      <c r="AF119" t="e">
        <f t="shared" si="10"/>
        <v>#N/A</v>
      </c>
      <c r="AG119">
        <f t="shared" si="11"/>
        <v>3.45</v>
      </c>
      <c r="AH119" t="e">
        <f t="shared" si="12"/>
        <v>#N/A</v>
      </c>
      <c r="AI119" t="e">
        <f t="shared" si="13"/>
        <v>#N/A</v>
      </c>
    </row>
    <row r="120" spans="1:35" x14ac:dyDescent="0.45">
      <c r="A120" t="s">
        <v>568</v>
      </c>
      <c r="B120">
        <v>82</v>
      </c>
      <c r="C120" t="s">
        <v>27</v>
      </c>
      <c r="D120" t="s">
        <v>87</v>
      </c>
      <c r="E120" t="s">
        <v>78</v>
      </c>
      <c r="F120" t="s">
        <v>2614</v>
      </c>
      <c r="G120" t="s">
        <v>152</v>
      </c>
      <c r="H120" t="s">
        <v>61</v>
      </c>
      <c r="I120" t="s">
        <v>33</v>
      </c>
      <c r="J120" t="s">
        <v>569</v>
      </c>
      <c r="K120" t="s">
        <v>570</v>
      </c>
      <c r="L120" t="s">
        <v>36</v>
      </c>
      <c r="M120" t="s">
        <v>40</v>
      </c>
      <c r="N120" t="s">
        <v>571</v>
      </c>
      <c r="O120" t="s">
        <v>36</v>
      </c>
      <c r="P120" t="s">
        <v>55</v>
      </c>
      <c r="Q120" t="s">
        <v>2614</v>
      </c>
      <c r="R120">
        <v>180</v>
      </c>
      <c r="S120">
        <v>0</v>
      </c>
      <c r="T120" t="s">
        <v>85</v>
      </c>
      <c r="U120" t="s">
        <v>42</v>
      </c>
      <c r="V120">
        <v>4.7699999999999996</v>
      </c>
      <c r="W120">
        <v>3.6</v>
      </c>
      <c r="X120">
        <v>6.5</v>
      </c>
      <c r="Y120">
        <v>15.2</v>
      </c>
      <c r="Z120">
        <v>6.9</v>
      </c>
      <c r="AA120">
        <f>VALUE(SUBSTITUTE(DACS19___Pfizer’s_Personalised_Medicine_in[[#This Row],[Dose]],"mg",""))</f>
        <v>200</v>
      </c>
      <c r="AB120">
        <f t="shared" si="7"/>
        <v>200</v>
      </c>
      <c r="AC120" t="s">
        <v>2614</v>
      </c>
      <c r="AD120">
        <f t="shared" si="8"/>
        <v>0</v>
      </c>
      <c r="AE120">
        <f t="shared" si="9"/>
        <v>2</v>
      </c>
      <c r="AF120">
        <f t="shared" si="10"/>
        <v>3.6</v>
      </c>
      <c r="AG120" t="e">
        <f t="shared" si="11"/>
        <v>#N/A</v>
      </c>
      <c r="AH120" t="e">
        <f t="shared" si="12"/>
        <v>#N/A</v>
      </c>
      <c r="AI120" t="e">
        <f t="shared" si="13"/>
        <v>#N/A</v>
      </c>
    </row>
    <row r="121" spans="1:35" x14ac:dyDescent="0.45">
      <c r="A121" t="s">
        <v>572</v>
      </c>
      <c r="B121">
        <v>72</v>
      </c>
      <c r="C121" t="s">
        <v>27</v>
      </c>
      <c r="D121" t="s">
        <v>28</v>
      </c>
      <c r="E121" t="s">
        <v>78</v>
      </c>
      <c r="F121" t="s">
        <v>2614</v>
      </c>
      <c r="G121" t="s">
        <v>125</v>
      </c>
      <c r="H121" t="s">
        <v>32</v>
      </c>
      <c r="I121" t="s">
        <v>33</v>
      </c>
      <c r="J121" t="s">
        <v>573</v>
      </c>
      <c r="K121" t="s">
        <v>574</v>
      </c>
      <c r="L121" t="s">
        <v>92</v>
      </c>
      <c r="M121" t="s">
        <v>2623</v>
      </c>
      <c r="N121" t="s">
        <v>54</v>
      </c>
      <c r="O121" t="s">
        <v>92</v>
      </c>
      <c r="P121" t="s">
        <v>55</v>
      </c>
      <c r="Q121" t="s">
        <v>67</v>
      </c>
      <c r="R121">
        <v>110</v>
      </c>
      <c r="S121">
        <v>0</v>
      </c>
      <c r="T121" t="s">
        <v>56</v>
      </c>
      <c r="U121" t="s">
        <v>57</v>
      </c>
      <c r="V121">
        <v>1.71</v>
      </c>
      <c r="W121">
        <v>1.88</v>
      </c>
      <c r="X121">
        <v>2.7</v>
      </c>
      <c r="Y121">
        <v>20</v>
      </c>
      <c r="Z121">
        <v>9</v>
      </c>
      <c r="AA121">
        <f>VALUE(SUBSTITUTE(DACS19___Pfizer’s_Personalised_Medicine_in[[#This Row],[Dose]],"mg",""))</f>
        <v>50</v>
      </c>
      <c r="AB121">
        <f t="shared" si="7"/>
        <v>50</v>
      </c>
      <c r="AC121" t="s">
        <v>67</v>
      </c>
      <c r="AD121">
        <f t="shared" si="8"/>
        <v>2</v>
      </c>
      <c r="AE121">
        <f t="shared" si="9"/>
        <v>2</v>
      </c>
      <c r="AF121" t="e">
        <f t="shared" si="10"/>
        <v>#N/A</v>
      </c>
      <c r="AG121" t="e">
        <f t="shared" si="11"/>
        <v>#N/A</v>
      </c>
      <c r="AH121">
        <f t="shared" si="12"/>
        <v>1.88</v>
      </c>
      <c r="AI121" t="e">
        <f t="shared" si="13"/>
        <v>#N/A</v>
      </c>
    </row>
    <row r="122" spans="1:35" x14ac:dyDescent="0.45">
      <c r="A122" t="s">
        <v>575</v>
      </c>
      <c r="B122">
        <v>31</v>
      </c>
      <c r="C122" t="s">
        <v>27</v>
      </c>
      <c r="D122" t="s">
        <v>95</v>
      </c>
      <c r="E122" t="s">
        <v>29</v>
      </c>
      <c r="F122" t="s">
        <v>69</v>
      </c>
      <c r="G122" t="s">
        <v>48</v>
      </c>
      <c r="H122" t="s">
        <v>32</v>
      </c>
      <c r="I122" t="s">
        <v>132</v>
      </c>
      <c r="J122" t="s">
        <v>576</v>
      </c>
      <c r="K122" t="s">
        <v>577</v>
      </c>
      <c r="L122" t="s">
        <v>36</v>
      </c>
      <c r="M122" t="s">
        <v>2614</v>
      </c>
      <c r="N122" t="s">
        <v>578</v>
      </c>
      <c r="O122" t="s">
        <v>36</v>
      </c>
      <c r="P122" t="s">
        <v>110</v>
      </c>
      <c r="Q122" t="s">
        <v>40</v>
      </c>
      <c r="R122">
        <v>94</v>
      </c>
      <c r="S122">
        <v>0</v>
      </c>
      <c r="T122" t="s">
        <v>137</v>
      </c>
      <c r="U122" t="s">
        <v>57</v>
      </c>
      <c r="V122">
        <v>1.23</v>
      </c>
      <c r="W122">
        <v>4.88</v>
      </c>
      <c r="X122">
        <v>9</v>
      </c>
      <c r="Y122">
        <v>22.7</v>
      </c>
      <c r="Z122">
        <v>19.899999999999999</v>
      </c>
      <c r="AA122">
        <f>VALUE(SUBSTITUTE(DACS19___Pfizer’s_Personalised_Medicine_in[[#This Row],[Dose]],"mg",""))</f>
        <v>200</v>
      </c>
      <c r="AB122">
        <f t="shared" si="7"/>
        <v>200</v>
      </c>
      <c r="AC122" t="s">
        <v>40</v>
      </c>
      <c r="AD122">
        <f t="shared" si="8"/>
        <v>3</v>
      </c>
      <c r="AE122">
        <f t="shared" si="9"/>
        <v>1</v>
      </c>
      <c r="AF122" t="e">
        <f t="shared" si="10"/>
        <v>#N/A</v>
      </c>
      <c r="AG122" t="e">
        <f t="shared" si="11"/>
        <v>#N/A</v>
      </c>
      <c r="AH122">
        <f t="shared" si="12"/>
        <v>4.88</v>
      </c>
      <c r="AI122" t="e">
        <f t="shared" si="13"/>
        <v>#N/A</v>
      </c>
    </row>
    <row r="123" spans="1:35" x14ac:dyDescent="0.45">
      <c r="A123" t="s">
        <v>579</v>
      </c>
      <c r="B123">
        <v>68</v>
      </c>
      <c r="C123" t="s">
        <v>45</v>
      </c>
      <c r="D123" t="s">
        <v>106</v>
      </c>
      <c r="E123" t="s">
        <v>163</v>
      </c>
      <c r="F123" t="s">
        <v>2614</v>
      </c>
      <c r="G123" t="s">
        <v>440</v>
      </c>
      <c r="H123" t="s">
        <v>71</v>
      </c>
      <c r="I123" t="s">
        <v>49</v>
      </c>
      <c r="J123" t="s">
        <v>97</v>
      </c>
      <c r="K123" t="s">
        <v>580</v>
      </c>
      <c r="L123" t="s">
        <v>64</v>
      </c>
      <c r="M123" t="s">
        <v>581</v>
      </c>
      <c r="N123" t="s">
        <v>582</v>
      </c>
      <c r="O123" t="s">
        <v>64</v>
      </c>
      <c r="P123" t="s">
        <v>110</v>
      </c>
      <c r="Q123" t="s">
        <v>129</v>
      </c>
      <c r="R123">
        <v>53</v>
      </c>
      <c r="S123">
        <v>0</v>
      </c>
      <c r="T123" t="s">
        <v>41</v>
      </c>
      <c r="U123" t="s">
        <v>57</v>
      </c>
      <c r="V123">
        <v>1.7</v>
      </c>
      <c r="W123">
        <v>2.58</v>
      </c>
      <c r="X123">
        <v>7.8</v>
      </c>
      <c r="Y123">
        <v>18.5</v>
      </c>
      <c r="Z123">
        <v>5.6</v>
      </c>
      <c r="AA123">
        <f>VALUE(SUBSTITUTE(DACS19___Pfizer’s_Personalised_Medicine_in[[#This Row],[Dose]],"mg",""))</f>
        <v>150</v>
      </c>
      <c r="AB123">
        <f t="shared" si="7"/>
        <v>150</v>
      </c>
      <c r="AC123" t="s">
        <v>129</v>
      </c>
      <c r="AD123">
        <f t="shared" si="8"/>
        <v>4</v>
      </c>
      <c r="AE123">
        <f t="shared" si="9"/>
        <v>1</v>
      </c>
      <c r="AF123" t="e">
        <f t="shared" si="10"/>
        <v>#N/A</v>
      </c>
      <c r="AG123">
        <f t="shared" si="11"/>
        <v>2.58</v>
      </c>
      <c r="AH123" t="e">
        <f t="shared" si="12"/>
        <v>#N/A</v>
      </c>
      <c r="AI123" t="e">
        <f t="shared" si="13"/>
        <v>#N/A</v>
      </c>
    </row>
    <row r="124" spans="1:35" x14ac:dyDescent="0.45">
      <c r="A124" t="s">
        <v>583</v>
      </c>
      <c r="B124">
        <v>73</v>
      </c>
      <c r="C124" t="s">
        <v>27</v>
      </c>
      <c r="D124" t="s">
        <v>87</v>
      </c>
      <c r="E124" t="s">
        <v>2614</v>
      </c>
      <c r="F124" t="s">
        <v>88</v>
      </c>
      <c r="G124" t="s">
        <v>152</v>
      </c>
      <c r="H124" t="s">
        <v>61</v>
      </c>
      <c r="I124" t="s">
        <v>33</v>
      </c>
      <c r="J124" t="s">
        <v>584</v>
      </c>
      <c r="K124" t="s">
        <v>585</v>
      </c>
      <c r="L124" t="s">
        <v>64</v>
      </c>
      <c r="M124" t="s">
        <v>581</v>
      </c>
      <c r="N124" t="s">
        <v>586</v>
      </c>
      <c r="O124" t="s">
        <v>64</v>
      </c>
      <c r="P124" t="s">
        <v>55</v>
      </c>
      <c r="Q124" t="s">
        <v>40</v>
      </c>
      <c r="R124">
        <v>32</v>
      </c>
      <c r="S124">
        <v>0</v>
      </c>
      <c r="T124" t="s">
        <v>41</v>
      </c>
      <c r="U124" t="s">
        <v>57</v>
      </c>
      <c r="V124">
        <v>4.26</v>
      </c>
      <c r="W124">
        <v>1.9</v>
      </c>
      <c r="X124">
        <v>3</v>
      </c>
      <c r="Y124">
        <v>15.7</v>
      </c>
      <c r="Z124">
        <v>13.1</v>
      </c>
      <c r="AA124">
        <f>VALUE(SUBSTITUTE(DACS19___Pfizer’s_Personalised_Medicine_in[[#This Row],[Dose]],"mg",""))</f>
        <v>150</v>
      </c>
      <c r="AB124">
        <f t="shared" si="7"/>
        <v>150</v>
      </c>
      <c r="AC124" t="s">
        <v>40</v>
      </c>
      <c r="AD124">
        <f t="shared" si="8"/>
        <v>3</v>
      </c>
      <c r="AE124">
        <f t="shared" si="9"/>
        <v>2</v>
      </c>
      <c r="AF124">
        <f t="shared" si="10"/>
        <v>1.9</v>
      </c>
      <c r="AG124" t="e">
        <f t="shared" si="11"/>
        <v>#N/A</v>
      </c>
      <c r="AH124" t="e">
        <f t="shared" si="12"/>
        <v>#N/A</v>
      </c>
      <c r="AI124" t="e">
        <f t="shared" si="13"/>
        <v>#N/A</v>
      </c>
    </row>
    <row r="125" spans="1:35" x14ac:dyDescent="0.45">
      <c r="A125" t="s">
        <v>587</v>
      </c>
      <c r="B125">
        <v>42</v>
      </c>
      <c r="C125" t="s">
        <v>27</v>
      </c>
      <c r="D125" t="s">
        <v>45</v>
      </c>
      <c r="E125" t="s">
        <v>29</v>
      </c>
      <c r="F125" t="s">
        <v>2614</v>
      </c>
      <c r="G125" t="s">
        <v>60</v>
      </c>
      <c r="H125" t="s">
        <v>71</v>
      </c>
      <c r="I125" t="s">
        <v>49</v>
      </c>
      <c r="J125" t="s">
        <v>588</v>
      </c>
      <c r="K125" t="s">
        <v>230</v>
      </c>
      <c r="L125" t="s">
        <v>52</v>
      </c>
      <c r="M125" t="s">
        <v>2614</v>
      </c>
      <c r="N125" t="s">
        <v>412</v>
      </c>
      <c r="O125" t="s">
        <v>52</v>
      </c>
      <c r="P125" t="s">
        <v>55</v>
      </c>
      <c r="Q125" t="s">
        <v>2614</v>
      </c>
      <c r="R125">
        <v>131</v>
      </c>
      <c r="S125">
        <v>0</v>
      </c>
      <c r="T125" t="s">
        <v>56</v>
      </c>
      <c r="U125" t="s">
        <v>42</v>
      </c>
      <c r="V125">
        <v>3.32</v>
      </c>
      <c r="W125">
        <v>1.37</v>
      </c>
      <c r="X125">
        <v>8.9</v>
      </c>
      <c r="Y125">
        <v>10.8</v>
      </c>
      <c r="Z125">
        <v>5.2</v>
      </c>
      <c r="AA125">
        <f>VALUE(SUBSTITUTE(DACS19___Pfizer’s_Personalised_Medicine_in[[#This Row],[Dose]],"mg",""))</f>
        <v>100</v>
      </c>
      <c r="AB125">
        <f t="shared" si="7"/>
        <v>100</v>
      </c>
      <c r="AC125" t="s">
        <v>2614</v>
      </c>
      <c r="AD125">
        <f t="shared" si="8"/>
        <v>0</v>
      </c>
      <c r="AE125">
        <f t="shared" si="9"/>
        <v>2</v>
      </c>
      <c r="AF125" t="e">
        <f t="shared" si="10"/>
        <v>#N/A</v>
      </c>
      <c r="AG125">
        <f t="shared" si="11"/>
        <v>1.37</v>
      </c>
      <c r="AH125" t="e">
        <f t="shared" si="12"/>
        <v>#N/A</v>
      </c>
      <c r="AI125" t="e">
        <f t="shared" si="13"/>
        <v>#N/A</v>
      </c>
    </row>
    <row r="126" spans="1:35" x14ac:dyDescent="0.45">
      <c r="A126" t="s">
        <v>589</v>
      </c>
      <c r="B126">
        <v>84</v>
      </c>
      <c r="C126" t="s">
        <v>27</v>
      </c>
      <c r="D126" t="s">
        <v>87</v>
      </c>
      <c r="E126" t="s">
        <v>163</v>
      </c>
      <c r="F126" t="s">
        <v>2614</v>
      </c>
      <c r="G126" t="s">
        <v>178</v>
      </c>
      <c r="H126" t="s">
        <v>32</v>
      </c>
      <c r="I126" t="s">
        <v>132</v>
      </c>
      <c r="J126" t="s">
        <v>590</v>
      </c>
      <c r="K126" t="s">
        <v>591</v>
      </c>
      <c r="L126" t="s">
        <v>36</v>
      </c>
      <c r="M126" t="s">
        <v>536</v>
      </c>
      <c r="N126" t="s">
        <v>370</v>
      </c>
      <c r="O126" t="s">
        <v>36</v>
      </c>
      <c r="P126" t="s">
        <v>39</v>
      </c>
      <c r="Q126" t="s">
        <v>40</v>
      </c>
      <c r="R126">
        <v>159</v>
      </c>
      <c r="S126">
        <v>1</v>
      </c>
      <c r="T126" t="s">
        <v>123</v>
      </c>
      <c r="U126" t="s">
        <v>42</v>
      </c>
      <c r="V126">
        <v>4.55</v>
      </c>
      <c r="W126">
        <v>4.82</v>
      </c>
      <c r="X126">
        <v>8.8000000000000007</v>
      </c>
      <c r="Y126">
        <v>20.6</v>
      </c>
      <c r="Z126">
        <v>14.1</v>
      </c>
      <c r="AA126">
        <f>VALUE(SUBSTITUTE(DACS19___Pfizer’s_Personalised_Medicine_in[[#This Row],[Dose]],"mg",""))</f>
        <v>200</v>
      </c>
      <c r="AB126">
        <f t="shared" si="7"/>
        <v>200</v>
      </c>
      <c r="AC126" t="s">
        <v>40</v>
      </c>
      <c r="AD126">
        <f t="shared" si="8"/>
        <v>3</v>
      </c>
      <c r="AE126">
        <f t="shared" si="9"/>
        <v>3</v>
      </c>
      <c r="AF126" t="e">
        <f t="shared" si="10"/>
        <v>#N/A</v>
      </c>
      <c r="AG126" t="e">
        <f t="shared" si="11"/>
        <v>#N/A</v>
      </c>
      <c r="AH126">
        <f t="shared" si="12"/>
        <v>4.82</v>
      </c>
      <c r="AI126" t="e">
        <f t="shared" si="13"/>
        <v>#N/A</v>
      </c>
    </row>
    <row r="127" spans="1:35" x14ac:dyDescent="0.45">
      <c r="A127" t="s">
        <v>592</v>
      </c>
      <c r="B127">
        <v>82</v>
      </c>
      <c r="C127" t="s">
        <v>44</v>
      </c>
      <c r="D127" t="s">
        <v>28</v>
      </c>
      <c r="E127" t="s">
        <v>163</v>
      </c>
      <c r="F127" t="s">
        <v>2614</v>
      </c>
      <c r="G127" t="s">
        <v>184</v>
      </c>
      <c r="H127" t="s">
        <v>32</v>
      </c>
      <c r="I127" t="s">
        <v>33</v>
      </c>
      <c r="J127" t="s">
        <v>593</v>
      </c>
      <c r="K127" t="s">
        <v>594</v>
      </c>
      <c r="L127" t="s">
        <v>52</v>
      </c>
      <c r="M127" t="s">
        <v>500</v>
      </c>
      <c r="N127" t="s">
        <v>595</v>
      </c>
      <c r="O127" t="s">
        <v>52</v>
      </c>
      <c r="P127" t="s">
        <v>39</v>
      </c>
      <c r="Q127" t="s">
        <v>40</v>
      </c>
      <c r="R127">
        <v>59</v>
      </c>
      <c r="S127">
        <v>1</v>
      </c>
      <c r="T127" t="s">
        <v>137</v>
      </c>
      <c r="U127" t="s">
        <v>42</v>
      </c>
      <c r="V127">
        <v>3.2</v>
      </c>
      <c r="W127">
        <v>1.35</v>
      </c>
      <c r="X127">
        <v>4.7</v>
      </c>
      <c r="Y127">
        <v>12.7</v>
      </c>
      <c r="Z127">
        <v>7.4</v>
      </c>
      <c r="AA127">
        <f>VALUE(SUBSTITUTE(DACS19___Pfizer’s_Personalised_Medicine_in[[#This Row],[Dose]],"mg",""))</f>
        <v>100</v>
      </c>
      <c r="AB127">
        <f t="shared" si="7"/>
        <v>100</v>
      </c>
      <c r="AC127" t="s">
        <v>40</v>
      </c>
      <c r="AD127">
        <f t="shared" si="8"/>
        <v>3</v>
      </c>
      <c r="AE127">
        <f t="shared" si="9"/>
        <v>3</v>
      </c>
      <c r="AF127" t="e">
        <f t="shared" si="10"/>
        <v>#N/A</v>
      </c>
      <c r="AG127" t="e">
        <f t="shared" si="11"/>
        <v>#N/A</v>
      </c>
      <c r="AH127">
        <f t="shared" si="12"/>
        <v>1.35</v>
      </c>
      <c r="AI127" t="e">
        <f t="shared" si="13"/>
        <v>#N/A</v>
      </c>
    </row>
    <row r="128" spans="1:35" x14ac:dyDescent="0.45">
      <c r="A128" t="s">
        <v>596</v>
      </c>
      <c r="B128">
        <v>66</v>
      </c>
      <c r="C128" t="s">
        <v>45</v>
      </c>
      <c r="D128" t="s">
        <v>106</v>
      </c>
      <c r="E128" t="s">
        <v>46</v>
      </c>
      <c r="F128" t="s">
        <v>2614</v>
      </c>
      <c r="G128" t="s">
        <v>48</v>
      </c>
      <c r="H128" t="s">
        <v>32</v>
      </c>
      <c r="I128" t="s">
        <v>49</v>
      </c>
      <c r="J128" t="s">
        <v>597</v>
      </c>
      <c r="K128" t="s">
        <v>523</v>
      </c>
      <c r="L128" t="s">
        <v>36</v>
      </c>
      <c r="M128" t="s">
        <v>2630</v>
      </c>
      <c r="N128" t="s">
        <v>598</v>
      </c>
      <c r="O128" t="s">
        <v>36</v>
      </c>
      <c r="P128" t="s">
        <v>55</v>
      </c>
      <c r="Q128" t="s">
        <v>2614</v>
      </c>
      <c r="R128">
        <v>120</v>
      </c>
      <c r="S128">
        <v>0</v>
      </c>
      <c r="T128" t="s">
        <v>41</v>
      </c>
      <c r="U128" t="s">
        <v>57</v>
      </c>
      <c r="V128">
        <v>3.89</v>
      </c>
      <c r="W128">
        <v>2.98</v>
      </c>
      <c r="X128">
        <v>1.7</v>
      </c>
      <c r="Y128">
        <v>10</v>
      </c>
      <c r="Z128">
        <v>14.6</v>
      </c>
      <c r="AA128">
        <f>VALUE(SUBSTITUTE(DACS19___Pfizer’s_Personalised_Medicine_in[[#This Row],[Dose]],"mg",""))</f>
        <v>200</v>
      </c>
      <c r="AB128">
        <f t="shared" si="7"/>
        <v>200</v>
      </c>
      <c r="AC128" t="s">
        <v>2614</v>
      </c>
      <c r="AD128">
        <f t="shared" si="8"/>
        <v>0</v>
      </c>
      <c r="AE128">
        <f t="shared" si="9"/>
        <v>2</v>
      </c>
      <c r="AF128" t="e">
        <f t="shared" si="10"/>
        <v>#N/A</v>
      </c>
      <c r="AG128" t="e">
        <f t="shared" si="11"/>
        <v>#N/A</v>
      </c>
      <c r="AH128">
        <f t="shared" si="12"/>
        <v>2.98</v>
      </c>
      <c r="AI128" t="e">
        <f t="shared" si="13"/>
        <v>#N/A</v>
      </c>
    </row>
    <row r="129" spans="1:35" x14ac:dyDescent="0.45">
      <c r="A129" t="s">
        <v>599</v>
      </c>
      <c r="B129">
        <v>41</v>
      </c>
      <c r="C129" t="s">
        <v>45</v>
      </c>
      <c r="D129" t="s">
        <v>106</v>
      </c>
      <c r="E129" t="s">
        <v>78</v>
      </c>
      <c r="F129" t="s">
        <v>2614</v>
      </c>
      <c r="G129" t="s">
        <v>60</v>
      </c>
      <c r="H129" t="s">
        <v>71</v>
      </c>
      <c r="I129" t="s">
        <v>132</v>
      </c>
      <c r="J129" t="s">
        <v>600</v>
      </c>
      <c r="K129" t="s">
        <v>601</v>
      </c>
      <c r="L129" t="s">
        <v>64</v>
      </c>
      <c r="M129" t="s">
        <v>129</v>
      </c>
      <c r="N129" t="s">
        <v>602</v>
      </c>
      <c r="O129" t="s">
        <v>64</v>
      </c>
      <c r="P129" t="s">
        <v>39</v>
      </c>
      <c r="Q129" t="s">
        <v>40</v>
      </c>
      <c r="R129">
        <v>31</v>
      </c>
      <c r="S129">
        <v>1</v>
      </c>
      <c r="T129" t="s">
        <v>85</v>
      </c>
      <c r="U129" t="s">
        <v>42</v>
      </c>
      <c r="V129">
        <v>1.3</v>
      </c>
      <c r="W129">
        <v>4.4000000000000004</v>
      </c>
      <c r="X129">
        <v>5.5</v>
      </c>
      <c r="Y129">
        <v>14.7</v>
      </c>
      <c r="Z129">
        <v>13.1</v>
      </c>
      <c r="AA129">
        <f>VALUE(SUBSTITUTE(DACS19___Pfizer’s_Personalised_Medicine_in[[#This Row],[Dose]],"mg",""))</f>
        <v>150</v>
      </c>
      <c r="AB129">
        <f t="shared" si="7"/>
        <v>150</v>
      </c>
      <c r="AC129" t="s">
        <v>40</v>
      </c>
      <c r="AD129">
        <f t="shared" si="8"/>
        <v>3</v>
      </c>
      <c r="AE129">
        <f t="shared" si="9"/>
        <v>3</v>
      </c>
      <c r="AF129" t="e">
        <f t="shared" si="10"/>
        <v>#N/A</v>
      </c>
      <c r="AG129">
        <f t="shared" si="11"/>
        <v>4.4000000000000004</v>
      </c>
      <c r="AH129" t="e">
        <f t="shared" si="12"/>
        <v>#N/A</v>
      </c>
      <c r="AI129" t="e">
        <f t="shared" si="13"/>
        <v>#N/A</v>
      </c>
    </row>
    <row r="130" spans="1:35" x14ac:dyDescent="0.45">
      <c r="A130" t="s">
        <v>603</v>
      </c>
      <c r="B130">
        <v>79</v>
      </c>
      <c r="C130" t="s">
        <v>44</v>
      </c>
      <c r="D130" t="s">
        <v>45</v>
      </c>
      <c r="E130" t="s">
        <v>2614</v>
      </c>
      <c r="F130" t="s">
        <v>69</v>
      </c>
      <c r="G130" t="s">
        <v>184</v>
      </c>
      <c r="H130" t="s">
        <v>81</v>
      </c>
      <c r="I130" t="s">
        <v>72</v>
      </c>
      <c r="J130" t="s">
        <v>604</v>
      </c>
      <c r="K130" t="s">
        <v>605</v>
      </c>
      <c r="L130" t="s">
        <v>52</v>
      </c>
      <c r="M130" t="s">
        <v>75</v>
      </c>
      <c r="N130" t="s">
        <v>391</v>
      </c>
      <c r="O130" t="s">
        <v>52</v>
      </c>
      <c r="P130" t="s">
        <v>55</v>
      </c>
      <c r="Q130" t="s">
        <v>75</v>
      </c>
      <c r="R130">
        <v>38</v>
      </c>
      <c r="S130">
        <v>0</v>
      </c>
      <c r="T130" t="s">
        <v>85</v>
      </c>
      <c r="U130" t="s">
        <v>57</v>
      </c>
      <c r="V130">
        <v>4.3</v>
      </c>
      <c r="W130">
        <v>2.39</v>
      </c>
      <c r="X130">
        <v>7.1</v>
      </c>
      <c r="Y130">
        <v>16.2</v>
      </c>
      <c r="Z130">
        <v>7.5</v>
      </c>
      <c r="AA130">
        <f>VALUE(SUBSTITUTE(DACS19___Pfizer’s_Personalised_Medicine_in[[#This Row],[Dose]],"mg",""))</f>
        <v>100</v>
      </c>
      <c r="AB130">
        <f t="shared" ref="AB130:AB193" si="14">VALUE(SUBSTITUTE(O130,"mg",""))</f>
        <v>100</v>
      </c>
      <c r="AC130" t="s">
        <v>75</v>
      </c>
      <c r="AD130">
        <f t="shared" ref="AD130:AD193" si="15">IF(Q130="","",IF(Q130="Dizziness",1,IF(Q130="Fatigue",2,IF(Q130="Headache",3,IF(Q130="Nausea",4,IF(Q130="Not Reported",0,""))))))</f>
        <v>1</v>
      </c>
      <c r="AE130">
        <f t="shared" ref="AE130:AE193" si="16">IF(P130="Deteriorated",1,IF(P130="No Change",2,IF(P130="Improved",3,0)))</f>
        <v>2</v>
      </c>
      <c r="AF130" t="e">
        <f t="shared" ref="AF130:AF193" si="17">IF($H130="DrugA",$W130,NA())</f>
        <v>#N/A</v>
      </c>
      <c r="AG130" t="e">
        <f t="shared" ref="AG130:AG193" si="18">IF($H130="DrugB",$W130,NA())</f>
        <v>#N/A</v>
      </c>
      <c r="AH130" t="e">
        <f t="shared" ref="AH130:AH193" si="19">IF($H130="DrugC",$W130,NA())</f>
        <v>#N/A</v>
      </c>
      <c r="AI130">
        <f t="shared" ref="AI130:AI193" si="20">IF($H130="DrugD",$W130,NA())</f>
        <v>2.39</v>
      </c>
    </row>
    <row r="131" spans="1:35" x14ac:dyDescent="0.45">
      <c r="A131" t="s">
        <v>606</v>
      </c>
      <c r="B131">
        <v>68</v>
      </c>
      <c r="C131" t="s">
        <v>45</v>
      </c>
      <c r="D131" t="s">
        <v>106</v>
      </c>
      <c r="E131" t="s">
        <v>78</v>
      </c>
      <c r="F131" t="s">
        <v>2614</v>
      </c>
      <c r="G131" t="s">
        <v>246</v>
      </c>
      <c r="H131" t="s">
        <v>81</v>
      </c>
      <c r="I131" t="s">
        <v>132</v>
      </c>
      <c r="J131" t="s">
        <v>607</v>
      </c>
      <c r="K131" t="s">
        <v>608</v>
      </c>
      <c r="L131" t="s">
        <v>36</v>
      </c>
      <c r="M131" t="s">
        <v>2616</v>
      </c>
      <c r="N131" t="s">
        <v>484</v>
      </c>
      <c r="O131" t="s">
        <v>36</v>
      </c>
      <c r="P131" t="s">
        <v>55</v>
      </c>
      <c r="Q131" t="s">
        <v>67</v>
      </c>
      <c r="R131">
        <v>170</v>
      </c>
      <c r="S131">
        <v>0</v>
      </c>
      <c r="T131" t="s">
        <v>137</v>
      </c>
      <c r="U131" t="s">
        <v>42</v>
      </c>
      <c r="V131">
        <v>4.51</v>
      </c>
      <c r="W131">
        <v>4.1900000000000004</v>
      </c>
      <c r="X131">
        <v>6.9</v>
      </c>
      <c r="Y131">
        <v>21.3</v>
      </c>
      <c r="Z131">
        <v>17.7</v>
      </c>
      <c r="AA131">
        <f>VALUE(SUBSTITUTE(DACS19___Pfizer’s_Personalised_Medicine_in[[#This Row],[Dose]],"mg",""))</f>
        <v>200</v>
      </c>
      <c r="AB131">
        <f t="shared" si="14"/>
        <v>200</v>
      </c>
      <c r="AC131" t="s">
        <v>67</v>
      </c>
      <c r="AD131">
        <f t="shared" si="15"/>
        <v>2</v>
      </c>
      <c r="AE131">
        <f t="shared" si="16"/>
        <v>2</v>
      </c>
      <c r="AF131" t="e">
        <f t="shared" si="17"/>
        <v>#N/A</v>
      </c>
      <c r="AG131" t="e">
        <f t="shared" si="18"/>
        <v>#N/A</v>
      </c>
      <c r="AH131" t="e">
        <f t="shared" si="19"/>
        <v>#N/A</v>
      </c>
      <c r="AI131">
        <f t="shared" si="20"/>
        <v>4.1900000000000004</v>
      </c>
    </row>
    <row r="132" spans="1:35" x14ac:dyDescent="0.45">
      <c r="A132" t="s">
        <v>609</v>
      </c>
      <c r="B132">
        <v>52</v>
      </c>
      <c r="C132" t="s">
        <v>44</v>
      </c>
      <c r="D132" t="s">
        <v>45</v>
      </c>
      <c r="E132" t="s">
        <v>2614</v>
      </c>
      <c r="F132" t="s">
        <v>47</v>
      </c>
      <c r="G132" t="s">
        <v>48</v>
      </c>
      <c r="H132" t="s">
        <v>71</v>
      </c>
      <c r="I132" t="s">
        <v>33</v>
      </c>
      <c r="J132" t="s">
        <v>610</v>
      </c>
      <c r="K132" t="s">
        <v>611</v>
      </c>
      <c r="L132" t="s">
        <v>64</v>
      </c>
      <c r="M132" t="s">
        <v>339</v>
      </c>
      <c r="N132" t="s">
        <v>612</v>
      </c>
      <c r="O132" t="s">
        <v>64</v>
      </c>
      <c r="P132" t="s">
        <v>110</v>
      </c>
      <c r="Q132" t="s">
        <v>67</v>
      </c>
      <c r="R132">
        <v>55</v>
      </c>
      <c r="S132">
        <v>0</v>
      </c>
      <c r="T132" t="s">
        <v>137</v>
      </c>
      <c r="U132" t="s">
        <v>42</v>
      </c>
      <c r="V132">
        <v>3.83</v>
      </c>
      <c r="W132">
        <v>4.3499999999999996</v>
      </c>
      <c r="X132">
        <v>7.3</v>
      </c>
      <c r="Y132">
        <v>18.2</v>
      </c>
      <c r="Z132">
        <v>13.5</v>
      </c>
      <c r="AA132">
        <f>VALUE(SUBSTITUTE(DACS19___Pfizer’s_Personalised_Medicine_in[[#This Row],[Dose]],"mg",""))</f>
        <v>150</v>
      </c>
      <c r="AB132">
        <f t="shared" si="14"/>
        <v>150</v>
      </c>
      <c r="AC132" t="s">
        <v>67</v>
      </c>
      <c r="AD132">
        <f t="shared" si="15"/>
        <v>2</v>
      </c>
      <c r="AE132">
        <f t="shared" si="16"/>
        <v>1</v>
      </c>
      <c r="AF132" t="e">
        <f t="shared" si="17"/>
        <v>#N/A</v>
      </c>
      <c r="AG132">
        <f t="shared" si="18"/>
        <v>4.3499999999999996</v>
      </c>
      <c r="AH132" t="e">
        <f t="shared" si="19"/>
        <v>#N/A</v>
      </c>
      <c r="AI132" t="e">
        <f t="shared" si="20"/>
        <v>#N/A</v>
      </c>
    </row>
    <row r="133" spans="1:35" x14ac:dyDescent="0.45">
      <c r="A133" t="s">
        <v>613</v>
      </c>
      <c r="B133">
        <v>73</v>
      </c>
      <c r="C133" t="s">
        <v>44</v>
      </c>
      <c r="D133" t="s">
        <v>106</v>
      </c>
      <c r="E133" t="s">
        <v>46</v>
      </c>
      <c r="F133" t="s">
        <v>2614</v>
      </c>
      <c r="G133" t="s">
        <v>96</v>
      </c>
      <c r="H133" t="s">
        <v>81</v>
      </c>
      <c r="I133" t="s">
        <v>49</v>
      </c>
      <c r="J133" t="s">
        <v>614</v>
      </c>
      <c r="K133" t="s">
        <v>615</v>
      </c>
      <c r="L133" t="s">
        <v>64</v>
      </c>
      <c r="M133" t="s">
        <v>2633</v>
      </c>
      <c r="N133" t="s">
        <v>578</v>
      </c>
      <c r="O133" t="s">
        <v>64</v>
      </c>
      <c r="P133" t="s">
        <v>110</v>
      </c>
      <c r="Q133" t="s">
        <v>129</v>
      </c>
      <c r="R133">
        <v>131</v>
      </c>
      <c r="S133">
        <v>0</v>
      </c>
      <c r="T133" t="s">
        <v>123</v>
      </c>
      <c r="U133" t="s">
        <v>42</v>
      </c>
      <c r="V133">
        <v>4.01</v>
      </c>
      <c r="W133">
        <v>1.63</v>
      </c>
      <c r="X133">
        <v>8.9</v>
      </c>
      <c r="Y133">
        <v>21.7</v>
      </c>
      <c r="Z133">
        <v>3.5</v>
      </c>
      <c r="AA133">
        <f>VALUE(SUBSTITUTE(DACS19___Pfizer’s_Personalised_Medicine_in[[#This Row],[Dose]],"mg",""))</f>
        <v>150</v>
      </c>
      <c r="AB133">
        <f t="shared" si="14"/>
        <v>150</v>
      </c>
      <c r="AC133" t="s">
        <v>129</v>
      </c>
      <c r="AD133">
        <f t="shared" si="15"/>
        <v>4</v>
      </c>
      <c r="AE133">
        <f t="shared" si="16"/>
        <v>1</v>
      </c>
      <c r="AF133" t="e">
        <f t="shared" si="17"/>
        <v>#N/A</v>
      </c>
      <c r="AG133" t="e">
        <f t="shared" si="18"/>
        <v>#N/A</v>
      </c>
      <c r="AH133" t="e">
        <f t="shared" si="19"/>
        <v>#N/A</v>
      </c>
      <c r="AI133">
        <f t="shared" si="20"/>
        <v>1.63</v>
      </c>
    </row>
    <row r="134" spans="1:35" x14ac:dyDescent="0.45">
      <c r="A134" t="s">
        <v>616</v>
      </c>
      <c r="B134">
        <v>25</v>
      </c>
      <c r="C134" t="s">
        <v>27</v>
      </c>
      <c r="D134" t="s">
        <v>28</v>
      </c>
      <c r="E134" t="s">
        <v>78</v>
      </c>
      <c r="F134" t="s">
        <v>2614</v>
      </c>
      <c r="G134" t="s">
        <v>102</v>
      </c>
      <c r="H134" t="s">
        <v>81</v>
      </c>
      <c r="I134" t="s">
        <v>132</v>
      </c>
      <c r="J134" t="s">
        <v>617</v>
      </c>
      <c r="K134" t="s">
        <v>618</v>
      </c>
      <c r="L134" t="s">
        <v>64</v>
      </c>
      <c r="M134" t="s">
        <v>135</v>
      </c>
      <c r="N134" t="s">
        <v>619</v>
      </c>
      <c r="O134" t="s">
        <v>64</v>
      </c>
      <c r="P134" t="s">
        <v>55</v>
      </c>
      <c r="Q134" t="s">
        <v>75</v>
      </c>
      <c r="R134">
        <v>80</v>
      </c>
      <c r="S134">
        <v>0</v>
      </c>
      <c r="T134" t="s">
        <v>85</v>
      </c>
      <c r="U134" t="s">
        <v>42</v>
      </c>
      <c r="V134">
        <v>4.3</v>
      </c>
      <c r="W134">
        <v>1.52</v>
      </c>
      <c r="X134">
        <v>4</v>
      </c>
      <c r="Y134">
        <v>19.399999999999999</v>
      </c>
      <c r="Z134">
        <v>5.7</v>
      </c>
      <c r="AA134">
        <f>VALUE(SUBSTITUTE(DACS19___Pfizer’s_Personalised_Medicine_in[[#This Row],[Dose]],"mg",""))</f>
        <v>150</v>
      </c>
      <c r="AB134">
        <f t="shared" si="14"/>
        <v>150</v>
      </c>
      <c r="AC134" t="s">
        <v>75</v>
      </c>
      <c r="AD134">
        <f t="shared" si="15"/>
        <v>1</v>
      </c>
      <c r="AE134">
        <f t="shared" si="16"/>
        <v>2</v>
      </c>
      <c r="AF134" t="e">
        <f t="shared" si="17"/>
        <v>#N/A</v>
      </c>
      <c r="AG134" t="e">
        <f t="shared" si="18"/>
        <v>#N/A</v>
      </c>
      <c r="AH134" t="e">
        <f t="shared" si="19"/>
        <v>#N/A</v>
      </c>
      <c r="AI134">
        <f t="shared" si="20"/>
        <v>1.52</v>
      </c>
    </row>
    <row r="135" spans="1:35" x14ac:dyDescent="0.45">
      <c r="A135" t="s">
        <v>620</v>
      </c>
      <c r="B135">
        <v>54</v>
      </c>
      <c r="C135" t="s">
        <v>44</v>
      </c>
      <c r="D135" t="s">
        <v>28</v>
      </c>
      <c r="E135" t="s">
        <v>29</v>
      </c>
      <c r="F135" t="s">
        <v>47</v>
      </c>
      <c r="G135" t="s">
        <v>125</v>
      </c>
      <c r="H135" t="s">
        <v>81</v>
      </c>
      <c r="I135" t="s">
        <v>132</v>
      </c>
      <c r="J135" t="s">
        <v>315</v>
      </c>
      <c r="K135" t="s">
        <v>621</v>
      </c>
      <c r="L135" t="s">
        <v>64</v>
      </c>
      <c r="M135" t="s">
        <v>378</v>
      </c>
      <c r="N135" t="s">
        <v>622</v>
      </c>
      <c r="O135" t="s">
        <v>64</v>
      </c>
      <c r="P135" t="s">
        <v>39</v>
      </c>
      <c r="Q135" t="s">
        <v>67</v>
      </c>
      <c r="R135">
        <v>117</v>
      </c>
      <c r="S135">
        <v>1</v>
      </c>
      <c r="T135" t="s">
        <v>41</v>
      </c>
      <c r="U135" t="s">
        <v>57</v>
      </c>
      <c r="V135">
        <v>4.2699999999999996</v>
      </c>
      <c r="W135">
        <v>4.33</v>
      </c>
      <c r="X135">
        <v>5.6</v>
      </c>
      <c r="Y135">
        <v>6.1</v>
      </c>
      <c r="Z135">
        <v>7.9</v>
      </c>
      <c r="AA135">
        <f>VALUE(SUBSTITUTE(DACS19___Pfizer’s_Personalised_Medicine_in[[#This Row],[Dose]],"mg",""))</f>
        <v>150</v>
      </c>
      <c r="AB135">
        <f t="shared" si="14"/>
        <v>150</v>
      </c>
      <c r="AC135" t="s">
        <v>67</v>
      </c>
      <c r="AD135">
        <f t="shared" si="15"/>
        <v>2</v>
      </c>
      <c r="AE135">
        <f t="shared" si="16"/>
        <v>3</v>
      </c>
      <c r="AF135" t="e">
        <f t="shared" si="17"/>
        <v>#N/A</v>
      </c>
      <c r="AG135" t="e">
        <f t="shared" si="18"/>
        <v>#N/A</v>
      </c>
      <c r="AH135" t="e">
        <f t="shared" si="19"/>
        <v>#N/A</v>
      </c>
      <c r="AI135">
        <f t="shared" si="20"/>
        <v>4.33</v>
      </c>
    </row>
    <row r="136" spans="1:35" x14ac:dyDescent="0.45">
      <c r="A136" t="s">
        <v>623</v>
      </c>
      <c r="B136">
        <v>58</v>
      </c>
      <c r="C136" t="s">
        <v>45</v>
      </c>
      <c r="D136" t="s">
        <v>28</v>
      </c>
      <c r="E136" t="s">
        <v>2614</v>
      </c>
      <c r="F136" t="s">
        <v>2614</v>
      </c>
      <c r="G136" t="s">
        <v>131</v>
      </c>
      <c r="H136" t="s">
        <v>32</v>
      </c>
      <c r="I136" t="s">
        <v>33</v>
      </c>
      <c r="J136" t="s">
        <v>624</v>
      </c>
      <c r="K136" t="s">
        <v>625</v>
      </c>
      <c r="L136" t="s">
        <v>36</v>
      </c>
      <c r="M136" t="s">
        <v>339</v>
      </c>
      <c r="N136" t="s">
        <v>626</v>
      </c>
      <c r="O136" t="s">
        <v>36</v>
      </c>
      <c r="P136" t="s">
        <v>39</v>
      </c>
      <c r="Q136" t="s">
        <v>67</v>
      </c>
      <c r="R136">
        <v>94</v>
      </c>
      <c r="S136">
        <v>1</v>
      </c>
      <c r="T136" t="s">
        <v>123</v>
      </c>
      <c r="U136" t="s">
        <v>42</v>
      </c>
      <c r="V136">
        <v>3.47</v>
      </c>
      <c r="W136">
        <v>4.92</v>
      </c>
      <c r="X136">
        <v>6.7</v>
      </c>
      <c r="Y136">
        <v>10.7</v>
      </c>
      <c r="Z136">
        <v>13.8</v>
      </c>
      <c r="AA136">
        <f>VALUE(SUBSTITUTE(DACS19___Pfizer’s_Personalised_Medicine_in[[#This Row],[Dose]],"mg",""))</f>
        <v>200</v>
      </c>
      <c r="AB136">
        <f t="shared" si="14"/>
        <v>200</v>
      </c>
      <c r="AC136" t="s">
        <v>67</v>
      </c>
      <c r="AD136">
        <f t="shared" si="15"/>
        <v>2</v>
      </c>
      <c r="AE136">
        <f t="shared" si="16"/>
        <v>3</v>
      </c>
      <c r="AF136" t="e">
        <f t="shared" si="17"/>
        <v>#N/A</v>
      </c>
      <c r="AG136" t="e">
        <f t="shared" si="18"/>
        <v>#N/A</v>
      </c>
      <c r="AH136">
        <f t="shared" si="19"/>
        <v>4.92</v>
      </c>
      <c r="AI136" t="e">
        <f t="shared" si="20"/>
        <v>#N/A</v>
      </c>
    </row>
    <row r="137" spans="1:35" x14ac:dyDescent="0.45">
      <c r="A137" t="s">
        <v>627</v>
      </c>
      <c r="B137">
        <v>39</v>
      </c>
      <c r="C137" t="s">
        <v>44</v>
      </c>
      <c r="D137" t="s">
        <v>87</v>
      </c>
      <c r="E137" t="s">
        <v>163</v>
      </c>
      <c r="F137" t="s">
        <v>47</v>
      </c>
      <c r="G137" t="s">
        <v>178</v>
      </c>
      <c r="H137" t="s">
        <v>61</v>
      </c>
      <c r="I137" t="s">
        <v>49</v>
      </c>
      <c r="J137" t="s">
        <v>628</v>
      </c>
      <c r="K137" t="s">
        <v>629</v>
      </c>
      <c r="L137" t="s">
        <v>92</v>
      </c>
      <c r="M137" t="s">
        <v>155</v>
      </c>
      <c r="N137" t="s">
        <v>630</v>
      </c>
      <c r="O137" t="s">
        <v>92</v>
      </c>
      <c r="P137" t="s">
        <v>110</v>
      </c>
      <c r="Q137" t="s">
        <v>40</v>
      </c>
      <c r="R137">
        <v>109</v>
      </c>
      <c r="S137">
        <v>0</v>
      </c>
      <c r="T137" t="s">
        <v>41</v>
      </c>
      <c r="U137" t="s">
        <v>42</v>
      </c>
      <c r="V137">
        <v>3.16</v>
      </c>
      <c r="W137">
        <v>4.12</v>
      </c>
      <c r="X137">
        <v>2</v>
      </c>
      <c r="Y137">
        <v>19.7</v>
      </c>
      <c r="Z137">
        <v>12.2</v>
      </c>
      <c r="AA137">
        <f>VALUE(SUBSTITUTE(DACS19___Pfizer’s_Personalised_Medicine_in[[#This Row],[Dose]],"mg",""))</f>
        <v>50</v>
      </c>
      <c r="AB137">
        <f t="shared" si="14"/>
        <v>50</v>
      </c>
      <c r="AC137" t="s">
        <v>40</v>
      </c>
      <c r="AD137">
        <f t="shared" si="15"/>
        <v>3</v>
      </c>
      <c r="AE137">
        <f t="shared" si="16"/>
        <v>1</v>
      </c>
      <c r="AF137">
        <f t="shared" si="17"/>
        <v>4.12</v>
      </c>
      <c r="AG137" t="e">
        <f t="shared" si="18"/>
        <v>#N/A</v>
      </c>
      <c r="AH137" t="e">
        <f t="shared" si="19"/>
        <v>#N/A</v>
      </c>
      <c r="AI137" t="e">
        <f t="shared" si="20"/>
        <v>#N/A</v>
      </c>
    </row>
    <row r="138" spans="1:35" x14ac:dyDescent="0.45">
      <c r="A138" t="s">
        <v>631</v>
      </c>
      <c r="B138">
        <v>54</v>
      </c>
      <c r="C138" t="s">
        <v>44</v>
      </c>
      <c r="D138" t="s">
        <v>106</v>
      </c>
      <c r="E138" t="s">
        <v>46</v>
      </c>
      <c r="F138" t="s">
        <v>2614</v>
      </c>
      <c r="G138" t="s">
        <v>112</v>
      </c>
      <c r="H138" t="s">
        <v>61</v>
      </c>
      <c r="I138" t="s">
        <v>49</v>
      </c>
      <c r="J138" t="s">
        <v>610</v>
      </c>
      <c r="K138" t="s">
        <v>632</v>
      </c>
      <c r="L138" t="s">
        <v>36</v>
      </c>
      <c r="M138" t="s">
        <v>2634</v>
      </c>
      <c r="N138" t="s">
        <v>156</v>
      </c>
      <c r="O138" t="s">
        <v>36</v>
      </c>
      <c r="P138" t="s">
        <v>110</v>
      </c>
      <c r="Q138" t="s">
        <v>67</v>
      </c>
      <c r="R138">
        <v>146</v>
      </c>
      <c r="S138">
        <v>0</v>
      </c>
      <c r="T138" t="s">
        <v>85</v>
      </c>
      <c r="U138" t="s">
        <v>57</v>
      </c>
      <c r="V138">
        <v>4.8499999999999996</v>
      </c>
      <c r="W138">
        <v>2.37</v>
      </c>
      <c r="X138">
        <v>6.7</v>
      </c>
      <c r="Y138">
        <v>22.8</v>
      </c>
      <c r="Z138">
        <v>4.7</v>
      </c>
      <c r="AA138">
        <f>VALUE(SUBSTITUTE(DACS19___Pfizer’s_Personalised_Medicine_in[[#This Row],[Dose]],"mg",""))</f>
        <v>200</v>
      </c>
      <c r="AB138">
        <f t="shared" si="14"/>
        <v>200</v>
      </c>
      <c r="AC138" t="s">
        <v>67</v>
      </c>
      <c r="AD138">
        <f t="shared" si="15"/>
        <v>2</v>
      </c>
      <c r="AE138">
        <f t="shared" si="16"/>
        <v>1</v>
      </c>
      <c r="AF138">
        <f t="shared" si="17"/>
        <v>2.37</v>
      </c>
      <c r="AG138" t="e">
        <f t="shared" si="18"/>
        <v>#N/A</v>
      </c>
      <c r="AH138" t="e">
        <f t="shared" si="19"/>
        <v>#N/A</v>
      </c>
      <c r="AI138" t="e">
        <f t="shared" si="20"/>
        <v>#N/A</v>
      </c>
    </row>
    <row r="139" spans="1:35" x14ac:dyDescent="0.45">
      <c r="A139" t="s">
        <v>633</v>
      </c>
      <c r="B139">
        <v>85</v>
      </c>
      <c r="C139" t="s">
        <v>45</v>
      </c>
      <c r="D139" t="s">
        <v>45</v>
      </c>
      <c r="E139" t="s">
        <v>2614</v>
      </c>
      <c r="F139" t="s">
        <v>2614</v>
      </c>
      <c r="G139" t="s">
        <v>70</v>
      </c>
      <c r="H139" t="s">
        <v>71</v>
      </c>
      <c r="I139" t="s">
        <v>49</v>
      </c>
      <c r="J139" t="s">
        <v>634</v>
      </c>
      <c r="K139" t="s">
        <v>635</v>
      </c>
      <c r="L139" t="s">
        <v>64</v>
      </c>
      <c r="M139" t="s">
        <v>2614</v>
      </c>
      <c r="N139" t="s">
        <v>636</v>
      </c>
      <c r="O139" t="s">
        <v>64</v>
      </c>
      <c r="P139" t="s">
        <v>39</v>
      </c>
      <c r="Q139" t="s">
        <v>75</v>
      </c>
      <c r="R139">
        <v>64</v>
      </c>
      <c r="S139">
        <v>1</v>
      </c>
      <c r="T139" t="s">
        <v>137</v>
      </c>
      <c r="U139" t="s">
        <v>57</v>
      </c>
      <c r="V139">
        <v>4.75</v>
      </c>
      <c r="W139">
        <v>3.75</v>
      </c>
      <c r="X139">
        <v>1.6</v>
      </c>
      <c r="Y139">
        <v>11.4</v>
      </c>
      <c r="Z139">
        <v>15</v>
      </c>
      <c r="AA139">
        <f>VALUE(SUBSTITUTE(DACS19___Pfizer’s_Personalised_Medicine_in[[#This Row],[Dose]],"mg",""))</f>
        <v>150</v>
      </c>
      <c r="AB139">
        <f t="shared" si="14"/>
        <v>150</v>
      </c>
      <c r="AC139" t="s">
        <v>75</v>
      </c>
      <c r="AD139">
        <f t="shared" si="15"/>
        <v>1</v>
      </c>
      <c r="AE139">
        <f t="shared" si="16"/>
        <v>3</v>
      </c>
      <c r="AF139" t="e">
        <f t="shared" si="17"/>
        <v>#N/A</v>
      </c>
      <c r="AG139">
        <f t="shared" si="18"/>
        <v>3.75</v>
      </c>
      <c r="AH139" t="e">
        <f t="shared" si="19"/>
        <v>#N/A</v>
      </c>
      <c r="AI139" t="e">
        <f t="shared" si="20"/>
        <v>#N/A</v>
      </c>
    </row>
    <row r="140" spans="1:35" x14ac:dyDescent="0.45">
      <c r="A140" t="s">
        <v>637</v>
      </c>
      <c r="B140">
        <v>78</v>
      </c>
      <c r="C140" t="s">
        <v>45</v>
      </c>
      <c r="D140" t="s">
        <v>87</v>
      </c>
      <c r="E140" t="s">
        <v>78</v>
      </c>
      <c r="F140" t="s">
        <v>2614</v>
      </c>
      <c r="G140" t="s">
        <v>70</v>
      </c>
      <c r="H140" t="s">
        <v>32</v>
      </c>
      <c r="I140" t="s">
        <v>49</v>
      </c>
      <c r="J140" t="s">
        <v>638</v>
      </c>
      <c r="K140" t="s">
        <v>639</v>
      </c>
      <c r="L140" t="s">
        <v>92</v>
      </c>
      <c r="M140" t="s">
        <v>2638</v>
      </c>
      <c r="N140" t="s">
        <v>578</v>
      </c>
      <c r="O140" t="s">
        <v>92</v>
      </c>
      <c r="P140" t="s">
        <v>55</v>
      </c>
      <c r="Q140" t="s">
        <v>40</v>
      </c>
      <c r="R140">
        <v>93</v>
      </c>
      <c r="S140">
        <v>0</v>
      </c>
      <c r="T140" t="s">
        <v>41</v>
      </c>
      <c r="U140" t="s">
        <v>57</v>
      </c>
      <c r="V140">
        <v>1.27</v>
      </c>
      <c r="W140">
        <v>3.33</v>
      </c>
      <c r="X140">
        <v>4.0999999999999996</v>
      </c>
      <c r="Y140">
        <v>17.2</v>
      </c>
      <c r="Z140">
        <v>3.8</v>
      </c>
      <c r="AA140">
        <f>VALUE(SUBSTITUTE(DACS19___Pfizer’s_Personalised_Medicine_in[[#This Row],[Dose]],"mg",""))</f>
        <v>50</v>
      </c>
      <c r="AB140">
        <f t="shared" si="14"/>
        <v>50</v>
      </c>
      <c r="AC140" t="s">
        <v>40</v>
      </c>
      <c r="AD140">
        <f t="shared" si="15"/>
        <v>3</v>
      </c>
      <c r="AE140">
        <f t="shared" si="16"/>
        <v>2</v>
      </c>
      <c r="AF140" t="e">
        <f t="shared" si="17"/>
        <v>#N/A</v>
      </c>
      <c r="AG140" t="e">
        <f t="shared" si="18"/>
        <v>#N/A</v>
      </c>
      <c r="AH140">
        <f t="shared" si="19"/>
        <v>3.33</v>
      </c>
      <c r="AI140" t="e">
        <f t="shared" si="20"/>
        <v>#N/A</v>
      </c>
    </row>
    <row r="141" spans="1:35" x14ac:dyDescent="0.45">
      <c r="A141" t="s">
        <v>641</v>
      </c>
      <c r="B141">
        <v>66</v>
      </c>
      <c r="C141" t="s">
        <v>27</v>
      </c>
      <c r="D141" t="s">
        <v>28</v>
      </c>
      <c r="E141" t="s">
        <v>163</v>
      </c>
      <c r="F141" t="s">
        <v>79</v>
      </c>
      <c r="G141" t="s">
        <v>246</v>
      </c>
      <c r="H141" t="s">
        <v>32</v>
      </c>
      <c r="I141" t="s">
        <v>132</v>
      </c>
      <c r="J141" t="s">
        <v>642</v>
      </c>
      <c r="K141" t="s">
        <v>643</v>
      </c>
      <c r="L141" t="s">
        <v>92</v>
      </c>
      <c r="M141" t="s">
        <v>67</v>
      </c>
      <c r="N141" t="s">
        <v>198</v>
      </c>
      <c r="O141" t="s">
        <v>92</v>
      </c>
      <c r="P141" t="s">
        <v>39</v>
      </c>
      <c r="Q141" t="s">
        <v>40</v>
      </c>
      <c r="R141">
        <v>145</v>
      </c>
      <c r="S141">
        <v>1</v>
      </c>
      <c r="T141" t="s">
        <v>137</v>
      </c>
      <c r="U141" t="s">
        <v>57</v>
      </c>
      <c r="V141">
        <v>4.49</v>
      </c>
      <c r="W141">
        <v>4.8899999999999997</v>
      </c>
      <c r="X141">
        <v>9.6999999999999993</v>
      </c>
      <c r="Y141">
        <v>19.5</v>
      </c>
      <c r="Z141">
        <v>5.2</v>
      </c>
      <c r="AA141">
        <f>VALUE(SUBSTITUTE(DACS19___Pfizer’s_Personalised_Medicine_in[[#This Row],[Dose]],"mg",""))</f>
        <v>50</v>
      </c>
      <c r="AB141">
        <f t="shared" si="14"/>
        <v>50</v>
      </c>
      <c r="AC141" t="s">
        <v>40</v>
      </c>
      <c r="AD141">
        <f t="shared" si="15"/>
        <v>3</v>
      </c>
      <c r="AE141">
        <f t="shared" si="16"/>
        <v>3</v>
      </c>
      <c r="AF141" t="e">
        <f t="shared" si="17"/>
        <v>#N/A</v>
      </c>
      <c r="AG141" t="e">
        <f t="shared" si="18"/>
        <v>#N/A</v>
      </c>
      <c r="AH141">
        <f t="shared" si="19"/>
        <v>4.8899999999999997</v>
      </c>
      <c r="AI141" t="e">
        <f t="shared" si="20"/>
        <v>#N/A</v>
      </c>
    </row>
    <row r="142" spans="1:35" x14ac:dyDescent="0.45">
      <c r="A142" t="s">
        <v>644</v>
      </c>
      <c r="B142">
        <v>42</v>
      </c>
      <c r="C142" t="s">
        <v>44</v>
      </c>
      <c r="D142" t="s">
        <v>87</v>
      </c>
      <c r="E142" t="s">
        <v>46</v>
      </c>
      <c r="F142" t="s">
        <v>69</v>
      </c>
      <c r="G142" t="s">
        <v>164</v>
      </c>
      <c r="H142" t="s">
        <v>71</v>
      </c>
      <c r="I142" t="s">
        <v>49</v>
      </c>
      <c r="J142" t="s">
        <v>645</v>
      </c>
      <c r="K142" t="s">
        <v>646</v>
      </c>
      <c r="L142" t="s">
        <v>36</v>
      </c>
      <c r="M142" t="s">
        <v>160</v>
      </c>
      <c r="N142" t="s">
        <v>116</v>
      </c>
      <c r="O142" t="s">
        <v>36</v>
      </c>
      <c r="P142" t="s">
        <v>39</v>
      </c>
      <c r="Q142" t="s">
        <v>40</v>
      </c>
      <c r="R142">
        <v>85</v>
      </c>
      <c r="S142">
        <v>1</v>
      </c>
      <c r="T142" t="s">
        <v>137</v>
      </c>
      <c r="U142" t="s">
        <v>57</v>
      </c>
      <c r="V142">
        <v>4.03</v>
      </c>
      <c r="W142">
        <v>1.1000000000000001</v>
      </c>
      <c r="X142">
        <v>1.2</v>
      </c>
      <c r="Y142">
        <v>11.8</v>
      </c>
      <c r="Z142">
        <v>11.3</v>
      </c>
      <c r="AA142">
        <f>VALUE(SUBSTITUTE(DACS19___Pfizer’s_Personalised_Medicine_in[[#This Row],[Dose]],"mg",""))</f>
        <v>200</v>
      </c>
      <c r="AB142">
        <f t="shared" si="14"/>
        <v>200</v>
      </c>
      <c r="AC142" t="s">
        <v>40</v>
      </c>
      <c r="AD142">
        <f t="shared" si="15"/>
        <v>3</v>
      </c>
      <c r="AE142">
        <f t="shared" si="16"/>
        <v>3</v>
      </c>
      <c r="AF142" t="e">
        <f t="shared" si="17"/>
        <v>#N/A</v>
      </c>
      <c r="AG142">
        <f t="shared" si="18"/>
        <v>1.1000000000000001</v>
      </c>
      <c r="AH142" t="e">
        <f t="shared" si="19"/>
        <v>#N/A</v>
      </c>
      <c r="AI142" t="e">
        <f t="shared" si="20"/>
        <v>#N/A</v>
      </c>
    </row>
    <row r="143" spans="1:35" x14ac:dyDescent="0.45">
      <c r="A143" t="s">
        <v>647</v>
      </c>
      <c r="B143">
        <v>57</v>
      </c>
      <c r="C143" t="s">
        <v>44</v>
      </c>
      <c r="D143" t="s">
        <v>28</v>
      </c>
      <c r="E143" t="s">
        <v>78</v>
      </c>
      <c r="F143" t="s">
        <v>2614</v>
      </c>
      <c r="G143" t="s">
        <v>118</v>
      </c>
      <c r="H143" t="s">
        <v>32</v>
      </c>
      <c r="I143" t="s">
        <v>49</v>
      </c>
      <c r="J143" t="s">
        <v>648</v>
      </c>
      <c r="K143" t="s">
        <v>649</v>
      </c>
      <c r="L143" t="s">
        <v>36</v>
      </c>
      <c r="M143" t="s">
        <v>75</v>
      </c>
      <c r="N143" t="s">
        <v>650</v>
      </c>
      <c r="O143" t="s">
        <v>36</v>
      </c>
      <c r="P143" t="s">
        <v>39</v>
      </c>
      <c r="Q143" t="s">
        <v>67</v>
      </c>
      <c r="R143">
        <v>94</v>
      </c>
      <c r="S143">
        <v>1</v>
      </c>
      <c r="T143" t="s">
        <v>56</v>
      </c>
      <c r="U143" t="s">
        <v>42</v>
      </c>
      <c r="V143">
        <v>4.08</v>
      </c>
      <c r="W143">
        <v>3.73</v>
      </c>
      <c r="X143">
        <v>5</v>
      </c>
      <c r="Y143">
        <v>10.9</v>
      </c>
      <c r="Z143">
        <v>20</v>
      </c>
      <c r="AA143">
        <f>VALUE(SUBSTITUTE(DACS19___Pfizer’s_Personalised_Medicine_in[[#This Row],[Dose]],"mg",""))</f>
        <v>200</v>
      </c>
      <c r="AB143">
        <f t="shared" si="14"/>
        <v>200</v>
      </c>
      <c r="AC143" t="s">
        <v>67</v>
      </c>
      <c r="AD143">
        <f t="shared" si="15"/>
        <v>2</v>
      </c>
      <c r="AE143">
        <f t="shared" si="16"/>
        <v>3</v>
      </c>
      <c r="AF143" t="e">
        <f t="shared" si="17"/>
        <v>#N/A</v>
      </c>
      <c r="AG143" t="e">
        <f t="shared" si="18"/>
        <v>#N/A</v>
      </c>
      <c r="AH143">
        <f t="shared" si="19"/>
        <v>3.73</v>
      </c>
      <c r="AI143" t="e">
        <f t="shared" si="20"/>
        <v>#N/A</v>
      </c>
    </row>
    <row r="144" spans="1:35" x14ac:dyDescent="0.45">
      <c r="A144" t="s">
        <v>651</v>
      </c>
      <c r="B144">
        <v>33</v>
      </c>
      <c r="C144" t="s">
        <v>45</v>
      </c>
      <c r="D144" t="s">
        <v>106</v>
      </c>
      <c r="E144" t="s">
        <v>78</v>
      </c>
      <c r="F144" t="s">
        <v>2614</v>
      </c>
      <c r="G144" t="s">
        <v>440</v>
      </c>
      <c r="H144" t="s">
        <v>71</v>
      </c>
      <c r="I144" t="s">
        <v>49</v>
      </c>
      <c r="J144" t="s">
        <v>652</v>
      </c>
      <c r="K144" t="s">
        <v>653</v>
      </c>
      <c r="L144" t="s">
        <v>92</v>
      </c>
      <c r="M144" t="s">
        <v>231</v>
      </c>
      <c r="N144" t="s">
        <v>654</v>
      </c>
      <c r="O144" t="s">
        <v>92</v>
      </c>
      <c r="P144" t="s">
        <v>55</v>
      </c>
      <c r="Q144" t="s">
        <v>2614</v>
      </c>
      <c r="R144">
        <v>70</v>
      </c>
      <c r="S144">
        <v>0</v>
      </c>
      <c r="T144" t="s">
        <v>123</v>
      </c>
      <c r="U144" t="s">
        <v>42</v>
      </c>
      <c r="V144">
        <v>2.7</v>
      </c>
      <c r="W144">
        <v>2.81</v>
      </c>
      <c r="X144">
        <v>2.5</v>
      </c>
      <c r="Y144">
        <v>20.3</v>
      </c>
      <c r="Z144">
        <v>14.8</v>
      </c>
      <c r="AA144">
        <f>VALUE(SUBSTITUTE(DACS19___Pfizer’s_Personalised_Medicine_in[[#This Row],[Dose]],"mg",""))</f>
        <v>50</v>
      </c>
      <c r="AB144">
        <f t="shared" si="14"/>
        <v>50</v>
      </c>
      <c r="AC144" t="s">
        <v>2614</v>
      </c>
      <c r="AD144">
        <f t="shared" si="15"/>
        <v>0</v>
      </c>
      <c r="AE144">
        <f t="shared" si="16"/>
        <v>2</v>
      </c>
      <c r="AF144" t="e">
        <f t="shared" si="17"/>
        <v>#N/A</v>
      </c>
      <c r="AG144">
        <f t="shared" si="18"/>
        <v>2.81</v>
      </c>
      <c r="AH144" t="e">
        <f t="shared" si="19"/>
        <v>#N/A</v>
      </c>
      <c r="AI144" t="e">
        <f t="shared" si="20"/>
        <v>#N/A</v>
      </c>
    </row>
    <row r="145" spans="1:35" x14ac:dyDescent="0.45">
      <c r="A145" t="s">
        <v>655</v>
      </c>
      <c r="B145">
        <v>50</v>
      </c>
      <c r="C145" t="s">
        <v>44</v>
      </c>
      <c r="D145" t="s">
        <v>28</v>
      </c>
      <c r="E145" t="s">
        <v>46</v>
      </c>
      <c r="F145" t="s">
        <v>88</v>
      </c>
      <c r="G145" t="s">
        <v>89</v>
      </c>
      <c r="H145" t="s">
        <v>61</v>
      </c>
      <c r="I145" t="s">
        <v>72</v>
      </c>
      <c r="J145" t="s">
        <v>656</v>
      </c>
      <c r="K145" t="s">
        <v>657</v>
      </c>
      <c r="L145" t="s">
        <v>64</v>
      </c>
      <c r="M145" t="s">
        <v>304</v>
      </c>
      <c r="N145" t="s">
        <v>636</v>
      </c>
      <c r="O145" t="s">
        <v>64</v>
      </c>
      <c r="P145" t="s">
        <v>39</v>
      </c>
      <c r="Q145" t="s">
        <v>75</v>
      </c>
      <c r="R145">
        <v>151</v>
      </c>
      <c r="S145">
        <v>1</v>
      </c>
      <c r="T145" t="s">
        <v>85</v>
      </c>
      <c r="U145" t="s">
        <v>42</v>
      </c>
      <c r="V145">
        <v>1.88</v>
      </c>
      <c r="W145">
        <v>1.33</v>
      </c>
      <c r="X145">
        <v>7.1</v>
      </c>
      <c r="Y145">
        <v>17.8</v>
      </c>
      <c r="Z145">
        <v>7.6</v>
      </c>
      <c r="AA145">
        <f>VALUE(SUBSTITUTE(DACS19___Pfizer’s_Personalised_Medicine_in[[#This Row],[Dose]],"mg",""))</f>
        <v>150</v>
      </c>
      <c r="AB145">
        <f t="shared" si="14"/>
        <v>150</v>
      </c>
      <c r="AC145" t="s">
        <v>75</v>
      </c>
      <c r="AD145">
        <f t="shared" si="15"/>
        <v>1</v>
      </c>
      <c r="AE145">
        <f t="shared" si="16"/>
        <v>3</v>
      </c>
      <c r="AF145">
        <f t="shared" si="17"/>
        <v>1.33</v>
      </c>
      <c r="AG145" t="e">
        <f t="shared" si="18"/>
        <v>#N/A</v>
      </c>
      <c r="AH145" t="e">
        <f t="shared" si="19"/>
        <v>#N/A</v>
      </c>
      <c r="AI145" t="e">
        <f t="shared" si="20"/>
        <v>#N/A</v>
      </c>
    </row>
    <row r="146" spans="1:35" x14ac:dyDescent="0.45">
      <c r="A146" t="s">
        <v>658</v>
      </c>
      <c r="B146">
        <v>65</v>
      </c>
      <c r="C146" t="s">
        <v>27</v>
      </c>
      <c r="D146" t="s">
        <v>106</v>
      </c>
      <c r="E146" t="s">
        <v>46</v>
      </c>
      <c r="F146" t="s">
        <v>69</v>
      </c>
      <c r="G146" t="s">
        <v>31</v>
      </c>
      <c r="H146" t="s">
        <v>61</v>
      </c>
      <c r="I146" t="s">
        <v>49</v>
      </c>
      <c r="J146" t="s">
        <v>659</v>
      </c>
      <c r="K146" t="s">
        <v>660</v>
      </c>
      <c r="L146" t="s">
        <v>92</v>
      </c>
      <c r="M146" t="s">
        <v>40</v>
      </c>
      <c r="N146" t="s">
        <v>661</v>
      </c>
      <c r="O146" t="s">
        <v>92</v>
      </c>
      <c r="P146" t="s">
        <v>55</v>
      </c>
      <c r="Q146" t="s">
        <v>75</v>
      </c>
      <c r="R146">
        <v>118</v>
      </c>
      <c r="S146">
        <v>0</v>
      </c>
      <c r="T146" t="s">
        <v>56</v>
      </c>
      <c r="U146" t="s">
        <v>42</v>
      </c>
      <c r="V146">
        <v>4.8</v>
      </c>
      <c r="W146">
        <v>1.6</v>
      </c>
      <c r="X146">
        <v>4.9000000000000004</v>
      </c>
      <c r="Y146">
        <v>23</v>
      </c>
      <c r="Z146">
        <v>10.1</v>
      </c>
      <c r="AA146">
        <f>VALUE(SUBSTITUTE(DACS19___Pfizer’s_Personalised_Medicine_in[[#This Row],[Dose]],"mg",""))</f>
        <v>50</v>
      </c>
      <c r="AB146">
        <f t="shared" si="14"/>
        <v>50</v>
      </c>
      <c r="AC146" t="s">
        <v>75</v>
      </c>
      <c r="AD146">
        <f t="shared" si="15"/>
        <v>1</v>
      </c>
      <c r="AE146">
        <f t="shared" si="16"/>
        <v>2</v>
      </c>
      <c r="AF146">
        <f t="shared" si="17"/>
        <v>1.6</v>
      </c>
      <c r="AG146" t="e">
        <f t="shared" si="18"/>
        <v>#N/A</v>
      </c>
      <c r="AH146" t="e">
        <f t="shared" si="19"/>
        <v>#N/A</v>
      </c>
      <c r="AI146" t="e">
        <f t="shared" si="20"/>
        <v>#N/A</v>
      </c>
    </row>
    <row r="147" spans="1:35" x14ac:dyDescent="0.45">
      <c r="A147" t="s">
        <v>662</v>
      </c>
      <c r="B147">
        <v>20</v>
      </c>
      <c r="C147" t="s">
        <v>45</v>
      </c>
      <c r="D147" t="s">
        <v>95</v>
      </c>
      <c r="E147" t="s">
        <v>2614</v>
      </c>
      <c r="F147" t="s">
        <v>2614</v>
      </c>
      <c r="G147" t="s">
        <v>184</v>
      </c>
      <c r="H147" t="s">
        <v>61</v>
      </c>
      <c r="I147" t="s">
        <v>33</v>
      </c>
      <c r="J147" t="s">
        <v>663</v>
      </c>
      <c r="K147" t="s">
        <v>664</v>
      </c>
      <c r="L147" t="s">
        <v>36</v>
      </c>
      <c r="M147" t="s">
        <v>75</v>
      </c>
      <c r="N147" t="s">
        <v>383</v>
      </c>
      <c r="O147" t="s">
        <v>36</v>
      </c>
      <c r="P147" t="s">
        <v>110</v>
      </c>
      <c r="Q147" t="s">
        <v>2614</v>
      </c>
      <c r="R147">
        <v>112</v>
      </c>
      <c r="S147">
        <v>0</v>
      </c>
      <c r="T147" t="s">
        <v>56</v>
      </c>
      <c r="U147" t="s">
        <v>57</v>
      </c>
      <c r="V147">
        <v>3.55</v>
      </c>
      <c r="W147">
        <v>2.59</v>
      </c>
      <c r="X147">
        <v>3.5</v>
      </c>
      <c r="Y147">
        <v>23.7</v>
      </c>
      <c r="Z147">
        <v>10</v>
      </c>
      <c r="AA147">
        <f>VALUE(SUBSTITUTE(DACS19___Pfizer’s_Personalised_Medicine_in[[#This Row],[Dose]],"mg",""))</f>
        <v>200</v>
      </c>
      <c r="AB147">
        <f t="shared" si="14"/>
        <v>200</v>
      </c>
      <c r="AC147" t="s">
        <v>2614</v>
      </c>
      <c r="AD147">
        <f t="shared" si="15"/>
        <v>0</v>
      </c>
      <c r="AE147">
        <f t="shared" si="16"/>
        <v>1</v>
      </c>
      <c r="AF147">
        <f t="shared" si="17"/>
        <v>2.59</v>
      </c>
      <c r="AG147" t="e">
        <f t="shared" si="18"/>
        <v>#N/A</v>
      </c>
      <c r="AH147" t="e">
        <f t="shared" si="19"/>
        <v>#N/A</v>
      </c>
      <c r="AI147" t="e">
        <f t="shared" si="20"/>
        <v>#N/A</v>
      </c>
    </row>
    <row r="148" spans="1:35" x14ac:dyDescent="0.45">
      <c r="A148" t="s">
        <v>665</v>
      </c>
      <c r="B148">
        <v>38</v>
      </c>
      <c r="C148" t="s">
        <v>27</v>
      </c>
      <c r="D148" t="s">
        <v>45</v>
      </c>
      <c r="E148" t="s">
        <v>46</v>
      </c>
      <c r="F148" t="s">
        <v>59</v>
      </c>
      <c r="G148" t="s">
        <v>178</v>
      </c>
      <c r="H148" t="s">
        <v>32</v>
      </c>
      <c r="I148" t="s">
        <v>33</v>
      </c>
      <c r="J148" t="s">
        <v>449</v>
      </c>
      <c r="K148" t="s">
        <v>666</v>
      </c>
      <c r="L148" t="s">
        <v>52</v>
      </c>
      <c r="M148" t="s">
        <v>75</v>
      </c>
      <c r="N148" t="s">
        <v>667</v>
      </c>
      <c r="O148" t="s">
        <v>52</v>
      </c>
      <c r="P148" t="s">
        <v>110</v>
      </c>
      <c r="Q148" t="s">
        <v>67</v>
      </c>
      <c r="R148">
        <v>112</v>
      </c>
      <c r="S148">
        <v>0</v>
      </c>
      <c r="T148" t="s">
        <v>123</v>
      </c>
      <c r="U148" t="s">
        <v>57</v>
      </c>
      <c r="V148">
        <v>4.58</v>
      </c>
      <c r="W148">
        <v>1.92</v>
      </c>
      <c r="X148">
        <v>2.9</v>
      </c>
      <c r="Y148">
        <v>6.6</v>
      </c>
      <c r="Z148">
        <v>14.1</v>
      </c>
      <c r="AA148">
        <f>VALUE(SUBSTITUTE(DACS19___Pfizer’s_Personalised_Medicine_in[[#This Row],[Dose]],"mg",""))</f>
        <v>100</v>
      </c>
      <c r="AB148">
        <f t="shared" si="14"/>
        <v>100</v>
      </c>
      <c r="AC148" t="s">
        <v>67</v>
      </c>
      <c r="AD148">
        <f t="shared" si="15"/>
        <v>2</v>
      </c>
      <c r="AE148">
        <f t="shared" si="16"/>
        <v>1</v>
      </c>
      <c r="AF148" t="e">
        <f t="shared" si="17"/>
        <v>#N/A</v>
      </c>
      <c r="AG148" t="e">
        <f t="shared" si="18"/>
        <v>#N/A</v>
      </c>
      <c r="AH148">
        <f t="shared" si="19"/>
        <v>1.92</v>
      </c>
      <c r="AI148" t="e">
        <f t="shared" si="20"/>
        <v>#N/A</v>
      </c>
    </row>
    <row r="149" spans="1:35" x14ac:dyDescent="0.45">
      <c r="A149" t="s">
        <v>668</v>
      </c>
      <c r="B149">
        <v>42</v>
      </c>
      <c r="C149" t="s">
        <v>45</v>
      </c>
      <c r="D149" t="s">
        <v>95</v>
      </c>
      <c r="E149" t="s">
        <v>29</v>
      </c>
      <c r="F149" t="s">
        <v>59</v>
      </c>
      <c r="G149" t="s">
        <v>31</v>
      </c>
      <c r="H149" t="s">
        <v>81</v>
      </c>
      <c r="I149" t="s">
        <v>132</v>
      </c>
      <c r="J149" t="s">
        <v>669</v>
      </c>
      <c r="K149" t="s">
        <v>670</v>
      </c>
      <c r="L149" t="s">
        <v>92</v>
      </c>
      <c r="M149" t="s">
        <v>67</v>
      </c>
      <c r="N149" t="s">
        <v>598</v>
      </c>
      <c r="O149" t="s">
        <v>92</v>
      </c>
      <c r="P149" t="s">
        <v>39</v>
      </c>
      <c r="Q149" t="s">
        <v>67</v>
      </c>
      <c r="R149">
        <v>57</v>
      </c>
      <c r="S149">
        <v>1</v>
      </c>
      <c r="T149" t="s">
        <v>56</v>
      </c>
      <c r="U149" t="s">
        <v>42</v>
      </c>
      <c r="V149">
        <v>2.4700000000000002</v>
      </c>
      <c r="W149">
        <v>4.46</v>
      </c>
      <c r="X149">
        <v>5.3</v>
      </c>
      <c r="Y149">
        <v>23.4</v>
      </c>
      <c r="Z149">
        <v>6.2</v>
      </c>
      <c r="AA149">
        <f>VALUE(SUBSTITUTE(DACS19___Pfizer’s_Personalised_Medicine_in[[#This Row],[Dose]],"mg",""))</f>
        <v>50</v>
      </c>
      <c r="AB149">
        <f t="shared" si="14"/>
        <v>50</v>
      </c>
      <c r="AC149" t="s">
        <v>67</v>
      </c>
      <c r="AD149">
        <f t="shared" si="15"/>
        <v>2</v>
      </c>
      <c r="AE149">
        <f t="shared" si="16"/>
        <v>3</v>
      </c>
      <c r="AF149" t="e">
        <f t="shared" si="17"/>
        <v>#N/A</v>
      </c>
      <c r="AG149" t="e">
        <f t="shared" si="18"/>
        <v>#N/A</v>
      </c>
      <c r="AH149" t="e">
        <f t="shared" si="19"/>
        <v>#N/A</v>
      </c>
      <c r="AI149">
        <f t="shared" si="20"/>
        <v>4.46</v>
      </c>
    </row>
    <row r="150" spans="1:35" x14ac:dyDescent="0.45">
      <c r="A150" t="s">
        <v>671</v>
      </c>
      <c r="B150">
        <v>30</v>
      </c>
      <c r="C150" t="s">
        <v>27</v>
      </c>
      <c r="D150" t="s">
        <v>45</v>
      </c>
      <c r="E150" t="s">
        <v>78</v>
      </c>
      <c r="F150" t="s">
        <v>2614</v>
      </c>
      <c r="G150" t="s">
        <v>246</v>
      </c>
      <c r="H150" t="s">
        <v>32</v>
      </c>
      <c r="I150" t="s">
        <v>49</v>
      </c>
      <c r="J150" t="s">
        <v>590</v>
      </c>
      <c r="K150" t="s">
        <v>672</v>
      </c>
      <c r="L150" t="s">
        <v>92</v>
      </c>
      <c r="M150" t="s">
        <v>67</v>
      </c>
      <c r="N150" t="s">
        <v>142</v>
      </c>
      <c r="O150" t="s">
        <v>92</v>
      </c>
      <c r="P150" t="s">
        <v>55</v>
      </c>
      <c r="Q150" t="s">
        <v>129</v>
      </c>
      <c r="R150">
        <v>149</v>
      </c>
      <c r="S150">
        <v>0</v>
      </c>
      <c r="T150" t="s">
        <v>123</v>
      </c>
      <c r="U150" t="s">
        <v>57</v>
      </c>
      <c r="V150">
        <v>4.47</v>
      </c>
      <c r="W150">
        <v>4.1100000000000003</v>
      </c>
      <c r="X150">
        <v>7.9</v>
      </c>
      <c r="Y150">
        <v>21.2</v>
      </c>
      <c r="Z150">
        <v>15.9</v>
      </c>
      <c r="AA150">
        <f>VALUE(SUBSTITUTE(DACS19___Pfizer’s_Personalised_Medicine_in[[#This Row],[Dose]],"mg",""))</f>
        <v>50</v>
      </c>
      <c r="AB150">
        <f t="shared" si="14"/>
        <v>50</v>
      </c>
      <c r="AC150" t="s">
        <v>129</v>
      </c>
      <c r="AD150">
        <f t="shared" si="15"/>
        <v>4</v>
      </c>
      <c r="AE150">
        <f t="shared" si="16"/>
        <v>2</v>
      </c>
      <c r="AF150" t="e">
        <f t="shared" si="17"/>
        <v>#N/A</v>
      </c>
      <c r="AG150" t="e">
        <f t="shared" si="18"/>
        <v>#N/A</v>
      </c>
      <c r="AH150">
        <f t="shared" si="19"/>
        <v>4.1100000000000003</v>
      </c>
      <c r="AI150" t="e">
        <f t="shared" si="20"/>
        <v>#N/A</v>
      </c>
    </row>
    <row r="151" spans="1:35" x14ac:dyDescent="0.45">
      <c r="A151" t="s">
        <v>673</v>
      </c>
      <c r="B151">
        <v>71</v>
      </c>
      <c r="C151" t="s">
        <v>44</v>
      </c>
      <c r="D151" t="s">
        <v>87</v>
      </c>
      <c r="E151" t="s">
        <v>29</v>
      </c>
      <c r="F151" t="s">
        <v>88</v>
      </c>
      <c r="G151" t="s">
        <v>125</v>
      </c>
      <c r="H151" t="s">
        <v>32</v>
      </c>
      <c r="I151" t="s">
        <v>49</v>
      </c>
      <c r="J151" t="s">
        <v>674</v>
      </c>
      <c r="K151" t="s">
        <v>675</v>
      </c>
      <c r="L151" t="s">
        <v>52</v>
      </c>
      <c r="M151" t="s">
        <v>676</v>
      </c>
      <c r="N151" t="s">
        <v>677</v>
      </c>
      <c r="O151" t="s">
        <v>52</v>
      </c>
      <c r="P151" t="s">
        <v>110</v>
      </c>
      <c r="Q151" t="s">
        <v>67</v>
      </c>
      <c r="R151">
        <v>175</v>
      </c>
      <c r="S151">
        <v>0</v>
      </c>
      <c r="T151" t="s">
        <v>41</v>
      </c>
      <c r="U151" t="s">
        <v>57</v>
      </c>
      <c r="V151">
        <v>3.5</v>
      </c>
      <c r="W151">
        <v>1.52</v>
      </c>
      <c r="X151">
        <v>1.3</v>
      </c>
      <c r="Y151">
        <v>22.6</v>
      </c>
      <c r="Z151">
        <v>13.5</v>
      </c>
      <c r="AA151">
        <f>VALUE(SUBSTITUTE(DACS19___Pfizer’s_Personalised_Medicine_in[[#This Row],[Dose]],"mg",""))</f>
        <v>100</v>
      </c>
      <c r="AB151">
        <f t="shared" si="14"/>
        <v>100</v>
      </c>
      <c r="AC151" t="s">
        <v>67</v>
      </c>
      <c r="AD151">
        <f t="shared" si="15"/>
        <v>2</v>
      </c>
      <c r="AE151">
        <f t="shared" si="16"/>
        <v>1</v>
      </c>
      <c r="AF151" t="e">
        <f t="shared" si="17"/>
        <v>#N/A</v>
      </c>
      <c r="AG151" t="e">
        <f t="shared" si="18"/>
        <v>#N/A</v>
      </c>
      <c r="AH151">
        <f t="shared" si="19"/>
        <v>1.52</v>
      </c>
      <c r="AI151" t="e">
        <f t="shared" si="20"/>
        <v>#N/A</v>
      </c>
    </row>
    <row r="152" spans="1:35" x14ac:dyDescent="0.45">
      <c r="A152" t="s">
        <v>678</v>
      </c>
      <c r="B152">
        <v>31</v>
      </c>
      <c r="C152" t="s">
        <v>45</v>
      </c>
      <c r="D152" t="s">
        <v>45</v>
      </c>
      <c r="E152" t="s">
        <v>2614</v>
      </c>
      <c r="F152" t="s">
        <v>2614</v>
      </c>
      <c r="G152" t="s">
        <v>48</v>
      </c>
      <c r="H152" t="s">
        <v>61</v>
      </c>
      <c r="I152" t="s">
        <v>72</v>
      </c>
      <c r="J152" t="s">
        <v>97</v>
      </c>
      <c r="K152" t="s">
        <v>98</v>
      </c>
      <c r="L152" t="s">
        <v>64</v>
      </c>
      <c r="M152" t="s">
        <v>231</v>
      </c>
      <c r="N152" t="s">
        <v>521</v>
      </c>
      <c r="O152" t="s">
        <v>64</v>
      </c>
      <c r="P152" t="s">
        <v>110</v>
      </c>
      <c r="Q152" t="s">
        <v>2614</v>
      </c>
      <c r="R152">
        <v>125</v>
      </c>
      <c r="S152">
        <v>0</v>
      </c>
      <c r="T152" t="s">
        <v>56</v>
      </c>
      <c r="U152" t="s">
        <v>57</v>
      </c>
      <c r="V152">
        <v>4.1900000000000004</v>
      </c>
      <c r="W152">
        <v>2.93</v>
      </c>
      <c r="X152">
        <v>2.1</v>
      </c>
      <c r="Y152">
        <v>8.3000000000000007</v>
      </c>
      <c r="Z152">
        <v>14.7</v>
      </c>
      <c r="AA152">
        <f>VALUE(SUBSTITUTE(DACS19___Pfizer’s_Personalised_Medicine_in[[#This Row],[Dose]],"mg",""))</f>
        <v>150</v>
      </c>
      <c r="AB152">
        <f t="shared" si="14"/>
        <v>150</v>
      </c>
      <c r="AC152" t="s">
        <v>2614</v>
      </c>
      <c r="AD152">
        <f t="shared" si="15"/>
        <v>0</v>
      </c>
      <c r="AE152">
        <f t="shared" si="16"/>
        <v>1</v>
      </c>
      <c r="AF152">
        <f t="shared" si="17"/>
        <v>2.93</v>
      </c>
      <c r="AG152" t="e">
        <f t="shared" si="18"/>
        <v>#N/A</v>
      </c>
      <c r="AH152" t="e">
        <f t="shared" si="19"/>
        <v>#N/A</v>
      </c>
      <c r="AI152" t="e">
        <f t="shared" si="20"/>
        <v>#N/A</v>
      </c>
    </row>
    <row r="153" spans="1:35" x14ac:dyDescent="0.45">
      <c r="A153" t="s">
        <v>679</v>
      </c>
      <c r="B153">
        <v>59</v>
      </c>
      <c r="C153" t="s">
        <v>45</v>
      </c>
      <c r="D153" t="s">
        <v>106</v>
      </c>
      <c r="E153" t="s">
        <v>29</v>
      </c>
      <c r="F153" t="s">
        <v>2614</v>
      </c>
      <c r="G153" t="s">
        <v>131</v>
      </c>
      <c r="H153" t="s">
        <v>32</v>
      </c>
      <c r="I153" t="s">
        <v>132</v>
      </c>
      <c r="J153" t="s">
        <v>680</v>
      </c>
      <c r="K153" t="s">
        <v>681</v>
      </c>
      <c r="L153" t="s">
        <v>92</v>
      </c>
      <c r="M153" t="s">
        <v>536</v>
      </c>
      <c r="N153" t="s">
        <v>682</v>
      </c>
      <c r="O153" t="s">
        <v>92</v>
      </c>
      <c r="P153" t="s">
        <v>39</v>
      </c>
      <c r="Q153" t="s">
        <v>2614</v>
      </c>
      <c r="R153">
        <v>31</v>
      </c>
      <c r="S153">
        <v>1</v>
      </c>
      <c r="T153" t="s">
        <v>137</v>
      </c>
      <c r="U153" t="s">
        <v>42</v>
      </c>
      <c r="V153">
        <v>2.72</v>
      </c>
      <c r="W153">
        <v>1.8</v>
      </c>
      <c r="X153">
        <v>5.4</v>
      </c>
      <c r="Y153">
        <v>7.2</v>
      </c>
      <c r="Z153">
        <v>12.9</v>
      </c>
      <c r="AA153">
        <f>VALUE(SUBSTITUTE(DACS19___Pfizer’s_Personalised_Medicine_in[[#This Row],[Dose]],"mg",""))</f>
        <v>50</v>
      </c>
      <c r="AB153">
        <f t="shared" si="14"/>
        <v>50</v>
      </c>
      <c r="AC153" t="s">
        <v>2614</v>
      </c>
      <c r="AD153">
        <f t="shared" si="15"/>
        <v>0</v>
      </c>
      <c r="AE153">
        <f t="shared" si="16"/>
        <v>3</v>
      </c>
      <c r="AF153" t="e">
        <f t="shared" si="17"/>
        <v>#N/A</v>
      </c>
      <c r="AG153" t="e">
        <f t="shared" si="18"/>
        <v>#N/A</v>
      </c>
      <c r="AH153">
        <f t="shared" si="19"/>
        <v>1.8</v>
      </c>
      <c r="AI153" t="e">
        <f t="shared" si="20"/>
        <v>#N/A</v>
      </c>
    </row>
    <row r="154" spans="1:35" x14ac:dyDescent="0.45">
      <c r="A154" t="s">
        <v>683</v>
      </c>
      <c r="B154">
        <v>45</v>
      </c>
      <c r="C154" t="s">
        <v>44</v>
      </c>
      <c r="D154" t="s">
        <v>87</v>
      </c>
      <c r="E154" t="s">
        <v>2614</v>
      </c>
      <c r="F154" t="s">
        <v>2614</v>
      </c>
      <c r="G154" t="s">
        <v>246</v>
      </c>
      <c r="H154" t="s">
        <v>71</v>
      </c>
      <c r="I154" t="s">
        <v>49</v>
      </c>
      <c r="J154" t="s">
        <v>684</v>
      </c>
      <c r="K154" t="s">
        <v>180</v>
      </c>
      <c r="L154" t="s">
        <v>52</v>
      </c>
      <c r="M154" t="s">
        <v>2615</v>
      </c>
      <c r="N154" t="s">
        <v>661</v>
      </c>
      <c r="O154" t="s">
        <v>52</v>
      </c>
      <c r="P154" t="s">
        <v>55</v>
      </c>
      <c r="Q154" t="s">
        <v>2614</v>
      </c>
      <c r="R154">
        <v>53</v>
      </c>
      <c r="S154">
        <v>0</v>
      </c>
      <c r="T154" t="s">
        <v>85</v>
      </c>
      <c r="U154" t="s">
        <v>57</v>
      </c>
      <c r="V154">
        <v>2.08</v>
      </c>
      <c r="W154">
        <v>4.1900000000000004</v>
      </c>
      <c r="X154">
        <v>3.8</v>
      </c>
      <c r="Y154">
        <v>14.2</v>
      </c>
      <c r="Z154">
        <v>3.2</v>
      </c>
      <c r="AA154">
        <f>VALUE(SUBSTITUTE(DACS19___Pfizer’s_Personalised_Medicine_in[[#This Row],[Dose]],"mg",""))</f>
        <v>100</v>
      </c>
      <c r="AB154">
        <f t="shared" si="14"/>
        <v>100</v>
      </c>
      <c r="AC154" t="s">
        <v>2614</v>
      </c>
      <c r="AD154">
        <f t="shared" si="15"/>
        <v>0</v>
      </c>
      <c r="AE154">
        <f t="shared" si="16"/>
        <v>2</v>
      </c>
      <c r="AF154" t="e">
        <f t="shared" si="17"/>
        <v>#N/A</v>
      </c>
      <c r="AG154">
        <f t="shared" si="18"/>
        <v>4.1900000000000004</v>
      </c>
      <c r="AH154" t="e">
        <f t="shared" si="19"/>
        <v>#N/A</v>
      </c>
      <c r="AI154" t="e">
        <f t="shared" si="20"/>
        <v>#N/A</v>
      </c>
    </row>
    <row r="155" spans="1:35" x14ac:dyDescent="0.45">
      <c r="A155" t="s">
        <v>685</v>
      </c>
      <c r="B155">
        <v>45</v>
      </c>
      <c r="C155" t="s">
        <v>45</v>
      </c>
      <c r="D155" t="s">
        <v>87</v>
      </c>
      <c r="E155" t="s">
        <v>2614</v>
      </c>
      <c r="F155" t="s">
        <v>2614</v>
      </c>
      <c r="G155" t="s">
        <v>112</v>
      </c>
      <c r="H155" t="s">
        <v>81</v>
      </c>
      <c r="I155" t="s">
        <v>49</v>
      </c>
      <c r="J155" t="s">
        <v>664</v>
      </c>
      <c r="K155" t="s">
        <v>686</v>
      </c>
      <c r="L155" t="s">
        <v>36</v>
      </c>
      <c r="M155" t="s">
        <v>129</v>
      </c>
      <c r="N155" t="s">
        <v>323</v>
      </c>
      <c r="O155" t="s">
        <v>36</v>
      </c>
      <c r="P155" t="s">
        <v>55</v>
      </c>
      <c r="Q155" t="s">
        <v>2614</v>
      </c>
      <c r="R155">
        <v>141</v>
      </c>
      <c r="S155">
        <v>0</v>
      </c>
      <c r="T155" t="s">
        <v>56</v>
      </c>
      <c r="U155" t="s">
        <v>42</v>
      </c>
      <c r="V155">
        <v>1.29</v>
      </c>
      <c r="W155">
        <v>2.57</v>
      </c>
      <c r="X155">
        <v>5.3</v>
      </c>
      <c r="Y155">
        <v>16.8</v>
      </c>
      <c r="Z155">
        <v>8</v>
      </c>
      <c r="AA155">
        <f>VALUE(SUBSTITUTE(DACS19___Pfizer’s_Personalised_Medicine_in[[#This Row],[Dose]],"mg",""))</f>
        <v>200</v>
      </c>
      <c r="AB155">
        <f t="shared" si="14"/>
        <v>200</v>
      </c>
      <c r="AC155" t="s">
        <v>2614</v>
      </c>
      <c r="AD155">
        <f t="shared" si="15"/>
        <v>0</v>
      </c>
      <c r="AE155">
        <f t="shared" si="16"/>
        <v>2</v>
      </c>
      <c r="AF155" t="e">
        <f t="shared" si="17"/>
        <v>#N/A</v>
      </c>
      <c r="AG155" t="e">
        <f t="shared" si="18"/>
        <v>#N/A</v>
      </c>
      <c r="AH155" t="e">
        <f t="shared" si="19"/>
        <v>#N/A</v>
      </c>
      <c r="AI155">
        <f t="shared" si="20"/>
        <v>2.57</v>
      </c>
    </row>
    <row r="156" spans="1:35" x14ac:dyDescent="0.45">
      <c r="A156" t="s">
        <v>687</v>
      </c>
      <c r="B156">
        <v>47</v>
      </c>
      <c r="C156" t="s">
        <v>45</v>
      </c>
      <c r="D156" t="s">
        <v>45</v>
      </c>
      <c r="E156" t="s">
        <v>163</v>
      </c>
      <c r="F156" t="s">
        <v>2614</v>
      </c>
      <c r="G156" t="s">
        <v>131</v>
      </c>
      <c r="H156" t="s">
        <v>61</v>
      </c>
      <c r="I156" t="s">
        <v>132</v>
      </c>
      <c r="J156" t="s">
        <v>688</v>
      </c>
      <c r="K156" t="s">
        <v>689</v>
      </c>
      <c r="L156" t="s">
        <v>52</v>
      </c>
      <c r="M156" t="s">
        <v>155</v>
      </c>
      <c r="N156" t="s">
        <v>690</v>
      </c>
      <c r="O156" t="s">
        <v>52</v>
      </c>
      <c r="P156" t="s">
        <v>39</v>
      </c>
      <c r="Q156" t="s">
        <v>40</v>
      </c>
      <c r="R156">
        <v>144</v>
      </c>
      <c r="S156">
        <v>1</v>
      </c>
      <c r="T156" t="s">
        <v>85</v>
      </c>
      <c r="U156" t="s">
        <v>42</v>
      </c>
      <c r="V156">
        <v>3.78</v>
      </c>
      <c r="W156">
        <v>4.4400000000000004</v>
      </c>
      <c r="X156">
        <v>8</v>
      </c>
      <c r="Y156">
        <v>6.7</v>
      </c>
      <c r="Z156">
        <v>11.2</v>
      </c>
      <c r="AA156">
        <f>VALUE(SUBSTITUTE(DACS19___Pfizer’s_Personalised_Medicine_in[[#This Row],[Dose]],"mg",""))</f>
        <v>100</v>
      </c>
      <c r="AB156">
        <f t="shared" si="14"/>
        <v>100</v>
      </c>
      <c r="AC156" t="s">
        <v>40</v>
      </c>
      <c r="AD156">
        <f t="shared" si="15"/>
        <v>3</v>
      </c>
      <c r="AE156">
        <f t="shared" si="16"/>
        <v>3</v>
      </c>
      <c r="AF156">
        <f t="shared" si="17"/>
        <v>4.4400000000000004</v>
      </c>
      <c r="AG156" t="e">
        <f t="shared" si="18"/>
        <v>#N/A</v>
      </c>
      <c r="AH156" t="e">
        <f t="shared" si="19"/>
        <v>#N/A</v>
      </c>
      <c r="AI156" t="e">
        <f t="shared" si="20"/>
        <v>#N/A</v>
      </c>
    </row>
    <row r="157" spans="1:35" x14ac:dyDescent="0.45">
      <c r="A157" t="s">
        <v>691</v>
      </c>
      <c r="B157">
        <v>46</v>
      </c>
      <c r="C157" t="s">
        <v>44</v>
      </c>
      <c r="D157" t="s">
        <v>28</v>
      </c>
      <c r="E157" t="s">
        <v>78</v>
      </c>
      <c r="F157" t="s">
        <v>59</v>
      </c>
      <c r="G157" t="s">
        <v>125</v>
      </c>
      <c r="H157" t="s">
        <v>81</v>
      </c>
      <c r="I157" t="s">
        <v>49</v>
      </c>
      <c r="J157" t="s">
        <v>692</v>
      </c>
      <c r="K157" t="s">
        <v>693</v>
      </c>
      <c r="L157" t="s">
        <v>36</v>
      </c>
      <c r="M157" t="s">
        <v>676</v>
      </c>
      <c r="N157" t="s">
        <v>694</v>
      </c>
      <c r="O157" t="s">
        <v>36</v>
      </c>
      <c r="P157" t="s">
        <v>110</v>
      </c>
      <c r="Q157" t="s">
        <v>67</v>
      </c>
      <c r="R157">
        <v>154</v>
      </c>
      <c r="S157">
        <v>0</v>
      </c>
      <c r="T157" t="s">
        <v>56</v>
      </c>
      <c r="U157" t="s">
        <v>42</v>
      </c>
      <c r="V157">
        <v>1.42</v>
      </c>
      <c r="W157">
        <v>1.97</v>
      </c>
      <c r="X157">
        <v>9.9</v>
      </c>
      <c r="Y157">
        <v>8.6</v>
      </c>
      <c r="Z157">
        <v>11.5</v>
      </c>
      <c r="AA157">
        <f>VALUE(SUBSTITUTE(DACS19___Pfizer’s_Personalised_Medicine_in[[#This Row],[Dose]],"mg",""))</f>
        <v>200</v>
      </c>
      <c r="AB157">
        <f t="shared" si="14"/>
        <v>200</v>
      </c>
      <c r="AC157" t="s">
        <v>67</v>
      </c>
      <c r="AD157">
        <f t="shared" si="15"/>
        <v>2</v>
      </c>
      <c r="AE157">
        <f t="shared" si="16"/>
        <v>1</v>
      </c>
      <c r="AF157" t="e">
        <f t="shared" si="17"/>
        <v>#N/A</v>
      </c>
      <c r="AG157" t="e">
        <f t="shared" si="18"/>
        <v>#N/A</v>
      </c>
      <c r="AH157" t="e">
        <f t="shared" si="19"/>
        <v>#N/A</v>
      </c>
      <c r="AI157">
        <f t="shared" si="20"/>
        <v>1.97</v>
      </c>
    </row>
    <row r="158" spans="1:35" x14ac:dyDescent="0.45">
      <c r="A158" t="s">
        <v>695</v>
      </c>
      <c r="B158">
        <v>85</v>
      </c>
      <c r="C158" t="s">
        <v>27</v>
      </c>
      <c r="D158" t="s">
        <v>106</v>
      </c>
      <c r="E158" t="s">
        <v>163</v>
      </c>
      <c r="F158" t="s">
        <v>47</v>
      </c>
      <c r="G158" t="s">
        <v>31</v>
      </c>
      <c r="H158" t="s">
        <v>61</v>
      </c>
      <c r="I158" t="s">
        <v>49</v>
      </c>
      <c r="J158" t="s">
        <v>134</v>
      </c>
      <c r="K158" t="s">
        <v>696</v>
      </c>
      <c r="L158" t="s">
        <v>52</v>
      </c>
      <c r="M158" t="s">
        <v>2639</v>
      </c>
      <c r="N158" t="s">
        <v>323</v>
      </c>
      <c r="O158" t="s">
        <v>52</v>
      </c>
      <c r="P158" t="s">
        <v>55</v>
      </c>
      <c r="Q158" t="s">
        <v>67</v>
      </c>
      <c r="R158">
        <v>119</v>
      </c>
      <c r="S158">
        <v>0</v>
      </c>
      <c r="T158" t="s">
        <v>85</v>
      </c>
      <c r="U158" t="s">
        <v>57</v>
      </c>
      <c r="V158">
        <v>3.47</v>
      </c>
      <c r="W158">
        <v>3.81</v>
      </c>
      <c r="X158">
        <v>6</v>
      </c>
      <c r="Y158">
        <v>6.2</v>
      </c>
      <c r="Z158">
        <v>8.5</v>
      </c>
      <c r="AA158">
        <f>VALUE(SUBSTITUTE(DACS19___Pfizer’s_Personalised_Medicine_in[[#This Row],[Dose]],"mg",""))</f>
        <v>100</v>
      </c>
      <c r="AB158">
        <f t="shared" si="14"/>
        <v>100</v>
      </c>
      <c r="AC158" t="s">
        <v>67</v>
      </c>
      <c r="AD158">
        <f t="shared" si="15"/>
        <v>2</v>
      </c>
      <c r="AE158">
        <f t="shared" si="16"/>
        <v>2</v>
      </c>
      <c r="AF158">
        <f t="shared" si="17"/>
        <v>3.81</v>
      </c>
      <c r="AG158" t="e">
        <f t="shared" si="18"/>
        <v>#N/A</v>
      </c>
      <c r="AH158" t="e">
        <f t="shared" si="19"/>
        <v>#N/A</v>
      </c>
      <c r="AI158" t="e">
        <f t="shared" si="20"/>
        <v>#N/A</v>
      </c>
    </row>
    <row r="159" spans="1:35" x14ac:dyDescent="0.45">
      <c r="A159" t="s">
        <v>698</v>
      </c>
      <c r="B159">
        <v>36</v>
      </c>
      <c r="C159" t="s">
        <v>44</v>
      </c>
      <c r="D159" t="s">
        <v>87</v>
      </c>
      <c r="E159" t="s">
        <v>46</v>
      </c>
      <c r="F159" t="s">
        <v>59</v>
      </c>
      <c r="G159" t="s">
        <v>96</v>
      </c>
      <c r="H159" t="s">
        <v>61</v>
      </c>
      <c r="I159" t="s">
        <v>49</v>
      </c>
      <c r="J159" t="s">
        <v>699</v>
      </c>
      <c r="K159" t="s">
        <v>700</v>
      </c>
      <c r="L159" t="s">
        <v>64</v>
      </c>
      <c r="M159" t="s">
        <v>2614</v>
      </c>
      <c r="N159" t="s">
        <v>161</v>
      </c>
      <c r="O159" t="s">
        <v>64</v>
      </c>
      <c r="P159" t="s">
        <v>39</v>
      </c>
      <c r="Q159" t="s">
        <v>2614</v>
      </c>
      <c r="R159">
        <v>145</v>
      </c>
      <c r="S159">
        <v>1</v>
      </c>
      <c r="T159" t="s">
        <v>56</v>
      </c>
      <c r="U159" t="s">
        <v>42</v>
      </c>
      <c r="V159">
        <v>3.07</v>
      </c>
      <c r="W159">
        <v>1.35</v>
      </c>
      <c r="X159">
        <v>4.2</v>
      </c>
      <c r="Y159">
        <v>6.6</v>
      </c>
      <c r="Z159">
        <v>4.3</v>
      </c>
      <c r="AA159">
        <f>VALUE(SUBSTITUTE(DACS19___Pfizer’s_Personalised_Medicine_in[[#This Row],[Dose]],"mg",""))</f>
        <v>150</v>
      </c>
      <c r="AB159">
        <f t="shared" si="14"/>
        <v>150</v>
      </c>
      <c r="AC159" t="s">
        <v>2614</v>
      </c>
      <c r="AD159">
        <f t="shared" si="15"/>
        <v>0</v>
      </c>
      <c r="AE159">
        <f t="shared" si="16"/>
        <v>3</v>
      </c>
      <c r="AF159">
        <f t="shared" si="17"/>
        <v>1.35</v>
      </c>
      <c r="AG159" t="e">
        <f t="shared" si="18"/>
        <v>#N/A</v>
      </c>
      <c r="AH159" t="e">
        <f t="shared" si="19"/>
        <v>#N/A</v>
      </c>
      <c r="AI159" t="e">
        <f t="shared" si="20"/>
        <v>#N/A</v>
      </c>
    </row>
    <row r="160" spans="1:35" x14ac:dyDescent="0.45">
      <c r="A160" t="s">
        <v>701</v>
      </c>
      <c r="B160">
        <v>60</v>
      </c>
      <c r="C160" t="s">
        <v>27</v>
      </c>
      <c r="D160" t="s">
        <v>45</v>
      </c>
      <c r="E160" t="s">
        <v>46</v>
      </c>
      <c r="F160" t="s">
        <v>69</v>
      </c>
      <c r="G160" t="s">
        <v>184</v>
      </c>
      <c r="H160" t="s">
        <v>81</v>
      </c>
      <c r="I160" t="s">
        <v>72</v>
      </c>
      <c r="J160" t="s">
        <v>702</v>
      </c>
      <c r="K160" t="s">
        <v>703</v>
      </c>
      <c r="L160" t="s">
        <v>92</v>
      </c>
      <c r="M160" t="s">
        <v>37</v>
      </c>
      <c r="N160" t="s">
        <v>452</v>
      </c>
      <c r="O160" t="s">
        <v>92</v>
      </c>
      <c r="P160" t="s">
        <v>39</v>
      </c>
      <c r="Q160" t="s">
        <v>75</v>
      </c>
      <c r="R160">
        <v>99</v>
      </c>
      <c r="S160">
        <v>1</v>
      </c>
      <c r="T160" t="s">
        <v>123</v>
      </c>
      <c r="U160" t="s">
        <v>57</v>
      </c>
      <c r="V160">
        <v>2.59</v>
      </c>
      <c r="W160">
        <v>1.53</v>
      </c>
      <c r="X160">
        <v>6.1</v>
      </c>
      <c r="Y160">
        <v>18.399999999999999</v>
      </c>
      <c r="Z160">
        <v>16.600000000000001</v>
      </c>
      <c r="AA160">
        <f>VALUE(SUBSTITUTE(DACS19___Pfizer’s_Personalised_Medicine_in[[#This Row],[Dose]],"mg",""))</f>
        <v>50</v>
      </c>
      <c r="AB160">
        <f t="shared" si="14"/>
        <v>50</v>
      </c>
      <c r="AC160" t="s">
        <v>75</v>
      </c>
      <c r="AD160">
        <f t="shared" si="15"/>
        <v>1</v>
      </c>
      <c r="AE160">
        <f t="shared" si="16"/>
        <v>3</v>
      </c>
      <c r="AF160" t="e">
        <f t="shared" si="17"/>
        <v>#N/A</v>
      </c>
      <c r="AG160" t="e">
        <f t="shared" si="18"/>
        <v>#N/A</v>
      </c>
      <c r="AH160" t="e">
        <f t="shared" si="19"/>
        <v>#N/A</v>
      </c>
      <c r="AI160">
        <f t="shared" si="20"/>
        <v>1.53</v>
      </c>
    </row>
    <row r="161" spans="1:35" x14ac:dyDescent="0.45">
      <c r="A161" t="s">
        <v>704</v>
      </c>
      <c r="B161">
        <v>19</v>
      </c>
      <c r="C161" t="s">
        <v>27</v>
      </c>
      <c r="D161" t="s">
        <v>95</v>
      </c>
      <c r="E161" t="s">
        <v>2614</v>
      </c>
      <c r="F161" t="s">
        <v>2614</v>
      </c>
      <c r="G161" t="s">
        <v>194</v>
      </c>
      <c r="H161" t="s">
        <v>61</v>
      </c>
      <c r="I161" t="s">
        <v>49</v>
      </c>
      <c r="J161" t="s">
        <v>98</v>
      </c>
      <c r="K161" t="s">
        <v>680</v>
      </c>
      <c r="L161" t="s">
        <v>36</v>
      </c>
      <c r="M161" t="s">
        <v>2616</v>
      </c>
      <c r="N161" t="s">
        <v>528</v>
      </c>
      <c r="O161" t="s">
        <v>36</v>
      </c>
      <c r="P161" t="s">
        <v>110</v>
      </c>
      <c r="Q161" t="s">
        <v>129</v>
      </c>
      <c r="R161">
        <v>77</v>
      </c>
      <c r="S161">
        <v>0</v>
      </c>
      <c r="T161" t="s">
        <v>41</v>
      </c>
      <c r="U161" t="s">
        <v>57</v>
      </c>
      <c r="V161">
        <v>1.8</v>
      </c>
      <c r="W161">
        <v>1.67</v>
      </c>
      <c r="X161">
        <v>1.9</v>
      </c>
      <c r="Y161">
        <v>17.5</v>
      </c>
      <c r="Z161">
        <v>15</v>
      </c>
      <c r="AA161">
        <f>VALUE(SUBSTITUTE(DACS19___Pfizer’s_Personalised_Medicine_in[[#This Row],[Dose]],"mg",""))</f>
        <v>200</v>
      </c>
      <c r="AB161">
        <f t="shared" si="14"/>
        <v>200</v>
      </c>
      <c r="AC161" t="s">
        <v>129</v>
      </c>
      <c r="AD161">
        <f t="shared" si="15"/>
        <v>4</v>
      </c>
      <c r="AE161">
        <f t="shared" si="16"/>
        <v>1</v>
      </c>
      <c r="AF161">
        <f t="shared" si="17"/>
        <v>1.67</v>
      </c>
      <c r="AG161" t="e">
        <f t="shared" si="18"/>
        <v>#N/A</v>
      </c>
      <c r="AH161" t="e">
        <f t="shared" si="19"/>
        <v>#N/A</v>
      </c>
      <c r="AI161" t="e">
        <f t="shared" si="20"/>
        <v>#N/A</v>
      </c>
    </row>
    <row r="162" spans="1:35" x14ac:dyDescent="0.45">
      <c r="A162" t="s">
        <v>705</v>
      </c>
      <c r="B162">
        <v>20</v>
      </c>
      <c r="C162" t="s">
        <v>27</v>
      </c>
      <c r="D162" t="s">
        <v>106</v>
      </c>
      <c r="E162" t="s">
        <v>29</v>
      </c>
      <c r="F162" t="s">
        <v>47</v>
      </c>
      <c r="G162" t="s">
        <v>131</v>
      </c>
      <c r="H162" t="s">
        <v>71</v>
      </c>
      <c r="I162" t="s">
        <v>49</v>
      </c>
      <c r="J162" t="s">
        <v>706</v>
      </c>
      <c r="K162" t="s">
        <v>707</v>
      </c>
      <c r="L162" t="s">
        <v>64</v>
      </c>
      <c r="M162" t="s">
        <v>75</v>
      </c>
      <c r="N162" t="s">
        <v>398</v>
      </c>
      <c r="O162" t="s">
        <v>64</v>
      </c>
      <c r="P162" t="s">
        <v>39</v>
      </c>
      <c r="Q162" t="s">
        <v>2614</v>
      </c>
      <c r="R162">
        <v>129</v>
      </c>
      <c r="S162">
        <v>1</v>
      </c>
      <c r="T162" t="s">
        <v>123</v>
      </c>
      <c r="U162" t="s">
        <v>57</v>
      </c>
      <c r="V162">
        <v>1.1299999999999999</v>
      </c>
      <c r="W162">
        <v>4.74</v>
      </c>
      <c r="X162">
        <v>1.5</v>
      </c>
      <c r="Y162">
        <v>15.7</v>
      </c>
      <c r="Z162">
        <v>15.1</v>
      </c>
      <c r="AA162">
        <f>VALUE(SUBSTITUTE(DACS19___Pfizer’s_Personalised_Medicine_in[[#This Row],[Dose]],"mg",""))</f>
        <v>150</v>
      </c>
      <c r="AB162">
        <f t="shared" si="14"/>
        <v>150</v>
      </c>
      <c r="AC162" t="s">
        <v>2614</v>
      </c>
      <c r="AD162">
        <f t="shared" si="15"/>
        <v>0</v>
      </c>
      <c r="AE162">
        <f t="shared" si="16"/>
        <v>3</v>
      </c>
      <c r="AF162" t="e">
        <f t="shared" si="17"/>
        <v>#N/A</v>
      </c>
      <c r="AG162">
        <f t="shared" si="18"/>
        <v>4.74</v>
      </c>
      <c r="AH162" t="e">
        <f t="shared" si="19"/>
        <v>#N/A</v>
      </c>
      <c r="AI162" t="e">
        <f t="shared" si="20"/>
        <v>#N/A</v>
      </c>
    </row>
    <row r="163" spans="1:35" x14ac:dyDescent="0.45">
      <c r="A163" t="s">
        <v>708</v>
      </c>
      <c r="B163">
        <v>46</v>
      </c>
      <c r="C163" t="s">
        <v>27</v>
      </c>
      <c r="D163" t="s">
        <v>28</v>
      </c>
      <c r="E163" t="s">
        <v>78</v>
      </c>
      <c r="F163" t="s">
        <v>2614</v>
      </c>
      <c r="G163" t="s">
        <v>125</v>
      </c>
      <c r="H163" t="s">
        <v>81</v>
      </c>
      <c r="I163" t="s">
        <v>72</v>
      </c>
      <c r="J163" t="s">
        <v>709</v>
      </c>
      <c r="K163" t="s">
        <v>710</v>
      </c>
      <c r="L163" t="s">
        <v>36</v>
      </c>
      <c r="M163" t="s">
        <v>2625</v>
      </c>
      <c r="N163" t="s">
        <v>711</v>
      </c>
      <c r="O163" t="s">
        <v>36</v>
      </c>
      <c r="P163" t="s">
        <v>110</v>
      </c>
      <c r="Q163" t="s">
        <v>67</v>
      </c>
      <c r="R163">
        <v>82</v>
      </c>
      <c r="S163">
        <v>0</v>
      </c>
      <c r="T163" t="s">
        <v>41</v>
      </c>
      <c r="U163" t="s">
        <v>42</v>
      </c>
      <c r="V163">
        <v>4.4800000000000004</v>
      </c>
      <c r="W163">
        <v>3.86</v>
      </c>
      <c r="X163">
        <v>8.1999999999999993</v>
      </c>
      <c r="Y163">
        <v>12.1</v>
      </c>
      <c r="Z163">
        <v>16.899999999999999</v>
      </c>
      <c r="AA163">
        <f>VALUE(SUBSTITUTE(DACS19___Pfizer’s_Personalised_Medicine_in[[#This Row],[Dose]],"mg",""))</f>
        <v>200</v>
      </c>
      <c r="AB163">
        <f t="shared" si="14"/>
        <v>200</v>
      </c>
      <c r="AC163" t="s">
        <v>67</v>
      </c>
      <c r="AD163">
        <f t="shared" si="15"/>
        <v>2</v>
      </c>
      <c r="AE163">
        <f t="shared" si="16"/>
        <v>1</v>
      </c>
      <c r="AF163" t="e">
        <f t="shared" si="17"/>
        <v>#N/A</v>
      </c>
      <c r="AG163" t="e">
        <f t="shared" si="18"/>
        <v>#N/A</v>
      </c>
      <c r="AH163" t="e">
        <f t="shared" si="19"/>
        <v>#N/A</v>
      </c>
      <c r="AI163">
        <f t="shared" si="20"/>
        <v>3.86</v>
      </c>
    </row>
    <row r="164" spans="1:35" x14ac:dyDescent="0.45">
      <c r="A164" t="s">
        <v>712</v>
      </c>
      <c r="B164">
        <v>35</v>
      </c>
      <c r="C164" t="s">
        <v>44</v>
      </c>
      <c r="D164" t="s">
        <v>45</v>
      </c>
      <c r="E164" t="s">
        <v>46</v>
      </c>
      <c r="F164" t="s">
        <v>79</v>
      </c>
      <c r="G164" t="s">
        <v>80</v>
      </c>
      <c r="H164" t="s">
        <v>71</v>
      </c>
      <c r="I164" t="s">
        <v>132</v>
      </c>
      <c r="J164" t="s">
        <v>148</v>
      </c>
      <c r="K164" t="s">
        <v>713</v>
      </c>
      <c r="L164" t="s">
        <v>92</v>
      </c>
      <c r="M164" t="s">
        <v>2614</v>
      </c>
      <c r="N164" t="s">
        <v>714</v>
      </c>
      <c r="O164" t="s">
        <v>92</v>
      </c>
      <c r="P164" t="s">
        <v>110</v>
      </c>
      <c r="Q164" t="s">
        <v>129</v>
      </c>
      <c r="R164">
        <v>111</v>
      </c>
      <c r="S164">
        <v>0</v>
      </c>
      <c r="T164" t="s">
        <v>56</v>
      </c>
      <c r="U164" t="s">
        <v>57</v>
      </c>
      <c r="V164">
        <v>1.32</v>
      </c>
      <c r="W164">
        <v>4.58</v>
      </c>
      <c r="X164">
        <v>5.9</v>
      </c>
      <c r="Y164">
        <v>20.7</v>
      </c>
      <c r="Z164">
        <v>10.7</v>
      </c>
      <c r="AA164">
        <f>VALUE(SUBSTITUTE(DACS19___Pfizer’s_Personalised_Medicine_in[[#This Row],[Dose]],"mg",""))</f>
        <v>50</v>
      </c>
      <c r="AB164">
        <f t="shared" si="14"/>
        <v>50</v>
      </c>
      <c r="AC164" t="s">
        <v>129</v>
      </c>
      <c r="AD164">
        <f t="shared" si="15"/>
        <v>4</v>
      </c>
      <c r="AE164">
        <f t="shared" si="16"/>
        <v>1</v>
      </c>
      <c r="AF164" t="e">
        <f t="shared" si="17"/>
        <v>#N/A</v>
      </c>
      <c r="AG164">
        <f t="shared" si="18"/>
        <v>4.58</v>
      </c>
      <c r="AH164" t="e">
        <f t="shared" si="19"/>
        <v>#N/A</v>
      </c>
      <c r="AI164" t="e">
        <f t="shared" si="20"/>
        <v>#N/A</v>
      </c>
    </row>
    <row r="165" spans="1:35" x14ac:dyDescent="0.45">
      <c r="A165" t="s">
        <v>715</v>
      </c>
      <c r="B165">
        <v>56</v>
      </c>
      <c r="C165" t="s">
        <v>44</v>
      </c>
      <c r="D165" t="s">
        <v>28</v>
      </c>
      <c r="E165" t="s">
        <v>46</v>
      </c>
      <c r="F165" t="s">
        <v>2614</v>
      </c>
      <c r="G165" t="s">
        <v>102</v>
      </c>
      <c r="H165" t="s">
        <v>71</v>
      </c>
      <c r="I165" t="s">
        <v>72</v>
      </c>
      <c r="J165" t="s">
        <v>716</v>
      </c>
      <c r="K165" t="s">
        <v>717</v>
      </c>
      <c r="L165" t="s">
        <v>52</v>
      </c>
      <c r="M165" t="s">
        <v>2635</v>
      </c>
      <c r="N165" t="s">
        <v>513</v>
      </c>
      <c r="O165" t="s">
        <v>52</v>
      </c>
      <c r="P165" t="s">
        <v>55</v>
      </c>
      <c r="Q165" t="s">
        <v>129</v>
      </c>
      <c r="R165">
        <v>152</v>
      </c>
      <c r="S165">
        <v>0</v>
      </c>
      <c r="T165" t="s">
        <v>41</v>
      </c>
      <c r="U165" t="s">
        <v>57</v>
      </c>
      <c r="V165">
        <v>3.57</v>
      </c>
      <c r="W165">
        <v>3.11</v>
      </c>
      <c r="X165">
        <v>7.6</v>
      </c>
      <c r="Y165">
        <v>7.5</v>
      </c>
      <c r="Z165">
        <v>4</v>
      </c>
      <c r="AA165">
        <f>VALUE(SUBSTITUTE(DACS19___Pfizer’s_Personalised_Medicine_in[[#This Row],[Dose]],"mg",""))</f>
        <v>100</v>
      </c>
      <c r="AB165">
        <f t="shared" si="14"/>
        <v>100</v>
      </c>
      <c r="AC165" t="s">
        <v>129</v>
      </c>
      <c r="AD165">
        <f t="shared" si="15"/>
        <v>4</v>
      </c>
      <c r="AE165">
        <f t="shared" si="16"/>
        <v>2</v>
      </c>
      <c r="AF165" t="e">
        <f t="shared" si="17"/>
        <v>#N/A</v>
      </c>
      <c r="AG165">
        <f t="shared" si="18"/>
        <v>3.11</v>
      </c>
      <c r="AH165" t="e">
        <f t="shared" si="19"/>
        <v>#N/A</v>
      </c>
      <c r="AI165" t="e">
        <f t="shared" si="20"/>
        <v>#N/A</v>
      </c>
    </row>
    <row r="166" spans="1:35" x14ac:dyDescent="0.45">
      <c r="A166" t="s">
        <v>718</v>
      </c>
      <c r="B166">
        <v>65</v>
      </c>
      <c r="C166" t="s">
        <v>27</v>
      </c>
      <c r="D166" t="s">
        <v>95</v>
      </c>
      <c r="E166" t="s">
        <v>78</v>
      </c>
      <c r="F166" t="s">
        <v>79</v>
      </c>
      <c r="G166" t="s">
        <v>89</v>
      </c>
      <c r="H166" t="s">
        <v>71</v>
      </c>
      <c r="I166" t="s">
        <v>49</v>
      </c>
      <c r="J166" t="s">
        <v>247</v>
      </c>
      <c r="K166" t="s">
        <v>719</v>
      </c>
      <c r="L166" t="s">
        <v>52</v>
      </c>
      <c r="M166" t="s">
        <v>249</v>
      </c>
      <c r="N166" t="s">
        <v>598</v>
      </c>
      <c r="O166" t="s">
        <v>52</v>
      </c>
      <c r="P166" t="s">
        <v>55</v>
      </c>
      <c r="Q166" t="s">
        <v>75</v>
      </c>
      <c r="R166">
        <v>155</v>
      </c>
      <c r="S166">
        <v>0</v>
      </c>
      <c r="T166" t="s">
        <v>137</v>
      </c>
      <c r="U166" t="s">
        <v>57</v>
      </c>
      <c r="V166">
        <v>1.99</v>
      </c>
      <c r="W166">
        <v>1.64</v>
      </c>
      <c r="X166">
        <v>8.8000000000000007</v>
      </c>
      <c r="Y166">
        <v>9.9</v>
      </c>
      <c r="Z166">
        <v>19.600000000000001</v>
      </c>
      <c r="AA166">
        <f>VALUE(SUBSTITUTE(DACS19___Pfizer’s_Personalised_Medicine_in[[#This Row],[Dose]],"mg",""))</f>
        <v>100</v>
      </c>
      <c r="AB166">
        <f t="shared" si="14"/>
        <v>100</v>
      </c>
      <c r="AC166" t="s">
        <v>75</v>
      </c>
      <c r="AD166">
        <f t="shared" si="15"/>
        <v>1</v>
      </c>
      <c r="AE166">
        <f t="shared" si="16"/>
        <v>2</v>
      </c>
      <c r="AF166" t="e">
        <f t="shared" si="17"/>
        <v>#N/A</v>
      </c>
      <c r="AG166">
        <f t="shared" si="18"/>
        <v>1.64</v>
      </c>
      <c r="AH166" t="e">
        <f t="shared" si="19"/>
        <v>#N/A</v>
      </c>
      <c r="AI166" t="e">
        <f t="shared" si="20"/>
        <v>#N/A</v>
      </c>
    </row>
    <row r="167" spans="1:35" x14ac:dyDescent="0.45">
      <c r="A167" t="s">
        <v>720</v>
      </c>
      <c r="B167">
        <v>49</v>
      </c>
      <c r="C167" t="s">
        <v>44</v>
      </c>
      <c r="D167" t="s">
        <v>95</v>
      </c>
      <c r="E167" t="s">
        <v>163</v>
      </c>
      <c r="F167" t="s">
        <v>2614</v>
      </c>
      <c r="G167" t="s">
        <v>131</v>
      </c>
      <c r="H167" t="s">
        <v>32</v>
      </c>
      <c r="I167" t="s">
        <v>33</v>
      </c>
      <c r="J167" t="s">
        <v>721</v>
      </c>
      <c r="K167" t="s">
        <v>722</v>
      </c>
      <c r="L167" t="s">
        <v>92</v>
      </c>
      <c r="M167" t="s">
        <v>723</v>
      </c>
      <c r="N167" t="s">
        <v>459</v>
      </c>
      <c r="O167" t="s">
        <v>92</v>
      </c>
      <c r="P167" t="s">
        <v>39</v>
      </c>
      <c r="Q167" t="s">
        <v>75</v>
      </c>
      <c r="R167">
        <v>167</v>
      </c>
      <c r="S167">
        <v>1</v>
      </c>
      <c r="T167" t="s">
        <v>56</v>
      </c>
      <c r="U167" t="s">
        <v>42</v>
      </c>
      <c r="V167">
        <v>2.35</v>
      </c>
      <c r="W167">
        <v>1.73</v>
      </c>
      <c r="X167">
        <v>8.1</v>
      </c>
      <c r="Y167">
        <v>17.899999999999999</v>
      </c>
      <c r="Z167">
        <v>11.5</v>
      </c>
      <c r="AA167">
        <f>VALUE(SUBSTITUTE(DACS19___Pfizer’s_Personalised_Medicine_in[[#This Row],[Dose]],"mg",""))</f>
        <v>50</v>
      </c>
      <c r="AB167">
        <f t="shared" si="14"/>
        <v>50</v>
      </c>
      <c r="AC167" t="s">
        <v>75</v>
      </c>
      <c r="AD167">
        <f t="shared" si="15"/>
        <v>1</v>
      </c>
      <c r="AE167">
        <f t="shared" si="16"/>
        <v>3</v>
      </c>
      <c r="AF167" t="e">
        <f t="shared" si="17"/>
        <v>#N/A</v>
      </c>
      <c r="AG167" t="e">
        <f t="shared" si="18"/>
        <v>#N/A</v>
      </c>
      <c r="AH167">
        <f t="shared" si="19"/>
        <v>1.73</v>
      </c>
      <c r="AI167" t="e">
        <f t="shared" si="20"/>
        <v>#N/A</v>
      </c>
    </row>
    <row r="168" spans="1:35" x14ac:dyDescent="0.45">
      <c r="A168" t="s">
        <v>724</v>
      </c>
      <c r="B168">
        <v>67</v>
      </c>
      <c r="C168" t="s">
        <v>45</v>
      </c>
      <c r="D168" t="s">
        <v>87</v>
      </c>
      <c r="E168" t="s">
        <v>46</v>
      </c>
      <c r="F168" t="s">
        <v>47</v>
      </c>
      <c r="G168" t="s">
        <v>276</v>
      </c>
      <c r="H168" t="s">
        <v>32</v>
      </c>
      <c r="I168" t="s">
        <v>33</v>
      </c>
      <c r="J168" t="s">
        <v>725</v>
      </c>
      <c r="K168" t="s">
        <v>726</v>
      </c>
      <c r="L168" t="s">
        <v>92</v>
      </c>
      <c r="M168" t="s">
        <v>207</v>
      </c>
      <c r="N168" t="s">
        <v>122</v>
      </c>
      <c r="O168" t="s">
        <v>92</v>
      </c>
      <c r="P168" t="s">
        <v>55</v>
      </c>
      <c r="Q168" t="s">
        <v>129</v>
      </c>
      <c r="R168">
        <v>158</v>
      </c>
      <c r="S168">
        <v>0</v>
      </c>
      <c r="T168" t="s">
        <v>123</v>
      </c>
      <c r="U168" t="s">
        <v>42</v>
      </c>
      <c r="V168">
        <v>3.22</v>
      </c>
      <c r="W168">
        <v>3.88</v>
      </c>
      <c r="X168">
        <v>3.1</v>
      </c>
      <c r="Y168">
        <v>23.9</v>
      </c>
      <c r="Z168">
        <v>19.600000000000001</v>
      </c>
      <c r="AA168">
        <f>VALUE(SUBSTITUTE(DACS19___Pfizer’s_Personalised_Medicine_in[[#This Row],[Dose]],"mg",""))</f>
        <v>50</v>
      </c>
      <c r="AB168">
        <f t="shared" si="14"/>
        <v>50</v>
      </c>
      <c r="AC168" t="s">
        <v>129</v>
      </c>
      <c r="AD168">
        <f t="shared" si="15"/>
        <v>4</v>
      </c>
      <c r="AE168">
        <f t="shared" si="16"/>
        <v>2</v>
      </c>
      <c r="AF168" t="e">
        <f t="shared" si="17"/>
        <v>#N/A</v>
      </c>
      <c r="AG168" t="e">
        <f t="shared" si="18"/>
        <v>#N/A</v>
      </c>
      <c r="AH168">
        <f t="shared" si="19"/>
        <v>3.88</v>
      </c>
      <c r="AI168" t="e">
        <f t="shared" si="20"/>
        <v>#N/A</v>
      </c>
    </row>
    <row r="169" spans="1:35" x14ac:dyDescent="0.45">
      <c r="A169" t="s">
        <v>727</v>
      </c>
      <c r="B169">
        <v>35</v>
      </c>
      <c r="C169" t="s">
        <v>44</v>
      </c>
      <c r="D169" t="s">
        <v>95</v>
      </c>
      <c r="E169" t="s">
        <v>2614</v>
      </c>
      <c r="F169" t="s">
        <v>79</v>
      </c>
      <c r="G169" t="s">
        <v>440</v>
      </c>
      <c r="H169" t="s">
        <v>71</v>
      </c>
      <c r="I169" t="s">
        <v>33</v>
      </c>
      <c r="J169" t="s">
        <v>728</v>
      </c>
      <c r="K169" t="s">
        <v>360</v>
      </c>
      <c r="L169" t="s">
        <v>52</v>
      </c>
      <c r="M169" t="s">
        <v>446</v>
      </c>
      <c r="N169" t="s">
        <v>729</v>
      </c>
      <c r="O169" t="s">
        <v>52</v>
      </c>
      <c r="P169" t="s">
        <v>55</v>
      </c>
      <c r="Q169" t="s">
        <v>2614</v>
      </c>
      <c r="R169">
        <v>51</v>
      </c>
      <c r="S169">
        <v>0</v>
      </c>
      <c r="T169" t="s">
        <v>85</v>
      </c>
      <c r="U169" t="s">
        <v>57</v>
      </c>
      <c r="V169">
        <v>3.6</v>
      </c>
      <c r="W169">
        <v>1.8</v>
      </c>
      <c r="X169">
        <v>7.1</v>
      </c>
      <c r="Y169">
        <v>7.3</v>
      </c>
      <c r="Z169">
        <v>3.5</v>
      </c>
      <c r="AA169">
        <f>VALUE(SUBSTITUTE(DACS19___Pfizer’s_Personalised_Medicine_in[[#This Row],[Dose]],"mg",""))</f>
        <v>100</v>
      </c>
      <c r="AB169">
        <f t="shared" si="14"/>
        <v>100</v>
      </c>
      <c r="AC169" t="s">
        <v>2614</v>
      </c>
      <c r="AD169">
        <f t="shared" si="15"/>
        <v>0</v>
      </c>
      <c r="AE169">
        <f t="shared" si="16"/>
        <v>2</v>
      </c>
      <c r="AF169" t="e">
        <f t="shared" si="17"/>
        <v>#N/A</v>
      </c>
      <c r="AG169">
        <f t="shared" si="18"/>
        <v>1.8</v>
      </c>
      <c r="AH169" t="e">
        <f t="shared" si="19"/>
        <v>#N/A</v>
      </c>
      <c r="AI169" t="e">
        <f t="shared" si="20"/>
        <v>#N/A</v>
      </c>
    </row>
    <row r="170" spans="1:35" x14ac:dyDescent="0.45">
      <c r="A170" t="s">
        <v>730</v>
      </c>
      <c r="B170">
        <v>83</v>
      </c>
      <c r="C170" t="s">
        <v>45</v>
      </c>
      <c r="D170" t="s">
        <v>106</v>
      </c>
      <c r="E170" t="s">
        <v>78</v>
      </c>
      <c r="F170" t="s">
        <v>2614</v>
      </c>
      <c r="G170" t="s">
        <v>118</v>
      </c>
      <c r="H170" t="s">
        <v>71</v>
      </c>
      <c r="I170" t="s">
        <v>132</v>
      </c>
      <c r="J170" t="s">
        <v>731</v>
      </c>
      <c r="K170" t="s">
        <v>732</v>
      </c>
      <c r="L170" t="s">
        <v>52</v>
      </c>
      <c r="M170" t="s">
        <v>67</v>
      </c>
      <c r="N170" t="s">
        <v>571</v>
      </c>
      <c r="O170" t="s">
        <v>52</v>
      </c>
      <c r="P170" t="s">
        <v>110</v>
      </c>
      <c r="Q170" t="s">
        <v>129</v>
      </c>
      <c r="R170">
        <v>137</v>
      </c>
      <c r="S170">
        <v>0</v>
      </c>
      <c r="T170" t="s">
        <v>137</v>
      </c>
      <c r="U170" t="s">
        <v>57</v>
      </c>
      <c r="V170">
        <v>2.0299999999999998</v>
      </c>
      <c r="W170">
        <v>2.85</v>
      </c>
      <c r="X170">
        <v>8.8000000000000007</v>
      </c>
      <c r="Y170">
        <v>19.100000000000001</v>
      </c>
      <c r="Z170">
        <v>15.6</v>
      </c>
      <c r="AA170">
        <f>VALUE(SUBSTITUTE(DACS19___Pfizer’s_Personalised_Medicine_in[[#This Row],[Dose]],"mg",""))</f>
        <v>100</v>
      </c>
      <c r="AB170">
        <f t="shared" si="14"/>
        <v>100</v>
      </c>
      <c r="AC170" t="s">
        <v>129</v>
      </c>
      <c r="AD170">
        <f t="shared" si="15"/>
        <v>4</v>
      </c>
      <c r="AE170">
        <f t="shared" si="16"/>
        <v>1</v>
      </c>
      <c r="AF170" t="e">
        <f t="shared" si="17"/>
        <v>#N/A</v>
      </c>
      <c r="AG170">
        <f t="shared" si="18"/>
        <v>2.85</v>
      </c>
      <c r="AH170" t="e">
        <f t="shared" si="19"/>
        <v>#N/A</v>
      </c>
      <c r="AI170" t="e">
        <f t="shared" si="20"/>
        <v>#N/A</v>
      </c>
    </row>
    <row r="171" spans="1:35" x14ac:dyDescent="0.45">
      <c r="A171" t="s">
        <v>733</v>
      </c>
      <c r="B171">
        <v>75</v>
      </c>
      <c r="C171" t="s">
        <v>44</v>
      </c>
      <c r="D171" t="s">
        <v>106</v>
      </c>
      <c r="E171" t="s">
        <v>163</v>
      </c>
      <c r="F171" t="s">
        <v>2614</v>
      </c>
      <c r="G171" t="s">
        <v>89</v>
      </c>
      <c r="H171" t="s">
        <v>61</v>
      </c>
      <c r="I171" t="s">
        <v>132</v>
      </c>
      <c r="J171" t="s">
        <v>734</v>
      </c>
      <c r="K171" t="s">
        <v>735</v>
      </c>
      <c r="L171" t="s">
        <v>92</v>
      </c>
      <c r="M171" t="s">
        <v>676</v>
      </c>
      <c r="N171" t="s">
        <v>595</v>
      </c>
      <c r="O171" t="s">
        <v>92</v>
      </c>
      <c r="P171" t="s">
        <v>110</v>
      </c>
      <c r="Q171" t="s">
        <v>40</v>
      </c>
      <c r="R171">
        <v>146</v>
      </c>
      <c r="S171">
        <v>0</v>
      </c>
      <c r="T171" t="s">
        <v>56</v>
      </c>
      <c r="U171" t="s">
        <v>57</v>
      </c>
      <c r="V171">
        <v>2.7</v>
      </c>
      <c r="W171">
        <v>2.38</v>
      </c>
      <c r="X171">
        <v>4.3</v>
      </c>
      <c r="Y171">
        <v>23.8</v>
      </c>
      <c r="Z171">
        <v>3.7</v>
      </c>
      <c r="AA171">
        <f>VALUE(SUBSTITUTE(DACS19___Pfizer’s_Personalised_Medicine_in[[#This Row],[Dose]],"mg",""))</f>
        <v>50</v>
      </c>
      <c r="AB171">
        <f t="shared" si="14"/>
        <v>50</v>
      </c>
      <c r="AC171" t="s">
        <v>40</v>
      </c>
      <c r="AD171">
        <f t="shared" si="15"/>
        <v>3</v>
      </c>
      <c r="AE171">
        <f t="shared" si="16"/>
        <v>1</v>
      </c>
      <c r="AF171">
        <f t="shared" si="17"/>
        <v>2.38</v>
      </c>
      <c r="AG171" t="e">
        <f t="shared" si="18"/>
        <v>#N/A</v>
      </c>
      <c r="AH171" t="e">
        <f t="shared" si="19"/>
        <v>#N/A</v>
      </c>
      <c r="AI171" t="e">
        <f t="shared" si="20"/>
        <v>#N/A</v>
      </c>
    </row>
    <row r="172" spans="1:35" x14ac:dyDescent="0.45">
      <c r="A172" t="s">
        <v>736</v>
      </c>
      <c r="B172">
        <v>28</v>
      </c>
      <c r="C172" t="s">
        <v>45</v>
      </c>
      <c r="D172" t="s">
        <v>45</v>
      </c>
      <c r="E172" t="s">
        <v>163</v>
      </c>
      <c r="F172" t="s">
        <v>69</v>
      </c>
      <c r="G172" t="s">
        <v>184</v>
      </c>
      <c r="H172" t="s">
        <v>71</v>
      </c>
      <c r="I172" t="s">
        <v>49</v>
      </c>
      <c r="J172" t="s">
        <v>737</v>
      </c>
      <c r="K172" t="s">
        <v>738</v>
      </c>
      <c r="L172" t="s">
        <v>64</v>
      </c>
      <c r="M172" t="s">
        <v>67</v>
      </c>
      <c r="N172" t="s">
        <v>93</v>
      </c>
      <c r="O172" t="s">
        <v>64</v>
      </c>
      <c r="P172" t="s">
        <v>110</v>
      </c>
      <c r="Q172" t="s">
        <v>75</v>
      </c>
      <c r="R172">
        <v>106</v>
      </c>
      <c r="S172">
        <v>0</v>
      </c>
      <c r="T172" t="s">
        <v>137</v>
      </c>
      <c r="U172" t="s">
        <v>42</v>
      </c>
      <c r="V172">
        <v>4.47</v>
      </c>
      <c r="W172">
        <v>3.31</v>
      </c>
      <c r="X172">
        <v>4.9000000000000004</v>
      </c>
      <c r="Y172">
        <v>19.100000000000001</v>
      </c>
      <c r="Z172">
        <v>11.3</v>
      </c>
      <c r="AA172">
        <f>VALUE(SUBSTITUTE(DACS19___Pfizer’s_Personalised_Medicine_in[[#This Row],[Dose]],"mg",""))</f>
        <v>150</v>
      </c>
      <c r="AB172">
        <f t="shared" si="14"/>
        <v>150</v>
      </c>
      <c r="AC172" t="s">
        <v>75</v>
      </c>
      <c r="AD172">
        <f t="shared" si="15"/>
        <v>1</v>
      </c>
      <c r="AE172">
        <f t="shared" si="16"/>
        <v>1</v>
      </c>
      <c r="AF172" t="e">
        <f t="shared" si="17"/>
        <v>#N/A</v>
      </c>
      <c r="AG172">
        <f t="shared" si="18"/>
        <v>3.31</v>
      </c>
      <c r="AH172" t="e">
        <f t="shared" si="19"/>
        <v>#N/A</v>
      </c>
      <c r="AI172" t="e">
        <f t="shared" si="20"/>
        <v>#N/A</v>
      </c>
    </row>
    <row r="173" spans="1:35" x14ac:dyDescent="0.45">
      <c r="A173" t="s">
        <v>739</v>
      </c>
      <c r="B173">
        <v>24</v>
      </c>
      <c r="C173" t="s">
        <v>27</v>
      </c>
      <c r="D173" t="s">
        <v>95</v>
      </c>
      <c r="E173" t="s">
        <v>46</v>
      </c>
      <c r="F173" t="s">
        <v>59</v>
      </c>
      <c r="G173" t="s">
        <v>152</v>
      </c>
      <c r="H173" t="s">
        <v>71</v>
      </c>
      <c r="I173" t="s">
        <v>33</v>
      </c>
      <c r="J173" t="s">
        <v>740</v>
      </c>
      <c r="K173" t="s">
        <v>741</v>
      </c>
      <c r="L173" t="s">
        <v>64</v>
      </c>
      <c r="M173" t="s">
        <v>2628</v>
      </c>
      <c r="N173" t="s">
        <v>742</v>
      </c>
      <c r="O173" t="s">
        <v>64</v>
      </c>
      <c r="P173" t="s">
        <v>55</v>
      </c>
      <c r="Q173" t="s">
        <v>75</v>
      </c>
      <c r="R173">
        <v>46</v>
      </c>
      <c r="S173">
        <v>0</v>
      </c>
      <c r="T173" t="s">
        <v>137</v>
      </c>
      <c r="U173" t="s">
        <v>57</v>
      </c>
      <c r="V173">
        <v>4.49</v>
      </c>
      <c r="W173">
        <v>4.5999999999999996</v>
      </c>
      <c r="X173">
        <v>4.8</v>
      </c>
      <c r="Y173">
        <v>11</v>
      </c>
      <c r="Z173">
        <v>13.1</v>
      </c>
      <c r="AA173">
        <f>VALUE(SUBSTITUTE(DACS19___Pfizer’s_Personalised_Medicine_in[[#This Row],[Dose]],"mg",""))</f>
        <v>150</v>
      </c>
      <c r="AB173">
        <f t="shared" si="14"/>
        <v>150</v>
      </c>
      <c r="AC173" t="s">
        <v>75</v>
      </c>
      <c r="AD173">
        <f t="shared" si="15"/>
        <v>1</v>
      </c>
      <c r="AE173">
        <f t="shared" si="16"/>
        <v>2</v>
      </c>
      <c r="AF173" t="e">
        <f t="shared" si="17"/>
        <v>#N/A</v>
      </c>
      <c r="AG173">
        <f t="shared" si="18"/>
        <v>4.5999999999999996</v>
      </c>
      <c r="AH173" t="e">
        <f t="shared" si="19"/>
        <v>#N/A</v>
      </c>
      <c r="AI173" t="e">
        <f t="shared" si="20"/>
        <v>#N/A</v>
      </c>
    </row>
    <row r="174" spans="1:35" x14ac:dyDescent="0.45">
      <c r="A174" t="s">
        <v>743</v>
      </c>
      <c r="B174">
        <v>35</v>
      </c>
      <c r="C174" t="s">
        <v>27</v>
      </c>
      <c r="D174" t="s">
        <v>28</v>
      </c>
      <c r="E174" t="s">
        <v>2614</v>
      </c>
      <c r="F174" t="s">
        <v>2614</v>
      </c>
      <c r="G174" t="s">
        <v>246</v>
      </c>
      <c r="H174" t="s">
        <v>71</v>
      </c>
      <c r="I174" t="s">
        <v>72</v>
      </c>
      <c r="J174" t="s">
        <v>744</v>
      </c>
      <c r="K174" t="s">
        <v>745</v>
      </c>
      <c r="L174" t="s">
        <v>92</v>
      </c>
      <c r="M174" t="s">
        <v>2625</v>
      </c>
      <c r="N174" t="s">
        <v>746</v>
      </c>
      <c r="O174" t="s">
        <v>92</v>
      </c>
      <c r="P174" t="s">
        <v>110</v>
      </c>
      <c r="Q174" t="s">
        <v>2614</v>
      </c>
      <c r="R174">
        <v>96</v>
      </c>
      <c r="S174">
        <v>0</v>
      </c>
      <c r="T174" t="s">
        <v>85</v>
      </c>
      <c r="U174" t="s">
        <v>57</v>
      </c>
      <c r="V174">
        <v>4.6500000000000004</v>
      </c>
      <c r="W174">
        <v>1.84</v>
      </c>
      <c r="X174">
        <v>6.6</v>
      </c>
      <c r="Y174">
        <v>17.399999999999999</v>
      </c>
      <c r="Z174">
        <v>15.5</v>
      </c>
      <c r="AA174">
        <f>VALUE(SUBSTITUTE(DACS19___Pfizer’s_Personalised_Medicine_in[[#This Row],[Dose]],"mg",""))</f>
        <v>50</v>
      </c>
      <c r="AB174">
        <f t="shared" si="14"/>
        <v>50</v>
      </c>
      <c r="AC174" t="s">
        <v>2614</v>
      </c>
      <c r="AD174">
        <f t="shared" si="15"/>
        <v>0</v>
      </c>
      <c r="AE174">
        <f t="shared" si="16"/>
        <v>1</v>
      </c>
      <c r="AF174" t="e">
        <f t="shared" si="17"/>
        <v>#N/A</v>
      </c>
      <c r="AG174">
        <f t="shared" si="18"/>
        <v>1.84</v>
      </c>
      <c r="AH174" t="e">
        <f t="shared" si="19"/>
        <v>#N/A</v>
      </c>
      <c r="AI174" t="e">
        <f t="shared" si="20"/>
        <v>#N/A</v>
      </c>
    </row>
    <row r="175" spans="1:35" x14ac:dyDescent="0.45">
      <c r="A175" t="s">
        <v>747</v>
      </c>
      <c r="B175">
        <v>34</v>
      </c>
      <c r="C175" t="s">
        <v>45</v>
      </c>
      <c r="D175" t="s">
        <v>45</v>
      </c>
      <c r="E175" t="s">
        <v>78</v>
      </c>
      <c r="F175" t="s">
        <v>2614</v>
      </c>
      <c r="G175" t="s">
        <v>70</v>
      </c>
      <c r="H175" t="s">
        <v>81</v>
      </c>
      <c r="I175" t="s">
        <v>72</v>
      </c>
      <c r="J175" t="s">
        <v>748</v>
      </c>
      <c r="K175" t="s">
        <v>749</v>
      </c>
      <c r="L175" t="s">
        <v>52</v>
      </c>
      <c r="M175" t="s">
        <v>129</v>
      </c>
      <c r="N175" t="s">
        <v>513</v>
      </c>
      <c r="O175" t="s">
        <v>52</v>
      </c>
      <c r="P175" t="s">
        <v>55</v>
      </c>
      <c r="Q175" t="s">
        <v>129</v>
      </c>
      <c r="R175">
        <v>83</v>
      </c>
      <c r="S175">
        <v>0</v>
      </c>
      <c r="T175" t="s">
        <v>85</v>
      </c>
      <c r="U175" t="s">
        <v>57</v>
      </c>
      <c r="V175">
        <v>1.53</v>
      </c>
      <c r="W175">
        <v>3.86</v>
      </c>
      <c r="X175">
        <v>9.1999999999999993</v>
      </c>
      <c r="Y175">
        <v>9.1999999999999993</v>
      </c>
      <c r="Z175">
        <v>7</v>
      </c>
      <c r="AA175">
        <f>VALUE(SUBSTITUTE(DACS19___Pfizer’s_Personalised_Medicine_in[[#This Row],[Dose]],"mg",""))</f>
        <v>100</v>
      </c>
      <c r="AB175">
        <f t="shared" si="14"/>
        <v>100</v>
      </c>
      <c r="AC175" t="s">
        <v>129</v>
      </c>
      <c r="AD175">
        <f t="shared" si="15"/>
        <v>4</v>
      </c>
      <c r="AE175">
        <f t="shared" si="16"/>
        <v>2</v>
      </c>
      <c r="AF175" t="e">
        <f t="shared" si="17"/>
        <v>#N/A</v>
      </c>
      <c r="AG175" t="e">
        <f t="shared" si="18"/>
        <v>#N/A</v>
      </c>
      <c r="AH175" t="e">
        <f t="shared" si="19"/>
        <v>#N/A</v>
      </c>
      <c r="AI175">
        <f t="shared" si="20"/>
        <v>3.86</v>
      </c>
    </row>
    <row r="176" spans="1:35" x14ac:dyDescent="0.45">
      <c r="A176" t="s">
        <v>750</v>
      </c>
      <c r="B176">
        <v>70</v>
      </c>
      <c r="C176" t="s">
        <v>27</v>
      </c>
      <c r="D176" t="s">
        <v>28</v>
      </c>
      <c r="E176" t="s">
        <v>2614</v>
      </c>
      <c r="F176" t="s">
        <v>2614</v>
      </c>
      <c r="G176" t="s">
        <v>89</v>
      </c>
      <c r="H176" t="s">
        <v>61</v>
      </c>
      <c r="I176" t="s">
        <v>72</v>
      </c>
      <c r="J176" t="s">
        <v>364</v>
      </c>
      <c r="K176" t="s">
        <v>365</v>
      </c>
      <c r="L176" t="s">
        <v>64</v>
      </c>
      <c r="M176" t="s">
        <v>2625</v>
      </c>
      <c r="N176" t="s">
        <v>571</v>
      </c>
      <c r="O176" t="s">
        <v>64</v>
      </c>
      <c r="P176" t="s">
        <v>39</v>
      </c>
      <c r="Q176" t="s">
        <v>129</v>
      </c>
      <c r="R176">
        <v>115</v>
      </c>
      <c r="S176">
        <v>1</v>
      </c>
      <c r="T176" t="s">
        <v>137</v>
      </c>
      <c r="U176" t="s">
        <v>57</v>
      </c>
      <c r="V176">
        <v>4.8899999999999997</v>
      </c>
      <c r="W176">
        <v>1.72</v>
      </c>
      <c r="X176">
        <v>8.6999999999999993</v>
      </c>
      <c r="Y176">
        <v>14.9</v>
      </c>
      <c r="Z176">
        <v>7.2</v>
      </c>
      <c r="AA176">
        <f>VALUE(SUBSTITUTE(DACS19___Pfizer’s_Personalised_Medicine_in[[#This Row],[Dose]],"mg",""))</f>
        <v>150</v>
      </c>
      <c r="AB176">
        <f t="shared" si="14"/>
        <v>150</v>
      </c>
      <c r="AC176" t="s">
        <v>129</v>
      </c>
      <c r="AD176">
        <f t="shared" si="15"/>
        <v>4</v>
      </c>
      <c r="AE176">
        <f t="shared" si="16"/>
        <v>3</v>
      </c>
      <c r="AF176">
        <f t="shared" si="17"/>
        <v>1.72</v>
      </c>
      <c r="AG176" t="e">
        <f t="shared" si="18"/>
        <v>#N/A</v>
      </c>
      <c r="AH176" t="e">
        <f t="shared" si="19"/>
        <v>#N/A</v>
      </c>
      <c r="AI176" t="e">
        <f t="shared" si="20"/>
        <v>#N/A</v>
      </c>
    </row>
    <row r="177" spans="1:35" x14ac:dyDescent="0.45">
      <c r="A177" t="s">
        <v>751</v>
      </c>
      <c r="B177">
        <v>21</v>
      </c>
      <c r="C177" t="s">
        <v>27</v>
      </c>
      <c r="D177" t="s">
        <v>106</v>
      </c>
      <c r="E177" t="s">
        <v>2614</v>
      </c>
      <c r="F177" t="s">
        <v>2614</v>
      </c>
      <c r="G177" t="s">
        <v>70</v>
      </c>
      <c r="H177" t="s">
        <v>81</v>
      </c>
      <c r="I177" t="s">
        <v>49</v>
      </c>
      <c r="J177" t="s">
        <v>752</v>
      </c>
      <c r="K177" t="s">
        <v>753</v>
      </c>
      <c r="L177" t="s">
        <v>36</v>
      </c>
      <c r="M177" t="s">
        <v>2617</v>
      </c>
      <c r="N177" t="s">
        <v>754</v>
      </c>
      <c r="O177" t="s">
        <v>36</v>
      </c>
      <c r="P177" t="s">
        <v>39</v>
      </c>
      <c r="Q177" t="s">
        <v>75</v>
      </c>
      <c r="R177">
        <v>106</v>
      </c>
      <c r="S177">
        <v>1</v>
      </c>
      <c r="T177" t="s">
        <v>85</v>
      </c>
      <c r="U177" t="s">
        <v>57</v>
      </c>
      <c r="V177">
        <v>4.4800000000000004</v>
      </c>
      <c r="W177">
        <v>2.78</v>
      </c>
      <c r="X177">
        <v>5.6</v>
      </c>
      <c r="Y177">
        <v>12.5</v>
      </c>
      <c r="Z177">
        <v>13.1</v>
      </c>
      <c r="AA177">
        <f>VALUE(SUBSTITUTE(DACS19___Pfizer’s_Personalised_Medicine_in[[#This Row],[Dose]],"mg",""))</f>
        <v>200</v>
      </c>
      <c r="AB177">
        <f t="shared" si="14"/>
        <v>200</v>
      </c>
      <c r="AC177" t="s">
        <v>75</v>
      </c>
      <c r="AD177">
        <f t="shared" si="15"/>
        <v>1</v>
      </c>
      <c r="AE177">
        <f t="shared" si="16"/>
        <v>3</v>
      </c>
      <c r="AF177" t="e">
        <f t="shared" si="17"/>
        <v>#N/A</v>
      </c>
      <c r="AG177" t="e">
        <f t="shared" si="18"/>
        <v>#N/A</v>
      </c>
      <c r="AH177" t="e">
        <f t="shared" si="19"/>
        <v>#N/A</v>
      </c>
      <c r="AI177">
        <f t="shared" si="20"/>
        <v>2.78</v>
      </c>
    </row>
    <row r="178" spans="1:35" x14ac:dyDescent="0.45">
      <c r="A178" t="s">
        <v>755</v>
      </c>
      <c r="B178">
        <v>20</v>
      </c>
      <c r="C178" t="s">
        <v>27</v>
      </c>
      <c r="D178" t="s">
        <v>45</v>
      </c>
      <c r="E178" t="s">
        <v>2614</v>
      </c>
      <c r="F178" t="s">
        <v>2614</v>
      </c>
      <c r="G178" t="s">
        <v>194</v>
      </c>
      <c r="H178" t="s">
        <v>61</v>
      </c>
      <c r="I178" t="s">
        <v>72</v>
      </c>
      <c r="J178" t="s">
        <v>140</v>
      </c>
      <c r="K178" t="s">
        <v>356</v>
      </c>
      <c r="L178" t="s">
        <v>52</v>
      </c>
      <c r="M178" t="s">
        <v>566</v>
      </c>
      <c r="N178" t="s">
        <v>528</v>
      </c>
      <c r="O178" t="s">
        <v>52</v>
      </c>
      <c r="P178" t="s">
        <v>39</v>
      </c>
      <c r="Q178" t="s">
        <v>2614</v>
      </c>
      <c r="R178">
        <v>110</v>
      </c>
      <c r="S178">
        <v>1</v>
      </c>
      <c r="T178" t="s">
        <v>123</v>
      </c>
      <c r="U178" t="s">
        <v>57</v>
      </c>
      <c r="V178">
        <v>1.65</v>
      </c>
      <c r="W178">
        <v>2.56</v>
      </c>
      <c r="X178">
        <v>9.6999999999999993</v>
      </c>
      <c r="Y178">
        <v>10.6</v>
      </c>
      <c r="Z178">
        <v>14.2</v>
      </c>
      <c r="AA178">
        <f>VALUE(SUBSTITUTE(DACS19___Pfizer’s_Personalised_Medicine_in[[#This Row],[Dose]],"mg",""))</f>
        <v>100</v>
      </c>
      <c r="AB178">
        <f t="shared" si="14"/>
        <v>100</v>
      </c>
      <c r="AC178" t="s">
        <v>2614</v>
      </c>
      <c r="AD178">
        <f t="shared" si="15"/>
        <v>0</v>
      </c>
      <c r="AE178">
        <f t="shared" si="16"/>
        <v>3</v>
      </c>
      <c r="AF178">
        <f t="shared" si="17"/>
        <v>2.56</v>
      </c>
      <c r="AG178" t="e">
        <f t="shared" si="18"/>
        <v>#N/A</v>
      </c>
      <c r="AH178" t="e">
        <f t="shared" si="19"/>
        <v>#N/A</v>
      </c>
      <c r="AI178" t="e">
        <f t="shared" si="20"/>
        <v>#N/A</v>
      </c>
    </row>
    <row r="179" spans="1:35" x14ac:dyDescent="0.45">
      <c r="A179" t="s">
        <v>756</v>
      </c>
      <c r="B179">
        <v>70</v>
      </c>
      <c r="C179" t="s">
        <v>27</v>
      </c>
      <c r="D179" t="s">
        <v>95</v>
      </c>
      <c r="E179" t="s">
        <v>46</v>
      </c>
      <c r="F179" t="s">
        <v>59</v>
      </c>
      <c r="G179" t="s">
        <v>89</v>
      </c>
      <c r="H179" t="s">
        <v>32</v>
      </c>
      <c r="I179" t="s">
        <v>72</v>
      </c>
      <c r="J179" t="s">
        <v>757</v>
      </c>
      <c r="K179" t="s">
        <v>758</v>
      </c>
      <c r="L179" t="s">
        <v>52</v>
      </c>
      <c r="M179" t="s">
        <v>40</v>
      </c>
      <c r="N179" t="s">
        <v>759</v>
      </c>
      <c r="O179" t="s">
        <v>52</v>
      </c>
      <c r="P179" t="s">
        <v>39</v>
      </c>
      <c r="Q179" t="s">
        <v>40</v>
      </c>
      <c r="R179">
        <v>158</v>
      </c>
      <c r="S179">
        <v>1</v>
      </c>
      <c r="T179" t="s">
        <v>41</v>
      </c>
      <c r="U179" t="s">
        <v>42</v>
      </c>
      <c r="V179">
        <v>2.2999999999999998</v>
      </c>
      <c r="W179">
        <v>4.09</v>
      </c>
      <c r="X179">
        <v>2.2000000000000002</v>
      </c>
      <c r="Y179">
        <v>23.5</v>
      </c>
      <c r="Z179">
        <v>10.7</v>
      </c>
      <c r="AA179">
        <f>VALUE(SUBSTITUTE(DACS19___Pfizer’s_Personalised_Medicine_in[[#This Row],[Dose]],"mg",""))</f>
        <v>100</v>
      </c>
      <c r="AB179">
        <f t="shared" si="14"/>
        <v>100</v>
      </c>
      <c r="AC179" t="s">
        <v>40</v>
      </c>
      <c r="AD179">
        <f t="shared" si="15"/>
        <v>3</v>
      </c>
      <c r="AE179">
        <f t="shared" si="16"/>
        <v>3</v>
      </c>
      <c r="AF179" t="e">
        <f t="shared" si="17"/>
        <v>#N/A</v>
      </c>
      <c r="AG179" t="e">
        <f t="shared" si="18"/>
        <v>#N/A</v>
      </c>
      <c r="AH179">
        <f t="shared" si="19"/>
        <v>4.09</v>
      </c>
      <c r="AI179" t="e">
        <f t="shared" si="20"/>
        <v>#N/A</v>
      </c>
    </row>
    <row r="180" spans="1:35" x14ac:dyDescent="0.45">
      <c r="A180" t="s">
        <v>760</v>
      </c>
      <c r="B180">
        <v>61</v>
      </c>
      <c r="C180" t="s">
        <v>44</v>
      </c>
      <c r="D180" t="s">
        <v>45</v>
      </c>
      <c r="E180" t="s">
        <v>2614</v>
      </c>
      <c r="F180" t="s">
        <v>2614</v>
      </c>
      <c r="G180" t="s">
        <v>96</v>
      </c>
      <c r="H180" t="s">
        <v>61</v>
      </c>
      <c r="I180" t="s">
        <v>72</v>
      </c>
      <c r="J180" t="s">
        <v>761</v>
      </c>
      <c r="K180" t="s">
        <v>762</v>
      </c>
      <c r="L180" t="s">
        <v>36</v>
      </c>
      <c r="M180" t="s">
        <v>581</v>
      </c>
      <c r="N180" t="s">
        <v>763</v>
      </c>
      <c r="O180" t="s">
        <v>36</v>
      </c>
      <c r="P180" t="s">
        <v>39</v>
      </c>
      <c r="Q180" t="s">
        <v>75</v>
      </c>
      <c r="R180">
        <v>52</v>
      </c>
      <c r="S180">
        <v>1</v>
      </c>
      <c r="T180" t="s">
        <v>137</v>
      </c>
      <c r="U180" t="s">
        <v>57</v>
      </c>
      <c r="V180">
        <v>1.94</v>
      </c>
      <c r="W180">
        <v>1.29</v>
      </c>
      <c r="X180">
        <v>2.5</v>
      </c>
      <c r="Y180">
        <v>15.4</v>
      </c>
      <c r="Z180">
        <v>8.6999999999999993</v>
      </c>
      <c r="AA180">
        <f>VALUE(SUBSTITUTE(DACS19___Pfizer’s_Personalised_Medicine_in[[#This Row],[Dose]],"mg",""))</f>
        <v>200</v>
      </c>
      <c r="AB180">
        <f t="shared" si="14"/>
        <v>200</v>
      </c>
      <c r="AC180" t="s">
        <v>75</v>
      </c>
      <c r="AD180">
        <f t="shared" si="15"/>
        <v>1</v>
      </c>
      <c r="AE180">
        <f t="shared" si="16"/>
        <v>3</v>
      </c>
      <c r="AF180">
        <f t="shared" si="17"/>
        <v>1.29</v>
      </c>
      <c r="AG180" t="e">
        <f t="shared" si="18"/>
        <v>#N/A</v>
      </c>
      <c r="AH180" t="e">
        <f t="shared" si="19"/>
        <v>#N/A</v>
      </c>
      <c r="AI180" t="e">
        <f t="shared" si="20"/>
        <v>#N/A</v>
      </c>
    </row>
    <row r="181" spans="1:35" x14ac:dyDescent="0.45">
      <c r="A181" t="s">
        <v>764</v>
      </c>
      <c r="B181">
        <v>23</v>
      </c>
      <c r="C181" t="s">
        <v>27</v>
      </c>
      <c r="D181" t="s">
        <v>45</v>
      </c>
      <c r="E181" t="s">
        <v>2614</v>
      </c>
      <c r="F181" t="s">
        <v>59</v>
      </c>
      <c r="G181" t="s">
        <v>89</v>
      </c>
      <c r="H181" t="s">
        <v>32</v>
      </c>
      <c r="I181" t="s">
        <v>72</v>
      </c>
      <c r="J181" t="s">
        <v>765</v>
      </c>
      <c r="K181" t="s">
        <v>649</v>
      </c>
      <c r="L181" t="s">
        <v>64</v>
      </c>
      <c r="M181" t="s">
        <v>2629</v>
      </c>
      <c r="N181" t="s">
        <v>116</v>
      </c>
      <c r="O181" t="s">
        <v>64</v>
      </c>
      <c r="P181" t="s">
        <v>39</v>
      </c>
      <c r="Q181" t="s">
        <v>2614</v>
      </c>
      <c r="R181">
        <v>59</v>
      </c>
      <c r="S181">
        <v>1</v>
      </c>
      <c r="T181" t="s">
        <v>123</v>
      </c>
      <c r="U181" t="s">
        <v>42</v>
      </c>
      <c r="V181">
        <v>4.32</v>
      </c>
      <c r="W181">
        <v>2.72</v>
      </c>
      <c r="X181">
        <v>3.2</v>
      </c>
      <c r="Y181">
        <v>17.100000000000001</v>
      </c>
      <c r="Z181">
        <v>15</v>
      </c>
      <c r="AA181">
        <f>VALUE(SUBSTITUTE(DACS19___Pfizer’s_Personalised_Medicine_in[[#This Row],[Dose]],"mg",""))</f>
        <v>150</v>
      </c>
      <c r="AB181">
        <f t="shared" si="14"/>
        <v>150</v>
      </c>
      <c r="AC181" t="s">
        <v>2614</v>
      </c>
      <c r="AD181">
        <f t="shared" si="15"/>
        <v>0</v>
      </c>
      <c r="AE181">
        <f t="shared" si="16"/>
        <v>3</v>
      </c>
      <c r="AF181" t="e">
        <f t="shared" si="17"/>
        <v>#N/A</v>
      </c>
      <c r="AG181" t="e">
        <f t="shared" si="18"/>
        <v>#N/A</v>
      </c>
      <c r="AH181">
        <f t="shared" si="19"/>
        <v>2.72</v>
      </c>
      <c r="AI181" t="e">
        <f t="shared" si="20"/>
        <v>#N/A</v>
      </c>
    </row>
    <row r="182" spans="1:35" x14ac:dyDescent="0.45">
      <c r="A182" t="s">
        <v>766</v>
      </c>
      <c r="B182">
        <v>44</v>
      </c>
      <c r="C182" t="s">
        <v>45</v>
      </c>
      <c r="D182" t="s">
        <v>28</v>
      </c>
      <c r="E182" t="s">
        <v>29</v>
      </c>
      <c r="F182" t="s">
        <v>79</v>
      </c>
      <c r="G182" t="s">
        <v>276</v>
      </c>
      <c r="H182" t="s">
        <v>71</v>
      </c>
      <c r="I182" t="s">
        <v>72</v>
      </c>
      <c r="J182" t="s">
        <v>767</v>
      </c>
      <c r="K182" t="s">
        <v>768</v>
      </c>
      <c r="L182" t="s">
        <v>36</v>
      </c>
      <c r="M182" t="s">
        <v>67</v>
      </c>
      <c r="N182" t="s">
        <v>769</v>
      </c>
      <c r="O182" t="s">
        <v>36</v>
      </c>
      <c r="P182" t="s">
        <v>55</v>
      </c>
      <c r="Q182" t="s">
        <v>129</v>
      </c>
      <c r="R182">
        <v>57</v>
      </c>
      <c r="S182">
        <v>0</v>
      </c>
      <c r="T182" t="s">
        <v>56</v>
      </c>
      <c r="U182" t="s">
        <v>42</v>
      </c>
      <c r="V182">
        <v>1.67</v>
      </c>
      <c r="W182">
        <v>1.67</v>
      </c>
      <c r="X182">
        <v>1.3</v>
      </c>
      <c r="Y182">
        <v>19.3</v>
      </c>
      <c r="Z182">
        <v>14.3</v>
      </c>
      <c r="AA182">
        <f>VALUE(SUBSTITUTE(DACS19___Pfizer’s_Personalised_Medicine_in[[#This Row],[Dose]],"mg",""))</f>
        <v>200</v>
      </c>
      <c r="AB182">
        <f t="shared" si="14"/>
        <v>200</v>
      </c>
      <c r="AC182" t="s">
        <v>129</v>
      </c>
      <c r="AD182">
        <f t="shared" si="15"/>
        <v>4</v>
      </c>
      <c r="AE182">
        <f t="shared" si="16"/>
        <v>2</v>
      </c>
      <c r="AF182" t="e">
        <f t="shared" si="17"/>
        <v>#N/A</v>
      </c>
      <c r="AG182">
        <f t="shared" si="18"/>
        <v>1.67</v>
      </c>
      <c r="AH182" t="e">
        <f t="shared" si="19"/>
        <v>#N/A</v>
      </c>
      <c r="AI182" t="e">
        <f t="shared" si="20"/>
        <v>#N/A</v>
      </c>
    </row>
    <row r="183" spans="1:35" x14ac:dyDescent="0.45">
      <c r="A183" t="s">
        <v>770</v>
      </c>
      <c r="B183">
        <v>29</v>
      </c>
      <c r="C183" t="s">
        <v>44</v>
      </c>
      <c r="D183" t="s">
        <v>95</v>
      </c>
      <c r="E183" t="s">
        <v>46</v>
      </c>
      <c r="F183" t="s">
        <v>2614</v>
      </c>
      <c r="G183" t="s">
        <v>80</v>
      </c>
      <c r="H183" t="s">
        <v>81</v>
      </c>
      <c r="I183" t="s">
        <v>132</v>
      </c>
      <c r="J183" t="s">
        <v>771</v>
      </c>
      <c r="K183" t="s">
        <v>772</v>
      </c>
      <c r="L183" t="s">
        <v>92</v>
      </c>
      <c r="M183" t="s">
        <v>155</v>
      </c>
      <c r="N183" t="s">
        <v>313</v>
      </c>
      <c r="O183" t="s">
        <v>92</v>
      </c>
      <c r="P183" t="s">
        <v>110</v>
      </c>
      <c r="Q183" t="s">
        <v>40</v>
      </c>
      <c r="R183">
        <v>54</v>
      </c>
      <c r="S183">
        <v>0</v>
      </c>
      <c r="T183" t="s">
        <v>56</v>
      </c>
      <c r="U183" t="s">
        <v>57</v>
      </c>
      <c r="V183">
        <v>2.9</v>
      </c>
      <c r="W183">
        <v>4.38</v>
      </c>
      <c r="X183">
        <v>8.3000000000000007</v>
      </c>
      <c r="Y183">
        <v>16.5</v>
      </c>
      <c r="Z183">
        <v>17.8</v>
      </c>
      <c r="AA183">
        <f>VALUE(SUBSTITUTE(DACS19___Pfizer’s_Personalised_Medicine_in[[#This Row],[Dose]],"mg",""))</f>
        <v>50</v>
      </c>
      <c r="AB183">
        <f t="shared" si="14"/>
        <v>50</v>
      </c>
      <c r="AC183" t="s">
        <v>40</v>
      </c>
      <c r="AD183">
        <f t="shared" si="15"/>
        <v>3</v>
      </c>
      <c r="AE183">
        <f t="shared" si="16"/>
        <v>1</v>
      </c>
      <c r="AF183" t="e">
        <f t="shared" si="17"/>
        <v>#N/A</v>
      </c>
      <c r="AG183" t="e">
        <f t="shared" si="18"/>
        <v>#N/A</v>
      </c>
      <c r="AH183" t="e">
        <f t="shared" si="19"/>
        <v>#N/A</v>
      </c>
      <c r="AI183">
        <f t="shared" si="20"/>
        <v>4.38</v>
      </c>
    </row>
    <row r="184" spans="1:35" x14ac:dyDescent="0.45">
      <c r="A184" t="s">
        <v>773</v>
      </c>
      <c r="B184">
        <v>77</v>
      </c>
      <c r="C184" t="s">
        <v>44</v>
      </c>
      <c r="D184" t="s">
        <v>106</v>
      </c>
      <c r="E184" t="s">
        <v>46</v>
      </c>
      <c r="F184" t="s">
        <v>69</v>
      </c>
      <c r="G184" t="s">
        <v>184</v>
      </c>
      <c r="H184" t="s">
        <v>32</v>
      </c>
      <c r="I184" t="s">
        <v>33</v>
      </c>
      <c r="J184" t="s">
        <v>774</v>
      </c>
      <c r="K184" t="s">
        <v>775</v>
      </c>
      <c r="L184" t="s">
        <v>64</v>
      </c>
      <c r="M184" t="s">
        <v>187</v>
      </c>
      <c r="N184" t="s">
        <v>776</v>
      </c>
      <c r="O184" t="s">
        <v>64</v>
      </c>
      <c r="P184" t="s">
        <v>55</v>
      </c>
      <c r="Q184" t="s">
        <v>129</v>
      </c>
      <c r="R184">
        <v>119</v>
      </c>
      <c r="S184">
        <v>0</v>
      </c>
      <c r="T184" t="s">
        <v>56</v>
      </c>
      <c r="U184" t="s">
        <v>57</v>
      </c>
      <c r="V184">
        <v>1.82</v>
      </c>
      <c r="W184">
        <v>1.45</v>
      </c>
      <c r="X184">
        <v>3.4</v>
      </c>
      <c r="Y184">
        <v>7</v>
      </c>
      <c r="Z184">
        <v>12</v>
      </c>
      <c r="AA184">
        <f>VALUE(SUBSTITUTE(DACS19___Pfizer’s_Personalised_Medicine_in[[#This Row],[Dose]],"mg",""))</f>
        <v>150</v>
      </c>
      <c r="AB184">
        <f t="shared" si="14"/>
        <v>150</v>
      </c>
      <c r="AC184" t="s">
        <v>129</v>
      </c>
      <c r="AD184">
        <f t="shared" si="15"/>
        <v>4</v>
      </c>
      <c r="AE184">
        <f t="shared" si="16"/>
        <v>2</v>
      </c>
      <c r="AF184" t="e">
        <f t="shared" si="17"/>
        <v>#N/A</v>
      </c>
      <c r="AG184" t="e">
        <f t="shared" si="18"/>
        <v>#N/A</v>
      </c>
      <c r="AH184">
        <f t="shared" si="19"/>
        <v>1.45</v>
      </c>
      <c r="AI184" t="e">
        <f t="shared" si="20"/>
        <v>#N/A</v>
      </c>
    </row>
    <row r="185" spans="1:35" x14ac:dyDescent="0.45">
      <c r="A185" t="s">
        <v>777</v>
      </c>
      <c r="B185">
        <v>39</v>
      </c>
      <c r="C185" t="s">
        <v>44</v>
      </c>
      <c r="D185" t="s">
        <v>28</v>
      </c>
      <c r="E185" t="s">
        <v>29</v>
      </c>
      <c r="F185" t="s">
        <v>2614</v>
      </c>
      <c r="G185" t="s">
        <v>246</v>
      </c>
      <c r="H185" t="s">
        <v>61</v>
      </c>
      <c r="I185" t="s">
        <v>33</v>
      </c>
      <c r="J185" t="s">
        <v>778</v>
      </c>
      <c r="K185" t="s">
        <v>779</v>
      </c>
      <c r="L185" t="s">
        <v>92</v>
      </c>
      <c r="M185" t="s">
        <v>378</v>
      </c>
      <c r="N185" t="s">
        <v>780</v>
      </c>
      <c r="O185" t="s">
        <v>92</v>
      </c>
      <c r="P185" t="s">
        <v>110</v>
      </c>
      <c r="Q185" t="s">
        <v>40</v>
      </c>
      <c r="R185">
        <v>91</v>
      </c>
      <c r="S185">
        <v>0</v>
      </c>
      <c r="T185" t="s">
        <v>85</v>
      </c>
      <c r="U185" t="s">
        <v>42</v>
      </c>
      <c r="V185">
        <v>4.75</v>
      </c>
      <c r="W185">
        <v>1.1599999999999999</v>
      </c>
      <c r="X185">
        <v>2.1</v>
      </c>
      <c r="Y185">
        <v>14.1</v>
      </c>
      <c r="Z185">
        <v>18.899999999999999</v>
      </c>
      <c r="AA185">
        <f>VALUE(SUBSTITUTE(DACS19___Pfizer’s_Personalised_Medicine_in[[#This Row],[Dose]],"mg",""))</f>
        <v>50</v>
      </c>
      <c r="AB185">
        <f t="shared" si="14"/>
        <v>50</v>
      </c>
      <c r="AC185" t="s">
        <v>40</v>
      </c>
      <c r="AD185">
        <f t="shared" si="15"/>
        <v>3</v>
      </c>
      <c r="AE185">
        <f t="shared" si="16"/>
        <v>1</v>
      </c>
      <c r="AF185">
        <f t="shared" si="17"/>
        <v>1.1599999999999999</v>
      </c>
      <c r="AG185" t="e">
        <f t="shared" si="18"/>
        <v>#N/A</v>
      </c>
      <c r="AH185" t="e">
        <f t="shared" si="19"/>
        <v>#N/A</v>
      </c>
      <c r="AI185" t="e">
        <f t="shared" si="20"/>
        <v>#N/A</v>
      </c>
    </row>
    <row r="186" spans="1:35" x14ac:dyDescent="0.45">
      <c r="A186" t="s">
        <v>781</v>
      </c>
      <c r="B186">
        <v>38</v>
      </c>
      <c r="C186" t="s">
        <v>44</v>
      </c>
      <c r="D186" t="s">
        <v>95</v>
      </c>
      <c r="E186" t="s">
        <v>163</v>
      </c>
      <c r="F186" t="s">
        <v>69</v>
      </c>
      <c r="G186" t="s">
        <v>48</v>
      </c>
      <c r="H186" t="s">
        <v>81</v>
      </c>
      <c r="I186" t="s">
        <v>132</v>
      </c>
      <c r="J186" t="s">
        <v>782</v>
      </c>
      <c r="K186" t="s">
        <v>783</v>
      </c>
      <c r="L186" t="s">
        <v>92</v>
      </c>
      <c r="M186" t="s">
        <v>566</v>
      </c>
      <c r="N186" t="s">
        <v>784</v>
      </c>
      <c r="O186" t="s">
        <v>92</v>
      </c>
      <c r="P186" t="s">
        <v>110</v>
      </c>
      <c r="Q186" t="s">
        <v>40</v>
      </c>
      <c r="R186">
        <v>113</v>
      </c>
      <c r="S186">
        <v>0</v>
      </c>
      <c r="T186" t="s">
        <v>85</v>
      </c>
      <c r="U186" t="s">
        <v>42</v>
      </c>
      <c r="V186">
        <v>2.2599999999999998</v>
      </c>
      <c r="W186">
        <v>3.03</v>
      </c>
      <c r="X186">
        <v>1.4</v>
      </c>
      <c r="Y186">
        <v>8.6999999999999993</v>
      </c>
      <c r="Z186">
        <v>19.8</v>
      </c>
      <c r="AA186">
        <f>VALUE(SUBSTITUTE(DACS19___Pfizer’s_Personalised_Medicine_in[[#This Row],[Dose]],"mg",""))</f>
        <v>50</v>
      </c>
      <c r="AB186">
        <f t="shared" si="14"/>
        <v>50</v>
      </c>
      <c r="AC186" t="s">
        <v>40</v>
      </c>
      <c r="AD186">
        <f t="shared" si="15"/>
        <v>3</v>
      </c>
      <c r="AE186">
        <f t="shared" si="16"/>
        <v>1</v>
      </c>
      <c r="AF186" t="e">
        <f t="shared" si="17"/>
        <v>#N/A</v>
      </c>
      <c r="AG186" t="e">
        <f t="shared" si="18"/>
        <v>#N/A</v>
      </c>
      <c r="AH186" t="e">
        <f t="shared" si="19"/>
        <v>#N/A</v>
      </c>
      <c r="AI186">
        <f t="shared" si="20"/>
        <v>3.03</v>
      </c>
    </row>
    <row r="187" spans="1:35" x14ac:dyDescent="0.45">
      <c r="A187" t="s">
        <v>785</v>
      </c>
      <c r="B187">
        <v>74</v>
      </c>
      <c r="C187" t="s">
        <v>27</v>
      </c>
      <c r="D187" t="s">
        <v>28</v>
      </c>
      <c r="E187" t="s">
        <v>78</v>
      </c>
      <c r="F187" t="s">
        <v>88</v>
      </c>
      <c r="G187" t="s">
        <v>152</v>
      </c>
      <c r="H187" t="s">
        <v>81</v>
      </c>
      <c r="I187" t="s">
        <v>132</v>
      </c>
      <c r="J187" t="s">
        <v>786</v>
      </c>
      <c r="K187" t="s">
        <v>787</v>
      </c>
      <c r="L187" t="s">
        <v>92</v>
      </c>
      <c r="M187" t="s">
        <v>67</v>
      </c>
      <c r="N187" t="s">
        <v>788</v>
      </c>
      <c r="O187" t="s">
        <v>92</v>
      </c>
      <c r="P187" t="s">
        <v>110</v>
      </c>
      <c r="Q187" t="s">
        <v>129</v>
      </c>
      <c r="R187">
        <v>67</v>
      </c>
      <c r="S187">
        <v>0</v>
      </c>
      <c r="T187" t="s">
        <v>41</v>
      </c>
      <c r="U187" t="s">
        <v>57</v>
      </c>
      <c r="V187">
        <v>4.8600000000000003</v>
      </c>
      <c r="W187">
        <v>1.02</v>
      </c>
      <c r="X187">
        <v>9.6</v>
      </c>
      <c r="Y187">
        <v>17.5</v>
      </c>
      <c r="Z187">
        <v>17.8</v>
      </c>
      <c r="AA187">
        <f>VALUE(SUBSTITUTE(DACS19___Pfizer’s_Personalised_Medicine_in[[#This Row],[Dose]],"mg",""))</f>
        <v>50</v>
      </c>
      <c r="AB187">
        <f t="shared" si="14"/>
        <v>50</v>
      </c>
      <c r="AC187" t="s">
        <v>129</v>
      </c>
      <c r="AD187">
        <f t="shared" si="15"/>
        <v>4</v>
      </c>
      <c r="AE187">
        <f t="shared" si="16"/>
        <v>1</v>
      </c>
      <c r="AF187" t="e">
        <f t="shared" si="17"/>
        <v>#N/A</v>
      </c>
      <c r="AG187" t="e">
        <f t="shared" si="18"/>
        <v>#N/A</v>
      </c>
      <c r="AH187" t="e">
        <f t="shared" si="19"/>
        <v>#N/A</v>
      </c>
      <c r="AI187">
        <f t="shared" si="20"/>
        <v>1.02</v>
      </c>
    </row>
    <row r="188" spans="1:35" x14ac:dyDescent="0.45">
      <c r="A188" t="s">
        <v>789</v>
      </c>
      <c r="B188">
        <v>55</v>
      </c>
      <c r="C188" t="s">
        <v>44</v>
      </c>
      <c r="D188" t="s">
        <v>45</v>
      </c>
      <c r="E188" t="s">
        <v>29</v>
      </c>
      <c r="F188" t="s">
        <v>79</v>
      </c>
      <c r="G188" t="s">
        <v>31</v>
      </c>
      <c r="H188" t="s">
        <v>32</v>
      </c>
      <c r="I188" t="s">
        <v>132</v>
      </c>
      <c r="J188" t="s">
        <v>790</v>
      </c>
      <c r="K188" t="s">
        <v>569</v>
      </c>
      <c r="L188" t="s">
        <v>92</v>
      </c>
      <c r="M188" t="s">
        <v>566</v>
      </c>
      <c r="N188" t="s">
        <v>491</v>
      </c>
      <c r="O188" t="s">
        <v>92</v>
      </c>
      <c r="P188" t="s">
        <v>39</v>
      </c>
      <c r="Q188" t="s">
        <v>2614</v>
      </c>
      <c r="R188">
        <v>170</v>
      </c>
      <c r="S188">
        <v>1</v>
      </c>
      <c r="T188" t="s">
        <v>123</v>
      </c>
      <c r="U188" t="s">
        <v>42</v>
      </c>
      <c r="V188">
        <v>2.82</v>
      </c>
      <c r="W188">
        <v>3.06</v>
      </c>
      <c r="X188">
        <v>5.4</v>
      </c>
      <c r="Y188">
        <v>18</v>
      </c>
      <c r="Z188">
        <v>5.4</v>
      </c>
      <c r="AA188">
        <f>VALUE(SUBSTITUTE(DACS19___Pfizer’s_Personalised_Medicine_in[[#This Row],[Dose]],"mg",""))</f>
        <v>50</v>
      </c>
      <c r="AB188">
        <f t="shared" si="14"/>
        <v>50</v>
      </c>
      <c r="AC188" t="s">
        <v>2614</v>
      </c>
      <c r="AD188">
        <f t="shared" si="15"/>
        <v>0</v>
      </c>
      <c r="AE188">
        <f t="shared" si="16"/>
        <v>3</v>
      </c>
      <c r="AF188" t="e">
        <f t="shared" si="17"/>
        <v>#N/A</v>
      </c>
      <c r="AG188" t="e">
        <f t="shared" si="18"/>
        <v>#N/A</v>
      </c>
      <c r="AH188">
        <f t="shared" si="19"/>
        <v>3.06</v>
      </c>
      <c r="AI188" t="e">
        <f t="shared" si="20"/>
        <v>#N/A</v>
      </c>
    </row>
    <row r="189" spans="1:35" x14ac:dyDescent="0.45">
      <c r="A189" t="s">
        <v>791</v>
      </c>
      <c r="B189">
        <v>63</v>
      </c>
      <c r="C189" t="s">
        <v>27</v>
      </c>
      <c r="D189" t="s">
        <v>28</v>
      </c>
      <c r="E189" t="s">
        <v>163</v>
      </c>
      <c r="F189" t="s">
        <v>69</v>
      </c>
      <c r="G189" t="s">
        <v>131</v>
      </c>
      <c r="H189" t="s">
        <v>32</v>
      </c>
      <c r="I189" t="s">
        <v>33</v>
      </c>
      <c r="J189" t="s">
        <v>792</v>
      </c>
      <c r="K189" t="s">
        <v>793</v>
      </c>
      <c r="L189" t="s">
        <v>52</v>
      </c>
      <c r="M189" t="s">
        <v>266</v>
      </c>
      <c r="N189" t="s">
        <v>128</v>
      </c>
      <c r="O189" t="s">
        <v>52</v>
      </c>
      <c r="P189" t="s">
        <v>110</v>
      </c>
      <c r="Q189" t="s">
        <v>40</v>
      </c>
      <c r="R189">
        <v>122</v>
      </c>
      <c r="S189">
        <v>0</v>
      </c>
      <c r="T189" t="s">
        <v>56</v>
      </c>
      <c r="U189" t="s">
        <v>42</v>
      </c>
      <c r="V189">
        <v>1.1200000000000001</v>
      </c>
      <c r="W189">
        <v>2.23</v>
      </c>
      <c r="X189">
        <v>7.3</v>
      </c>
      <c r="Y189">
        <v>9.6</v>
      </c>
      <c r="Z189">
        <v>14.4</v>
      </c>
      <c r="AA189">
        <f>VALUE(SUBSTITUTE(DACS19___Pfizer’s_Personalised_Medicine_in[[#This Row],[Dose]],"mg",""))</f>
        <v>100</v>
      </c>
      <c r="AB189">
        <f t="shared" si="14"/>
        <v>100</v>
      </c>
      <c r="AC189" t="s">
        <v>40</v>
      </c>
      <c r="AD189">
        <f t="shared" si="15"/>
        <v>3</v>
      </c>
      <c r="AE189">
        <f t="shared" si="16"/>
        <v>1</v>
      </c>
      <c r="AF189" t="e">
        <f t="shared" si="17"/>
        <v>#N/A</v>
      </c>
      <c r="AG189" t="e">
        <f t="shared" si="18"/>
        <v>#N/A</v>
      </c>
      <c r="AH189">
        <f t="shared" si="19"/>
        <v>2.23</v>
      </c>
      <c r="AI189" t="e">
        <f t="shared" si="20"/>
        <v>#N/A</v>
      </c>
    </row>
    <row r="190" spans="1:35" x14ac:dyDescent="0.45">
      <c r="A190" t="s">
        <v>794</v>
      </c>
      <c r="B190">
        <v>54</v>
      </c>
      <c r="C190" t="s">
        <v>45</v>
      </c>
      <c r="D190" t="s">
        <v>106</v>
      </c>
      <c r="E190" t="s">
        <v>46</v>
      </c>
      <c r="F190" t="s">
        <v>88</v>
      </c>
      <c r="G190" t="s">
        <v>96</v>
      </c>
      <c r="H190" t="s">
        <v>81</v>
      </c>
      <c r="I190" t="s">
        <v>33</v>
      </c>
      <c r="J190" t="s">
        <v>795</v>
      </c>
      <c r="K190" t="s">
        <v>796</v>
      </c>
      <c r="L190" t="s">
        <v>36</v>
      </c>
      <c r="M190" t="s">
        <v>378</v>
      </c>
      <c r="N190" t="s">
        <v>797</v>
      </c>
      <c r="O190" t="s">
        <v>36</v>
      </c>
      <c r="P190" t="s">
        <v>39</v>
      </c>
      <c r="Q190" t="s">
        <v>40</v>
      </c>
      <c r="R190">
        <v>160</v>
      </c>
      <c r="S190">
        <v>1</v>
      </c>
      <c r="T190" t="s">
        <v>56</v>
      </c>
      <c r="U190" t="s">
        <v>57</v>
      </c>
      <c r="V190">
        <v>4.88</v>
      </c>
      <c r="W190">
        <v>1.38</v>
      </c>
      <c r="X190">
        <v>7.1</v>
      </c>
      <c r="Y190">
        <v>14</v>
      </c>
      <c r="Z190">
        <v>17.8</v>
      </c>
      <c r="AA190">
        <f>VALUE(SUBSTITUTE(DACS19___Pfizer’s_Personalised_Medicine_in[[#This Row],[Dose]],"mg",""))</f>
        <v>200</v>
      </c>
      <c r="AB190">
        <f t="shared" si="14"/>
        <v>200</v>
      </c>
      <c r="AC190" t="s">
        <v>40</v>
      </c>
      <c r="AD190">
        <f t="shared" si="15"/>
        <v>3</v>
      </c>
      <c r="AE190">
        <f t="shared" si="16"/>
        <v>3</v>
      </c>
      <c r="AF190" t="e">
        <f t="shared" si="17"/>
        <v>#N/A</v>
      </c>
      <c r="AG190" t="e">
        <f t="shared" si="18"/>
        <v>#N/A</v>
      </c>
      <c r="AH190" t="e">
        <f t="shared" si="19"/>
        <v>#N/A</v>
      </c>
      <c r="AI190">
        <f t="shared" si="20"/>
        <v>1.38</v>
      </c>
    </row>
    <row r="191" spans="1:35" x14ac:dyDescent="0.45">
      <c r="A191" t="s">
        <v>798</v>
      </c>
      <c r="B191">
        <v>67</v>
      </c>
      <c r="C191" t="s">
        <v>44</v>
      </c>
      <c r="D191" t="s">
        <v>106</v>
      </c>
      <c r="E191" t="s">
        <v>46</v>
      </c>
      <c r="F191" t="s">
        <v>88</v>
      </c>
      <c r="G191" t="s">
        <v>80</v>
      </c>
      <c r="H191" t="s">
        <v>81</v>
      </c>
      <c r="I191" t="s">
        <v>72</v>
      </c>
      <c r="J191" t="s">
        <v>642</v>
      </c>
      <c r="K191" t="s">
        <v>243</v>
      </c>
      <c r="L191" t="s">
        <v>64</v>
      </c>
      <c r="M191" t="s">
        <v>129</v>
      </c>
      <c r="N191" t="s">
        <v>799</v>
      </c>
      <c r="O191" t="s">
        <v>64</v>
      </c>
      <c r="P191" t="s">
        <v>55</v>
      </c>
      <c r="Q191" t="s">
        <v>2614</v>
      </c>
      <c r="R191">
        <v>58</v>
      </c>
      <c r="S191">
        <v>0</v>
      </c>
      <c r="T191" t="s">
        <v>85</v>
      </c>
      <c r="U191" t="s">
        <v>57</v>
      </c>
      <c r="V191">
        <v>1.71</v>
      </c>
      <c r="W191">
        <v>3.77</v>
      </c>
      <c r="X191">
        <v>8.5</v>
      </c>
      <c r="Y191">
        <v>23</v>
      </c>
      <c r="Z191">
        <v>14.6</v>
      </c>
      <c r="AA191">
        <f>VALUE(SUBSTITUTE(DACS19___Pfizer’s_Personalised_Medicine_in[[#This Row],[Dose]],"mg",""))</f>
        <v>150</v>
      </c>
      <c r="AB191">
        <f t="shared" si="14"/>
        <v>150</v>
      </c>
      <c r="AC191" t="s">
        <v>2614</v>
      </c>
      <c r="AD191">
        <f t="shared" si="15"/>
        <v>0</v>
      </c>
      <c r="AE191">
        <f t="shared" si="16"/>
        <v>2</v>
      </c>
      <c r="AF191" t="e">
        <f t="shared" si="17"/>
        <v>#N/A</v>
      </c>
      <c r="AG191" t="e">
        <f t="shared" si="18"/>
        <v>#N/A</v>
      </c>
      <c r="AH191" t="e">
        <f t="shared" si="19"/>
        <v>#N/A</v>
      </c>
      <c r="AI191">
        <f t="shared" si="20"/>
        <v>3.77</v>
      </c>
    </row>
    <row r="192" spans="1:35" x14ac:dyDescent="0.45">
      <c r="A192" t="s">
        <v>800</v>
      </c>
      <c r="B192">
        <v>28</v>
      </c>
      <c r="C192" t="s">
        <v>27</v>
      </c>
      <c r="D192" t="s">
        <v>45</v>
      </c>
      <c r="E192" t="s">
        <v>2614</v>
      </c>
      <c r="F192" t="s">
        <v>88</v>
      </c>
      <c r="G192" t="s">
        <v>246</v>
      </c>
      <c r="H192" t="s">
        <v>61</v>
      </c>
      <c r="I192" t="s">
        <v>72</v>
      </c>
      <c r="J192" t="s">
        <v>801</v>
      </c>
      <c r="K192" t="s">
        <v>802</v>
      </c>
      <c r="L192" t="s">
        <v>92</v>
      </c>
      <c r="M192" t="s">
        <v>2640</v>
      </c>
      <c r="N192" t="s">
        <v>804</v>
      </c>
      <c r="O192" t="s">
        <v>92</v>
      </c>
      <c r="P192" t="s">
        <v>55</v>
      </c>
      <c r="Q192" t="s">
        <v>75</v>
      </c>
      <c r="R192">
        <v>32</v>
      </c>
      <c r="S192">
        <v>0</v>
      </c>
      <c r="T192" t="s">
        <v>56</v>
      </c>
      <c r="U192" t="s">
        <v>57</v>
      </c>
      <c r="V192">
        <v>2.99</v>
      </c>
      <c r="W192">
        <v>3.47</v>
      </c>
      <c r="X192">
        <v>8.8000000000000007</v>
      </c>
      <c r="Y192">
        <v>16.3</v>
      </c>
      <c r="Z192">
        <v>3.5</v>
      </c>
      <c r="AA192">
        <f>VALUE(SUBSTITUTE(DACS19___Pfizer’s_Personalised_Medicine_in[[#This Row],[Dose]],"mg",""))</f>
        <v>50</v>
      </c>
      <c r="AB192">
        <f t="shared" si="14"/>
        <v>50</v>
      </c>
      <c r="AC192" t="s">
        <v>75</v>
      </c>
      <c r="AD192">
        <f t="shared" si="15"/>
        <v>1</v>
      </c>
      <c r="AE192">
        <f t="shared" si="16"/>
        <v>2</v>
      </c>
      <c r="AF192">
        <f t="shared" si="17"/>
        <v>3.47</v>
      </c>
      <c r="AG192" t="e">
        <f t="shared" si="18"/>
        <v>#N/A</v>
      </c>
      <c r="AH192" t="e">
        <f t="shared" si="19"/>
        <v>#N/A</v>
      </c>
      <c r="AI192" t="e">
        <f t="shared" si="20"/>
        <v>#N/A</v>
      </c>
    </row>
    <row r="193" spans="1:35" x14ac:dyDescent="0.45">
      <c r="A193" t="s">
        <v>805</v>
      </c>
      <c r="B193">
        <v>83</v>
      </c>
      <c r="C193" t="s">
        <v>44</v>
      </c>
      <c r="D193" t="s">
        <v>45</v>
      </c>
      <c r="E193" t="s">
        <v>2614</v>
      </c>
      <c r="F193" t="s">
        <v>59</v>
      </c>
      <c r="G193" t="s">
        <v>276</v>
      </c>
      <c r="H193" t="s">
        <v>71</v>
      </c>
      <c r="I193" t="s">
        <v>49</v>
      </c>
      <c r="J193" t="s">
        <v>498</v>
      </c>
      <c r="K193" t="s">
        <v>499</v>
      </c>
      <c r="L193" t="s">
        <v>64</v>
      </c>
      <c r="M193" t="s">
        <v>40</v>
      </c>
      <c r="N193" t="s">
        <v>788</v>
      </c>
      <c r="O193" t="s">
        <v>64</v>
      </c>
      <c r="P193" t="s">
        <v>39</v>
      </c>
      <c r="Q193" t="s">
        <v>75</v>
      </c>
      <c r="R193">
        <v>43</v>
      </c>
      <c r="S193">
        <v>1</v>
      </c>
      <c r="T193" t="s">
        <v>137</v>
      </c>
      <c r="U193" t="s">
        <v>42</v>
      </c>
      <c r="V193">
        <v>4.72</v>
      </c>
      <c r="W193">
        <v>3.76</v>
      </c>
      <c r="X193">
        <v>7.1</v>
      </c>
      <c r="Y193">
        <v>9.9</v>
      </c>
      <c r="Z193">
        <v>14.2</v>
      </c>
      <c r="AA193">
        <f>VALUE(SUBSTITUTE(DACS19___Pfizer’s_Personalised_Medicine_in[[#This Row],[Dose]],"mg",""))</f>
        <v>150</v>
      </c>
      <c r="AB193">
        <f t="shared" si="14"/>
        <v>150</v>
      </c>
      <c r="AC193" t="s">
        <v>75</v>
      </c>
      <c r="AD193">
        <f t="shared" si="15"/>
        <v>1</v>
      </c>
      <c r="AE193">
        <f t="shared" si="16"/>
        <v>3</v>
      </c>
      <c r="AF193" t="e">
        <f t="shared" si="17"/>
        <v>#N/A</v>
      </c>
      <c r="AG193">
        <f t="shared" si="18"/>
        <v>3.76</v>
      </c>
      <c r="AH193" t="e">
        <f t="shared" si="19"/>
        <v>#N/A</v>
      </c>
      <c r="AI193" t="e">
        <f t="shared" si="20"/>
        <v>#N/A</v>
      </c>
    </row>
    <row r="194" spans="1:35" x14ac:dyDescent="0.45">
      <c r="A194" t="s">
        <v>806</v>
      </c>
      <c r="B194">
        <v>54</v>
      </c>
      <c r="C194" t="s">
        <v>44</v>
      </c>
      <c r="D194" t="s">
        <v>87</v>
      </c>
      <c r="E194" t="s">
        <v>46</v>
      </c>
      <c r="F194" t="s">
        <v>2614</v>
      </c>
      <c r="G194" t="s">
        <v>184</v>
      </c>
      <c r="H194" t="s">
        <v>32</v>
      </c>
      <c r="I194" t="s">
        <v>72</v>
      </c>
      <c r="J194" t="s">
        <v>248</v>
      </c>
      <c r="K194" t="s">
        <v>462</v>
      </c>
      <c r="L194" t="s">
        <v>92</v>
      </c>
      <c r="M194" t="s">
        <v>2641</v>
      </c>
      <c r="N194" t="s">
        <v>808</v>
      </c>
      <c r="O194" t="s">
        <v>92</v>
      </c>
      <c r="P194" t="s">
        <v>39</v>
      </c>
      <c r="Q194" t="s">
        <v>40</v>
      </c>
      <c r="R194">
        <v>124</v>
      </c>
      <c r="S194">
        <v>1</v>
      </c>
      <c r="T194" t="s">
        <v>41</v>
      </c>
      <c r="U194" t="s">
        <v>57</v>
      </c>
      <c r="V194">
        <v>2.58</v>
      </c>
      <c r="W194">
        <v>3.6</v>
      </c>
      <c r="X194">
        <v>2</v>
      </c>
      <c r="Y194">
        <v>17.8</v>
      </c>
      <c r="Z194">
        <v>20</v>
      </c>
      <c r="AA194">
        <f>VALUE(SUBSTITUTE(DACS19___Pfizer’s_Personalised_Medicine_in[[#This Row],[Dose]],"mg",""))</f>
        <v>50</v>
      </c>
      <c r="AB194">
        <f t="shared" ref="AB194:AB257" si="21">VALUE(SUBSTITUTE(O194,"mg",""))</f>
        <v>50</v>
      </c>
      <c r="AC194" t="s">
        <v>40</v>
      </c>
      <c r="AD194">
        <f t="shared" ref="AD194:AD257" si="22">IF(Q194="","",IF(Q194="Dizziness",1,IF(Q194="Fatigue",2,IF(Q194="Headache",3,IF(Q194="Nausea",4,IF(Q194="Not Reported",0,""))))))</f>
        <v>3</v>
      </c>
      <c r="AE194">
        <f t="shared" ref="AE194:AE257" si="23">IF(P194="Deteriorated",1,IF(P194="No Change",2,IF(P194="Improved",3,0)))</f>
        <v>3</v>
      </c>
      <c r="AF194" t="e">
        <f t="shared" ref="AF194:AF257" si="24">IF($H194="DrugA",$W194,NA())</f>
        <v>#N/A</v>
      </c>
      <c r="AG194" t="e">
        <f t="shared" ref="AG194:AG257" si="25">IF($H194="DrugB",$W194,NA())</f>
        <v>#N/A</v>
      </c>
      <c r="AH194">
        <f t="shared" ref="AH194:AH257" si="26">IF($H194="DrugC",$W194,NA())</f>
        <v>3.6</v>
      </c>
      <c r="AI194" t="e">
        <f t="shared" ref="AI194:AI257" si="27">IF($H194="DrugD",$W194,NA())</f>
        <v>#N/A</v>
      </c>
    </row>
    <row r="195" spans="1:35" x14ac:dyDescent="0.45">
      <c r="A195" t="s">
        <v>809</v>
      </c>
      <c r="B195">
        <v>48</v>
      </c>
      <c r="C195" t="s">
        <v>44</v>
      </c>
      <c r="D195" t="s">
        <v>106</v>
      </c>
      <c r="E195" t="s">
        <v>29</v>
      </c>
      <c r="F195" t="s">
        <v>2614</v>
      </c>
      <c r="G195" t="s">
        <v>31</v>
      </c>
      <c r="H195" t="s">
        <v>61</v>
      </c>
      <c r="I195" t="s">
        <v>72</v>
      </c>
      <c r="J195" t="s">
        <v>810</v>
      </c>
      <c r="K195" t="s">
        <v>811</v>
      </c>
      <c r="L195" t="s">
        <v>36</v>
      </c>
      <c r="M195" t="s">
        <v>469</v>
      </c>
      <c r="N195" t="s">
        <v>812</v>
      </c>
      <c r="O195" t="s">
        <v>36</v>
      </c>
      <c r="P195" t="s">
        <v>110</v>
      </c>
      <c r="Q195" t="s">
        <v>67</v>
      </c>
      <c r="R195">
        <v>83</v>
      </c>
      <c r="S195">
        <v>0</v>
      </c>
      <c r="T195" t="s">
        <v>85</v>
      </c>
      <c r="U195" t="s">
        <v>57</v>
      </c>
      <c r="V195">
        <v>1.19</v>
      </c>
      <c r="W195">
        <v>4.91</v>
      </c>
      <c r="X195">
        <v>4.7</v>
      </c>
      <c r="Y195">
        <v>21.7</v>
      </c>
      <c r="Z195">
        <v>16.3</v>
      </c>
      <c r="AA195">
        <f>VALUE(SUBSTITUTE(DACS19___Pfizer’s_Personalised_Medicine_in[[#This Row],[Dose]],"mg",""))</f>
        <v>200</v>
      </c>
      <c r="AB195">
        <f t="shared" si="21"/>
        <v>200</v>
      </c>
      <c r="AC195" t="s">
        <v>67</v>
      </c>
      <c r="AD195">
        <f t="shared" si="22"/>
        <v>2</v>
      </c>
      <c r="AE195">
        <f t="shared" si="23"/>
        <v>1</v>
      </c>
      <c r="AF195">
        <f t="shared" si="24"/>
        <v>4.91</v>
      </c>
      <c r="AG195" t="e">
        <f t="shared" si="25"/>
        <v>#N/A</v>
      </c>
      <c r="AH195" t="e">
        <f t="shared" si="26"/>
        <v>#N/A</v>
      </c>
      <c r="AI195" t="e">
        <f t="shared" si="27"/>
        <v>#N/A</v>
      </c>
    </row>
    <row r="196" spans="1:35" x14ac:dyDescent="0.45">
      <c r="A196" t="s">
        <v>813</v>
      </c>
      <c r="B196">
        <v>24</v>
      </c>
      <c r="C196" t="s">
        <v>45</v>
      </c>
      <c r="D196" t="s">
        <v>28</v>
      </c>
      <c r="E196" t="s">
        <v>163</v>
      </c>
      <c r="F196" t="s">
        <v>47</v>
      </c>
      <c r="G196" t="s">
        <v>131</v>
      </c>
      <c r="H196" t="s">
        <v>81</v>
      </c>
      <c r="I196" t="s">
        <v>132</v>
      </c>
      <c r="J196" t="s">
        <v>814</v>
      </c>
      <c r="K196" t="s">
        <v>815</v>
      </c>
      <c r="L196" t="s">
        <v>52</v>
      </c>
      <c r="M196" t="s">
        <v>500</v>
      </c>
      <c r="N196" t="s">
        <v>550</v>
      </c>
      <c r="O196" t="s">
        <v>52</v>
      </c>
      <c r="P196" t="s">
        <v>39</v>
      </c>
      <c r="Q196" t="s">
        <v>75</v>
      </c>
      <c r="R196">
        <v>141</v>
      </c>
      <c r="S196">
        <v>1</v>
      </c>
      <c r="T196" t="s">
        <v>123</v>
      </c>
      <c r="U196" t="s">
        <v>57</v>
      </c>
      <c r="V196">
        <v>3.27</v>
      </c>
      <c r="W196">
        <v>3.95</v>
      </c>
      <c r="X196">
        <v>8.9</v>
      </c>
      <c r="Y196">
        <v>13.3</v>
      </c>
      <c r="Z196">
        <v>8.6</v>
      </c>
      <c r="AA196">
        <f>VALUE(SUBSTITUTE(DACS19___Pfizer’s_Personalised_Medicine_in[[#This Row],[Dose]],"mg",""))</f>
        <v>100</v>
      </c>
      <c r="AB196">
        <f t="shared" si="21"/>
        <v>100</v>
      </c>
      <c r="AC196" t="s">
        <v>75</v>
      </c>
      <c r="AD196">
        <f t="shared" si="22"/>
        <v>1</v>
      </c>
      <c r="AE196">
        <f t="shared" si="23"/>
        <v>3</v>
      </c>
      <c r="AF196" t="e">
        <f t="shared" si="24"/>
        <v>#N/A</v>
      </c>
      <c r="AG196" t="e">
        <f t="shared" si="25"/>
        <v>#N/A</v>
      </c>
      <c r="AH196" t="e">
        <f t="shared" si="26"/>
        <v>#N/A</v>
      </c>
      <c r="AI196">
        <f t="shared" si="27"/>
        <v>3.95</v>
      </c>
    </row>
    <row r="197" spans="1:35" x14ac:dyDescent="0.45">
      <c r="A197" t="s">
        <v>816</v>
      </c>
      <c r="B197">
        <v>75</v>
      </c>
      <c r="C197" t="s">
        <v>44</v>
      </c>
      <c r="D197" t="s">
        <v>28</v>
      </c>
      <c r="E197" t="s">
        <v>29</v>
      </c>
      <c r="F197" t="s">
        <v>2614</v>
      </c>
      <c r="G197" t="s">
        <v>118</v>
      </c>
      <c r="H197" t="s">
        <v>61</v>
      </c>
      <c r="I197" t="s">
        <v>132</v>
      </c>
      <c r="J197" t="s">
        <v>584</v>
      </c>
      <c r="K197" t="s">
        <v>817</v>
      </c>
      <c r="L197" t="s">
        <v>64</v>
      </c>
      <c r="M197" t="s">
        <v>2639</v>
      </c>
      <c r="N197" t="s">
        <v>818</v>
      </c>
      <c r="O197" t="s">
        <v>64</v>
      </c>
      <c r="P197" t="s">
        <v>110</v>
      </c>
      <c r="Q197" t="s">
        <v>75</v>
      </c>
      <c r="R197">
        <v>130</v>
      </c>
      <c r="S197">
        <v>0</v>
      </c>
      <c r="T197" t="s">
        <v>56</v>
      </c>
      <c r="U197" t="s">
        <v>42</v>
      </c>
      <c r="V197">
        <v>3.67</v>
      </c>
      <c r="W197">
        <v>4.2300000000000004</v>
      </c>
      <c r="X197">
        <v>7.9</v>
      </c>
      <c r="Y197">
        <v>20.399999999999999</v>
      </c>
      <c r="Z197">
        <v>10.4</v>
      </c>
      <c r="AA197">
        <f>VALUE(SUBSTITUTE(DACS19___Pfizer’s_Personalised_Medicine_in[[#This Row],[Dose]],"mg",""))</f>
        <v>150</v>
      </c>
      <c r="AB197">
        <f t="shared" si="21"/>
        <v>150</v>
      </c>
      <c r="AC197" t="s">
        <v>75</v>
      </c>
      <c r="AD197">
        <f t="shared" si="22"/>
        <v>1</v>
      </c>
      <c r="AE197">
        <f t="shared" si="23"/>
        <v>1</v>
      </c>
      <c r="AF197">
        <f t="shared" si="24"/>
        <v>4.2300000000000004</v>
      </c>
      <c r="AG197" t="e">
        <f t="shared" si="25"/>
        <v>#N/A</v>
      </c>
      <c r="AH197" t="e">
        <f t="shared" si="26"/>
        <v>#N/A</v>
      </c>
      <c r="AI197" t="e">
        <f t="shared" si="27"/>
        <v>#N/A</v>
      </c>
    </row>
    <row r="198" spans="1:35" x14ac:dyDescent="0.45">
      <c r="A198" t="s">
        <v>819</v>
      </c>
      <c r="B198">
        <v>42</v>
      </c>
      <c r="C198" t="s">
        <v>45</v>
      </c>
      <c r="D198" t="s">
        <v>28</v>
      </c>
      <c r="E198" t="s">
        <v>46</v>
      </c>
      <c r="F198" t="s">
        <v>88</v>
      </c>
      <c r="G198" t="s">
        <v>164</v>
      </c>
      <c r="H198" t="s">
        <v>61</v>
      </c>
      <c r="I198" t="s">
        <v>49</v>
      </c>
      <c r="J198" t="s">
        <v>820</v>
      </c>
      <c r="K198" t="s">
        <v>821</v>
      </c>
      <c r="L198" t="s">
        <v>36</v>
      </c>
      <c r="M198" t="s">
        <v>2618</v>
      </c>
      <c r="N198" t="s">
        <v>822</v>
      </c>
      <c r="O198" t="s">
        <v>36</v>
      </c>
      <c r="P198" t="s">
        <v>39</v>
      </c>
      <c r="Q198" t="s">
        <v>129</v>
      </c>
      <c r="R198">
        <v>36</v>
      </c>
      <c r="S198">
        <v>1</v>
      </c>
      <c r="T198" t="s">
        <v>85</v>
      </c>
      <c r="U198" t="s">
        <v>42</v>
      </c>
      <c r="V198">
        <v>4.2699999999999996</v>
      </c>
      <c r="W198">
        <v>1.48</v>
      </c>
      <c r="X198">
        <v>5.9</v>
      </c>
      <c r="Y198">
        <v>6.1</v>
      </c>
      <c r="Z198">
        <v>8.5</v>
      </c>
      <c r="AA198">
        <f>VALUE(SUBSTITUTE(DACS19___Pfizer’s_Personalised_Medicine_in[[#This Row],[Dose]],"mg",""))</f>
        <v>200</v>
      </c>
      <c r="AB198">
        <f t="shared" si="21"/>
        <v>200</v>
      </c>
      <c r="AC198" t="s">
        <v>129</v>
      </c>
      <c r="AD198">
        <f t="shared" si="22"/>
        <v>4</v>
      </c>
      <c r="AE198">
        <f t="shared" si="23"/>
        <v>3</v>
      </c>
      <c r="AF198">
        <f t="shared" si="24"/>
        <v>1.48</v>
      </c>
      <c r="AG198" t="e">
        <f t="shared" si="25"/>
        <v>#N/A</v>
      </c>
      <c r="AH198" t="e">
        <f t="shared" si="26"/>
        <v>#N/A</v>
      </c>
      <c r="AI198" t="e">
        <f t="shared" si="27"/>
        <v>#N/A</v>
      </c>
    </row>
    <row r="199" spans="1:35" x14ac:dyDescent="0.45">
      <c r="A199" t="s">
        <v>823</v>
      </c>
      <c r="B199">
        <v>25</v>
      </c>
      <c r="C199" t="s">
        <v>45</v>
      </c>
      <c r="D199" t="s">
        <v>106</v>
      </c>
      <c r="E199" t="s">
        <v>29</v>
      </c>
      <c r="F199" t="s">
        <v>2614</v>
      </c>
      <c r="G199" t="s">
        <v>102</v>
      </c>
      <c r="H199" t="s">
        <v>61</v>
      </c>
      <c r="I199" t="s">
        <v>72</v>
      </c>
      <c r="J199" t="s">
        <v>824</v>
      </c>
      <c r="K199" t="s">
        <v>825</v>
      </c>
      <c r="L199" t="s">
        <v>52</v>
      </c>
      <c r="M199" t="s">
        <v>67</v>
      </c>
      <c r="N199" t="s">
        <v>822</v>
      </c>
      <c r="O199" t="s">
        <v>52</v>
      </c>
      <c r="P199" t="s">
        <v>55</v>
      </c>
      <c r="Q199" t="s">
        <v>40</v>
      </c>
      <c r="R199">
        <v>49</v>
      </c>
      <c r="S199">
        <v>0</v>
      </c>
      <c r="T199" t="s">
        <v>56</v>
      </c>
      <c r="U199" t="s">
        <v>57</v>
      </c>
      <c r="V199">
        <v>2.4700000000000002</v>
      </c>
      <c r="W199">
        <v>2.58</v>
      </c>
      <c r="X199">
        <v>7.3</v>
      </c>
      <c r="Y199">
        <v>13</v>
      </c>
      <c r="Z199">
        <v>10.6</v>
      </c>
      <c r="AA199">
        <f>VALUE(SUBSTITUTE(DACS19___Pfizer’s_Personalised_Medicine_in[[#This Row],[Dose]],"mg",""))</f>
        <v>100</v>
      </c>
      <c r="AB199">
        <f t="shared" si="21"/>
        <v>100</v>
      </c>
      <c r="AC199" t="s">
        <v>40</v>
      </c>
      <c r="AD199">
        <f t="shared" si="22"/>
        <v>3</v>
      </c>
      <c r="AE199">
        <f t="shared" si="23"/>
        <v>2</v>
      </c>
      <c r="AF199">
        <f t="shared" si="24"/>
        <v>2.58</v>
      </c>
      <c r="AG199" t="e">
        <f t="shared" si="25"/>
        <v>#N/A</v>
      </c>
      <c r="AH199" t="e">
        <f t="shared" si="26"/>
        <v>#N/A</v>
      </c>
      <c r="AI199" t="e">
        <f t="shared" si="27"/>
        <v>#N/A</v>
      </c>
    </row>
    <row r="200" spans="1:35" x14ac:dyDescent="0.45">
      <c r="A200" t="s">
        <v>826</v>
      </c>
      <c r="B200">
        <v>72</v>
      </c>
      <c r="C200" t="s">
        <v>45</v>
      </c>
      <c r="D200" t="s">
        <v>28</v>
      </c>
      <c r="E200" t="s">
        <v>2614</v>
      </c>
      <c r="F200" t="s">
        <v>88</v>
      </c>
      <c r="G200" t="s">
        <v>184</v>
      </c>
      <c r="H200" t="s">
        <v>61</v>
      </c>
      <c r="I200" t="s">
        <v>33</v>
      </c>
      <c r="J200" t="s">
        <v>827</v>
      </c>
      <c r="K200" t="s">
        <v>828</v>
      </c>
      <c r="L200" t="s">
        <v>64</v>
      </c>
      <c r="M200" t="s">
        <v>40</v>
      </c>
      <c r="N200" t="s">
        <v>742</v>
      </c>
      <c r="O200" t="s">
        <v>64</v>
      </c>
      <c r="P200" t="s">
        <v>55</v>
      </c>
      <c r="Q200" t="s">
        <v>67</v>
      </c>
      <c r="R200">
        <v>130</v>
      </c>
      <c r="S200">
        <v>0</v>
      </c>
      <c r="T200" t="s">
        <v>41</v>
      </c>
      <c r="U200" t="s">
        <v>57</v>
      </c>
      <c r="V200">
        <v>1.95</v>
      </c>
      <c r="W200">
        <v>2.4900000000000002</v>
      </c>
      <c r="X200">
        <v>3</v>
      </c>
      <c r="Y200">
        <v>7.3</v>
      </c>
      <c r="Z200">
        <v>13.3</v>
      </c>
      <c r="AA200">
        <f>VALUE(SUBSTITUTE(DACS19___Pfizer’s_Personalised_Medicine_in[[#This Row],[Dose]],"mg",""))</f>
        <v>150</v>
      </c>
      <c r="AB200">
        <f t="shared" si="21"/>
        <v>150</v>
      </c>
      <c r="AC200" t="s">
        <v>67</v>
      </c>
      <c r="AD200">
        <f t="shared" si="22"/>
        <v>2</v>
      </c>
      <c r="AE200">
        <f t="shared" si="23"/>
        <v>2</v>
      </c>
      <c r="AF200">
        <f t="shared" si="24"/>
        <v>2.4900000000000002</v>
      </c>
      <c r="AG200" t="e">
        <f t="shared" si="25"/>
        <v>#N/A</v>
      </c>
      <c r="AH200" t="e">
        <f t="shared" si="26"/>
        <v>#N/A</v>
      </c>
      <c r="AI200" t="e">
        <f t="shared" si="27"/>
        <v>#N/A</v>
      </c>
    </row>
    <row r="201" spans="1:35" x14ac:dyDescent="0.45">
      <c r="A201" t="s">
        <v>829</v>
      </c>
      <c r="B201">
        <v>31</v>
      </c>
      <c r="C201" t="s">
        <v>27</v>
      </c>
      <c r="D201" t="s">
        <v>45</v>
      </c>
      <c r="E201" t="s">
        <v>78</v>
      </c>
      <c r="F201" t="s">
        <v>88</v>
      </c>
      <c r="G201" t="s">
        <v>440</v>
      </c>
      <c r="H201" t="s">
        <v>32</v>
      </c>
      <c r="I201" t="s">
        <v>49</v>
      </c>
      <c r="J201" t="s">
        <v>830</v>
      </c>
      <c r="K201" t="s">
        <v>831</v>
      </c>
      <c r="L201" t="s">
        <v>64</v>
      </c>
      <c r="M201" t="s">
        <v>135</v>
      </c>
      <c r="N201" t="s">
        <v>116</v>
      </c>
      <c r="O201" t="s">
        <v>64</v>
      </c>
      <c r="P201" t="s">
        <v>110</v>
      </c>
      <c r="Q201" t="s">
        <v>129</v>
      </c>
      <c r="R201">
        <v>39</v>
      </c>
      <c r="S201">
        <v>0</v>
      </c>
      <c r="T201" t="s">
        <v>56</v>
      </c>
      <c r="U201" t="s">
        <v>57</v>
      </c>
      <c r="V201">
        <v>3.67</v>
      </c>
      <c r="W201">
        <v>3.48</v>
      </c>
      <c r="X201">
        <v>5.2</v>
      </c>
      <c r="Y201">
        <v>12.8</v>
      </c>
      <c r="Z201">
        <v>17.7</v>
      </c>
      <c r="AA201">
        <f>VALUE(SUBSTITUTE(DACS19___Pfizer’s_Personalised_Medicine_in[[#This Row],[Dose]],"mg",""))</f>
        <v>150</v>
      </c>
      <c r="AB201">
        <f t="shared" si="21"/>
        <v>150</v>
      </c>
      <c r="AC201" t="s">
        <v>129</v>
      </c>
      <c r="AD201">
        <f t="shared" si="22"/>
        <v>4</v>
      </c>
      <c r="AE201">
        <f t="shared" si="23"/>
        <v>1</v>
      </c>
      <c r="AF201" t="e">
        <f t="shared" si="24"/>
        <v>#N/A</v>
      </c>
      <c r="AG201" t="e">
        <f t="shared" si="25"/>
        <v>#N/A</v>
      </c>
      <c r="AH201">
        <f t="shared" si="26"/>
        <v>3.48</v>
      </c>
      <c r="AI201" t="e">
        <f t="shared" si="27"/>
        <v>#N/A</v>
      </c>
    </row>
    <row r="202" spans="1:35" x14ac:dyDescent="0.45">
      <c r="A202" t="s">
        <v>832</v>
      </c>
      <c r="B202">
        <v>37</v>
      </c>
      <c r="C202" t="s">
        <v>45</v>
      </c>
      <c r="D202" t="s">
        <v>28</v>
      </c>
      <c r="E202" t="s">
        <v>78</v>
      </c>
      <c r="F202" t="s">
        <v>2614</v>
      </c>
      <c r="G202" t="s">
        <v>246</v>
      </c>
      <c r="H202" t="s">
        <v>81</v>
      </c>
      <c r="I202" t="s">
        <v>33</v>
      </c>
      <c r="J202" t="s">
        <v>632</v>
      </c>
      <c r="K202" t="s">
        <v>833</v>
      </c>
      <c r="L202" t="s">
        <v>92</v>
      </c>
      <c r="M202" t="s">
        <v>834</v>
      </c>
      <c r="N202" t="s">
        <v>447</v>
      </c>
      <c r="O202" t="s">
        <v>92</v>
      </c>
      <c r="P202" t="s">
        <v>55</v>
      </c>
      <c r="Q202" t="s">
        <v>129</v>
      </c>
      <c r="R202">
        <v>175</v>
      </c>
      <c r="S202">
        <v>0</v>
      </c>
      <c r="T202" t="s">
        <v>85</v>
      </c>
      <c r="U202" t="s">
        <v>57</v>
      </c>
      <c r="V202">
        <v>3.08</v>
      </c>
      <c r="W202">
        <v>2.92</v>
      </c>
      <c r="X202">
        <v>1.2</v>
      </c>
      <c r="Y202">
        <v>12.1</v>
      </c>
      <c r="Z202">
        <v>9.5</v>
      </c>
      <c r="AA202">
        <f>VALUE(SUBSTITUTE(DACS19___Pfizer’s_Personalised_Medicine_in[[#This Row],[Dose]],"mg",""))</f>
        <v>50</v>
      </c>
      <c r="AB202">
        <f t="shared" si="21"/>
        <v>50</v>
      </c>
      <c r="AC202" t="s">
        <v>129</v>
      </c>
      <c r="AD202">
        <f t="shared" si="22"/>
        <v>4</v>
      </c>
      <c r="AE202">
        <f t="shared" si="23"/>
        <v>2</v>
      </c>
      <c r="AF202" t="e">
        <f t="shared" si="24"/>
        <v>#N/A</v>
      </c>
      <c r="AG202" t="e">
        <f t="shared" si="25"/>
        <v>#N/A</v>
      </c>
      <c r="AH202" t="e">
        <f t="shared" si="26"/>
        <v>#N/A</v>
      </c>
      <c r="AI202">
        <f t="shared" si="27"/>
        <v>2.92</v>
      </c>
    </row>
    <row r="203" spans="1:35" x14ac:dyDescent="0.45">
      <c r="A203" t="s">
        <v>835</v>
      </c>
      <c r="B203">
        <v>60</v>
      </c>
      <c r="C203" t="s">
        <v>45</v>
      </c>
      <c r="D203" t="s">
        <v>28</v>
      </c>
      <c r="E203" t="s">
        <v>78</v>
      </c>
      <c r="F203" t="s">
        <v>88</v>
      </c>
      <c r="G203" t="s">
        <v>194</v>
      </c>
      <c r="H203" t="s">
        <v>32</v>
      </c>
      <c r="I203" t="s">
        <v>49</v>
      </c>
      <c r="J203" t="s">
        <v>836</v>
      </c>
      <c r="K203" t="s">
        <v>837</v>
      </c>
      <c r="L203" t="s">
        <v>52</v>
      </c>
      <c r="M203" t="s">
        <v>2624</v>
      </c>
      <c r="N203" t="s">
        <v>128</v>
      </c>
      <c r="O203" t="s">
        <v>52</v>
      </c>
      <c r="P203" t="s">
        <v>55</v>
      </c>
      <c r="Q203" t="s">
        <v>40</v>
      </c>
      <c r="R203">
        <v>57</v>
      </c>
      <c r="S203">
        <v>0</v>
      </c>
      <c r="T203" t="s">
        <v>137</v>
      </c>
      <c r="U203" t="s">
        <v>57</v>
      </c>
      <c r="V203">
        <v>2.6</v>
      </c>
      <c r="W203">
        <v>3.32</v>
      </c>
      <c r="X203">
        <v>5.8</v>
      </c>
      <c r="Y203">
        <v>16.899999999999999</v>
      </c>
      <c r="Z203">
        <v>16</v>
      </c>
      <c r="AA203">
        <f>VALUE(SUBSTITUTE(DACS19___Pfizer’s_Personalised_Medicine_in[[#This Row],[Dose]],"mg",""))</f>
        <v>100</v>
      </c>
      <c r="AB203">
        <f t="shared" si="21"/>
        <v>100</v>
      </c>
      <c r="AC203" t="s">
        <v>40</v>
      </c>
      <c r="AD203">
        <f t="shared" si="22"/>
        <v>3</v>
      </c>
      <c r="AE203">
        <f t="shared" si="23"/>
        <v>2</v>
      </c>
      <c r="AF203" t="e">
        <f t="shared" si="24"/>
        <v>#N/A</v>
      </c>
      <c r="AG203" t="e">
        <f t="shared" si="25"/>
        <v>#N/A</v>
      </c>
      <c r="AH203">
        <f t="shared" si="26"/>
        <v>3.32</v>
      </c>
      <c r="AI203" t="e">
        <f t="shared" si="27"/>
        <v>#N/A</v>
      </c>
    </row>
    <row r="204" spans="1:35" x14ac:dyDescent="0.45">
      <c r="A204" t="s">
        <v>838</v>
      </c>
      <c r="B204">
        <v>28</v>
      </c>
      <c r="C204" t="s">
        <v>45</v>
      </c>
      <c r="D204" t="s">
        <v>95</v>
      </c>
      <c r="E204" t="s">
        <v>46</v>
      </c>
      <c r="F204" t="s">
        <v>79</v>
      </c>
      <c r="G204" t="s">
        <v>164</v>
      </c>
      <c r="H204" t="s">
        <v>71</v>
      </c>
      <c r="I204" t="s">
        <v>33</v>
      </c>
      <c r="J204" t="s">
        <v>368</v>
      </c>
      <c r="K204" t="s">
        <v>839</v>
      </c>
      <c r="L204" t="s">
        <v>64</v>
      </c>
      <c r="M204" t="s">
        <v>378</v>
      </c>
      <c r="N204" t="s">
        <v>258</v>
      </c>
      <c r="O204" t="s">
        <v>64</v>
      </c>
      <c r="P204" t="s">
        <v>39</v>
      </c>
      <c r="Q204" t="s">
        <v>2614</v>
      </c>
      <c r="R204">
        <v>44</v>
      </c>
      <c r="S204">
        <v>1</v>
      </c>
      <c r="T204" t="s">
        <v>137</v>
      </c>
      <c r="U204" t="s">
        <v>42</v>
      </c>
      <c r="V204">
        <v>4.25</v>
      </c>
      <c r="W204">
        <v>3.87</v>
      </c>
      <c r="X204">
        <v>9.6</v>
      </c>
      <c r="Y204">
        <v>6.3</v>
      </c>
      <c r="Z204">
        <v>6.3</v>
      </c>
      <c r="AA204">
        <f>VALUE(SUBSTITUTE(DACS19___Pfizer’s_Personalised_Medicine_in[[#This Row],[Dose]],"mg",""))</f>
        <v>150</v>
      </c>
      <c r="AB204">
        <f t="shared" si="21"/>
        <v>150</v>
      </c>
      <c r="AC204" t="s">
        <v>2614</v>
      </c>
      <c r="AD204">
        <f t="shared" si="22"/>
        <v>0</v>
      </c>
      <c r="AE204">
        <f t="shared" si="23"/>
        <v>3</v>
      </c>
      <c r="AF204" t="e">
        <f t="shared" si="24"/>
        <v>#N/A</v>
      </c>
      <c r="AG204">
        <f t="shared" si="25"/>
        <v>3.87</v>
      </c>
      <c r="AH204" t="e">
        <f t="shared" si="26"/>
        <v>#N/A</v>
      </c>
      <c r="AI204" t="e">
        <f t="shared" si="27"/>
        <v>#N/A</v>
      </c>
    </row>
    <row r="205" spans="1:35" x14ac:dyDescent="0.45">
      <c r="A205" t="s">
        <v>840</v>
      </c>
      <c r="B205">
        <v>69</v>
      </c>
      <c r="C205" t="s">
        <v>27</v>
      </c>
      <c r="D205" t="s">
        <v>106</v>
      </c>
      <c r="E205" t="s">
        <v>29</v>
      </c>
      <c r="F205" t="s">
        <v>69</v>
      </c>
      <c r="G205" t="s">
        <v>96</v>
      </c>
      <c r="H205" t="s">
        <v>71</v>
      </c>
      <c r="I205" t="s">
        <v>49</v>
      </c>
      <c r="J205" t="s">
        <v>841</v>
      </c>
      <c r="K205" t="s">
        <v>842</v>
      </c>
      <c r="L205" t="s">
        <v>92</v>
      </c>
      <c r="M205" t="s">
        <v>536</v>
      </c>
      <c r="N205" t="s">
        <v>843</v>
      </c>
      <c r="O205" t="s">
        <v>92</v>
      </c>
      <c r="P205" t="s">
        <v>110</v>
      </c>
      <c r="Q205" t="s">
        <v>67</v>
      </c>
      <c r="R205">
        <v>33</v>
      </c>
      <c r="S205">
        <v>0</v>
      </c>
      <c r="T205" t="s">
        <v>41</v>
      </c>
      <c r="U205" t="s">
        <v>42</v>
      </c>
      <c r="V205">
        <v>1.03</v>
      </c>
      <c r="W205">
        <v>3.59</v>
      </c>
      <c r="X205">
        <v>9.1</v>
      </c>
      <c r="Y205">
        <v>10.4</v>
      </c>
      <c r="Z205">
        <v>18.8</v>
      </c>
      <c r="AA205">
        <f>VALUE(SUBSTITUTE(DACS19___Pfizer’s_Personalised_Medicine_in[[#This Row],[Dose]],"mg",""))</f>
        <v>50</v>
      </c>
      <c r="AB205">
        <f t="shared" si="21"/>
        <v>50</v>
      </c>
      <c r="AC205" t="s">
        <v>67</v>
      </c>
      <c r="AD205">
        <f t="shared" si="22"/>
        <v>2</v>
      </c>
      <c r="AE205">
        <f t="shared" si="23"/>
        <v>1</v>
      </c>
      <c r="AF205" t="e">
        <f t="shared" si="24"/>
        <v>#N/A</v>
      </c>
      <c r="AG205">
        <f t="shared" si="25"/>
        <v>3.59</v>
      </c>
      <c r="AH205" t="e">
        <f t="shared" si="26"/>
        <v>#N/A</v>
      </c>
      <c r="AI205" t="e">
        <f t="shared" si="27"/>
        <v>#N/A</v>
      </c>
    </row>
    <row r="206" spans="1:35" x14ac:dyDescent="0.45">
      <c r="A206" t="s">
        <v>844</v>
      </c>
      <c r="B206">
        <v>57</v>
      </c>
      <c r="C206" t="s">
        <v>27</v>
      </c>
      <c r="D206" t="s">
        <v>95</v>
      </c>
      <c r="E206" t="s">
        <v>29</v>
      </c>
      <c r="F206" t="s">
        <v>69</v>
      </c>
      <c r="G206" t="s">
        <v>125</v>
      </c>
      <c r="H206" t="s">
        <v>61</v>
      </c>
      <c r="I206" t="s">
        <v>49</v>
      </c>
      <c r="J206" t="s">
        <v>845</v>
      </c>
      <c r="K206" t="s">
        <v>846</v>
      </c>
      <c r="L206" t="s">
        <v>52</v>
      </c>
      <c r="M206" t="s">
        <v>67</v>
      </c>
      <c r="N206" t="s">
        <v>746</v>
      </c>
      <c r="O206" t="s">
        <v>52</v>
      </c>
      <c r="P206" t="s">
        <v>55</v>
      </c>
      <c r="Q206" t="s">
        <v>40</v>
      </c>
      <c r="R206">
        <v>113</v>
      </c>
      <c r="S206">
        <v>0</v>
      </c>
      <c r="T206" t="s">
        <v>123</v>
      </c>
      <c r="U206" t="s">
        <v>42</v>
      </c>
      <c r="V206">
        <v>1.24</v>
      </c>
      <c r="W206">
        <v>4.74</v>
      </c>
      <c r="X206">
        <v>4.2</v>
      </c>
      <c r="Y206">
        <v>7.8</v>
      </c>
      <c r="Z206">
        <v>11.3</v>
      </c>
      <c r="AA206">
        <f>VALUE(SUBSTITUTE(DACS19___Pfizer’s_Personalised_Medicine_in[[#This Row],[Dose]],"mg",""))</f>
        <v>100</v>
      </c>
      <c r="AB206">
        <f t="shared" si="21"/>
        <v>100</v>
      </c>
      <c r="AC206" t="s">
        <v>40</v>
      </c>
      <c r="AD206">
        <f t="shared" si="22"/>
        <v>3</v>
      </c>
      <c r="AE206">
        <f t="shared" si="23"/>
        <v>2</v>
      </c>
      <c r="AF206">
        <f t="shared" si="24"/>
        <v>4.74</v>
      </c>
      <c r="AG206" t="e">
        <f t="shared" si="25"/>
        <v>#N/A</v>
      </c>
      <c r="AH206" t="e">
        <f t="shared" si="26"/>
        <v>#N/A</v>
      </c>
      <c r="AI206" t="e">
        <f t="shared" si="27"/>
        <v>#N/A</v>
      </c>
    </row>
    <row r="207" spans="1:35" x14ac:dyDescent="0.45">
      <c r="A207" t="s">
        <v>847</v>
      </c>
      <c r="B207">
        <v>59</v>
      </c>
      <c r="C207" t="s">
        <v>27</v>
      </c>
      <c r="D207" t="s">
        <v>87</v>
      </c>
      <c r="E207" t="s">
        <v>29</v>
      </c>
      <c r="F207" t="s">
        <v>88</v>
      </c>
      <c r="G207" t="s">
        <v>102</v>
      </c>
      <c r="H207" t="s">
        <v>32</v>
      </c>
      <c r="I207" t="s">
        <v>72</v>
      </c>
      <c r="J207" t="s">
        <v>848</v>
      </c>
      <c r="K207" t="s">
        <v>849</v>
      </c>
      <c r="L207" t="s">
        <v>52</v>
      </c>
      <c r="M207" t="s">
        <v>37</v>
      </c>
      <c r="N207" t="s">
        <v>227</v>
      </c>
      <c r="O207" t="s">
        <v>52</v>
      </c>
      <c r="P207" t="s">
        <v>39</v>
      </c>
      <c r="Q207" t="s">
        <v>75</v>
      </c>
      <c r="R207">
        <v>126</v>
      </c>
      <c r="S207">
        <v>1</v>
      </c>
      <c r="T207" t="s">
        <v>41</v>
      </c>
      <c r="U207" t="s">
        <v>42</v>
      </c>
      <c r="V207">
        <v>2.0299999999999998</v>
      </c>
      <c r="W207">
        <v>2.14</v>
      </c>
      <c r="X207">
        <v>3.8</v>
      </c>
      <c r="Y207">
        <v>20.5</v>
      </c>
      <c r="Z207">
        <v>12.2</v>
      </c>
      <c r="AA207">
        <f>VALUE(SUBSTITUTE(DACS19___Pfizer’s_Personalised_Medicine_in[[#This Row],[Dose]],"mg",""))</f>
        <v>100</v>
      </c>
      <c r="AB207">
        <f t="shared" si="21"/>
        <v>100</v>
      </c>
      <c r="AC207" t="s">
        <v>75</v>
      </c>
      <c r="AD207">
        <f t="shared" si="22"/>
        <v>1</v>
      </c>
      <c r="AE207">
        <f t="shared" si="23"/>
        <v>3</v>
      </c>
      <c r="AF207" t="e">
        <f t="shared" si="24"/>
        <v>#N/A</v>
      </c>
      <c r="AG207" t="e">
        <f t="shared" si="25"/>
        <v>#N/A</v>
      </c>
      <c r="AH207">
        <f t="shared" si="26"/>
        <v>2.14</v>
      </c>
      <c r="AI207" t="e">
        <f t="shared" si="27"/>
        <v>#N/A</v>
      </c>
    </row>
    <row r="208" spans="1:35" x14ac:dyDescent="0.45">
      <c r="A208" t="s">
        <v>850</v>
      </c>
      <c r="B208">
        <v>80</v>
      </c>
      <c r="C208" t="s">
        <v>27</v>
      </c>
      <c r="D208" t="s">
        <v>87</v>
      </c>
      <c r="E208" t="s">
        <v>163</v>
      </c>
      <c r="F208" t="s">
        <v>88</v>
      </c>
      <c r="G208" t="s">
        <v>80</v>
      </c>
      <c r="H208" t="s">
        <v>32</v>
      </c>
      <c r="I208" t="s">
        <v>33</v>
      </c>
      <c r="J208" t="s">
        <v>851</v>
      </c>
      <c r="K208" t="s">
        <v>119</v>
      </c>
      <c r="L208" t="s">
        <v>52</v>
      </c>
      <c r="M208" t="s">
        <v>2617</v>
      </c>
      <c r="N208" t="s">
        <v>852</v>
      </c>
      <c r="O208" t="s">
        <v>52</v>
      </c>
      <c r="P208" t="s">
        <v>39</v>
      </c>
      <c r="Q208" t="s">
        <v>75</v>
      </c>
      <c r="R208">
        <v>39</v>
      </c>
      <c r="S208">
        <v>1</v>
      </c>
      <c r="T208" t="s">
        <v>85</v>
      </c>
      <c r="U208" t="s">
        <v>42</v>
      </c>
      <c r="V208">
        <v>2.25</v>
      </c>
      <c r="W208">
        <v>3.44</v>
      </c>
      <c r="X208">
        <v>7.4</v>
      </c>
      <c r="Y208">
        <v>10.9</v>
      </c>
      <c r="Z208">
        <v>10</v>
      </c>
      <c r="AA208">
        <f>VALUE(SUBSTITUTE(DACS19___Pfizer’s_Personalised_Medicine_in[[#This Row],[Dose]],"mg",""))</f>
        <v>100</v>
      </c>
      <c r="AB208">
        <f t="shared" si="21"/>
        <v>100</v>
      </c>
      <c r="AC208" t="s">
        <v>75</v>
      </c>
      <c r="AD208">
        <f t="shared" si="22"/>
        <v>1</v>
      </c>
      <c r="AE208">
        <f t="shared" si="23"/>
        <v>3</v>
      </c>
      <c r="AF208" t="e">
        <f t="shared" si="24"/>
        <v>#N/A</v>
      </c>
      <c r="AG208" t="e">
        <f t="shared" si="25"/>
        <v>#N/A</v>
      </c>
      <c r="AH208">
        <f t="shared" si="26"/>
        <v>3.44</v>
      </c>
      <c r="AI208" t="e">
        <f t="shared" si="27"/>
        <v>#N/A</v>
      </c>
    </row>
    <row r="209" spans="1:35" x14ac:dyDescent="0.45">
      <c r="A209" t="s">
        <v>853</v>
      </c>
      <c r="B209">
        <v>81</v>
      </c>
      <c r="C209" t="s">
        <v>45</v>
      </c>
      <c r="D209" t="s">
        <v>87</v>
      </c>
      <c r="E209" t="s">
        <v>2614</v>
      </c>
      <c r="F209" t="s">
        <v>88</v>
      </c>
      <c r="G209" t="s">
        <v>178</v>
      </c>
      <c r="H209" t="s">
        <v>71</v>
      </c>
      <c r="I209" t="s">
        <v>72</v>
      </c>
      <c r="J209" t="s">
        <v>854</v>
      </c>
      <c r="K209" t="s">
        <v>855</v>
      </c>
      <c r="L209" t="s">
        <v>64</v>
      </c>
      <c r="M209" t="s">
        <v>207</v>
      </c>
      <c r="N209" t="s">
        <v>323</v>
      </c>
      <c r="O209" t="s">
        <v>64</v>
      </c>
      <c r="P209" t="s">
        <v>110</v>
      </c>
      <c r="Q209" t="s">
        <v>67</v>
      </c>
      <c r="R209">
        <v>100</v>
      </c>
      <c r="S209">
        <v>0</v>
      </c>
      <c r="T209" t="s">
        <v>123</v>
      </c>
      <c r="U209" t="s">
        <v>42</v>
      </c>
      <c r="V209">
        <v>1.49</v>
      </c>
      <c r="W209">
        <v>1.72</v>
      </c>
      <c r="X209">
        <v>7.1</v>
      </c>
      <c r="Y209">
        <v>9.3000000000000007</v>
      </c>
      <c r="Z209">
        <v>11.9</v>
      </c>
      <c r="AA209">
        <f>VALUE(SUBSTITUTE(DACS19___Pfizer’s_Personalised_Medicine_in[[#This Row],[Dose]],"mg",""))</f>
        <v>150</v>
      </c>
      <c r="AB209">
        <f t="shared" si="21"/>
        <v>150</v>
      </c>
      <c r="AC209" t="s">
        <v>67</v>
      </c>
      <c r="AD209">
        <f t="shared" si="22"/>
        <v>2</v>
      </c>
      <c r="AE209">
        <f t="shared" si="23"/>
        <v>1</v>
      </c>
      <c r="AF209" t="e">
        <f t="shared" si="24"/>
        <v>#N/A</v>
      </c>
      <c r="AG209">
        <f t="shared" si="25"/>
        <v>1.72</v>
      </c>
      <c r="AH209" t="e">
        <f t="shared" si="26"/>
        <v>#N/A</v>
      </c>
      <c r="AI209" t="e">
        <f t="shared" si="27"/>
        <v>#N/A</v>
      </c>
    </row>
    <row r="210" spans="1:35" x14ac:dyDescent="0.45">
      <c r="A210" t="s">
        <v>856</v>
      </c>
      <c r="B210">
        <v>32</v>
      </c>
      <c r="C210" t="s">
        <v>27</v>
      </c>
      <c r="D210" t="s">
        <v>95</v>
      </c>
      <c r="E210" t="s">
        <v>78</v>
      </c>
      <c r="F210" t="s">
        <v>88</v>
      </c>
      <c r="G210" t="s">
        <v>118</v>
      </c>
      <c r="H210" t="s">
        <v>32</v>
      </c>
      <c r="I210" t="s">
        <v>132</v>
      </c>
      <c r="J210" t="s">
        <v>857</v>
      </c>
      <c r="K210" t="s">
        <v>858</v>
      </c>
      <c r="L210" t="s">
        <v>36</v>
      </c>
      <c r="M210" t="s">
        <v>129</v>
      </c>
      <c r="N210" t="s">
        <v>808</v>
      </c>
      <c r="O210" t="s">
        <v>36</v>
      </c>
      <c r="P210" t="s">
        <v>39</v>
      </c>
      <c r="Q210" t="s">
        <v>75</v>
      </c>
      <c r="R210">
        <v>75</v>
      </c>
      <c r="S210">
        <v>1</v>
      </c>
      <c r="T210" t="s">
        <v>41</v>
      </c>
      <c r="U210" t="s">
        <v>42</v>
      </c>
      <c r="V210">
        <v>3.84</v>
      </c>
      <c r="W210">
        <v>1.43</v>
      </c>
      <c r="X210">
        <v>6.1</v>
      </c>
      <c r="Y210">
        <v>10.6</v>
      </c>
      <c r="Z210">
        <v>19.399999999999999</v>
      </c>
      <c r="AA210">
        <f>VALUE(SUBSTITUTE(DACS19___Pfizer’s_Personalised_Medicine_in[[#This Row],[Dose]],"mg",""))</f>
        <v>200</v>
      </c>
      <c r="AB210">
        <f t="shared" si="21"/>
        <v>200</v>
      </c>
      <c r="AC210" t="s">
        <v>75</v>
      </c>
      <c r="AD210">
        <f t="shared" si="22"/>
        <v>1</v>
      </c>
      <c r="AE210">
        <f t="shared" si="23"/>
        <v>3</v>
      </c>
      <c r="AF210" t="e">
        <f t="shared" si="24"/>
        <v>#N/A</v>
      </c>
      <c r="AG210" t="e">
        <f t="shared" si="25"/>
        <v>#N/A</v>
      </c>
      <c r="AH210">
        <f t="shared" si="26"/>
        <v>1.43</v>
      </c>
      <c r="AI210" t="e">
        <f t="shared" si="27"/>
        <v>#N/A</v>
      </c>
    </row>
    <row r="211" spans="1:35" x14ac:dyDescent="0.45">
      <c r="A211" t="s">
        <v>859</v>
      </c>
      <c r="B211">
        <v>80</v>
      </c>
      <c r="C211" t="s">
        <v>45</v>
      </c>
      <c r="D211" t="s">
        <v>87</v>
      </c>
      <c r="E211" t="s">
        <v>163</v>
      </c>
      <c r="F211" t="s">
        <v>2614</v>
      </c>
      <c r="G211" t="s">
        <v>440</v>
      </c>
      <c r="H211" t="s">
        <v>32</v>
      </c>
      <c r="I211" t="s">
        <v>33</v>
      </c>
      <c r="J211" t="s">
        <v>774</v>
      </c>
      <c r="K211" t="s">
        <v>775</v>
      </c>
      <c r="L211" t="s">
        <v>52</v>
      </c>
      <c r="M211" t="s">
        <v>2614</v>
      </c>
      <c r="N211" t="s">
        <v>267</v>
      </c>
      <c r="O211" t="s">
        <v>52</v>
      </c>
      <c r="P211" t="s">
        <v>39</v>
      </c>
      <c r="Q211" t="s">
        <v>67</v>
      </c>
      <c r="R211">
        <v>135</v>
      </c>
      <c r="S211">
        <v>1</v>
      </c>
      <c r="T211" t="s">
        <v>41</v>
      </c>
      <c r="U211" t="s">
        <v>57</v>
      </c>
      <c r="V211">
        <v>2.93</v>
      </c>
      <c r="W211">
        <v>4.22</v>
      </c>
      <c r="X211">
        <v>6</v>
      </c>
      <c r="Y211">
        <v>6.8</v>
      </c>
      <c r="Z211">
        <v>13.8</v>
      </c>
      <c r="AA211">
        <f>VALUE(SUBSTITUTE(DACS19___Pfizer’s_Personalised_Medicine_in[[#This Row],[Dose]],"mg",""))</f>
        <v>100</v>
      </c>
      <c r="AB211">
        <f t="shared" si="21"/>
        <v>100</v>
      </c>
      <c r="AC211" t="s">
        <v>67</v>
      </c>
      <c r="AD211">
        <f t="shared" si="22"/>
        <v>2</v>
      </c>
      <c r="AE211">
        <f t="shared" si="23"/>
        <v>3</v>
      </c>
      <c r="AF211" t="e">
        <f t="shared" si="24"/>
        <v>#N/A</v>
      </c>
      <c r="AG211" t="e">
        <f t="shared" si="25"/>
        <v>#N/A</v>
      </c>
      <c r="AH211">
        <f t="shared" si="26"/>
        <v>4.22</v>
      </c>
      <c r="AI211" t="e">
        <f t="shared" si="27"/>
        <v>#N/A</v>
      </c>
    </row>
    <row r="212" spans="1:35" x14ac:dyDescent="0.45">
      <c r="A212" t="s">
        <v>860</v>
      </c>
      <c r="B212">
        <v>46</v>
      </c>
      <c r="C212" t="s">
        <v>27</v>
      </c>
      <c r="D212" t="s">
        <v>95</v>
      </c>
      <c r="E212" t="s">
        <v>29</v>
      </c>
      <c r="F212" t="s">
        <v>47</v>
      </c>
      <c r="G212" t="s">
        <v>96</v>
      </c>
      <c r="H212" t="s">
        <v>71</v>
      </c>
      <c r="I212" t="s">
        <v>33</v>
      </c>
      <c r="J212" t="s">
        <v>861</v>
      </c>
      <c r="K212" t="s">
        <v>862</v>
      </c>
      <c r="L212" t="s">
        <v>36</v>
      </c>
      <c r="M212" t="s">
        <v>2642</v>
      </c>
      <c r="N212" t="s">
        <v>379</v>
      </c>
      <c r="O212" t="s">
        <v>36</v>
      </c>
      <c r="P212" t="s">
        <v>55</v>
      </c>
      <c r="Q212" t="s">
        <v>67</v>
      </c>
      <c r="R212">
        <v>38</v>
      </c>
      <c r="S212">
        <v>0</v>
      </c>
      <c r="T212" t="s">
        <v>85</v>
      </c>
      <c r="U212" t="s">
        <v>42</v>
      </c>
      <c r="V212">
        <v>4.8099999999999996</v>
      </c>
      <c r="W212">
        <v>3.41</v>
      </c>
      <c r="X212">
        <v>8.4</v>
      </c>
      <c r="Y212">
        <v>21.9</v>
      </c>
      <c r="Z212">
        <v>6.9</v>
      </c>
      <c r="AA212">
        <f>VALUE(SUBSTITUTE(DACS19___Pfizer’s_Personalised_Medicine_in[[#This Row],[Dose]],"mg",""))</f>
        <v>200</v>
      </c>
      <c r="AB212">
        <f t="shared" si="21"/>
        <v>200</v>
      </c>
      <c r="AC212" t="s">
        <v>67</v>
      </c>
      <c r="AD212">
        <f t="shared" si="22"/>
        <v>2</v>
      </c>
      <c r="AE212">
        <f t="shared" si="23"/>
        <v>2</v>
      </c>
      <c r="AF212" t="e">
        <f t="shared" si="24"/>
        <v>#N/A</v>
      </c>
      <c r="AG212">
        <f t="shared" si="25"/>
        <v>3.41</v>
      </c>
      <c r="AH212" t="e">
        <f t="shared" si="26"/>
        <v>#N/A</v>
      </c>
      <c r="AI212" t="e">
        <f t="shared" si="27"/>
        <v>#N/A</v>
      </c>
    </row>
    <row r="213" spans="1:35" x14ac:dyDescent="0.45">
      <c r="A213" t="s">
        <v>864</v>
      </c>
      <c r="B213">
        <v>53</v>
      </c>
      <c r="C213" t="s">
        <v>27</v>
      </c>
      <c r="D213" t="s">
        <v>87</v>
      </c>
      <c r="E213" t="s">
        <v>78</v>
      </c>
      <c r="F213" t="s">
        <v>79</v>
      </c>
      <c r="G213" t="s">
        <v>31</v>
      </c>
      <c r="H213" t="s">
        <v>71</v>
      </c>
      <c r="I213" t="s">
        <v>132</v>
      </c>
      <c r="J213" t="s">
        <v>865</v>
      </c>
      <c r="K213" t="s">
        <v>866</v>
      </c>
      <c r="L213" t="s">
        <v>52</v>
      </c>
      <c r="M213" t="s">
        <v>309</v>
      </c>
      <c r="N213" t="s">
        <v>562</v>
      </c>
      <c r="O213" t="s">
        <v>52</v>
      </c>
      <c r="P213" t="s">
        <v>110</v>
      </c>
      <c r="Q213" t="s">
        <v>40</v>
      </c>
      <c r="R213">
        <v>85</v>
      </c>
      <c r="S213">
        <v>0</v>
      </c>
      <c r="T213" t="s">
        <v>85</v>
      </c>
      <c r="U213" t="s">
        <v>57</v>
      </c>
      <c r="V213">
        <v>1.85</v>
      </c>
      <c r="W213">
        <v>3.44</v>
      </c>
      <c r="X213">
        <v>4.7</v>
      </c>
      <c r="Y213">
        <v>21.1</v>
      </c>
      <c r="Z213">
        <v>18.3</v>
      </c>
      <c r="AA213">
        <f>VALUE(SUBSTITUTE(DACS19___Pfizer’s_Personalised_Medicine_in[[#This Row],[Dose]],"mg",""))</f>
        <v>100</v>
      </c>
      <c r="AB213">
        <f t="shared" si="21"/>
        <v>100</v>
      </c>
      <c r="AC213" t="s">
        <v>40</v>
      </c>
      <c r="AD213">
        <f t="shared" si="22"/>
        <v>3</v>
      </c>
      <c r="AE213">
        <f t="shared" si="23"/>
        <v>1</v>
      </c>
      <c r="AF213" t="e">
        <f t="shared" si="24"/>
        <v>#N/A</v>
      </c>
      <c r="AG213">
        <f t="shared" si="25"/>
        <v>3.44</v>
      </c>
      <c r="AH213" t="e">
        <f t="shared" si="26"/>
        <v>#N/A</v>
      </c>
      <c r="AI213" t="e">
        <f t="shared" si="27"/>
        <v>#N/A</v>
      </c>
    </row>
    <row r="214" spans="1:35" x14ac:dyDescent="0.45">
      <c r="A214" t="s">
        <v>867</v>
      </c>
      <c r="B214">
        <v>77</v>
      </c>
      <c r="C214" t="s">
        <v>44</v>
      </c>
      <c r="D214" t="s">
        <v>87</v>
      </c>
      <c r="E214" t="s">
        <v>78</v>
      </c>
      <c r="F214" t="s">
        <v>2614</v>
      </c>
      <c r="G214" t="s">
        <v>60</v>
      </c>
      <c r="H214" t="s">
        <v>71</v>
      </c>
      <c r="I214" t="s">
        <v>132</v>
      </c>
      <c r="J214" t="s">
        <v>556</v>
      </c>
      <c r="K214" t="s">
        <v>868</v>
      </c>
      <c r="L214" t="s">
        <v>52</v>
      </c>
      <c r="M214" t="s">
        <v>304</v>
      </c>
      <c r="N214" t="s">
        <v>459</v>
      </c>
      <c r="O214" t="s">
        <v>52</v>
      </c>
      <c r="P214" t="s">
        <v>55</v>
      </c>
      <c r="Q214" t="s">
        <v>75</v>
      </c>
      <c r="R214">
        <v>38</v>
      </c>
      <c r="S214">
        <v>0</v>
      </c>
      <c r="T214" t="s">
        <v>56</v>
      </c>
      <c r="U214" t="s">
        <v>57</v>
      </c>
      <c r="V214">
        <v>2.41</v>
      </c>
      <c r="W214">
        <v>1.95</v>
      </c>
      <c r="X214">
        <v>8</v>
      </c>
      <c r="Y214">
        <v>10.9</v>
      </c>
      <c r="Z214">
        <v>17</v>
      </c>
      <c r="AA214">
        <f>VALUE(SUBSTITUTE(DACS19___Pfizer’s_Personalised_Medicine_in[[#This Row],[Dose]],"mg",""))</f>
        <v>100</v>
      </c>
      <c r="AB214">
        <f t="shared" si="21"/>
        <v>100</v>
      </c>
      <c r="AC214" t="s">
        <v>75</v>
      </c>
      <c r="AD214">
        <f t="shared" si="22"/>
        <v>1</v>
      </c>
      <c r="AE214">
        <f t="shared" si="23"/>
        <v>2</v>
      </c>
      <c r="AF214" t="e">
        <f t="shared" si="24"/>
        <v>#N/A</v>
      </c>
      <c r="AG214">
        <f t="shared" si="25"/>
        <v>1.95</v>
      </c>
      <c r="AH214" t="e">
        <f t="shared" si="26"/>
        <v>#N/A</v>
      </c>
      <c r="AI214" t="e">
        <f t="shared" si="27"/>
        <v>#N/A</v>
      </c>
    </row>
    <row r="215" spans="1:35" x14ac:dyDescent="0.45">
      <c r="A215" t="s">
        <v>869</v>
      </c>
      <c r="B215">
        <v>79</v>
      </c>
      <c r="C215" t="s">
        <v>45</v>
      </c>
      <c r="D215" t="s">
        <v>87</v>
      </c>
      <c r="E215" t="s">
        <v>78</v>
      </c>
      <c r="F215" t="s">
        <v>88</v>
      </c>
      <c r="G215" t="s">
        <v>178</v>
      </c>
      <c r="H215" t="s">
        <v>61</v>
      </c>
      <c r="I215" t="s">
        <v>33</v>
      </c>
      <c r="J215" t="s">
        <v>870</v>
      </c>
      <c r="K215" t="s">
        <v>871</v>
      </c>
      <c r="L215" t="s">
        <v>52</v>
      </c>
      <c r="M215" t="s">
        <v>872</v>
      </c>
      <c r="N215" t="s">
        <v>532</v>
      </c>
      <c r="O215" t="s">
        <v>52</v>
      </c>
      <c r="P215" t="s">
        <v>55</v>
      </c>
      <c r="Q215" t="s">
        <v>67</v>
      </c>
      <c r="R215">
        <v>147</v>
      </c>
      <c r="S215">
        <v>0</v>
      </c>
      <c r="T215" t="s">
        <v>85</v>
      </c>
      <c r="U215" t="s">
        <v>42</v>
      </c>
      <c r="V215">
        <v>2.69</v>
      </c>
      <c r="W215">
        <v>3.67</v>
      </c>
      <c r="X215">
        <v>1.9</v>
      </c>
      <c r="Y215">
        <v>17.2</v>
      </c>
      <c r="Z215">
        <v>10.7</v>
      </c>
      <c r="AA215">
        <f>VALUE(SUBSTITUTE(DACS19___Pfizer’s_Personalised_Medicine_in[[#This Row],[Dose]],"mg",""))</f>
        <v>100</v>
      </c>
      <c r="AB215">
        <f t="shared" si="21"/>
        <v>100</v>
      </c>
      <c r="AC215" t="s">
        <v>67</v>
      </c>
      <c r="AD215">
        <f t="shared" si="22"/>
        <v>2</v>
      </c>
      <c r="AE215">
        <f t="shared" si="23"/>
        <v>2</v>
      </c>
      <c r="AF215">
        <f t="shared" si="24"/>
        <v>3.67</v>
      </c>
      <c r="AG215" t="e">
        <f t="shared" si="25"/>
        <v>#N/A</v>
      </c>
      <c r="AH215" t="e">
        <f t="shared" si="26"/>
        <v>#N/A</v>
      </c>
      <c r="AI215" t="e">
        <f t="shared" si="27"/>
        <v>#N/A</v>
      </c>
    </row>
    <row r="216" spans="1:35" x14ac:dyDescent="0.45">
      <c r="A216" t="s">
        <v>873</v>
      </c>
      <c r="B216">
        <v>76</v>
      </c>
      <c r="C216" t="s">
        <v>44</v>
      </c>
      <c r="D216" t="s">
        <v>106</v>
      </c>
      <c r="E216" t="s">
        <v>78</v>
      </c>
      <c r="F216" t="s">
        <v>59</v>
      </c>
      <c r="G216" t="s">
        <v>440</v>
      </c>
      <c r="H216" t="s">
        <v>61</v>
      </c>
      <c r="I216" t="s">
        <v>49</v>
      </c>
      <c r="J216" t="s">
        <v>874</v>
      </c>
      <c r="K216" t="s">
        <v>875</v>
      </c>
      <c r="L216" t="s">
        <v>92</v>
      </c>
      <c r="M216" t="s">
        <v>2627</v>
      </c>
      <c r="N216" t="s">
        <v>156</v>
      </c>
      <c r="O216" t="s">
        <v>92</v>
      </c>
      <c r="P216" t="s">
        <v>110</v>
      </c>
      <c r="Q216" t="s">
        <v>75</v>
      </c>
      <c r="R216">
        <v>177</v>
      </c>
      <c r="S216">
        <v>0</v>
      </c>
      <c r="T216" t="s">
        <v>41</v>
      </c>
      <c r="U216" t="s">
        <v>42</v>
      </c>
      <c r="V216">
        <v>3.35</v>
      </c>
      <c r="W216">
        <v>1.67</v>
      </c>
      <c r="X216">
        <v>7.6</v>
      </c>
      <c r="Y216">
        <v>21.5</v>
      </c>
      <c r="Z216">
        <v>6.7</v>
      </c>
      <c r="AA216">
        <f>VALUE(SUBSTITUTE(DACS19___Pfizer’s_Personalised_Medicine_in[[#This Row],[Dose]],"mg",""))</f>
        <v>50</v>
      </c>
      <c r="AB216">
        <f t="shared" si="21"/>
        <v>50</v>
      </c>
      <c r="AC216" t="s">
        <v>75</v>
      </c>
      <c r="AD216">
        <f t="shared" si="22"/>
        <v>1</v>
      </c>
      <c r="AE216">
        <f t="shared" si="23"/>
        <v>1</v>
      </c>
      <c r="AF216">
        <f t="shared" si="24"/>
        <v>1.67</v>
      </c>
      <c r="AG216" t="e">
        <f t="shared" si="25"/>
        <v>#N/A</v>
      </c>
      <c r="AH216" t="e">
        <f t="shared" si="26"/>
        <v>#N/A</v>
      </c>
      <c r="AI216" t="e">
        <f t="shared" si="27"/>
        <v>#N/A</v>
      </c>
    </row>
    <row r="217" spans="1:35" x14ac:dyDescent="0.45">
      <c r="A217" t="s">
        <v>876</v>
      </c>
      <c r="B217">
        <v>60</v>
      </c>
      <c r="C217" t="s">
        <v>45</v>
      </c>
      <c r="D217" t="s">
        <v>87</v>
      </c>
      <c r="E217" t="s">
        <v>29</v>
      </c>
      <c r="F217" t="s">
        <v>2614</v>
      </c>
      <c r="G217" t="s">
        <v>194</v>
      </c>
      <c r="H217" t="s">
        <v>61</v>
      </c>
      <c r="I217" t="s">
        <v>49</v>
      </c>
      <c r="J217" t="s">
        <v>414</v>
      </c>
      <c r="K217" t="s">
        <v>877</v>
      </c>
      <c r="L217" t="s">
        <v>92</v>
      </c>
      <c r="M217" t="s">
        <v>2615</v>
      </c>
      <c r="N217" t="s">
        <v>122</v>
      </c>
      <c r="O217" t="s">
        <v>92</v>
      </c>
      <c r="P217" t="s">
        <v>110</v>
      </c>
      <c r="Q217" t="s">
        <v>129</v>
      </c>
      <c r="R217">
        <v>173</v>
      </c>
      <c r="S217">
        <v>0</v>
      </c>
      <c r="T217" t="s">
        <v>41</v>
      </c>
      <c r="U217" t="s">
        <v>42</v>
      </c>
      <c r="V217">
        <v>1.38</v>
      </c>
      <c r="W217">
        <v>1.0900000000000001</v>
      </c>
      <c r="X217">
        <v>6.8</v>
      </c>
      <c r="Y217">
        <v>16.899999999999999</v>
      </c>
      <c r="Z217">
        <v>12.3</v>
      </c>
      <c r="AA217">
        <f>VALUE(SUBSTITUTE(DACS19___Pfizer’s_Personalised_Medicine_in[[#This Row],[Dose]],"mg",""))</f>
        <v>50</v>
      </c>
      <c r="AB217">
        <f t="shared" si="21"/>
        <v>50</v>
      </c>
      <c r="AC217" t="s">
        <v>129</v>
      </c>
      <c r="AD217">
        <f t="shared" si="22"/>
        <v>4</v>
      </c>
      <c r="AE217">
        <f t="shared" si="23"/>
        <v>1</v>
      </c>
      <c r="AF217">
        <f t="shared" si="24"/>
        <v>1.0900000000000001</v>
      </c>
      <c r="AG217" t="e">
        <f t="shared" si="25"/>
        <v>#N/A</v>
      </c>
      <c r="AH217" t="e">
        <f t="shared" si="26"/>
        <v>#N/A</v>
      </c>
      <c r="AI217" t="e">
        <f t="shared" si="27"/>
        <v>#N/A</v>
      </c>
    </row>
    <row r="218" spans="1:35" x14ac:dyDescent="0.45">
      <c r="A218" t="s">
        <v>878</v>
      </c>
      <c r="B218">
        <v>60</v>
      </c>
      <c r="C218" t="s">
        <v>27</v>
      </c>
      <c r="D218" t="s">
        <v>45</v>
      </c>
      <c r="E218" t="s">
        <v>163</v>
      </c>
      <c r="F218" t="s">
        <v>2614</v>
      </c>
      <c r="G218" t="s">
        <v>80</v>
      </c>
      <c r="H218" t="s">
        <v>71</v>
      </c>
      <c r="I218" t="s">
        <v>72</v>
      </c>
      <c r="J218" t="s">
        <v>858</v>
      </c>
      <c r="K218" t="s">
        <v>879</v>
      </c>
      <c r="L218" t="s">
        <v>36</v>
      </c>
      <c r="M218" t="s">
        <v>451</v>
      </c>
      <c r="N218" t="s">
        <v>208</v>
      </c>
      <c r="O218" t="s">
        <v>36</v>
      </c>
      <c r="P218" t="s">
        <v>55</v>
      </c>
      <c r="Q218" t="s">
        <v>40</v>
      </c>
      <c r="R218">
        <v>154</v>
      </c>
      <c r="S218">
        <v>0</v>
      </c>
      <c r="T218" t="s">
        <v>85</v>
      </c>
      <c r="U218" t="s">
        <v>42</v>
      </c>
      <c r="V218">
        <v>1.93</v>
      </c>
      <c r="W218">
        <v>2.56</v>
      </c>
      <c r="X218">
        <v>6.4</v>
      </c>
      <c r="Y218">
        <v>14.9</v>
      </c>
      <c r="Z218">
        <v>19.8</v>
      </c>
      <c r="AA218">
        <f>VALUE(SUBSTITUTE(DACS19___Pfizer’s_Personalised_Medicine_in[[#This Row],[Dose]],"mg",""))</f>
        <v>200</v>
      </c>
      <c r="AB218">
        <f t="shared" si="21"/>
        <v>200</v>
      </c>
      <c r="AC218" t="s">
        <v>40</v>
      </c>
      <c r="AD218">
        <f t="shared" si="22"/>
        <v>3</v>
      </c>
      <c r="AE218">
        <f t="shared" si="23"/>
        <v>2</v>
      </c>
      <c r="AF218" t="e">
        <f t="shared" si="24"/>
        <v>#N/A</v>
      </c>
      <c r="AG218">
        <f t="shared" si="25"/>
        <v>2.56</v>
      </c>
      <c r="AH218" t="e">
        <f t="shared" si="26"/>
        <v>#N/A</v>
      </c>
      <c r="AI218" t="e">
        <f t="shared" si="27"/>
        <v>#N/A</v>
      </c>
    </row>
    <row r="219" spans="1:35" x14ac:dyDescent="0.45">
      <c r="A219" t="s">
        <v>880</v>
      </c>
      <c r="B219">
        <v>78</v>
      </c>
      <c r="C219" t="s">
        <v>45</v>
      </c>
      <c r="D219" t="s">
        <v>45</v>
      </c>
      <c r="E219" t="s">
        <v>29</v>
      </c>
      <c r="F219" t="s">
        <v>2614</v>
      </c>
      <c r="G219" t="s">
        <v>440</v>
      </c>
      <c r="H219" t="s">
        <v>32</v>
      </c>
      <c r="I219" t="s">
        <v>49</v>
      </c>
      <c r="J219" t="s">
        <v>881</v>
      </c>
      <c r="K219" t="s">
        <v>325</v>
      </c>
      <c r="L219" t="s">
        <v>36</v>
      </c>
      <c r="M219" t="s">
        <v>2614</v>
      </c>
      <c r="N219" t="s">
        <v>331</v>
      </c>
      <c r="O219" t="s">
        <v>36</v>
      </c>
      <c r="P219" t="s">
        <v>39</v>
      </c>
      <c r="Q219" t="s">
        <v>67</v>
      </c>
      <c r="R219">
        <v>100</v>
      </c>
      <c r="S219">
        <v>1</v>
      </c>
      <c r="T219" t="s">
        <v>123</v>
      </c>
      <c r="U219" t="s">
        <v>42</v>
      </c>
      <c r="V219">
        <v>1.55</v>
      </c>
      <c r="W219">
        <v>3.78</v>
      </c>
      <c r="X219">
        <v>4.5999999999999996</v>
      </c>
      <c r="Y219">
        <v>13.7</v>
      </c>
      <c r="Z219">
        <v>15.2</v>
      </c>
      <c r="AA219">
        <f>VALUE(SUBSTITUTE(DACS19___Pfizer’s_Personalised_Medicine_in[[#This Row],[Dose]],"mg",""))</f>
        <v>200</v>
      </c>
      <c r="AB219">
        <f t="shared" si="21"/>
        <v>200</v>
      </c>
      <c r="AC219" t="s">
        <v>67</v>
      </c>
      <c r="AD219">
        <f t="shared" si="22"/>
        <v>2</v>
      </c>
      <c r="AE219">
        <f t="shared" si="23"/>
        <v>3</v>
      </c>
      <c r="AF219" t="e">
        <f t="shared" si="24"/>
        <v>#N/A</v>
      </c>
      <c r="AG219" t="e">
        <f t="shared" si="25"/>
        <v>#N/A</v>
      </c>
      <c r="AH219">
        <f t="shared" si="26"/>
        <v>3.78</v>
      </c>
      <c r="AI219" t="e">
        <f t="shared" si="27"/>
        <v>#N/A</v>
      </c>
    </row>
    <row r="220" spans="1:35" x14ac:dyDescent="0.45">
      <c r="A220" t="s">
        <v>882</v>
      </c>
      <c r="B220">
        <v>81</v>
      </c>
      <c r="C220" t="s">
        <v>27</v>
      </c>
      <c r="D220" t="s">
        <v>106</v>
      </c>
      <c r="E220" t="s">
        <v>29</v>
      </c>
      <c r="F220" t="s">
        <v>2614</v>
      </c>
      <c r="G220" t="s">
        <v>164</v>
      </c>
      <c r="H220" t="s">
        <v>32</v>
      </c>
      <c r="I220" t="s">
        <v>33</v>
      </c>
      <c r="J220" t="s">
        <v>883</v>
      </c>
      <c r="K220" t="s">
        <v>397</v>
      </c>
      <c r="L220" t="s">
        <v>36</v>
      </c>
      <c r="M220" t="s">
        <v>2629</v>
      </c>
      <c r="N220" t="s">
        <v>128</v>
      </c>
      <c r="O220" t="s">
        <v>36</v>
      </c>
      <c r="P220" t="s">
        <v>39</v>
      </c>
      <c r="Q220" t="s">
        <v>129</v>
      </c>
      <c r="R220">
        <v>89</v>
      </c>
      <c r="S220">
        <v>1</v>
      </c>
      <c r="T220" t="s">
        <v>85</v>
      </c>
      <c r="U220" t="s">
        <v>57</v>
      </c>
      <c r="V220">
        <v>3.77</v>
      </c>
      <c r="W220">
        <v>4.97</v>
      </c>
      <c r="X220">
        <v>2.2000000000000002</v>
      </c>
      <c r="Y220">
        <v>7.9</v>
      </c>
      <c r="Z220">
        <v>15.3</v>
      </c>
      <c r="AA220">
        <f>VALUE(SUBSTITUTE(DACS19___Pfizer’s_Personalised_Medicine_in[[#This Row],[Dose]],"mg",""))</f>
        <v>200</v>
      </c>
      <c r="AB220">
        <f t="shared" si="21"/>
        <v>200</v>
      </c>
      <c r="AC220" t="s">
        <v>129</v>
      </c>
      <c r="AD220">
        <f t="shared" si="22"/>
        <v>4</v>
      </c>
      <c r="AE220">
        <f t="shared" si="23"/>
        <v>3</v>
      </c>
      <c r="AF220" t="e">
        <f t="shared" si="24"/>
        <v>#N/A</v>
      </c>
      <c r="AG220" t="e">
        <f t="shared" si="25"/>
        <v>#N/A</v>
      </c>
      <c r="AH220">
        <f t="shared" si="26"/>
        <v>4.97</v>
      </c>
      <c r="AI220" t="e">
        <f t="shared" si="27"/>
        <v>#N/A</v>
      </c>
    </row>
    <row r="221" spans="1:35" x14ac:dyDescent="0.45">
      <c r="A221" t="s">
        <v>884</v>
      </c>
      <c r="B221">
        <v>70</v>
      </c>
      <c r="C221" t="s">
        <v>45</v>
      </c>
      <c r="D221" t="s">
        <v>28</v>
      </c>
      <c r="E221" t="s">
        <v>2614</v>
      </c>
      <c r="F221" t="s">
        <v>69</v>
      </c>
      <c r="G221" t="s">
        <v>178</v>
      </c>
      <c r="H221" t="s">
        <v>81</v>
      </c>
      <c r="I221" t="s">
        <v>33</v>
      </c>
      <c r="J221" t="s">
        <v>885</v>
      </c>
      <c r="K221" t="s">
        <v>660</v>
      </c>
      <c r="L221" t="s">
        <v>64</v>
      </c>
      <c r="M221" t="s">
        <v>2614</v>
      </c>
      <c r="N221" t="s">
        <v>267</v>
      </c>
      <c r="O221" t="s">
        <v>64</v>
      </c>
      <c r="P221" t="s">
        <v>55</v>
      </c>
      <c r="Q221" t="s">
        <v>2614</v>
      </c>
      <c r="R221">
        <v>103</v>
      </c>
      <c r="S221">
        <v>0</v>
      </c>
      <c r="T221" t="s">
        <v>123</v>
      </c>
      <c r="U221" t="s">
        <v>42</v>
      </c>
      <c r="V221">
        <v>3.31</v>
      </c>
      <c r="W221">
        <v>2.1</v>
      </c>
      <c r="X221">
        <v>1.7</v>
      </c>
      <c r="Y221">
        <v>7.5</v>
      </c>
      <c r="Z221">
        <v>18.2</v>
      </c>
      <c r="AA221">
        <f>VALUE(SUBSTITUTE(DACS19___Pfizer’s_Personalised_Medicine_in[[#This Row],[Dose]],"mg",""))</f>
        <v>150</v>
      </c>
      <c r="AB221">
        <f t="shared" si="21"/>
        <v>150</v>
      </c>
      <c r="AC221" t="s">
        <v>2614</v>
      </c>
      <c r="AD221">
        <f t="shared" si="22"/>
        <v>0</v>
      </c>
      <c r="AE221">
        <f t="shared" si="23"/>
        <v>2</v>
      </c>
      <c r="AF221" t="e">
        <f t="shared" si="24"/>
        <v>#N/A</v>
      </c>
      <c r="AG221" t="e">
        <f t="shared" si="25"/>
        <v>#N/A</v>
      </c>
      <c r="AH221" t="e">
        <f t="shared" si="26"/>
        <v>#N/A</v>
      </c>
      <c r="AI221">
        <f t="shared" si="27"/>
        <v>2.1</v>
      </c>
    </row>
    <row r="222" spans="1:35" x14ac:dyDescent="0.45">
      <c r="A222" t="s">
        <v>886</v>
      </c>
      <c r="B222">
        <v>63</v>
      </c>
      <c r="C222" t="s">
        <v>44</v>
      </c>
      <c r="D222" t="s">
        <v>95</v>
      </c>
      <c r="E222" t="s">
        <v>46</v>
      </c>
      <c r="F222" t="s">
        <v>2614</v>
      </c>
      <c r="G222" t="s">
        <v>112</v>
      </c>
      <c r="H222" t="s">
        <v>32</v>
      </c>
      <c r="I222" t="s">
        <v>72</v>
      </c>
      <c r="J222" t="s">
        <v>887</v>
      </c>
      <c r="K222" t="s">
        <v>888</v>
      </c>
      <c r="L222" t="s">
        <v>52</v>
      </c>
      <c r="M222" t="s">
        <v>67</v>
      </c>
      <c r="N222" t="s">
        <v>463</v>
      </c>
      <c r="O222" t="s">
        <v>52</v>
      </c>
      <c r="P222" t="s">
        <v>39</v>
      </c>
      <c r="Q222" t="s">
        <v>2614</v>
      </c>
      <c r="R222">
        <v>177</v>
      </c>
      <c r="S222">
        <v>1</v>
      </c>
      <c r="T222" t="s">
        <v>41</v>
      </c>
      <c r="U222" t="s">
        <v>57</v>
      </c>
      <c r="V222">
        <v>1.77</v>
      </c>
      <c r="W222">
        <v>2.29</v>
      </c>
      <c r="X222">
        <v>3</v>
      </c>
      <c r="Y222">
        <v>12.4</v>
      </c>
      <c r="Z222">
        <v>4.2</v>
      </c>
      <c r="AA222">
        <f>VALUE(SUBSTITUTE(DACS19___Pfizer’s_Personalised_Medicine_in[[#This Row],[Dose]],"mg",""))</f>
        <v>100</v>
      </c>
      <c r="AB222">
        <f t="shared" si="21"/>
        <v>100</v>
      </c>
      <c r="AC222" t="s">
        <v>2614</v>
      </c>
      <c r="AD222">
        <f t="shared" si="22"/>
        <v>0</v>
      </c>
      <c r="AE222">
        <f t="shared" si="23"/>
        <v>3</v>
      </c>
      <c r="AF222" t="e">
        <f t="shared" si="24"/>
        <v>#N/A</v>
      </c>
      <c r="AG222" t="e">
        <f t="shared" si="25"/>
        <v>#N/A</v>
      </c>
      <c r="AH222">
        <f t="shared" si="26"/>
        <v>2.29</v>
      </c>
      <c r="AI222" t="e">
        <f t="shared" si="27"/>
        <v>#N/A</v>
      </c>
    </row>
    <row r="223" spans="1:35" x14ac:dyDescent="0.45">
      <c r="A223" t="s">
        <v>889</v>
      </c>
      <c r="B223">
        <v>51</v>
      </c>
      <c r="C223" t="s">
        <v>44</v>
      </c>
      <c r="D223" t="s">
        <v>106</v>
      </c>
      <c r="E223" t="s">
        <v>46</v>
      </c>
      <c r="F223" t="s">
        <v>2614</v>
      </c>
      <c r="G223" t="s">
        <v>118</v>
      </c>
      <c r="H223" t="s">
        <v>32</v>
      </c>
      <c r="I223" t="s">
        <v>132</v>
      </c>
      <c r="J223" t="s">
        <v>890</v>
      </c>
      <c r="K223" t="s">
        <v>891</v>
      </c>
      <c r="L223" t="s">
        <v>52</v>
      </c>
      <c r="M223" t="s">
        <v>2643</v>
      </c>
      <c r="N223" t="s">
        <v>217</v>
      </c>
      <c r="O223" t="s">
        <v>52</v>
      </c>
      <c r="P223" t="s">
        <v>55</v>
      </c>
      <c r="Q223" t="s">
        <v>67</v>
      </c>
      <c r="R223">
        <v>147</v>
      </c>
      <c r="S223">
        <v>0</v>
      </c>
      <c r="T223" t="s">
        <v>137</v>
      </c>
      <c r="U223" t="s">
        <v>42</v>
      </c>
      <c r="V223">
        <v>3.08</v>
      </c>
      <c r="W223">
        <v>1.27</v>
      </c>
      <c r="X223">
        <v>8.1999999999999993</v>
      </c>
      <c r="Y223">
        <v>10.199999999999999</v>
      </c>
      <c r="Z223">
        <v>12.2</v>
      </c>
      <c r="AA223">
        <f>VALUE(SUBSTITUTE(DACS19___Pfizer’s_Personalised_Medicine_in[[#This Row],[Dose]],"mg",""))</f>
        <v>100</v>
      </c>
      <c r="AB223">
        <f t="shared" si="21"/>
        <v>100</v>
      </c>
      <c r="AC223" t="s">
        <v>67</v>
      </c>
      <c r="AD223">
        <f t="shared" si="22"/>
        <v>2</v>
      </c>
      <c r="AE223">
        <f t="shared" si="23"/>
        <v>2</v>
      </c>
      <c r="AF223" t="e">
        <f t="shared" si="24"/>
        <v>#N/A</v>
      </c>
      <c r="AG223" t="e">
        <f t="shared" si="25"/>
        <v>#N/A</v>
      </c>
      <c r="AH223">
        <f t="shared" si="26"/>
        <v>1.27</v>
      </c>
      <c r="AI223" t="e">
        <f t="shared" si="27"/>
        <v>#N/A</v>
      </c>
    </row>
    <row r="224" spans="1:35" x14ac:dyDescent="0.45">
      <c r="A224" t="s">
        <v>893</v>
      </c>
      <c r="B224">
        <v>18</v>
      </c>
      <c r="C224" t="s">
        <v>45</v>
      </c>
      <c r="D224" t="s">
        <v>45</v>
      </c>
      <c r="E224" t="s">
        <v>29</v>
      </c>
      <c r="F224" t="s">
        <v>59</v>
      </c>
      <c r="G224" t="s">
        <v>70</v>
      </c>
      <c r="H224" t="s">
        <v>32</v>
      </c>
      <c r="I224" t="s">
        <v>72</v>
      </c>
      <c r="J224" t="s">
        <v>894</v>
      </c>
      <c r="K224" t="s">
        <v>895</v>
      </c>
      <c r="L224" t="s">
        <v>92</v>
      </c>
      <c r="M224" t="s">
        <v>517</v>
      </c>
      <c r="N224" t="s">
        <v>327</v>
      </c>
      <c r="O224" t="s">
        <v>92</v>
      </c>
      <c r="P224" t="s">
        <v>110</v>
      </c>
      <c r="Q224" t="s">
        <v>129</v>
      </c>
      <c r="R224">
        <v>108</v>
      </c>
      <c r="S224">
        <v>0</v>
      </c>
      <c r="T224" t="s">
        <v>123</v>
      </c>
      <c r="U224" t="s">
        <v>57</v>
      </c>
      <c r="V224">
        <v>4.5199999999999996</v>
      </c>
      <c r="W224">
        <v>3.6</v>
      </c>
      <c r="X224">
        <v>5.8</v>
      </c>
      <c r="Y224">
        <v>11.8</v>
      </c>
      <c r="Z224">
        <v>8.6999999999999993</v>
      </c>
      <c r="AA224">
        <f>VALUE(SUBSTITUTE(DACS19___Pfizer’s_Personalised_Medicine_in[[#This Row],[Dose]],"mg",""))</f>
        <v>50</v>
      </c>
      <c r="AB224">
        <f t="shared" si="21"/>
        <v>50</v>
      </c>
      <c r="AC224" t="s">
        <v>129</v>
      </c>
      <c r="AD224">
        <f t="shared" si="22"/>
        <v>4</v>
      </c>
      <c r="AE224">
        <f t="shared" si="23"/>
        <v>1</v>
      </c>
      <c r="AF224" t="e">
        <f t="shared" si="24"/>
        <v>#N/A</v>
      </c>
      <c r="AG224" t="e">
        <f t="shared" si="25"/>
        <v>#N/A</v>
      </c>
      <c r="AH224">
        <f t="shared" si="26"/>
        <v>3.6</v>
      </c>
      <c r="AI224" t="e">
        <f t="shared" si="27"/>
        <v>#N/A</v>
      </c>
    </row>
    <row r="225" spans="1:35" x14ac:dyDescent="0.45">
      <c r="A225" t="s">
        <v>896</v>
      </c>
      <c r="B225">
        <v>46</v>
      </c>
      <c r="C225" t="s">
        <v>44</v>
      </c>
      <c r="D225" t="s">
        <v>28</v>
      </c>
      <c r="E225" t="s">
        <v>163</v>
      </c>
      <c r="F225" t="s">
        <v>69</v>
      </c>
      <c r="G225" t="s">
        <v>89</v>
      </c>
      <c r="H225" t="s">
        <v>71</v>
      </c>
      <c r="I225" t="s">
        <v>132</v>
      </c>
      <c r="J225" t="s">
        <v>897</v>
      </c>
      <c r="K225" t="s">
        <v>325</v>
      </c>
      <c r="L225" t="s">
        <v>36</v>
      </c>
      <c r="M225" t="s">
        <v>304</v>
      </c>
      <c r="N225" t="s">
        <v>408</v>
      </c>
      <c r="O225" t="s">
        <v>36</v>
      </c>
      <c r="P225" t="s">
        <v>55</v>
      </c>
      <c r="Q225" t="s">
        <v>75</v>
      </c>
      <c r="R225">
        <v>160</v>
      </c>
      <c r="S225">
        <v>0</v>
      </c>
      <c r="T225" t="s">
        <v>123</v>
      </c>
      <c r="U225" t="s">
        <v>57</v>
      </c>
      <c r="V225">
        <v>3.68</v>
      </c>
      <c r="W225">
        <v>4.9800000000000004</v>
      </c>
      <c r="X225">
        <v>7</v>
      </c>
      <c r="Y225">
        <v>16</v>
      </c>
      <c r="Z225">
        <v>15.4</v>
      </c>
      <c r="AA225">
        <f>VALUE(SUBSTITUTE(DACS19___Pfizer’s_Personalised_Medicine_in[[#This Row],[Dose]],"mg",""))</f>
        <v>200</v>
      </c>
      <c r="AB225">
        <f t="shared" si="21"/>
        <v>200</v>
      </c>
      <c r="AC225" t="s">
        <v>75</v>
      </c>
      <c r="AD225">
        <f t="shared" si="22"/>
        <v>1</v>
      </c>
      <c r="AE225">
        <f t="shared" si="23"/>
        <v>2</v>
      </c>
      <c r="AF225" t="e">
        <f t="shared" si="24"/>
        <v>#N/A</v>
      </c>
      <c r="AG225">
        <f t="shared" si="25"/>
        <v>4.9800000000000004</v>
      </c>
      <c r="AH225" t="e">
        <f t="shared" si="26"/>
        <v>#N/A</v>
      </c>
      <c r="AI225" t="e">
        <f t="shared" si="27"/>
        <v>#N/A</v>
      </c>
    </row>
    <row r="226" spans="1:35" x14ac:dyDescent="0.45">
      <c r="A226" t="s">
        <v>898</v>
      </c>
      <c r="B226">
        <v>68</v>
      </c>
      <c r="C226" t="s">
        <v>27</v>
      </c>
      <c r="D226" t="s">
        <v>95</v>
      </c>
      <c r="E226" t="s">
        <v>2614</v>
      </c>
      <c r="F226" t="s">
        <v>88</v>
      </c>
      <c r="G226" t="s">
        <v>276</v>
      </c>
      <c r="H226" t="s">
        <v>32</v>
      </c>
      <c r="I226" t="s">
        <v>132</v>
      </c>
      <c r="J226" t="s">
        <v>899</v>
      </c>
      <c r="K226" t="s">
        <v>900</v>
      </c>
      <c r="L226" t="s">
        <v>92</v>
      </c>
      <c r="M226" t="s">
        <v>40</v>
      </c>
      <c r="N226" t="s">
        <v>808</v>
      </c>
      <c r="O226" t="s">
        <v>92</v>
      </c>
      <c r="P226" t="s">
        <v>55</v>
      </c>
      <c r="Q226" t="s">
        <v>40</v>
      </c>
      <c r="R226">
        <v>103</v>
      </c>
      <c r="S226">
        <v>0</v>
      </c>
      <c r="T226" t="s">
        <v>41</v>
      </c>
      <c r="U226" t="s">
        <v>57</v>
      </c>
      <c r="V226">
        <v>2.86</v>
      </c>
      <c r="W226">
        <v>1.24</v>
      </c>
      <c r="X226">
        <v>6.1</v>
      </c>
      <c r="Y226">
        <v>23.2</v>
      </c>
      <c r="Z226">
        <v>6</v>
      </c>
      <c r="AA226">
        <f>VALUE(SUBSTITUTE(DACS19___Pfizer’s_Personalised_Medicine_in[[#This Row],[Dose]],"mg",""))</f>
        <v>50</v>
      </c>
      <c r="AB226">
        <f t="shared" si="21"/>
        <v>50</v>
      </c>
      <c r="AC226" t="s">
        <v>40</v>
      </c>
      <c r="AD226">
        <f t="shared" si="22"/>
        <v>3</v>
      </c>
      <c r="AE226">
        <f t="shared" si="23"/>
        <v>2</v>
      </c>
      <c r="AF226" t="e">
        <f t="shared" si="24"/>
        <v>#N/A</v>
      </c>
      <c r="AG226" t="e">
        <f t="shared" si="25"/>
        <v>#N/A</v>
      </c>
      <c r="AH226">
        <f t="shared" si="26"/>
        <v>1.24</v>
      </c>
      <c r="AI226" t="e">
        <f t="shared" si="27"/>
        <v>#N/A</v>
      </c>
    </row>
    <row r="227" spans="1:35" x14ac:dyDescent="0.45">
      <c r="A227" t="s">
        <v>901</v>
      </c>
      <c r="B227">
        <v>71</v>
      </c>
      <c r="C227" t="s">
        <v>27</v>
      </c>
      <c r="D227" t="s">
        <v>45</v>
      </c>
      <c r="E227" t="s">
        <v>29</v>
      </c>
      <c r="F227" t="s">
        <v>79</v>
      </c>
      <c r="G227" t="s">
        <v>276</v>
      </c>
      <c r="H227" t="s">
        <v>81</v>
      </c>
      <c r="I227" t="s">
        <v>132</v>
      </c>
      <c r="J227" t="s">
        <v>902</v>
      </c>
      <c r="K227" t="s">
        <v>903</v>
      </c>
      <c r="L227" t="s">
        <v>92</v>
      </c>
      <c r="M227" t="s">
        <v>40</v>
      </c>
      <c r="N227" t="s">
        <v>586</v>
      </c>
      <c r="O227" t="s">
        <v>92</v>
      </c>
      <c r="P227" t="s">
        <v>55</v>
      </c>
      <c r="Q227" t="s">
        <v>40</v>
      </c>
      <c r="R227">
        <v>74</v>
      </c>
      <c r="S227">
        <v>0</v>
      </c>
      <c r="T227" t="s">
        <v>85</v>
      </c>
      <c r="U227" t="s">
        <v>57</v>
      </c>
      <c r="V227">
        <v>3.76</v>
      </c>
      <c r="W227">
        <v>1.8</v>
      </c>
      <c r="X227">
        <v>5.8</v>
      </c>
      <c r="Y227">
        <v>7.7</v>
      </c>
      <c r="Z227">
        <v>10.7</v>
      </c>
      <c r="AA227">
        <f>VALUE(SUBSTITUTE(DACS19___Pfizer’s_Personalised_Medicine_in[[#This Row],[Dose]],"mg",""))</f>
        <v>50</v>
      </c>
      <c r="AB227">
        <f t="shared" si="21"/>
        <v>50</v>
      </c>
      <c r="AC227" t="s">
        <v>40</v>
      </c>
      <c r="AD227">
        <f t="shared" si="22"/>
        <v>3</v>
      </c>
      <c r="AE227">
        <f t="shared" si="23"/>
        <v>2</v>
      </c>
      <c r="AF227" t="e">
        <f t="shared" si="24"/>
        <v>#N/A</v>
      </c>
      <c r="AG227" t="e">
        <f t="shared" si="25"/>
        <v>#N/A</v>
      </c>
      <c r="AH227" t="e">
        <f t="shared" si="26"/>
        <v>#N/A</v>
      </c>
      <c r="AI227">
        <f t="shared" si="27"/>
        <v>1.8</v>
      </c>
    </row>
    <row r="228" spans="1:35" x14ac:dyDescent="0.45">
      <c r="A228" t="s">
        <v>904</v>
      </c>
      <c r="B228">
        <v>35</v>
      </c>
      <c r="C228" t="s">
        <v>27</v>
      </c>
      <c r="D228" t="s">
        <v>106</v>
      </c>
      <c r="E228" t="s">
        <v>78</v>
      </c>
      <c r="F228" t="s">
        <v>47</v>
      </c>
      <c r="G228" t="s">
        <v>118</v>
      </c>
      <c r="H228" t="s">
        <v>32</v>
      </c>
      <c r="I228" t="s">
        <v>132</v>
      </c>
      <c r="J228" t="s">
        <v>905</v>
      </c>
      <c r="K228" t="s">
        <v>906</v>
      </c>
      <c r="L228" t="s">
        <v>52</v>
      </c>
      <c r="M228" t="s">
        <v>129</v>
      </c>
      <c r="N228" t="s">
        <v>690</v>
      </c>
      <c r="O228" t="s">
        <v>52</v>
      </c>
      <c r="P228" t="s">
        <v>55</v>
      </c>
      <c r="Q228" t="s">
        <v>2614</v>
      </c>
      <c r="R228">
        <v>150</v>
      </c>
      <c r="S228">
        <v>0</v>
      </c>
      <c r="T228" t="s">
        <v>123</v>
      </c>
      <c r="U228" t="s">
        <v>57</v>
      </c>
      <c r="V228">
        <v>4.0199999999999996</v>
      </c>
      <c r="W228">
        <v>2.39</v>
      </c>
      <c r="X228">
        <v>7</v>
      </c>
      <c r="Y228">
        <v>20.3</v>
      </c>
      <c r="Z228">
        <v>18.8</v>
      </c>
      <c r="AA228">
        <f>VALUE(SUBSTITUTE(DACS19___Pfizer’s_Personalised_Medicine_in[[#This Row],[Dose]],"mg",""))</f>
        <v>100</v>
      </c>
      <c r="AB228">
        <f t="shared" si="21"/>
        <v>100</v>
      </c>
      <c r="AC228" t="s">
        <v>2614</v>
      </c>
      <c r="AD228">
        <f t="shared" si="22"/>
        <v>0</v>
      </c>
      <c r="AE228">
        <f t="shared" si="23"/>
        <v>2</v>
      </c>
      <c r="AF228" t="e">
        <f t="shared" si="24"/>
        <v>#N/A</v>
      </c>
      <c r="AG228" t="e">
        <f t="shared" si="25"/>
        <v>#N/A</v>
      </c>
      <c r="AH228">
        <f t="shared" si="26"/>
        <v>2.39</v>
      </c>
      <c r="AI228" t="e">
        <f t="shared" si="27"/>
        <v>#N/A</v>
      </c>
    </row>
    <row r="229" spans="1:35" x14ac:dyDescent="0.45">
      <c r="A229" t="s">
        <v>907</v>
      </c>
      <c r="B229">
        <v>71</v>
      </c>
      <c r="C229" t="s">
        <v>27</v>
      </c>
      <c r="D229" t="s">
        <v>95</v>
      </c>
      <c r="E229" t="s">
        <v>46</v>
      </c>
      <c r="F229" t="s">
        <v>59</v>
      </c>
      <c r="G229" t="s">
        <v>70</v>
      </c>
      <c r="H229" t="s">
        <v>61</v>
      </c>
      <c r="I229" t="s">
        <v>132</v>
      </c>
      <c r="J229" t="s">
        <v>200</v>
      </c>
      <c r="K229" t="s">
        <v>201</v>
      </c>
      <c r="L229" t="s">
        <v>64</v>
      </c>
      <c r="M229" t="s">
        <v>908</v>
      </c>
      <c r="N229" t="s">
        <v>909</v>
      </c>
      <c r="O229" t="s">
        <v>64</v>
      </c>
      <c r="P229" t="s">
        <v>110</v>
      </c>
      <c r="Q229" t="s">
        <v>75</v>
      </c>
      <c r="R229">
        <v>34</v>
      </c>
      <c r="S229">
        <v>0</v>
      </c>
      <c r="T229" t="s">
        <v>137</v>
      </c>
      <c r="U229" t="s">
        <v>42</v>
      </c>
      <c r="V229">
        <v>1.94</v>
      </c>
      <c r="W229">
        <v>2.6</v>
      </c>
      <c r="X229">
        <v>2.4</v>
      </c>
      <c r="Y229">
        <v>23.9</v>
      </c>
      <c r="Z229">
        <v>18.8</v>
      </c>
      <c r="AA229">
        <f>VALUE(SUBSTITUTE(DACS19___Pfizer’s_Personalised_Medicine_in[[#This Row],[Dose]],"mg",""))</f>
        <v>150</v>
      </c>
      <c r="AB229">
        <f t="shared" si="21"/>
        <v>150</v>
      </c>
      <c r="AC229" t="s">
        <v>75</v>
      </c>
      <c r="AD229">
        <f t="shared" si="22"/>
        <v>1</v>
      </c>
      <c r="AE229">
        <f t="shared" si="23"/>
        <v>1</v>
      </c>
      <c r="AF229">
        <f t="shared" si="24"/>
        <v>2.6</v>
      </c>
      <c r="AG229" t="e">
        <f t="shared" si="25"/>
        <v>#N/A</v>
      </c>
      <c r="AH229" t="e">
        <f t="shared" si="26"/>
        <v>#N/A</v>
      </c>
      <c r="AI229" t="e">
        <f t="shared" si="27"/>
        <v>#N/A</v>
      </c>
    </row>
    <row r="230" spans="1:35" x14ac:dyDescent="0.45">
      <c r="A230" t="s">
        <v>910</v>
      </c>
      <c r="B230">
        <v>25</v>
      </c>
      <c r="C230" t="s">
        <v>27</v>
      </c>
      <c r="D230" t="s">
        <v>28</v>
      </c>
      <c r="E230" t="s">
        <v>78</v>
      </c>
      <c r="F230" t="s">
        <v>2614</v>
      </c>
      <c r="G230" t="s">
        <v>96</v>
      </c>
      <c r="H230" t="s">
        <v>32</v>
      </c>
      <c r="I230" t="s">
        <v>72</v>
      </c>
      <c r="J230" t="s">
        <v>911</v>
      </c>
      <c r="K230" t="s">
        <v>912</v>
      </c>
      <c r="L230" t="s">
        <v>64</v>
      </c>
      <c r="M230" t="s">
        <v>2614</v>
      </c>
      <c r="N230" t="s">
        <v>198</v>
      </c>
      <c r="O230" t="s">
        <v>64</v>
      </c>
      <c r="P230" t="s">
        <v>110</v>
      </c>
      <c r="Q230" t="s">
        <v>129</v>
      </c>
      <c r="R230">
        <v>161</v>
      </c>
      <c r="S230">
        <v>0</v>
      </c>
      <c r="T230" t="s">
        <v>41</v>
      </c>
      <c r="U230" t="s">
        <v>42</v>
      </c>
      <c r="V230">
        <v>3.16</v>
      </c>
      <c r="W230">
        <v>4.37</v>
      </c>
      <c r="X230">
        <v>5.7</v>
      </c>
      <c r="Y230">
        <v>17.2</v>
      </c>
      <c r="Z230">
        <v>4.5</v>
      </c>
      <c r="AA230">
        <f>VALUE(SUBSTITUTE(DACS19___Pfizer’s_Personalised_Medicine_in[[#This Row],[Dose]],"mg",""))</f>
        <v>150</v>
      </c>
      <c r="AB230">
        <f t="shared" si="21"/>
        <v>150</v>
      </c>
      <c r="AC230" t="s">
        <v>129</v>
      </c>
      <c r="AD230">
        <f t="shared" si="22"/>
        <v>4</v>
      </c>
      <c r="AE230">
        <f t="shared" si="23"/>
        <v>1</v>
      </c>
      <c r="AF230" t="e">
        <f t="shared" si="24"/>
        <v>#N/A</v>
      </c>
      <c r="AG230" t="e">
        <f t="shared" si="25"/>
        <v>#N/A</v>
      </c>
      <c r="AH230">
        <f t="shared" si="26"/>
        <v>4.37</v>
      </c>
      <c r="AI230" t="e">
        <f t="shared" si="27"/>
        <v>#N/A</v>
      </c>
    </row>
    <row r="231" spans="1:35" x14ac:dyDescent="0.45">
      <c r="A231" t="s">
        <v>913</v>
      </c>
      <c r="B231">
        <v>30</v>
      </c>
      <c r="C231" t="s">
        <v>45</v>
      </c>
      <c r="D231" t="s">
        <v>106</v>
      </c>
      <c r="E231" t="s">
        <v>29</v>
      </c>
      <c r="F231" t="s">
        <v>59</v>
      </c>
      <c r="G231" t="s">
        <v>276</v>
      </c>
      <c r="H231" t="s">
        <v>32</v>
      </c>
      <c r="I231" t="s">
        <v>132</v>
      </c>
      <c r="J231" t="s">
        <v>914</v>
      </c>
      <c r="K231" t="s">
        <v>915</v>
      </c>
      <c r="L231" t="s">
        <v>52</v>
      </c>
      <c r="M231" t="s">
        <v>67</v>
      </c>
      <c r="N231" t="s">
        <v>682</v>
      </c>
      <c r="O231" t="s">
        <v>52</v>
      </c>
      <c r="P231" t="s">
        <v>55</v>
      </c>
      <c r="Q231" t="s">
        <v>2614</v>
      </c>
      <c r="R231">
        <v>154</v>
      </c>
      <c r="S231">
        <v>0</v>
      </c>
      <c r="T231" t="s">
        <v>56</v>
      </c>
      <c r="U231" t="s">
        <v>57</v>
      </c>
      <c r="V231">
        <v>4.0199999999999996</v>
      </c>
      <c r="W231">
        <v>1.51</v>
      </c>
      <c r="X231">
        <v>8.4</v>
      </c>
      <c r="Y231">
        <v>20.100000000000001</v>
      </c>
      <c r="Z231">
        <v>15</v>
      </c>
      <c r="AA231">
        <f>VALUE(SUBSTITUTE(DACS19___Pfizer’s_Personalised_Medicine_in[[#This Row],[Dose]],"mg",""))</f>
        <v>100</v>
      </c>
      <c r="AB231">
        <f t="shared" si="21"/>
        <v>100</v>
      </c>
      <c r="AC231" t="s">
        <v>2614</v>
      </c>
      <c r="AD231">
        <f t="shared" si="22"/>
        <v>0</v>
      </c>
      <c r="AE231">
        <f t="shared" si="23"/>
        <v>2</v>
      </c>
      <c r="AF231" t="e">
        <f t="shared" si="24"/>
        <v>#N/A</v>
      </c>
      <c r="AG231" t="e">
        <f t="shared" si="25"/>
        <v>#N/A</v>
      </c>
      <c r="AH231">
        <f t="shared" si="26"/>
        <v>1.51</v>
      </c>
      <c r="AI231" t="e">
        <f t="shared" si="27"/>
        <v>#N/A</v>
      </c>
    </row>
    <row r="232" spans="1:35" x14ac:dyDescent="0.45">
      <c r="A232" t="s">
        <v>916</v>
      </c>
      <c r="B232">
        <v>38</v>
      </c>
      <c r="C232" t="s">
        <v>27</v>
      </c>
      <c r="D232" t="s">
        <v>106</v>
      </c>
      <c r="E232" t="s">
        <v>46</v>
      </c>
      <c r="F232" t="s">
        <v>2614</v>
      </c>
      <c r="G232" t="s">
        <v>89</v>
      </c>
      <c r="H232" t="s">
        <v>61</v>
      </c>
      <c r="I232" t="s">
        <v>33</v>
      </c>
      <c r="J232" t="s">
        <v>917</v>
      </c>
      <c r="K232" t="s">
        <v>918</v>
      </c>
      <c r="L232" t="s">
        <v>92</v>
      </c>
      <c r="M232" t="s">
        <v>2633</v>
      </c>
      <c r="N232" t="s">
        <v>447</v>
      </c>
      <c r="O232" t="s">
        <v>92</v>
      </c>
      <c r="P232" t="s">
        <v>55</v>
      </c>
      <c r="Q232" t="s">
        <v>67</v>
      </c>
      <c r="R232">
        <v>143</v>
      </c>
      <c r="S232">
        <v>0</v>
      </c>
      <c r="T232" t="s">
        <v>85</v>
      </c>
      <c r="U232" t="s">
        <v>57</v>
      </c>
      <c r="V232">
        <v>1.1399999999999999</v>
      </c>
      <c r="W232">
        <v>2.21</v>
      </c>
      <c r="X232">
        <v>3.4</v>
      </c>
      <c r="Y232">
        <v>12.5</v>
      </c>
      <c r="Z232">
        <v>4.5</v>
      </c>
      <c r="AA232">
        <f>VALUE(SUBSTITUTE(DACS19___Pfizer’s_Personalised_Medicine_in[[#This Row],[Dose]],"mg",""))</f>
        <v>50</v>
      </c>
      <c r="AB232">
        <f t="shared" si="21"/>
        <v>50</v>
      </c>
      <c r="AC232" t="s">
        <v>67</v>
      </c>
      <c r="AD232">
        <f t="shared" si="22"/>
        <v>2</v>
      </c>
      <c r="AE232">
        <f t="shared" si="23"/>
        <v>2</v>
      </c>
      <c r="AF232">
        <f t="shared" si="24"/>
        <v>2.21</v>
      </c>
      <c r="AG232" t="e">
        <f t="shared" si="25"/>
        <v>#N/A</v>
      </c>
      <c r="AH232" t="e">
        <f t="shared" si="26"/>
        <v>#N/A</v>
      </c>
      <c r="AI232" t="e">
        <f t="shared" si="27"/>
        <v>#N/A</v>
      </c>
    </row>
    <row r="233" spans="1:35" x14ac:dyDescent="0.45">
      <c r="A233" t="s">
        <v>919</v>
      </c>
      <c r="B233">
        <v>40</v>
      </c>
      <c r="C233" t="s">
        <v>45</v>
      </c>
      <c r="D233" t="s">
        <v>28</v>
      </c>
      <c r="E233" t="s">
        <v>163</v>
      </c>
      <c r="F233" t="s">
        <v>2614</v>
      </c>
      <c r="G233" t="s">
        <v>102</v>
      </c>
      <c r="H233" t="s">
        <v>71</v>
      </c>
      <c r="I233" t="s">
        <v>72</v>
      </c>
      <c r="J233" t="s">
        <v>920</v>
      </c>
      <c r="K233" t="s">
        <v>921</v>
      </c>
      <c r="L233" t="s">
        <v>52</v>
      </c>
      <c r="M233" t="s">
        <v>67</v>
      </c>
      <c r="N233" t="s">
        <v>922</v>
      </c>
      <c r="O233" t="s">
        <v>52</v>
      </c>
      <c r="P233" t="s">
        <v>55</v>
      </c>
      <c r="Q233" t="s">
        <v>129</v>
      </c>
      <c r="R233">
        <v>49</v>
      </c>
      <c r="S233">
        <v>0</v>
      </c>
      <c r="T233" t="s">
        <v>123</v>
      </c>
      <c r="U233" t="s">
        <v>57</v>
      </c>
      <c r="V233">
        <v>4.75</v>
      </c>
      <c r="W233">
        <v>3.22</v>
      </c>
      <c r="X233">
        <v>3.7</v>
      </c>
      <c r="Y233">
        <v>13.1</v>
      </c>
      <c r="Z233">
        <v>10.6</v>
      </c>
      <c r="AA233">
        <f>VALUE(SUBSTITUTE(DACS19___Pfizer’s_Personalised_Medicine_in[[#This Row],[Dose]],"mg",""))</f>
        <v>100</v>
      </c>
      <c r="AB233">
        <f t="shared" si="21"/>
        <v>100</v>
      </c>
      <c r="AC233" t="s">
        <v>129</v>
      </c>
      <c r="AD233">
        <f t="shared" si="22"/>
        <v>4</v>
      </c>
      <c r="AE233">
        <f t="shared" si="23"/>
        <v>2</v>
      </c>
      <c r="AF233" t="e">
        <f t="shared" si="24"/>
        <v>#N/A</v>
      </c>
      <c r="AG233">
        <f t="shared" si="25"/>
        <v>3.22</v>
      </c>
      <c r="AH233" t="e">
        <f t="shared" si="26"/>
        <v>#N/A</v>
      </c>
      <c r="AI233" t="e">
        <f t="shared" si="27"/>
        <v>#N/A</v>
      </c>
    </row>
    <row r="234" spans="1:35" x14ac:dyDescent="0.45">
      <c r="A234" t="s">
        <v>923</v>
      </c>
      <c r="B234">
        <v>73</v>
      </c>
      <c r="C234" t="s">
        <v>27</v>
      </c>
      <c r="D234" t="s">
        <v>106</v>
      </c>
      <c r="E234" t="s">
        <v>163</v>
      </c>
      <c r="F234" t="s">
        <v>69</v>
      </c>
      <c r="G234" t="s">
        <v>80</v>
      </c>
      <c r="H234" t="s">
        <v>61</v>
      </c>
      <c r="I234" t="s">
        <v>33</v>
      </c>
      <c r="J234" t="s">
        <v>924</v>
      </c>
      <c r="K234" t="s">
        <v>925</v>
      </c>
      <c r="L234" t="s">
        <v>64</v>
      </c>
      <c r="M234" t="s">
        <v>446</v>
      </c>
      <c r="N234" t="s">
        <v>926</v>
      </c>
      <c r="O234" t="s">
        <v>64</v>
      </c>
      <c r="P234" t="s">
        <v>39</v>
      </c>
      <c r="Q234" t="s">
        <v>75</v>
      </c>
      <c r="R234">
        <v>81</v>
      </c>
      <c r="S234">
        <v>1</v>
      </c>
      <c r="T234" t="s">
        <v>41</v>
      </c>
      <c r="U234" t="s">
        <v>57</v>
      </c>
      <c r="V234">
        <v>3.4</v>
      </c>
      <c r="W234">
        <v>3.06</v>
      </c>
      <c r="X234">
        <v>9.3000000000000007</v>
      </c>
      <c r="Y234">
        <v>14.9</v>
      </c>
      <c r="Z234">
        <v>19.899999999999999</v>
      </c>
      <c r="AA234">
        <f>VALUE(SUBSTITUTE(DACS19___Pfizer’s_Personalised_Medicine_in[[#This Row],[Dose]],"mg",""))</f>
        <v>150</v>
      </c>
      <c r="AB234">
        <f t="shared" si="21"/>
        <v>150</v>
      </c>
      <c r="AC234" t="s">
        <v>75</v>
      </c>
      <c r="AD234">
        <f t="shared" si="22"/>
        <v>1</v>
      </c>
      <c r="AE234">
        <f t="shared" si="23"/>
        <v>3</v>
      </c>
      <c r="AF234">
        <f t="shared" si="24"/>
        <v>3.06</v>
      </c>
      <c r="AG234" t="e">
        <f t="shared" si="25"/>
        <v>#N/A</v>
      </c>
      <c r="AH234" t="e">
        <f t="shared" si="26"/>
        <v>#N/A</v>
      </c>
      <c r="AI234" t="e">
        <f t="shared" si="27"/>
        <v>#N/A</v>
      </c>
    </row>
    <row r="235" spans="1:35" x14ac:dyDescent="0.45">
      <c r="A235" t="s">
        <v>927</v>
      </c>
      <c r="B235">
        <v>21</v>
      </c>
      <c r="C235" t="s">
        <v>27</v>
      </c>
      <c r="D235" t="s">
        <v>106</v>
      </c>
      <c r="E235" t="s">
        <v>2614</v>
      </c>
      <c r="F235" t="s">
        <v>2614</v>
      </c>
      <c r="G235" t="s">
        <v>194</v>
      </c>
      <c r="H235" t="s">
        <v>32</v>
      </c>
      <c r="I235" t="s">
        <v>72</v>
      </c>
      <c r="J235" t="s">
        <v>928</v>
      </c>
      <c r="K235" t="s">
        <v>929</v>
      </c>
      <c r="L235" t="s">
        <v>92</v>
      </c>
      <c r="M235" t="s">
        <v>75</v>
      </c>
      <c r="N235" t="s">
        <v>930</v>
      </c>
      <c r="O235" t="s">
        <v>92</v>
      </c>
      <c r="P235" t="s">
        <v>39</v>
      </c>
      <c r="Q235" t="s">
        <v>75</v>
      </c>
      <c r="R235">
        <v>85</v>
      </c>
      <c r="S235">
        <v>1</v>
      </c>
      <c r="T235" t="s">
        <v>41</v>
      </c>
      <c r="U235" t="s">
        <v>57</v>
      </c>
      <c r="V235">
        <v>4.41</v>
      </c>
      <c r="W235">
        <v>1.83</v>
      </c>
      <c r="X235">
        <v>9.4</v>
      </c>
      <c r="Y235">
        <v>8.1</v>
      </c>
      <c r="Z235">
        <v>16.899999999999999</v>
      </c>
      <c r="AA235">
        <f>VALUE(SUBSTITUTE(DACS19___Pfizer’s_Personalised_Medicine_in[[#This Row],[Dose]],"mg",""))</f>
        <v>50</v>
      </c>
      <c r="AB235">
        <f t="shared" si="21"/>
        <v>50</v>
      </c>
      <c r="AC235" t="s">
        <v>75</v>
      </c>
      <c r="AD235">
        <f t="shared" si="22"/>
        <v>1</v>
      </c>
      <c r="AE235">
        <f t="shared" si="23"/>
        <v>3</v>
      </c>
      <c r="AF235" t="e">
        <f t="shared" si="24"/>
        <v>#N/A</v>
      </c>
      <c r="AG235" t="e">
        <f t="shared" si="25"/>
        <v>#N/A</v>
      </c>
      <c r="AH235">
        <f t="shared" si="26"/>
        <v>1.83</v>
      </c>
      <c r="AI235" t="e">
        <f t="shared" si="27"/>
        <v>#N/A</v>
      </c>
    </row>
    <row r="236" spans="1:35" x14ac:dyDescent="0.45">
      <c r="A236" t="s">
        <v>931</v>
      </c>
      <c r="B236">
        <v>39</v>
      </c>
      <c r="C236" t="s">
        <v>45</v>
      </c>
      <c r="D236" t="s">
        <v>87</v>
      </c>
      <c r="E236" t="s">
        <v>163</v>
      </c>
      <c r="F236" t="s">
        <v>2614</v>
      </c>
      <c r="G236" t="s">
        <v>246</v>
      </c>
      <c r="H236" t="s">
        <v>81</v>
      </c>
      <c r="I236" t="s">
        <v>132</v>
      </c>
      <c r="J236" t="s">
        <v>932</v>
      </c>
      <c r="K236" t="s">
        <v>933</v>
      </c>
      <c r="L236" t="s">
        <v>92</v>
      </c>
      <c r="M236" t="s">
        <v>2614</v>
      </c>
      <c r="N236" t="s">
        <v>466</v>
      </c>
      <c r="O236" t="s">
        <v>92</v>
      </c>
      <c r="P236" t="s">
        <v>55</v>
      </c>
      <c r="Q236" t="s">
        <v>67</v>
      </c>
      <c r="R236">
        <v>161</v>
      </c>
      <c r="S236">
        <v>0</v>
      </c>
      <c r="T236" t="s">
        <v>41</v>
      </c>
      <c r="U236" t="s">
        <v>57</v>
      </c>
      <c r="V236">
        <v>2.52</v>
      </c>
      <c r="W236">
        <v>4.51</v>
      </c>
      <c r="X236">
        <v>8.8000000000000007</v>
      </c>
      <c r="Y236">
        <v>20.5</v>
      </c>
      <c r="Z236">
        <v>16.399999999999999</v>
      </c>
      <c r="AA236">
        <f>VALUE(SUBSTITUTE(DACS19___Pfizer’s_Personalised_Medicine_in[[#This Row],[Dose]],"mg",""))</f>
        <v>50</v>
      </c>
      <c r="AB236">
        <f t="shared" si="21"/>
        <v>50</v>
      </c>
      <c r="AC236" t="s">
        <v>67</v>
      </c>
      <c r="AD236">
        <f t="shared" si="22"/>
        <v>2</v>
      </c>
      <c r="AE236">
        <f t="shared" si="23"/>
        <v>2</v>
      </c>
      <c r="AF236" t="e">
        <f t="shared" si="24"/>
        <v>#N/A</v>
      </c>
      <c r="AG236" t="e">
        <f t="shared" si="25"/>
        <v>#N/A</v>
      </c>
      <c r="AH236" t="e">
        <f t="shared" si="26"/>
        <v>#N/A</v>
      </c>
      <c r="AI236">
        <f t="shared" si="27"/>
        <v>4.51</v>
      </c>
    </row>
    <row r="237" spans="1:35" x14ac:dyDescent="0.45">
      <c r="A237" t="s">
        <v>934</v>
      </c>
      <c r="B237">
        <v>32</v>
      </c>
      <c r="C237" t="s">
        <v>44</v>
      </c>
      <c r="D237" t="s">
        <v>87</v>
      </c>
      <c r="E237" t="s">
        <v>78</v>
      </c>
      <c r="F237" t="s">
        <v>79</v>
      </c>
      <c r="G237" t="s">
        <v>70</v>
      </c>
      <c r="H237" t="s">
        <v>32</v>
      </c>
      <c r="I237" t="s">
        <v>132</v>
      </c>
      <c r="J237" t="s">
        <v>935</v>
      </c>
      <c r="K237" t="s">
        <v>303</v>
      </c>
      <c r="L237" t="s">
        <v>64</v>
      </c>
      <c r="M237" t="s">
        <v>135</v>
      </c>
      <c r="N237" t="s">
        <v>452</v>
      </c>
      <c r="O237" t="s">
        <v>64</v>
      </c>
      <c r="P237" t="s">
        <v>55</v>
      </c>
      <c r="Q237" t="s">
        <v>75</v>
      </c>
      <c r="R237">
        <v>109</v>
      </c>
      <c r="S237">
        <v>0</v>
      </c>
      <c r="T237" t="s">
        <v>56</v>
      </c>
      <c r="U237" t="s">
        <v>42</v>
      </c>
      <c r="V237">
        <v>2.2200000000000002</v>
      </c>
      <c r="W237">
        <v>1.32</v>
      </c>
      <c r="X237">
        <v>4.5999999999999996</v>
      </c>
      <c r="Y237">
        <v>9.1</v>
      </c>
      <c r="Z237">
        <v>14.8</v>
      </c>
      <c r="AA237">
        <f>VALUE(SUBSTITUTE(DACS19___Pfizer’s_Personalised_Medicine_in[[#This Row],[Dose]],"mg",""))</f>
        <v>150</v>
      </c>
      <c r="AB237">
        <f t="shared" si="21"/>
        <v>150</v>
      </c>
      <c r="AC237" t="s">
        <v>75</v>
      </c>
      <c r="AD237">
        <f t="shared" si="22"/>
        <v>1</v>
      </c>
      <c r="AE237">
        <f t="shared" si="23"/>
        <v>2</v>
      </c>
      <c r="AF237" t="e">
        <f t="shared" si="24"/>
        <v>#N/A</v>
      </c>
      <c r="AG237" t="e">
        <f t="shared" si="25"/>
        <v>#N/A</v>
      </c>
      <c r="AH237">
        <f t="shared" si="26"/>
        <v>1.32</v>
      </c>
      <c r="AI237" t="e">
        <f t="shared" si="27"/>
        <v>#N/A</v>
      </c>
    </row>
    <row r="238" spans="1:35" x14ac:dyDescent="0.45">
      <c r="A238" t="s">
        <v>936</v>
      </c>
      <c r="B238">
        <v>70</v>
      </c>
      <c r="C238" t="s">
        <v>44</v>
      </c>
      <c r="D238" t="s">
        <v>95</v>
      </c>
      <c r="E238" t="s">
        <v>46</v>
      </c>
      <c r="F238" t="s">
        <v>2614</v>
      </c>
      <c r="G238" t="s">
        <v>70</v>
      </c>
      <c r="H238" t="s">
        <v>32</v>
      </c>
      <c r="I238" t="s">
        <v>72</v>
      </c>
      <c r="J238" t="s">
        <v>937</v>
      </c>
      <c r="K238" t="s">
        <v>615</v>
      </c>
      <c r="L238" t="s">
        <v>92</v>
      </c>
      <c r="M238" t="s">
        <v>187</v>
      </c>
      <c r="N238" t="s">
        <v>602</v>
      </c>
      <c r="O238" t="s">
        <v>92</v>
      </c>
      <c r="P238" t="s">
        <v>39</v>
      </c>
      <c r="Q238" t="s">
        <v>40</v>
      </c>
      <c r="R238">
        <v>132</v>
      </c>
      <c r="S238">
        <v>1</v>
      </c>
      <c r="T238" t="s">
        <v>85</v>
      </c>
      <c r="U238" t="s">
        <v>42</v>
      </c>
      <c r="V238">
        <v>2.38</v>
      </c>
      <c r="W238">
        <v>4.9000000000000004</v>
      </c>
      <c r="X238">
        <v>6.8</v>
      </c>
      <c r="Y238">
        <v>20.8</v>
      </c>
      <c r="Z238">
        <v>5.3</v>
      </c>
      <c r="AA238">
        <f>VALUE(SUBSTITUTE(DACS19___Pfizer’s_Personalised_Medicine_in[[#This Row],[Dose]],"mg",""))</f>
        <v>50</v>
      </c>
      <c r="AB238">
        <f t="shared" si="21"/>
        <v>50</v>
      </c>
      <c r="AC238" t="s">
        <v>40</v>
      </c>
      <c r="AD238">
        <f t="shared" si="22"/>
        <v>3</v>
      </c>
      <c r="AE238">
        <f t="shared" si="23"/>
        <v>3</v>
      </c>
      <c r="AF238" t="e">
        <f t="shared" si="24"/>
        <v>#N/A</v>
      </c>
      <c r="AG238" t="e">
        <f t="shared" si="25"/>
        <v>#N/A</v>
      </c>
      <c r="AH238">
        <f t="shared" si="26"/>
        <v>4.9000000000000004</v>
      </c>
      <c r="AI238" t="e">
        <f t="shared" si="27"/>
        <v>#N/A</v>
      </c>
    </row>
    <row r="239" spans="1:35" x14ac:dyDescent="0.45">
      <c r="A239" t="s">
        <v>938</v>
      </c>
      <c r="B239">
        <v>39</v>
      </c>
      <c r="C239" t="s">
        <v>27</v>
      </c>
      <c r="D239" t="s">
        <v>28</v>
      </c>
      <c r="E239" t="s">
        <v>46</v>
      </c>
      <c r="F239" t="s">
        <v>69</v>
      </c>
      <c r="G239" t="s">
        <v>131</v>
      </c>
      <c r="H239" t="s">
        <v>61</v>
      </c>
      <c r="I239" t="s">
        <v>72</v>
      </c>
      <c r="J239" t="s">
        <v>939</v>
      </c>
      <c r="K239" t="s">
        <v>940</v>
      </c>
      <c r="L239" t="s">
        <v>64</v>
      </c>
      <c r="M239" t="s">
        <v>2620</v>
      </c>
      <c r="N239" t="s">
        <v>254</v>
      </c>
      <c r="O239" t="s">
        <v>64</v>
      </c>
      <c r="P239" t="s">
        <v>110</v>
      </c>
      <c r="Q239" t="s">
        <v>40</v>
      </c>
      <c r="R239">
        <v>154</v>
      </c>
      <c r="S239">
        <v>0</v>
      </c>
      <c r="T239" t="s">
        <v>85</v>
      </c>
      <c r="U239" t="s">
        <v>57</v>
      </c>
      <c r="V239">
        <v>4.45</v>
      </c>
      <c r="W239">
        <v>4.6900000000000004</v>
      </c>
      <c r="X239">
        <v>5.4</v>
      </c>
      <c r="Y239">
        <v>16.899999999999999</v>
      </c>
      <c r="Z239">
        <v>16</v>
      </c>
      <c r="AA239">
        <f>VALUE(SUBSTITUTE(DACS19___Pfizer’s_Personalised_Medicine_in[[#This Row],[Dose]],"mg",""))</f>
        <v>150</v>
      </c>
      <c r="AB239">
        <f t="shared" si="21"/>
        <v>150</v>
      </c>
      <c r="AC239" t="s">
        <v>40</v>
      </c>
      <c r="AD239">
        <f t="shared" si="22"/>
        <v>3</v>
      </c>
      <c r="AE239">
        <f t="shared" si="23"/>
        <v>1</v>
      </c>
      <c r="AF239">
        <f t="shared" si="24"/>
        <v>4.6900000000000004</v>
      </c>
      <c r="AG239" t="e">
        <f t="shared" si="25"/>
        <v>#N/A</v>
      </c>
      <c r="AH239" t="e">
        <f t="shared" si="26"/>
        <v>#N/A</v>
      </c>
      <c r="AI239" t="e">
        <f t="shared" si="27"/>
        <v>#N/A</v>
      </c>
    </row>
    <row r="240" spans="1:35" x14ac:dyDescent="0.45">
      <c r="A240" t="s">
        <v>941</v>
      </c>
      <c r="B240">
        <v>36</v>
      </c>
      <c r="C240" t="s">
        <v>44</v>
      </c>
      <c r="D240" t="s">
        <v>87</v>
      </c>
      <c r="E240" t="s">
        <v>163</v>
      </c>
      <c r="F240" t="s">
        <v>47</v>
      </c>
      <c r="G240" t="s">
        <v>60</v>
      </c>
      <c r="H240" t="s">
        <v>71</v>
      </c>
      <c r="I240" t="s">
        <v>49</v>
      </c>
      <c r="J240" t="s">
        <v>925</v>
      </c>
      <c r="K240" t="s">
        <v>942</v>
      </c>
      <c r="L240" t="s">
        <v>36</v>
      </c>
      <c r="M240" t="s">
        <v>221</v>
      </c>
      <c r="N240" t="s">
        <v>926</v>
      </c>
      <c r="O240" t="s">
        <v>36</v>
      </c>
      <c r="P240" t="s">
        <v>110</v>
      </c>
      <c r="Q240" t="s">
        <v>2614</v>
      </c>
      <c r="R240">
        <v>69</v>
      </c>
      <c r="S240">
        <v>0</v>
      </c>
      <c r="T240" t="s">
        <v>137</v>
      </c>
      <c r="U240" t="s">
        <v>42</v>
      </c>
      <c r="V240">
        <v>1.7</v>
      </c>
      <c r="W240">
        <v>3.01</v>
      </c>
      <c r="X240">
        <v>4.5999999999999996</v>
      </c>
      <c r="Y240">
        <v>8.6</v>
      </c>
      <c r="Z240">
        <v>9.1999999999999993</v>
      </c>
      <c r="AA240">
        <f>VALUE(SUBSTITUTE(DACS19___Pfizer’s_Personalised_Medicine_in[[#This Row],[Dose]],"mg",""))</f>
        <v>200</v>
      </c>
      <c r="AB240">
        <f t="shared" si="21"/>
        <v>200</v>
      </c>
      <c r="AC240" t="s">
        <v>2614</v>
      </c>
      <c r="AD240">
        <f t="shared" si="22"/>
        <v>0</v>
      </c>
      <c r="AE240">
        <f t="shared" si="23"/>
        <v>1</v>
      </c>
      <c r="AF240" t="e">
        <f t="shared" si="24"/>
        <v>#N/A</v>
      </c>
      <c r="AG240">
        <f t="shared" si="25"/>
        <v>3.01</v>
      </c>
      <c r="AH240" t="e">
        <f t="shared" si="26"/>
        <v>#N/A</v>
      </c>
      <c r="AI240" t="e">
        <f t="shared" si="27"/>
        <v>#N/A</v>
      </c>
    </row>
    <row r="241" spans="1:35" x14ac:dyDescent="0.45">
      <c r="A241" t="s">
        <v>943</v>
      </c>
      <c r="B241">
        <v>27</v>
      </c>
      <c r="C241" t="s">
        <v>45</v>
      </c>
      <c r="D241" t="s">
        <v>45</v>
      </c>
      <c r="E241" t="s">
        <v>78</v>
      </c>
      <c r="F241" t="s">
        <v>2614</v>
      </c>
      <c r="G241" t="s">
        <v>89</v>
      </c>
      <c r="H241" t="s">
        <v>32</v>
      </c>
      <c r="I241" t="s">
        <v>33</v>
      </c>
      <c r="J241" t="s">
        <v>944</v>
      </c>
      <c r="K241" t="s">
        <v>945</v>
      </c>
      <c r="L241" t="s">
        <v>64</v>
      </c>
      <c r="M241" t="s">
        <v>581</v>
      </c>
      <c r="N241" t="s">
        <v>946</v>
      </c>
      <c r="O241" t="s">
        <v>64</v>
      </c>
      <c r="P241" t="s">
        <v>39</v>
      </c>
      <c r="Q241" t="s">
        <v>40</v>
      </c>
      <c r="R241">
        <v>145</v>
      </c>
      <c r="S241">
        <v>1</v>
      </c>
      <c r="T241" t="s">
        <v>137</v>
      </c>
      <c r="U241" t="s">
        <v>57</v>
      </c>
      <c r="V241">
        <v>1.27</v>
      </c>
      <c r="W241">
        <v>1.1000000000000001</v>
      </c>
      <c r="X241">
        <v>2.2000000000000002</v>
      </c>
      <c r="Y241">
        <v>23.3</v>
      </c>
      <c r="Z241">
        <v>12.3</v>
      </c>
      <c r="AA241">
        <f>VALUE(SUBSTITUTE(DACS19___Pfizer’s_Personalised_Medicine_in[[#This Row],[Dose]],"mg",""))</f>
        <v>150</v>
      </c>
      <c r="AB241">
        <f t="shared" si="21"/>
        <v>150</v>
      </c>
      <c r="AC241" t="s">
        <v>40</v>
      </c>
      <c r="AD241">
        <f t="shared" si="22"/>
        <v>3</v>
      </c>
      <c r="AE241">
        <f t="shared" si="23"/>
        <v>3</v>
      </c>
      <c r="AF241" t="e">
        <f t="shared" si="24"/>
        <v>#N/A</v>
      </c>
      <c r="AG241" t="e">
        <f t="shared" si="25"/>
        <v>#N/A</v>
      </c>
      <c r="AH241">
        <f t="shared" si="26"/>
        <v>1.1000000000000001</v>
      </c>
      <c r="AI241" t="e">
        <f t="shared" si="27"/>
        <v>#N/A</v>
      </c>
    </row>
    <row r="242" spans="1:35" x14ac:dyDescent="0.45">
      <c r="A242" t="s">
        <v>947</v>
      </c>
      <c r="B242">
        <v>74</v>
      </c>
      <c r="C242" t="s">
        <v>44</v>
      </c>
      <c r="D242" t="s">
        <v>87</v>
      </c>
      <c r="E242" t="s">
        <v>163</v>
      </c>
      <c r="F242" t="s">
        <v>59</v>
      </c>
      <c r="G242" t="s">
        <v>112</v>
      </c>
      <c r="H242" t="s">
        <v>81</v>
      </c>
      <c r="I242" t="s">
        <v>33</v>
      </c>
      <c r="J242" t="s">
        <v>948</v>
      </c>
      <c r="K242" t="s">
        <v>949</v>
      </c>
      <c r="L242" t="s">
        <v>36</v>
      </c>
      <c r="M242" t="s">
        <v>75</v>
      </c>
      <c r="N242" t="s">
        <v>950</v>
      </c>
      <c r="O242" t="s">
        <v>36</v>
      </c>
      <c r="P242" t="s">
        <v>55</v>
      </c>
      <c r="Q242" t="s">
        <v>75</v>
      </c>
      <c r="R242">
        <v>168</v>
      </c>
      <c r="S242">
        <v>0</v>
      </c>
      <c r="T242" t="s">
        <v>85</v>
      </c>
      <c r="U242" t="s">
        <v>57</v>
      </c>
      <c r="V242">
        <v>4.8600000000000003</v>
      </c>
      <c r="W242">
        <v>2.73</v>
      </c>
      <c r="X242">
        <v>3.8</v>
      </c>
      <c r="Y242">
        <v>15.1</v>
      </c>
      <c r="Z242">
        <v>10.5</v>
      </c>
      <c r="AA242">
        <f>VALUE(SUBSTITUTE(DACS19___Pfizer’s_Personalised_Medicine_in[[#This Row],[Dose]],"mg",""))</f>
        <v>200</v>
      </c>
      <c r="AB242">
        <f t="shared" si="21"/>
        <v>200</v>
      </c>
      <c r="AC242" t="s">
        <v>75</v>
      </c>
      <c r="AD242">
        <f t="shared" si="22"/>
        <v>1</v>
      </c>
      <c r="AE242">
        <f t="shared" si="23"/>
        <v>2</v>
      </c>
      <c r="AF242" t="e">
        <f t="shared" si="24"/>
        <v>#N/A</v>
      </c>
      <c r="AG242" t="e">
        <f t="shared" si="25"/>
        <v>#N/A</v>
      </c>
      <c r="AH242" t="e">
        <f t="shared" si="26"/>
        <v>#N/A</v>
      </c>
      <c r="AI242">
        <f t="shared" si="27"/>
        <v>2.73</v>
      </c>
    </row>
    <row r="243" spans="1:35" x14ac:dyDescent="0.45">
      <c r="A243" t="s">
        <v>951</v>
      </c>
      <c r="B243">
        <v>78</v>
      </c>
      <c r="C243" t="s">
        <v>45</v>
      </c>
      <c r="D243" t="s">
        <v>106</v>
      </c>
      <c r="E243" t="s">
        <v>29</v>
      </c>
      <c r="F243" t="s">
        <v>59</v>
      </c>
      <c r="G243" t="s">
        <v>70</v>
      </c>
      <c r="H243" t="s">
        <v>81</v>
      </c>
      <c r="I243" t="s">
        <v>132</v>
      </c>
      <c r="J243" t="s">
        <v>952</v>
      </c>
      <c r="K243" t="s">
        <v>953</v>
      </c>
      <c r="L243" t="s">
        <v>92</v>
      </c>
      <c r="M243" t="s">
        <v>2614</v>
      </c>
      <c r="N243" t="s">
        <v>954</v>
      </c>
      <c r="O243" t="s">
        <v>92</v>
      </c>
      <c r="P243" t="s">
        <v>110</v>
      </c>
      <c r="Q243" t="s">
        <v>75</v>
      </c>
      <c r="R243">
        <v>36</v>
      </c>
      <c r="S243">
        <v>0</v>
      </c>
      <c r="T243" t="s">
        <v>137</v>
      </c>
      <c r="U243" t="s">
        <v>57</v>
      </c>
      <c r="V243">
        <v>1.42</v>
      </c>
      <c r="W243">
        <v>3.56</v>
      </c>
      <c r="X243">
        <v>2.9</v>
      </c>
      <c r="Y243">
        <v>17.2</v>
      </c>
      <c r="Z243">
        <v>14.1</v>
      </c>
      <c r="AA243">
        <f>VALUE(SUBSTITUTE(DACS19___Pfizer’s_Personalised_Medicine_in[[#This Row],[Dose]],"mg",""))</f>
        <v>50</v>
      </c>
      <c r="AB243">
        <f t="shared" si="21"/>
        <v>50</v>
      </c>
      <c r="AC243" t="s">
        <v>75</v>
      </c>
      <c r="AD243">
        <f t="shared" si="22"/>
        <v>1</v>
      </c>
      <c r="AE243">
        <f t="shared" si="23"/>
        <v>1</v>
      </c>
      <c r="AF243" t="e">
        <f t="shared" si="24"/>
        <v>#N/A</v>
      </c>
      <c r="AG243" t="e">
        <f t="shared" si="25"/>
        <v>#N/A</v>
      </c>
      <c r="AH243" t="e">
        <f t="shared" si="26"/>
        <v>#N/A</v>
      </c>
      <c r="AI243">
        <f t="shared" si="27"/>
        <v>3.56</v>
      </c>
    </row>
    <row r="244" spans="1:35" x14ac:dyDescent="0.45">
      <c r="A244" t="s">
        <v>955</v>
      </c>
      <c r="B244">
        <v>30</v>
      </c>
      <c r="C244" t="s">
        <v>44</v>
      </c>
      <c r="D244" t="s">
        <v>28</v>
      </c>
      <c r="E244" t="s">
        <v>2614</v>
      </c>
      <c r="F244" t="s">
        <v>88</v>
      </c>
      <c r="G244" t="s">
        <v>60</v>
      </c>
      <c r="H244" t="s">
        <v>71</v>
      </c>
      <c r="I244" t="s">
        <v>72</v>
      </c>
      <c r="J244" t="s">
        <v>956</v>
      </c>
      <c r="K244" t="s">
        <v>957</v>
      </c>
      <c r="L244" t="s">
        <v>92</v>
      </c>
      <c r="M244" t="s">
        <v>2629</v>
      </c>
      <c r="N244" t="s">
        <v>958</v>
      </c>
      <c r="O244" t="s">
        <v>92</v>
      </c>
      <c r="P244" t="s">
        <v>39</v>
      </c>
      <c r="Q244" t="s">
        <v>75</v>
      </c>
      <c r="R244">
        <v>113</v>
      </c>
      <c r="S244">
        <v>1</v>
      </c>
      <c r="T244" t="s">
        <v>123</v>
      </c>
      <c r="U244" t="s">
        <v>57</v>
      </c>
      <c r="V244">
        <v>1.61</v>
      </c>
      <c r="W244">
        <v>1.25</v>
      </c>
      <c r="X244">
        <v>8</v>
      </c>
      <c r="Y244">
        <v>14.3</v>
      </c>
      <c r="Z244">
        <v>4</v>
      </c>
      <c r="AA244">
        <f>VALUE(SUBSTITUTE(DACS19___Pfizer’s_Personalised_Medicine_in[[#This Row],[Dose]],"mg",""))</f>
        <v>50</v>
      </c>
      <c r="AB244">
        <f t="shared" si="21"/>
        <v>50</v>
      </c>
      <c r="AC244" t="s">
        <v>75</v>
      </c>
      <c r="AD244">
        <f t="shared" si="22"/>
        <v>1</v>
      </c>
      <c r="AE244">
        <f t="shared" si="23"/>
        <v>3</v>
      </c>
      <c r="AF244" t="e">
        <f t="shared" si="24"/>
        <v>#N/A</v>
      </c>
      <c r="AG244">
        <f t="shared" si="25"/>
        <v>1.25</v>
      </c>
      <c r="AH244" t="e">
        <f t="shared" si="26"/>
        <v>#N/A</v>
      </c>
      <c r="AI244" t="e">
        <f t="shared" si="27"/>
        <v>#N/A</v>
      </c>
    </row>
    <row r="245" spans="1:35" x14ac:dyDescent="0.45">
      <c r="A245" t="s">
        <v>959</v>
      </c>
      <c r="B245">
        <v>72</v>
      </c>
      <c r="C245" t="s">
        <v>45</v>
      </c>
      <c r="D245" t="s">
        <v>45</v>
      </c>
      <c r="E245" t="s">
        <v>78</v>
      </c>
      <c r="F245" t="s">
        <v>47</v>
      </c>
      <c r="G245" t="s">
        <v>80</v>
      </c>
      <c r="H245" t="s">
        <v>61</v>
      </c>
      <c r="I245" t="s">
        <v>132</v>
      </c>
      <c r="J245" t="s">
        <v>960</v>
      </c>
      <c r="K245" t="s">
        <v>961</v>
      </c>
      <c r="L245" t="s">
        <v>92</v>
      </c>
      <c r="M245" t="s">
        <v>274</v>
      </c>
      <c r="N245" t="s">
        <v>962</v>
      </c>
      <c r="O245" t="s">
        <v>92</v>
      </c>
      <c r="P245" t="s">
        <v>55</v>
      </c>
      <c r="Q245" t="s">
        <v>75</v>
      </c>
      <c r="R245">
        <v>116</v>
      </c>
      <c r="S245">
        <v>0</v>
      </c>
      <c r="T245" t="s">
        <v>41</v>
      </c>
      <c r="U245" t="s">
        <v>57</v>
      </c>
      <c r="V245">
        <v>4.9800000000000004</v>
      </c>
      <c r="W245">
        <v>1.23</v>
      </c>
      <c r="X245">
        <v>7.3</v>
      </c>
      <c r="Y245">
        <v>23.7</v>
      </c>
      <c r="Z245">
        <v>7.1</v>
      </c>
      <c r="AA245">
        <f>VALUE(SUBSTITUTE(DACS19___Pfizer’s_Personalised_Medicine_in[[#This Row],[Dose]],"mg",""))</f>
        <v>50</v>
      </c>
      <c r="AB245">
        <f t="shared" si="21"/>
        <v>50</v>
      </c>
      <c r="AC245" t="s">
        <v>75</v>
      </c>
      <c r="AD245">
        <f t="shared" si="22"/>
        <v>1</v>
      </c>
      <c r="AE245">
        <f t="shared" si="23"/>
        <v>2</v>
      </c>
      <c r="AF245">
        <f t="shared" si="24"/>
        <v>1.23</v>
      </c>
      <c r="AG245" t="e">
        <f t="shared" si="25"/>
        <v>#N/A</v>
      </c>
      <c r="AH245" t="e">
        <f t="shared" si="26"/>
        <v>#N/A</v>
      </c>
      <c r="AI245" t="e">
        <f t="shared" si="27"/>
        <v>#N/A</v>
      </c>
    </row>
    <row r="246" spans="1:35" x14ac:dyDescent="0.45">
      <c r="A246" t="s">
        <v>963</v>
      </c>
      <c r="B246">
        <v>64</v>
      </c>
      <c r="C246" t="s">
        <v>44</v>
      </c>
      <c r="D246" t="s">
        <v>106</v>
      </c>
      <c r="E246" t="s">
        <v>78</v>
      </c>
      <c r="F246" t="s">
        <v>2614</v>
      </c>
      <c r="G246" t="s">
        <v>125</v>
      </c>
      <c r="H246" t="s">
        <v>71</v>
      </c>
      <c r="I246" t="s">
        <v>132</v>
      </c>
      <c r="J246" t="s">
        <v>964</v>
      </c>
      <c r="K246" t="s">
        <v>965</v>
      </c>
      <c r="L246" t="s">
        <v>36</v>
      </c>
      <c r="M246" t="s">
        <v>75</v>
      </c>
      <c r="N246" t="s">
        <v>754</v>
      </c>
      <c r="O246" t="s">
        <v>36</v>
      </c>
      <c r="P246" t="s">
        <v>39</v>
      </c>
      <c r="Q246" t="s">
        <v>75</v>
      </c>
      <c r="R246">
        <v>54</v>
      </c>
      <c r="S246">
        <v>1</v>
      </c>
      <c r="T246" t="s">
        <v>85</v>
      </c>
      <c r="U246" t="s">
        <v>57</v>
      </c>
      <c r="V246">
        <v>1.57</v>
      </c>
      <c r="W246">
        <v>1.49</v>
      </c>
      <c r="X246">
        <v>3.7</v>
      </c>
      <c r="Y246">
        <v>7.8</v>
      </c>
      <c r="Z246">
        <v>14.8</v>
      </c>
      <c r="AA246">
        <f>VALUE(SUBSTITUTE(DACS19___Pfizer’s_Personalised_Medicine_in[[#This Row],[Dose]],"mg",""))</f>
        <v>200</v>
      </c>
      <c r="AB246">
        <f t="shared" si="21"/>
        <v>200</v>
      </c>
      <c r="AC246" t="s">
        <v>75</v>
      </c>
      <c r="AD246">
        <f t="shared" si="22"/>
        <v>1</v>
      </c>
      <c r="AE246">
        <f t="shared" si="23"/>
        <v>3</v>
      </c>
      <c r="AF246" t="e">
        <f t="shared" si="24"/>
        <v>#N/A</v>
      </c>
      <c r="AG246">
        <f t="shared" si="25"/>
        <v>1.49</v>
      </c>
      <c r="AH246" t="e">
        <f t="shared" si="26"/>
        <v>#N/A</v>
      </c>
      <c r="AI246" t="e">
        <f t="shared" si="27"/>
        <v>#N/A</v>
      </c>
    </row>
    <row r="247" spans="1:35" x14ac:dyDescent="0.45">
      <c r="A247" t="s">
        <v>966</v>
      </c>
      <c r="B247">
        <v>52</v>
      </c>
      <c r="C247" t="s">
        <v>27</v>
      </c>
      <c r="D247" t="s">
        <v>45</v>
      </c>
      <c r="E247" t="s">
        <v>29</v>
      </c>
      <c r="F247" t="s">
        <v>79</v>
      </c>
      <c r="G247" t="s">
        <v>194</v>
      </c>
      <c r="H247" t="s">
        <v>61</v>
      </c>
      <c r="I247" t="s">
        <v>132</v>
      </c>
      <c r="J247" t="s">
        <v>642</v>
      </c>
      <c r="K247" t="s">
        <v>967</v>
      </c>
      <c r="L247" t="s">
        <v>64</v>
      </c>
      <c r="M247" t="s">
        <v>40</v>
      </c>
      <c r="N247" t="s">
        <v>780</v>
      </c>
      <c r="O247" t="s">
        <v>64</v>
      </c>
      <c r="P247" t="s">
        <v>55</v>
      </c>
      <c r="Q247" t="s">
        <v>75</v>
      </c>
      <c r="R247">
        <v>161</v>
      </c>
      <c r="S247">
        <v>0</v>
      </c>
      <c r="T247" t="s">
        <v>56</v>
      </c>
      <c r="U247" t="s">
        <v>42</v>
      </c>
      <c r="V247">
        <v>1.25</v>
      </c>
      <c r="W247">
        <v>3.04</v>
      </c>
      <c r="X247">
        <v>10</v>
      </c>
      <c r="Y247">
        <v>20.7</v>
      </c>
      <c r="Z247">
        <v>13.5</v>
      </c>
      <c r="AA247">
        <f>VALUE(SUBSTITUTE(DACS19___Pfizer’s_Personalised_Medicine_in[[#This Row],[Dose]],"mg",""))</f>
        <v>150</v>
      </c>
      <c r="AB247">
        <f t="shared" si="21"/>
        <v>150</v>
      </c>
      <c r="AC247" t="s">
        <v>75</v>
      </c>
      <c r="AD247">
        <f t="shared" si="22"/>
        <v>1</v>
      </c>
      <c r="AE247">
        <f t="shared" si="23"/>
        <v>2</v>
      </c>
      <c r="AF247">
        <f t="shared" si="24"/>
        <v>3.04</v>
      </c>
      <c r="AG247" t="e">
        <f t="shared" si="25"/>
        <v>#N/A</v>
      </c>
      <c r="AH247" t="e">
        <f t="shared" si="26"/>
        <v>#N/A</v>
      </c>
      <c r="AI247" t="e">
        <f t="shared" si="27"/>
        <v>#N/A</v>
      </c>
    </row>
    <row r="248" spans="1:35" x14ac:dyDescent="0.45">
      <c r="A248" t="s">
        <v>968</v>
      </c>
      <c r="B248">
        <v>20</v>
      </c>
      <c r="C248" t="s">
        <v>45</v>
      </c>
      <c r="D248" t="s">
        <v>45</v>
      </c>
      <c r="E248" t="s">
        <v>46</v>
      </c>
      <c r="F248" t="s">
        <v>2614</v>
      </c>
      <c r="G248" t="s">
        <v>89</v>
      </c>
      <c r="H248" t="s">
        <v>81</v>
      </c>
      <c r="I248" t="s">
        <v>132</v>
      </c>
      <c r="J248" t="s">
        <v>969</v>
      </c>
      <c r="K248" t="s">
        <v>970</v>
      </c>
      <c r="L248" t="s">
        <v>36</v>
      </c>
      <c r="M248" t="s">
        <v>221</v>
      </c>
      <c r="N248" t="s">
        <v>971</v>
      </c>
      <c r="O248" t="s">
        <v>36</v>
      </c>
      <c r="P248" t="s">
        <v>39</v>
      </c>
      <c r="Q248" t="s">
        <v>67</v>
      </c>
      <c r="R248">
        <v>68</v>
      </c>
      <c r="S248">
        <v>1</v>
      </c>
      <c r="T248" t="s">
        <v>137</v>
      </c>
      <c r="U248" t="s">
        <v>57</v>
      </c>
      <c r="V248">
        <v>2.23</v>
      </c>
      <c r="W248">
        <v>3.5</v>
      </c>
      <c r="X248">
        <v>5.7</v>
      </c>
      <c r="Y248">
        <v>13.7</v>
      </c>
      <c r="Z248">
        <v>5.2</v>
      </c>
      <c r="AA248">
        <f>VALUE(SUBSTITUTE(DACS19___Pfizer’s_Personalised_Medicine_in[[#This Row],[Dose]],"mg",""))</f>
        <v>200</v>
      </c>
      <c r="AB248">
        <f t="shared" si="21"/>
        <v>200</v>
      </c>
      <c r="AC248" t="s">
        <v>67</v>
      </c>
      <c r="AD248">
        <f t="shared" si="22"/>
        <v>2</v>
      </c>
      <c r="AE248">
        <f t="shared" si="23"/>
        <v>3</v>
      </c>
      <c r="AF248" t="e">
        <f t="shared" si="24"/>
        <v>#N/A</v>
      </c>
      <c r="AG248" t="e">
        <f t="shared" si="25"/>
        <v>#N/A</v>
      </c>
      <c r="AH248" t="e">
        <f t="shared" si="26"/>
        <v>#N/A</v>
      </c>
      <c r="AI248">
        <f t="shared" si="27"/>
        <v>3.5</v>
      </c>
    </row>
    <row r="249" spans="1:35" x14ac:dyDescent="0.45">
      <c r="A249" t="s">
        <v>972</v>
      </c>
      <c r="B249">
        <v>70</v>
      </c>
      <c r="C249" t="s">
        <v>44</v>
      </c>
      <c r="D249" t="s">
        <v>87</v>
      </c>
      <c r="E249" t="s">
        <v>46</v>
      </c>
      <c r="F249" t="s">
        <v>2614</v>
      </c>
      <c r="G249" t="s">
        <v>184</v>
      </c>
      <c r="H249" t="s">
        <v>32</v>
      </c>
      <c r="I249" t="s">
        <v>72</v>
      </c>
      <c r="J249" t="s">
        <v>973</v>
      </c>
      <c r="K249" t="s">
        <v>974</v>
      </c>
      <c r="L249" t="s">
        <v>36</v>
      </c>
      <c r="M249" t="s">
        <v>129</v>
      </c>
      <c r="N249" t="s">
        <v>116</v>
      </c>
      <c r="O249" t="s">
        <v>36</v>
      </c>
      <c r="P249" t="s">
        <v>39</v>
      </c>
      <c r="Q249" t="s">
        <v>129</v>
      </c>
      <c r="R249">
        <v>92</v>
      </c>
      <c r="S249">
        <v>1</v>
      </c>
      <c r="T249" t="s">
        <v>137</v>
      </c>
      <c r="U249" t="s">
        <v>57</v>
      </c>
      <c r="V249">
        <v>4.55</v>
      </c>
      <c r="W249">
        <v>2.8</v>
      </c>
      <c r="X249">
        <v>2.8</v>
      </c>
      <c r="Y249">
        <v>12.6</v>
      </c>
      <c r="Z249">
        <v>10</v>
      </c>
      <c r="AA249">
        <f>VALUE(SUBSTITUTE(DACS19___Pfizer’s_Personalised_Medicine_in[[#This Row],[Dose]],"mg",""))</f>
        <v>200</v>
      </c>
      <c r="AB249">
        <f t="shared" si="21"/>
        <v>200</v>
      </c>
      <c r="AC249" t="s">
        <v>129</v>
      </c>
      <c r="AD249">
        <f t="shared" si="22"/>
        <v>4</v>
      </c>
      <c r="AE249">
        <f t="shared" si="23"/>
        <v>3</v>
      </c>
      <c r="AF249" t="e">
        <f t="shared" si="24"/>
        <v>#N/A</v>
      </c>
      <c r="AG249" t="e">
        <f t="shared" si="25"/>
        <v>#N/A</v>
      </c>
      <c r="AH249">
        <f t="shared" si="26"/>
        <v>2.8</v>
      </c>
      <c r="AI249" t="e">
        <f t="shared" si="27"/>
        <v>#N/A</v>
      </c>
    </row>
    <row r="250" spans="1:35" x14ac:dyDescent="0.45">
      <c r="A250" t="s">
        <v>975</v>
      </c>
      <c r="B250">
        <v>80</v>
      </c>
      <c r="C250" t="s">
        <v>45</v>
      </c>
      <c r="D250" t="s">
        <v>95</v>
      </c>
      <c r="E250" t="s">
        <v>78</v>
      </c>
      <c r="F250" t="s">
        <v>2614</v>
      </c>
      <c r="G250" t="s">
        <v>118</v>
      </c>
      <c r="H250" t="s">
        <v>71</v>
      </c>
      <c r="I250" t="s">
        <v>72</v>
      </c>
      <c r="J250" t="s">
        <v>976</v>
      </c>
      <c r="K250" t="s">
        <v>977</v>
      </c>
      <c r="L250" t="s">
        <v>64</v>
      </c>
      <c r="M250" t="s">
        <v>2644</v>
      </c>
      <c r="N250" t="s">
        <v>459</v>
      </c>
      <c r="O250" t="s">
        <v>64</v>
      </c>
      <c r="P250" t="s">
        <v>110</v>
      </c>
      <c r="Q250" t="s">
        <v>40</v>
      </c>
      <c r="R250">
        <v>35</v>
      </c>
      <c r="S250">
        <v>0</v>
      </c>
      <c r="T250" t="s">
        <v>123</v>
      </c>
      <c r="U250" t="s">
        <v>42</v>
      </c>
      <c r="V250">
        <v>4.3099999999999996</v>
      </c>
      <c r="W250">
        <v>3.93</v>
      </c>
      <c r="X250">
        <v>7.9</v>
      </c>
      <c r="Y250">
        <v>6.2</v>
      </c>
      <c r="Z250">
        <v>10.1</v>
      </c>
      <c r="AA250">
        <f>VALUE(SUBSTITUTE(DACS19___Pfizer’s_Personalised_Medicine_in[[#This Row],[Dose]],"mg",""))</f>
        <v>150</v>
      </c>
      <c r="AB250">
        <f t="shared" si="21"/>
        <v>150</v>
      </c>
      <c r="AC250" t="s">
        <v>40</v>
      </c>
      <c r="AD250">
        <f t="shared" si="22"/>
        <v>3</v>
      </c>
      <c r="AE250">
        <f t="shared" si="23"/>
        <v>1</v>
      </c>
      <c r="AF250" t="e">
        <f t="shared" si="24"/>
        <v>#N/A</v>
      </c>
      <c r="AG250">
        <f t="shared" si="25"/>
        <v>3.93</v>
      </c>
      <c r="AH250" t="e">
        <f t="shared" si="26"/>
        <v>#N/A</v>
      </c>
      <c r="AI250" t="e">
        <f t="shared" si="27"/>
        <v>#N/A</v>
      </c>
    </row>
    <row r="251" spans="1:35" x14ac:dyDescent="0.45">
      <c r="A251" t="s">
        <v>979</v>
      </c>
      <c r="B251">
        <v>58</v>
      </c>
      <c r="C251" t="s">
        <v>45</v>
      </c>
      <c r="D251" t="s">
        <v>28</v>
      </c>
      <c r="E251" t="s">
        <v>163</v>
      </c>
      <c r="F251" t="s">
        <v>2614</v>
      </c>
      <c r="G251" t="s">
        <v>48</v>
      </c>
      <c r="H251" t="s">
        <v>32</v>
      </c>
      <c r="I251" t="s">
        <v>49</v>
      </c>
      <c r="J251" t="s">
        <v>980</v>
      </c>
      <c r="K251" t="s">
        <v>145</v>
      </c>
      <c r="L251" t="s">
        <v>52</v>
      </c>
      <c r="M251" t="s">
        <v>75</v>
      </c>
      <c r="N251" t="s">
        <v>504</v>
      </c>
      <c r="O251" t="s">
        <v>52</v>
      </c>
      <c r="P251" t="s">
        <v>110</v>
      </c>
      <c r="Q251" t="s">
        <v>129</v>
      </c>
      <c r="R251">
        <v>163</v>
      </c>
      <c r="S251">
        <v>0</v>
      </c>
      <c r="T251" t="s">
        <v>85</v>
      </c>
      <c r="U251" t="s">
        <v>57</v>
      </c>
      <c r="V251">
        <v>2.93</v>
      </c>
      <c r="W251">
        <v>1.08</v>
      </c>
      <c r="X251">
        <v>3.3</v>
      </c>
      <c r="Y251">
        <v>19.7</v>
      </c>
      <c r="Z251">
        <v>5.3</v>
      </c>
      <c r="AA251">
        <f>VALUE(SUBSTITUTE(DACS19___Pfizer’s_Personalised_Medicine_in[[#This Row],[Dose]],"mg",""))</f>
        <v>100</v>
      </c>
      <c r="AB251">
        <f t="shared" si="21"/>
        <v>100</v>
      </c>
      <c r="AC251" t="s">
        <v>129</v>
      </c>
      <c r="AD251">
        <f t="shared" si="22"/>
        <v>4</v>
      </c>
      <c r="AE251">
        <f t="shared" si="23"/>
        <v>1</v>
      </c>
      <c r="AF251" t="e">
        <f t="shared" si="24"/>
        <v>#N/A</v>
      </c>
      <c r="AG251" t="e">
        <f t="shared" si="25"/>
        <v>#N/A</v>
      </c>
      <c r="AH251">
        <f t="shared" si="26"/>
        <v>1.08</v>
      </c>
      <c r="AI251" t="e">
        <f t="shared" si="27"/>
        <v>#N/A</v>
      </c>
    </row>
    <row r="252" spans="1:35" x14ac:dyDescent="0.45">
      <c r="A252" t="s">
        <v>981</v>
      </c>
      <c r="B252">
        <v>81</v>
      </c>
      <c r="C252" t="s">
        <v>27</v>
      </c>
      <c r="D252" t="s">
        <v>106</v>
      </c>
      <c r="E252" t="s">
        <v>29</v>
      </c>
      <c r="F252" t="s">
        <v>59</v>
      </c>
      <c r="G252" t="s">
        <v>31</v>
      </c>
      <c r="H252" t="s">
        <v>81</v>
      </c>
      <c r="I252" t="s">
        <v>72</v>
      </c>
      <c r="J252" t="s">
        <v>982</v>
      </c>
      <c r="K252" t="s">
        <v>315</v>
      </c>
      <c r="L252" t="s">
        <v>52</v>
      </c>
      <c r="M252" t="s">
        <v>2614</v>
      </c>
      <c r="N252" t="s">
        <v>366</v>
      </c>
      <c r="O252" t="s">
        <v>52</v>
      </c>
      <c r="P252" t="s">
        <v>55</v>
      </c>
      <c r="Q252" t="s">
        <v>2614</v>
      </c>
      <c r="R252">
        <v>180</v>
      </c>
      <c r="S252">
        <v>0</v>
      </c>
      <c r="T252" t="s">
        <v>123</v>
      </c>
      <c r="U252" t="s">
        <v>57</v>
      </c>
      <c r="V252">
        <v>3.14</v>
      </c>
      <c r="W252">
        <v>1.86</v>
      </c>
      <c r="X252">
        <v>1.1000000000000001</v>
      </c>
      <c r="Y252">
        <v>10.3</v>
      </c>
      <c r="Z252">
        <v>19.600000000000001</v>
      </c>
      <c r="AA252">
        <f>VALUE(SUBSTITUTE(DACS19___Pfizer’s_Personalised_Medicine_in[[#This Row],[Dose]],"mg",""))</f>
        <v>100</v>
      </c>
      <c r="AB252">
        <f t="shared" si="21"/>
        <v>100</v>
      </c>
      <c r="AC252" t="s">
        <v>2614</v>
      </c>
      <c r="AD252">
        <f t="shared" si="22"/>
        <v>0</v>
      </c>
      <c r="AE252">
        <f t="shared" si="23"/>
        <v>2</v>
      </c>
      <c r="AF252" t="e">
        <f t="shared" si="24"/>
        <v>#N/A</v>
      </c>
      <c r="AG252" t="e">
        <f t="shared" si="25"/>
        <v>#N/A</v>
      </c>
      <c r="AH252" t="e">
        <f t="shared" si="26"/>
        <v>#N/A</v>
      </c>
      <c r="AI252">
        <f t="shared" si="27"/>
        <v>1.86</v>
      </c>
    </row>
    <row r="253" spans="1:35" x14ac:dyDescent="0.45">
      <c r="A253" t="s">
        <v>983</v>
      </c>
      <c r="B253">
        <v>65</v>
      </c>
      <c r="C253" t="s">
        <v>45</v>
      </c>
      <c r="D253" t="s">
        <v>87</v>
      </c>
      <c r="E253" t="s">
        <v>2614</v>
      </c>
      <c r="F253" t="s">
        <v>2614</v>
      </c>
      <c r="G253" t="s">
        <v>70</v>
      </c>
      <c r="H253" t="s">
        <v>71</v>
      </c>
      <c r="I253" t="s">
        <v>132</v>
      </c>
      <c r="J253" t="s">
        <v>441</v>
      </c>
      <c r="K253" t="s">
        <v>984</v>
      </c>
      <c r="L253" t="s">
        <v>64</v>
      </c>
      <c r="M253" t="s">
        <v>451</v>
      </c>
      <c r="N253" t="s">
        <v>808</v>
      </c>
      <c r="O253" t="s">
        <v>64</v>
      </c>
      <c r="P253" t="s">
        <v>110</v>
      </c>
      <c r="Q253" t="s">
        <v>129</v>
      </c>
      <c r="R253">
        <v>91</v>
      </c>
      <c r="S253">
        <v>0</v>
      </c>
      <c r="T253" t="s">
        <v>137</v>
      </c>
      <c r="U253" t="s">
        <v>57</v>
      </c>
      <c r="V253">
        <v>4.21</v>
      </c>
      <c r="W253">
        <v>4.84</v>
      </c>
      <c r="X253">
        <v>5.4</v>
      </c>
      <c r="Y253">
        <v>8</v>
      </c>
      <c r="Z253">
        <v>12.3</v>
      </c>
      <c r="AA253">
        <f>VALUE(SUBSTITUTE(DACS19___Pfizer’s_Personalised_Medicine_in[[#This Row],[Dose]],"mg",""))</f>
        <v>150</v>
      </c>
      <c r="AB253">
        <f t="shared" si="21"/>
        <v>150</v>
      </c>
      <c r="AC253" t="s">
        <v>129</v>
      </c>
      <c r="AD253">
        <f t="shared" si="22"/>
        <v>4</v>
      </c>
      <c r="AE253">
        <f t="shared" si="23"/>
        <v>1</v>
      </c>
      <c r="AF253" t="e">
        <f t="shared" si="24"/>
        <v>#N/A</v>
      </c>
      <c r="AG253">
        <f t="shared" si="25"/>
        <v>4.84</v>
      </c>
      <c r="AH253" t="e">
        <f t="shared" si="26"/>
        <v>#N/A</v>
      </c>
      <c r="AI253" t="e">
        <f t="shared" si="27"/>
        <v>#N/A</v>
      </c>
    </row>
    <row r="254" spans="1:35" x14ac:dyDescent="0.45">
      <c r="A254" t="s">
        <v>985</v>
      </c>
      <c r="B254">
        <v>57</v>
      </c>
      <c r="C254" t="s">
        <v>45</v>
      </c>
      <c r="D254" t="s">
        <v>28</v>
      </c>
      <c r="E254" t="s">
        <v>163</v>
      </c>
      <c r="F254" t="s">
        <v>2614</v>
      </c>
      <c r="G254" t="s">
        <v>60</v>
      </c>
      <c r="H254" t="s">
        <v>81</v>
      </c>
      <c r="I254" t="s">
        <v>33</v>
      </c>
      <c r="J254" t="s">
        <v>986</v>
      </c>
      <c r="K254" t="s">
        <v>765</v>
      </c>
      <c r="L254" t="s">
        <v>92</v>
      </c>
      <c r="M254" t="s">
        <v>2614</v>
      </c>
      <c r="N254" t="s">
        <v>987</v>
      </c>
      <c r="O254" t="s">
        <v>92</v>
      </c>
      <c r="P254" t="s">
        <v>39</v>
      </c>
      <c r="Q254" t="s">
        <v>40</v>
      </c>
      <c r="R254">
        <v>111</v>
      </c>
      <c r="S254">
        <v>1</v>
      </c>
      <c r="T254" t="s">
        <v>56</v>
      </c>
      <c r="U254" t="s">
        <v>42</v>
      </c>
      <c r="V254">
        <v>2.82</v>
      </c>
      <c r="W254">
        <v>4.38</v>
      </c>
      <c r="X254">
        <v>1.9</v>
      </c>
      <c r="Y254">
        <v>14.8</v>
      </c>
      <c r="Z254">
        <v>5.6</v>
      </c>
      <c r="AA254">
        <f>VALUE(SUBSTITUTE(DACS19___Pfizer’s_Personalised_Medicine_in[[#This Row],[Dose]],"mg",""))</f>
        <v>50</v>
      </c>
      <c r="AB254">
        <f t="shared" si="21"/>
        <v>50</v>
      </c>
      <c r="AC254" t="s">
        <v>40</v>
      </c>
      <c r="AD254">
        <f t="shared" si="22"/>
        <v>3</v>
      </c>
      <c r="AE254">
        <f t="shared" si="23"/>
        <v>3</v>
      </c>
      <c r="AF254" t="e">
        <f t="shared" si="24"/>
        <v>#N/A</v>
      </c>
      <c r="AG254" t="e">
        <f t="shared" si="25"/>
        <v>#N/A</v>
      </c>
      <c r="AH254" t="e">
        <f t="shared" si="26"/>
        <v>#N/A</v>
      </c>
      <c r="AI254">
        <f t="shared" si="27"/>
        <v>4.38</v>
      </c>
    </row>
    <row r="255" spans="1:35" x14ac:dyDescent="0.45">
      <c r="A255" t="s">
        <v>988</v>
      </c>
      <c r="B255">
        <v>53</v>
      </c>
      <c r="C255" t="s">
        <v>27</v>
      </c>
      <c r="D255" t="s">
        <v>95</v>
      </c>
      <c r="E255" t="s">
        <v>78</v>
      </c>
      <c r="F255" t="s">
        <v>2614</v>
      </c>
      <c r="G255" t="s">
        <v>31</v>
      </c>
      <c r="H255" t="s">
        <v>81</v>
      </c>
      <c r="I255" t="s">
        <v>49</v>
      </c>
      <c r="J255" t="s">
        <v>989</v>
      </c>
      <c r="K255" t="s">
        <v>990</v>
      </c>
      <c r="L255" t="s">
        <v>92</v>
      </c>
      <c r="M255" t="s">
        <v>2627</v>
      </c>
      <c r="N255" t="s">
        <v>991</v>
      </c>
      <c r="O255" t="s">
        <v>92</v>
      </c>
      <c r="P255" t="s">
        <v>110</v>
      </c>
      <c r="Q255" t="s">
        <v>129</v>
      </c>
      <c r="R255">
        <v>43</v>
      </c>
      <c r="S255">
        <v>0</v>
      </c>
      <c r="T255" t="s">
        <v>41</v>
      </c>
      <c r="U255" t="s">
        <v>57</v>
      </c>
      <c r="V255">
        <v>2.2999999999999998</v>
      </c>
      <c r="W255">
        <v>3.95</v>
      </c>
      <c r="X255">
        <v>5.3</v>
      </c>
      <c r="Y255">
        <v>12.8</v>
      </c>
      <c r="Z255">
        <v>9.6999999999999993</v>
      </c>
      <c r="AA255">
        <f>VALUE(SUBSTITUTE(DACS19___Pfizer’s_Personalised_Medicine_in[[#This Row],[Dose]],"mg",""))</f>
        <v>50</v>
      </c>
      <c r="AB255">
        <f t="shared" si="21"/>
        <v>50</v>
      </c>
      <c r="AC255" t="s">
        <v>129</v>
      </c>
      <c r="AD255">
        <f t="shared" si="22"/>
        <v>4</v>
      </c>
      <c r="AE255">
        <f t="shared" si="23"/>
        <v>1</v>
      </c>
      <c r="AF255" t="e">
        <f t="shared" si="24"/>
        <v>#N/A</v>
      </c>
      <c r="AG255" t="e">
        <f t="shared" si="25"/>
        <v>#N/A</v>
      </c>
      <c r="AH255" t="e">
        <f t="shared" si="26"/>
        <v>#N/A</v>
      </c>
      <c r="AI255">
        <f t="shared" si="27"/>
        <v>3.95</v>
      </c>
    </row>
    <row r="256" spans="1:35" x14ac:dyDescent="0.45">
      <c r="A256" t="s">
        <v>992</v>
      </c>
      <c r="B256">
        <v>35</v>
      </c>
      <c r="C256" t="s">
        <v>27</v>
      </c>
      <c r="D256" t="s">
        <v>95</v>
      </c>
      <c r="E256" t="s">
        <v>46</v>
      </c>
      <c r="F256" t="s">
        <v>2614</v>
      </c>
      <c r="G256" t="s">
        <v>31</v>
      </c>
      <c r="H256" t="s">
        <v>61</v>
      </c>
      <c r="I256" t="s">
        <v>49</v>
      </c>
      <c r="J256" t="s">
        <v>993</v>
      </c>
      <c r="K256" t="s">
        <v>468</v>
      </c>
      <c r="L256" t="s">
        <v>52</v>
      </c>
      <c r="M256" t="s">
        <v>2620</v>
      </c>
      <c r="N256" t="s">
        <v>192</v>
      </c>
      <c r="O256" t="s">
        <v>52</v>
      </c>
      <c r="P256" t="s">
        <v>110</v>
      </c>
      <c r="Q256" t="s">
        <v>67</v>
      </c>
      <c r="R256">
        <v>96</v>
      </c>
      <c r="S256">
        <v>0</v>
      </c>
      <c r="T256" t="s">
        <v>41</v>
      </c>
      <c r="U256" t="s">
        <v>57</v>
      </c>
      <c r="V256">
        <v>2.84</v>
      </c>
      <c r="W256">
        <v>4.1399999999999997</v>
      </c>
      <c r="X256">
        <v>9</v>
      </c>
      <c r="Y256">
        <v>23.2</v>
      </c>
      <c r="Z256">
        <v>16.399999999999999</v>
      </c>
      <c r="AA256">
        <f>VALUE(SUBSTITUTE(DACS19___Pfizer’s_Personalised_Medicine_in[[#This Row],[Dose]],"mg",""))</f>
        <v>100</v>
      </c>
      <c r="AB256">
        <f t="shared" si="21"/>
        <v>100</v>
      </c>
      <c r="AC256" t="s">
        <v>67</v>
      </c>
      <c r="AD256">
        <f t="shared" si="22"/>
        <v>2</v>
      </c>
      <c r="AE256">
        <f t="shared" si="23"/>
        <v>1</v>
      </c>
      <c r="AF256">
        <f t="shared" si="24"/>
        <v>4.1399999999999997</v>
      </c>
      <c r="AG256" t="e">
        <f t="shared" si="25"/>
        <v>#N/A</v>
      </c>
      <c r="AH256" t="e">
        <f t="shared" si="26"/>
        <v>#N/A</v>
      </c>
      <c r="AI256" t="e">
        <f t="shared" si="27"/>
        <v>#N/A</v>
      </c>
    </row>
    <row r="257" spans="1:35" x14ac:dyDescent="0.45">
      <c r="A257" t="s">
        <v>994</v>
      </c>
      <c r="B257">
        <v>54</v>
      </c>
      <c r="C257" t="s">
        <v>27</v>
      </c>
      <c r="D257" t="s">
        <v>87</v>
      </c>
      <c r="E257" t="s">
        <v>78</v>
      </c>
      <c r="F257" t="s">
        <v>47</v>
      </c>
      <c r="G257" t="s">
        <v>131</v>
      </c>
      <c r="H257" t="s">
        <v>71</v>
      </c>
      <c r="I257" t="s">
        <v>49</v>
      </c>
      <c r="J257" t="s">
        <v>995</v>
      </c>
      <c r="K257" t="s">
        <v>996</v>
      </c>
      <c r="L257" t="s">
        <v>52</v>
      </c>
      <c r="M257" t="s">
        <v>40</v>
      </c>
      <c r="N257" t="s">
        <v>997</v>
      </c>
      <c r="O257" t="s">
        <v>52</v>
      </c>
      <c r="P257" t="s">
        <v>55</v>
      </c>
      <c r="Q257" t="s">
        <v>67</v>
      </c>
      <c r="R257">
        <v>42</v>
      </c>
      <c r="S257">
        <v>0</v>
      </c>
      <c r="T257" t="s">
        <v>56</v>
      </c>
      <c r="U257" t="s">
        <v>57</v>
      </c>
      <c r="V257">
        <v>2.2599999999999998</v>
      </c>
      <c r="W257">
        <v>3.75</v>
      </c>
      <c r="X257">
        <v>4.9000000000000004</v>
      </c>
      <c r="Y257">
        <v>10.6</v>
      </c>
      <c r="Z257">
        <v>17.3</v>
      </c>
      <c r="AA257">
        <f>VALUE(SUBSTITUTE(DACS19___Pfizer’s_Personalised_Medicine_in[[#This Row],[Dose]],"mg",""))</f>
        <v>100</v>
      </c>
      <c r="AB257">
        <f t="shared" si="21"/>
        <v>100</v>
      </c>
      <c r="AC257" t="s">
        <v>67</v>
      </c>
      <c r="AD257">
        <f t="shared" si="22"/>
        <v>2</v>
      </c>
      <c r="AE257">
        <f t="shared" si="23"/>
        <v>2</v>
      </c>
      <c r="AF257" t="e">
        <f t="shared" si="24"/>
        <v>#N/A</v>
      </c>
      <c r="AG257">
        <f t="shared" si="25"/>
        <v>3.75</v>
      </c>
      <c r="AH257" t="e">
        <f t="shared" si="26"/>
        <v>#N/A</v>
      </c>
      <c r="AI257" t="e">
        <f t="shared" si="27"/>
        <v>#N/A</v>
      </c>
    </row>
    <row r="258" spans="1:35" x14ac:dyDescent="0.45">
      <c r="A258" t="s">
        <v>998</v>
      </c>
      <c r="B258">
        <v>51</v>
      </c>
      <c r="C258" t="s">
        <v>27</v>
      </c>
      <c r="D258" t="s">
        <v>87</v>
      </c>
      <c r="E258" t="s">
        <v>2614</v>
      </c>
      <c r="F258" t="s">
        <v>69</v>
      </c>
      <c r="G258" t="s">
        <v>102</v>
      </c>
      <c r="H258" t="s">
        <v>61</v>
      </c>
      <c r="I258" t="s">
        <v>33</v>
      </c>
      <c r="J258" t="s">
        <v>396</v>
      </c>
      <c r="K258" t="s">
        <v>999</v>
      </c>
      <c r="L258" t="s">
        <v>52</v>
      </c>
      <c r="M258" t="s">
        <v>352</v>
      </c>
      <c r="N258" t="s">
        <v>1000</v>
      </c>
      <c r="O258" t="s">
        <v>52</v>
      </c>
      <c r="P258" t="s">
        <v>110</v>
      </c>
      <c r="Q258" t="s">
        <v>40</v>
      </c>
      <c r="R258">
        <v>127</v>
      </c>
      <c r="S258">
        <v>0</v>
      </c>
      <c r="T258" t="s">
        <v>41</v>
      </c>
      <c r="U258" t="s">
        <v>57</v>
      </c>
      <c r="V258">
        <v>1.1499999999999999</v>
      </c>
      <c r="W258">
        <v>4.6100000000000003</v>
      </c>
      <c r="X258">
        <v>5.2</v>
      </c>
      <c r="Y258">
        <v>17.5</v>
      </c>
      <c r="Z258">
        <v>14.2</v>
      </c>
      <c r="AA258">
        <f>VALUE(SUBSTITUTE(DACS19___Pfizer’s_Personalised_Medicine_in[[#This Row],[Dose]],"mg",""))</f>
        <v>100</v>
      </c>
      <c r="AB258">
        <f t="shared" ref="AB258:AB321" si="28">VALUE(SUBSTITUTE(O258,"mg",""))</f>
        <v>100</v>
      </c>
      <c r="AC258" t="s">
        <v>40</v>
      </c>
      <c r="AD258">
        <f t="shared" ref="AD258:AD321" si="29">IF(Q258="","",IF(Q258="Dizziness",1,IF(Q258="Fatigue",2,IF(Q258="Headache",3,IF(Q258="Nausea",4,IF(Q258="Not Reported",0,""))))))</f>
        <v>3</v>
      </c>
      <c r="AE258">
        <f t="shared" ref="AE258:AE321" si="30">IF(P258="Deteriorated",1,IF(P258="No Change",2,IF(P258="Improved",3,0)))</f>
        <v>1</v>
      </c>
      <c r="AF258">
        <f t="shared" ref="AF258:AF321" si="31">IF($H258="DrugA",$W258,NA())</f>
        <v>4.6100000000000003</v>
      </c>
      <c r="AG258" t="e">
        <f t="shared" ref="AG258:AG321" si="32">IF($H258="DrugB",$W258,NA())</f>
        <v>#N/A</v>
      </c>
      <c r="AH258" t="e">
        <f t="shared" ref="AH258:AH321" si="33">IF($H258="DrugC",$W258,NA())</f>
        <v>#N/A</v>
      </c>
      <c r="AI258" t="e">
        <f t="shared" ref="AI258:AI321" si="34">IF($H258="DrugD",$W258,NA())</f>
        <v>#N/A</v>
      </c>
    </row>
    <row r="259" spans="1:35" x14ac:dyDescent="0.45">
      <c r="A259" t="s">
        <v>1001</v>
      </c>
      <c r="B259">
        <v>44</v>
      </c>
      <c r="C259" t="s">
        <v>45</v>
      </c>
      <c r="D259" t="s">
        <v>106</v>
      </c>
      <c r="E259" t="s">
        <v>2614</v>
      </c>
      <c r="F259" t="s">
        <v>2614</v>
      </c>
      <c r="G259" t="s">
        <v>89</v>
      </c>
      <c r="H259" t="s">
        <v>81</v>
      </c>
      <c r="I259" t="s">
        <v>72</v>
      </c>
      <c r="J259" t="s">
        <v>1002</v>
      </c>
      <c r="K259" t="s">
        <v>1003</v>
      </c>
      <c r="L259" t="s">
        <v>64</v>
      </c>
      <c r="M259" t="s">
        <v>75</v>
      </c>
      <c r="N259" t="s">
        <v>1004</v>
      </c>
      <c r="O259" t="s">
        <v>64</v>
      </c>
      <c r="P259" t="s">
        <v>39</v>
      </c>
      <c r="Q259" t="s">
        <v>2614</v>
      </c>
      <c r="R259">
        <v>179</v>
      </c>
      <c r="S259">
        <v>1</v>
      </c>
      <c r="T259" t="s">
        <v>56</v>
      </c>
      <c r="U259" t="s">
        <v>42</v>
      </c>
      <c r="V259">
        <v>4.58</v>
      </c>
      <c r="W259">
        <v>3.55</v>
      </c>
      <c r="X259">
        <v>6.5</v>
      </c>
      <c r="Y259">
        <v>7.2</v>
      </c>
      <c r="Z259">
        <v>11.8</v>
      </c>
      <c r="AA259">
        <f>VALUE(SUBSTITUTE(DACS19___Pfizer’s_Personalised_Medicine_in[[#This Row],[Dose]],"mg",""))</f>
        <v>150</v>
      </c>
      <c r="AB259">
        <f t="shared" si="28"/>
        <v>150</v>
      </c>
      <c r="AC259" t="s">
        <v>2614</v>
      </c>
      <c r="AD259">
        <f t="shared" si="29"/>
        <v>0</v>
      </c>
      <c r="AE259">
        <f t="shared" si="30"/>
        <v>3</v>
      </c>
      <c r="AF259" t="e">
        <f t="shared" si="31"/>
        <v>#N/A</v>
      </c>
      <c r="AG259" t="e">
        <f t="shared" si="32"/>
        <v>#N/A</v>
      </c>
      <c r="AH259" t="e">
        <f t="shared" si="33"/>
        <v>#N/A</v>
      </c>
      <c r="AI259">
        <f t="shared" si="34"/>
        <v>3.55</v>
      </c>
    </row>
    <row r="260" spans="1:35" x14ac:dyDescent="0.45">
      <c r="A260" t="s">
        <v>1005</v>
      </c>
      <c r="B260">
        <v>19</v>
      </c>
      <c r="C260" t="s">
        <v>44</v>
      </c>
      <c r="D260" t="s">
        <v>106</v>
      </c>
      <c r="E260" t="s">
        <v>2614</v>
      </c>
      <c r="F260" t="s">
        <v>2614</v>
      </c>
      <c r="G260" t="s">
        <v>131</v>
      </c>
      <c r="H260" t="s">
        <v>71</v>
      </c>
      <c r="I260" t="s">
        <v>33</v>
      </c>
      <c r="J260" t="s">
        <v>1006</v>
      </c>
      <c r="K260" t="s">
        <v>1007</v>
      </c>
      <c r="L260" t="s">
        <v>92</v>
      </c>
      <c r="M260" t="s">
        <v>75</v>
      </c>
      <c r="N260" t="s">
        <v>244</v>
      </c>
      <c r="O260" t="s">
        <v>92</v>
      </c>
      <c r="P260" t="s">
        <v>39</v>
      </c>
      <c r="Q260" t="s">
        <v>2614</v>
      </c>
      <c r="R260">
        <v>90</v>
      </c>
      <c r="S260">
        <v>1</v>
      </c>
      <c r="T260" t="s">
        <v>56</v>
      </c>
      <c r="U260" t="s">
        <v>57</v>
      </c>
      <c r="V260">
        <v>1.6</v>
      </c>
      <c r="W260">
        <v>3.95</v>
      </c>
      <c r="X260">
        <v>5.6</v>
      </c>
      <c r="Y260">
        <v>18.2</v>
      </c>
      <c r="Z260">
        <v>3.7</v>
      </c>
      <c r="AA260">
        <f>VALUE(SUBSTITUTE(DACS19___Pfizer’s_Personalised_Medicine_in[[#This Row],[Dose]],"mg",""))</f>
        <v>50</v>
      </c>
      <c r="AB260">
        <f t="shared" si="28"/>
        <v>50</v>
      </c>
      <c r="AC260" t="s">
        <v>2614</v>
      </c>
      <c r="AD260">
        <f t="shared" si="29"/>
        <v>0</v>
      </c>
      <c r="AE260">
        <f t="shared" si="30"/>
        <v>3</v>
      </c>
      <c r="AF260" t="e">
        <f t="shared" si="31"/>
        <v>#N/A</v>
      </c>
      <c r="AG260">
        <f t="shared" si="32"/>
        <v>3.95</v>
      </c>
      <c r="AH260" t="e">
        <f t="shared" si="33"/>
        <v>#N/A</v>
      </c>
      <c r="AI260" t="e">
        <f t="shared" si="34"/>
        <v>#N/A</v>
      </c>
    </row>
    <row r="261" spans="1:35" x14ac:dyDescent="0.45">
      <c r="A261" t="s">
        <v>1008</v>
      </c>
      <c r="B261">
        <v>23</v>
      </c>
      <c r="C261" t="s">
        <v>27</v>
      </c>
      <c r="D261" t="s">
        <v>28</v>
      </c>
      <c r="E261" t="s">
        <v>29</v>
      </c>
      <c r="F261" t="s">
        <v>2614</v>
      </c>
      <c r="G261" t="s">
        <v>276</v>
      </c>
      <c r="H261" t="s">
        <v>81</v>
      </c>
      <c r="I261" t="s">
        <v>132</v>
      </c>
      <c r="J261" t="s">
        <v>1009</v>
      </c>
      <c r="K261" t="s">
        <v>953</v>
      </c>
      <c r="L261" t="s">
        <v>52</v>
      </c>
      <c r="M261" t="s">
        <v>469</v>
      </c>
      <c r="N261" t="s">
        <v>962</v>
      </c>
      <c r="O261" t="s">
        <v>52</v>
      </c>
      <c r="P261" t="s">
        <v>55</v>
      </c>
      <c r="Q261" t="s">
        <v>67</v>
      </c>
      <c r="R261">
        <v>52</v>
      </c>
      <c r="S261">
        <v>0</v>
      </c>
      <c r="T261" t="s">
        <v>137</v>
      </c>
      <c r="U261" t="s">
        <v>57</v>
      </c>
      <c r="V261">
        <v>1.34</v>
      </c>
      <c r="W261">
        <v>3.87</v>
      </c>
      <c r="X261">
        <v>1.6</v>
      </c>
      <c r="Y261">
        <v>7.3</v>
      </c>
      <c r="Z261">
        <v>3.2</v>
      </c>
      <c r="AA261">
        <f>VALUE(SUBSTITUTE(DACS19___Pfizer’s_Personalised_Medicine_in[[#This Row],[Dose]],"mg",""))</f>
        <v>100</v>
      </c>
      <c r="AB261">
        <f t="shared" si="28"/>
        <v>100</v>
      </c>
      <c r="AC261" t="s">
        <v>67</v>
      </c>
      <c r="AD261">
        <f t="shared" si="29"/>
        <v>2</v>
      </c>
      <c r="AE261">
        <f t="shared" si="30"/>
        <v>2</v>
      </c>
      <c r="AF261" t="e">
        <f t="shared" si="31"/>
        <v>#N/A</v>
      </c>
      <c r="AG261" t="e">
        <f t="shared" si="32"/>
        <v>#N/A</v>
      </c>
      <c r="AH261" t="e">
        <f t="shared" si="33"/>
        <v>#N/A</v>
      </c>
      <c r="AI261">
        <f t="shared" si="34"/>
        <v>3.87</v>
      </c>
    </row>
    <row r="262" spans="1:35" x14ac:dyDescent="0.45">
      <c r="A262" t="s">
        <v>1010</v>
      </c>
      <c r="B262">
        <v>36</v>
      </c>
      <c r="C262" t="s">
        <v>44</v>
      </c>
      <c r="D262" t="s">
        <v>87</v>
      </c>
      <c r="E262" t="s">
        <v>2614</v>
      </c>
      <c r="F262" t="s">
        <v>79</v>
      </c>
      <c r="G262" t="s">
        <v>70</v>
      </c>
      <c r="H262" t="s">
        <v>32</v>
      </c>
      <c r="I262" t="s">
        <v>132</v>
      </c>
      <c r="J262" t="s">
        <v>457</v>
      </c>
      <c r="K262" t="s">
        <v>1011</v>
      </c>
      <c r="L262" t="s">
        <v>64</v>
      </c>
      <c r="M262" t="s">
        <v>2634</v>
      </c>
      <c r="N262" t="s">
        <v>521</v>
      </c>
      <c r="O262" t="s">
        <v>64</v>
      </c>
      <c r="P262" t="s">
        <v>110</v>
      </c>
      <c r="Q262" t="s">
        <v>40</v>
      </c>
      <c r="R262">
        <v>68</v>
      </c>
      <c r="S262">
        <v>0</v>
      </c>
      <c r="T262" t="s">
        <v>85</v>
      </c>
      <c r="U262" t="s">
        <v>57</v>
      </c>
      <c r="V262">
        <v>4.83</v>
      </c>
      <c r="W262">
        <v>3.95</v>
      </c>
      <c r="X262">
        <v>4.2</v>
      </c>
      <c r="Y262">
        <v>11.3</v>
      </c>
      <c r="Z262">
        <v>8.9</v>
      </c>
      <c r="AA262">
        <f>VALUE(SUBSTITUTE(DACS19___Pfizer’s_Personalised_Medicine_in[[#This Row],[Dose]],"mg",""))</f>
        <v>150</v>
      </c>
      <c r="AB262">
        <f t="shared" si="28"/>
        <v>150</v>
      </c>
      <c r="AC262" t="s">
        <v>40</v>
      </c>
      <c r="AD262">
        <f t="shared" si="29"/>
        <v>3</v>
      </c>
      <c r="AE262">
        <f t="shared" si="30"/>
        <v>1</v>
      </c>
      <c r="AF262" t="e">
        <f t="shared" si="31"/>
        <v>#N/A</v>
      </c>
      <c r="AG262" t="e">
        <f t="shared" si="32"/>
        <v>#N/A</v>
      </c>
      <c r="AH262">
        <f t="shared" si="33"/>
        <v>3.95</v>
      </c>
      <c r="AI262" t="e">
        <f t="shared" si="34"/>
        <v>#N/A</v>
      </c>
    </row>
    <row r="263" spans="1:35" x14ac:dyDescent="0.45">
      <c r="A263" t="s">
        <v>1012</v>
      </c>
      <c r="B263">
        <v>24</v>
      </c>
      <c r="C263" t="s">
        <v>27</v>
      </c>
      <c r="D263" t="s">
        <v>106</v>
      </c>
      <c r="E263" t="s">
        <v>163</v>
      </c>
      <c r="F263" t="s">
        <v>88</v>
      </c>
      <c r="G263" t="s">
        <v>70</v>
      </c>
      <c r="H263" t="s">
        <v>32</v>
      </c>
      <c r="I263" t="s">
        <v>72</v>
      </c>
      <c r="J263" t="s">
        <v>277</v>
      </c>
      <c r="K263" t="s">
        <v>1013</v>
      </c>
      <c r="L263" t="s">
        <v>92</v>
      </c>
      <c r="M263" t="s">
        <v>2628</v>
      </c>
      <c r="N263" t="s">
        <v>1014</v>
      </c>
      <c r="O263" t="s">
        <v>92</v>
      </c>
      <c r="P263" t="s">
        <v>55</v>
      </c>
      <c r="Q263" t="s">
        <v>129</v>
      </c>
      <c r="R263">
        <v>67</v>
      </c>
      <c r="S263">
        <v>0</v>
      </c>
      <c r="T263" t="s">
        <v>123</v>
      </c>
      <c r="U263" t="s">
        <v>57</v>
      </c>
      <c r="V263">
        <v>4.0999999999999996</v>
      </c>
      <c r="W263">
        <v>3.65</v>
      </c>
      <c r="X263">
        <v>2.7</v>
      </c>
      <c r="Y263">
        <v>9.1</v>
      </c>
      <c r="Z263">
        <v>4.7</v>
      </c>
      <c r="AA263">
        <f>VALUE(SUBSTITUTE(DACS19___Pfizer’s_Personalised_Medicine_in[[#This Row],[Dose]],"mg",""))</f>
        <v>50</v>
      </c>
      <c r="AB263">
        <f t="shared" si="28"/>
        <v>50</v>
      </c>
      <c r="AC263" t="s">
        <v>129</v>
      </c>
      <c r="AD263">
        <f t="shared" si="29"/>
        <v>4</v>
      </c>
      <c r="AE263">
        <f t="shared" si="30"/>
        <v>2</v>
      </c>
      <c r="AF263" t="e">
        <f t="shared" si="31"/>
        <v>#N/A</v>
      </c>
      <c r="AG263" t="e">
        <f t="shared" si="32"/>
        <v>#N/A</v>
      </c>
      <c r="AH263">
        <f t="shared" si="33"/>
        <v>3.65</v>
      </c>
      <c r="AI263" t="e">
        <f t="shared" si="34"/>
        <v>#N/A</v>
      </c>
    </row>
    <row r="264" spans="1:35" x14ac:dyDescent="0.45">
      <c r="A264" t="s">
        <v>1015</v>
      </c>
      <c r="B264">
        <v>29</v>
      </c>
      <c r="C264" t="s">
        <v>27</v>
      </c>
      <c r="D264" t="s">
        <v>28</v>
      </c>
      <c r="E264" t="s">
        <v>46</v>
      </c>
      <c r="F264" t="s">
        <v>2614</v>
      </c>
      <c r="G264" t="s">
        <v>246</v>
      </c>
      <c r="H264" t="s">
        <v>32</v>
      </c>
      <c r="I264" t="s">
        <v>72</v>
      </c>
      <c r="J264" t="s">
        <v>1016</v>
      </c>
      <c r="K264" t="s">
        <v>1017</v>
      </c>
      <c r="L264" t="s">
        <v>52</v>
      </c>
      <c r="M264" t="s">
        <v>274</v>
      </c>
      <c r="N264" t="s">
        <v>571</v>
      </c>
      <c r="O264" t="s">
        <v>52</v>
      </c>
      <c r="P264" t="s">
        <v>55</v>
      </c>
      <c r="Q264" t="s">
        <v>129</v>
      </c>
      <c r="R264">
        <v>114</v>
      </c>
      <c r="S264">
        <v>0</v>
      </c>
      <c r="T264" t="s">
        <v>123</v>
      </c>
      <c r="U264" t="s">
        <v>57</v>
      </c>
      <c r="V264">
        <v>3.64</v>
      </c>
      <c r="W264">
        <v>4.0599999999999996</v>
      </c>
      <c r="X264">
        <v>3.4</v>
      </c>
      <c r="Y264">
        <v>6.4</v>
      </c>
      <c r="Z264">
        <v>4.4000000000000004</v>
      </c>
      <c r="AA264">
        <f>VALUE(SUBSTITUTE(DACS19___Pfizer’s_Personalised_Medicine_in[[#This Row],[Dose]],"mg",""))</f>
        <v>100</v>
      </c>
      <c r="AB264">
        <f t="shared" si="28"/>
        <v>100</v>
      </c>
      <c r="AC264" t="s">
        <v>129</v>
      </c>
      <c r="AD264">
        <f t="shared" si="29"/>
        <v>4</v>
      </c>
      <c r="AE264">
        <f t="shared" si="30"/>
        <v>2</v>
      </c>
      <c r="AF264" t="e">
        <f t="shared" si="31"/>
        <v>#N/A</v>
      </c>
      <c r="AG264" t="e">
        <f t="shared" si="32"/>
        <v>#N/A</v>
      </c>
      <c r="AH264">
        <f t="shared" si="33"/>
        <v>4.0599999999999996</v>
      </c>
      <c r="AI264" t="e">
        <f t="shared" si="34"/>
        <v>#N/A</v>
      </c>
    </row>
    <row r="265" spans="1:35" x14ac:dyDescent="0.45">
      <c r="A265" t="s">
        <v>1018</v>
      </c>
      <c r="B265">
        <v>33</v>
      </c>
      <c r="C265" t="s">
        <v>44</v>
      </c>
      <c r="D265" t="s">
        <v>28</v>
      </c>
      <c r="E265" t="s">
        <v>29</v>
      </c>
      <c r="F265" t="s">
        <v>2614</v>
      </c>
      <c r="G265" t="s">
        <v>102</v>
      </c>
      <c r="H265" t="s">
        <v>32</v>
      </c>
      <c r="I265" t="s">
        <v>72</v>
      </c>
      <c r="J265" t="s">
        <v>1019</v>
      </c>
      <c r="K265" t="s">
        <v>561</v>
      </c>
      <c r="L265" t="s">
        <v>36</v>
      </c>
      <c r="M265" t="s">
        <v>2639</v>
      </c>
      <c r="N265" t="s">
        <v>38</v>
      </c>
      <c r="O265" t="s">
        <v>36</v>
      </c>
      <c r="P265" t="s">
        <v>39</v>
      </c>
      <c r="Q265" t="s">
        <v>75</v>
      </c>
      <c r="R265">
        <v>145</v>
      </c>
      <c r="S265">
        <v>1</v>
      </c>
      <c r="T265" t="s">
        <v>137</v>
      </c>
      <c r="U265" t="s">
        <v>42</v>
      </c>
      <c r="V265">
        <v>4.87</v>
      </c>
      <c r="W265">
        <v>2.1800000000000002</v>
      </c>
      <c r="X265">
        <v>7.9</v>
      </c>
      <c r="Y265">
        <v>17.2</v>
      </c>
      <c r="Z265">
        <v>9.5</v>
      </c>
      <c r="AA265">
        <f>VALUE(SUBSTITUTE(DACS19___Pfizer’s_Personalised_Medicine_in[[#This Row],[Dose]],"mg",""))</f>
        <v>200</v>
      </c>
      <c r="AB265">
        <f t="shared" si="28"/>
        <v>200</v>
      </c>
      <c r="AC265" t="s">
        <v>75</v>
      </c>
      <c r="AD265">
        <f t="shared" si="29"/>
        <v>1</v>
      </c>
      <c r="AE265">
        <f t="shared" si="30"/>
        <v>3</v>
      </c>
      <c r="AF265" t="e">
        <f t="shared" si="31"/>
        <v>#N/A</v>
      </c>
      <c r="AG265" t="e">
        <f t="shared" si="32"/>
        <v>#N/A</v>
      </c>
      <c r="AH265">
        <f t="shared" si="33"/>
        <v>2.1800000000000002</v>
      </c>
      <c r="AI265" t="e">
        <f t="shared" si="34"/>
        <v>#N/A</v>
      </c>
    </row>
    <row r="266" spans="1:35" x14ac:dyDescent="0.45">
      <c r="A266" t="s">
        <v>1020</v>
      </c>
      <c r="B266">
        <v>45</v>
      </c>
      <c r="C266" t="s">
        <v>27</v>
      </c>
      <c r="D266" t="s">
        <v>28</v>
      </c>
      <c r="E266" t="s">
        <v>2614</v>
      </c>
      <c r="F266" t="s">
        <v>2614</v>
      </c>
      <c r="G266" t="s">
        <v>125</v>
      </c>
      <c r="H266" t="s">
        <v>81</v>
      </c>
      <c r="I266" t="s">
        <v>49</v>
      </c>
      <c r="J266" t="s">
        <v>62</v>
      </c>
      <c r="K266" t="s">
        <v>1021</v>
      </c>
      <c r="L266" t="s">
        <v>36</v>
      </c>
      <c r="M266" t="s">
        <v>129</v>
      </c>
      <c r="N266" t="s">
        <v>987</v>
      </c>
      <c r="O266" t="s">
        <v>36</v>
      </c>
      <c r="P266" t="s">
        <v>39</v>
      </c>
      <c r="Q266" t="s">
        <v>40</v>
      </c>
      <c r="R266">
        <v>133</v>
      </c>
      <c r="S266">
        <v>1</v>
      </c>
      <c r="T266" t="s">
        <v>137</v>
      </c>
      <c r="U266" t="s">
        <v>42</v>
      </c>
      <c r="V266">
        <v>1.82</v>
      </c>
      <c r="W266">
        <v>1.49</v>
      </c>
      <c r="X266">
        <v>6.5</v>
      </c>
      <c r="Y266">
        <v>19.899999999999999</v>
      </c>
      <c r="Z266">
        <v>13.9</v>
      </c>
      <c r="AA266">
        <f>VALUE(SUBSTITUTE(DACS19___Pfizer’s_Personalised_Medicine_in[[#This Row],[Dose]],"mg",""))</f>
        <v>200</v>
      </c>
      <c r="AB266">
        <f t="shared" si="28"/>
        <v>200</v>
      </c>
      <c r="AC266" t="s">
        <v>40</v>
      </c>
      <c r="AD266">
        <f t="shared" si="29"/>
        <v>3</v>
      </c>
      <c r="AE266">
        <f t="shared" si="30"/>
        <v>3</v>
      </c>
      <c r="AF266" t="e">
        <f t="shared" si="31"/>
        <v>#N/A</v>
      </c>
      <c r="AG266" t="e">
        <f t="shared" si="32"/>
        <v>#N/A</v>
      </c>
      <c r="AH266" t="e">
        <f t="shared" si="33"/>
        <v>#N/A</v>
      </c>
      <c r="AI266">
        <f t="shared" si="34"/>
        <v>1.49</v>
      </c>
    </row>
    <row r="267" spans="1:35" x14ac:dyDescent="0.45">
      <c r="A267" t="s">
        <v>1022</v>
      </c>
      <c r="B267">
        <v>33</v>
      </c>
      <c r="C267" t="s">
        <v>44</v>
      </c>
      <c r="D267" t="s">
        <v>95</v>
      </c>
      <c r="E267" t="s">
        <v>78</v>
      </c>
      <c r="F267" t="s">
        <v>2614</v>
      </c>
      <c r="G267" t="s">
        <v>276</v>
      </c>
      <c r="H267" t="s">
        <v>71</v>
      </c>
      <c r="I267" t="s">
        <v>132</v>
      </c>
      <c r="J267" t="s">
        <v>1023</v>
      </c>
      <c r="K267" t="s">
        <v>1024</v>
      </c>
      <c r="L267" t="s">
        <v>36</v>
      </c>
      <c r="M267" t="s">
        <v>500</v>
      </c>
      <c r="N267" t="s">
        <v>1025</v>
      </c>
      <c r="O267" t="s">
        <v>36</v>
      </c>
      <c r="P267" t="s">
        <v>110</v>
      </c>
      <c r="Q267" t="s">
        <v>75</v>
      </c>
      <c r="R267">
        <v>138</v>
      </c>
      <c r="S267">
        <v>0</v>
      </c>
      <c r="T267" t="s">
        <v>123</v>
      </c>
      <c r="U267" t="s">
        <v>57</v>
      </c>
      <c r="V267">
        <v>3.12</v>
      </c>
      <c r="W267">
        <v>1.17</v>
      </c>
      <c r="X267">
        <v>9.6999999999999993</v>
      </c>
      <c r="Y267">
        <v>20.399999999999999</v>
      </c>
      <c r="Z267">
        <v>8</v>
      </c>
      <c r="AA267">
        <f>VALUE(SUBSTITUTE(DACS19___Pfizer’s_Personalised_Medicine_in[[#This Row],[Dose]],"mg",""))</f>
        <v>200</v>
      </c>
      <c r="AB267">
        <f t="shared" si="28"/>
        <v>200</v>
      </c>
      <c r="AC267" t="s">
        <v>75</v>
      </c>
      <c r="AD267">
        <f t="shared" si="29"/>
        <v>1</v>
      </c>
      <c r="AE267">
        <f t="shared" si="30"/>
        <v>1</v>
      </c>
      <c r="AF267" t="e">
        <f t="shared" si="31"/>
        <v>#N/A</v>
      </c>
      <c r="AG267">
        <f t="shared" si="32"/>
        <v>1.17</v>
      </c>
      <c r="AH267" t="e">
        <f t="shared" si="33"/>
        <v>#N/A</v>
      </c>
      <c r="AI267" t="e">
        <f t="shared" si="34"/>
        <v>#N/A</v>
      </c>
    </row>
    <row r="268" spans="1:35" x14ac:dyDescent="0.45">
      <c r="A268" t="s">
        <v>1026</v>
      </c>
      <c r="B268">
        <v>65</v>
      </c>
      <c r="C268" t="s">
        <v>45</v>
      </c>
      <c r="D268" t="s">
        <v>106</v>
      </c>
      <c r="E268" t="s">
        <v>78</v>
      </c>
      <c r="F268" t="s">
        <v>2614</v>
      </c>
      <c r="G268" t="s">
        <v>125</v>
      </c>
      <c r="H268" t="s">
        <v>61</v>
      </c>
      <c r="I268" t="s">
        <v>132</v>
      </c>
      <c r="J268" t="s">
        <v>1027</v>
      </c>
      <c r="K268" t="s">
        <v>1028</v>
      </c>
      <c r="L268" t="s">
        <v>52</v>
      </c>
      <c r="M268" t="s">
        <v>536</v>
      </c>
      <c r="N268" t="s">
        <v>198</v>
      </c>
      <c r="O268" t="s">
        <v>52</v>
      </c>
      <c r="P268" t="s">
        <v>55</v>
      </c>
      <c r="Q268" t="s">
        <v>40</v>
      </c>
      <c r="R268">
        <v>50</v>
      </c>
      <c r="S268">
        <v>0</v>
      </c>
      <c r="T268" t="s">
        <v>56</v>
      </c>
      <c r="U268" t="s">
        <v>57</v>
      </c>
      <c r="V268">
        <v>4.92</v>
      </c>
      <c r="W268">
        <v>3.41</v>
      </c>
      <c r="X268">
        <v>6.2</v>
      </c>
      <c r="Y268">
        <v>19.5</v>
      </c>
      <c r="Z268">
        <v>16.8</v>
      </c>
      <c r="AA268">
        <f>VALUE(SUBSTITUTE(DACS19___Pfizer’s_Personalised_Medicine_in[[#This Row],[Dose]],"mg",""))</f>
        <v>100</v>
      </c>
      <c r="AB268">
        <f t="shared" si="28"/>
        <v>100</v>
      </c>
      <c r="AC268" t="s">
        <v>40</v>
      </c>
      <c r="AD268">
        <f t="shared" si="29"/>
        <v>3</v>
      </c>
      <c r="AE268">
        <f t="shared" si="30"/>
        <v>2</v>
      </c>
      <c r="AF268">
        <f t="shared" si="31"/>
        <v>3.41</v>
      </c>
      <c r="AG268" t="e">
        <f t="shared" si="32"/>
        <v>#N/A</v>
      </c>
      <c r="AH268" t="e">
        <f t="shared" si="33"/>
        <v>#N/A</v>
      </c>
      <c r="AI268" t="e">
        <f t="shared" si="34"/>
        <v>#N/A</v>
      </c>
    </row>
    <row r="269" spans="1:35" x14ac:dyDescent="0.45">
      <c r="A269" t="s">
        <v>1029</v>
      </c>
      <c r="B269">
        <v>37</v>
      </c>
      <c r="C269" t="s">
        <v>27</v>
      </c>
      <c r="D269" t="s">
        <v>28</v>
      </c>
      <c r="E269" t="s">
        <v>46</v>
      </c>
      <c r="F269" t="s">
        <v>2614</v>
      </c>
      <c r="G269" t="s">
        <v>276</v>
      </c>
      <c r="H269" t="s">
        <v>61</v>
      </c>
      <c r="I269" t="s">
        <v>49</v>
      </c>
      <c r="J269" t="s">
        <v>854</v>
      </c>
      <c r="K269" t="s">
        <v>1030</v>
      </c>
      <c r="L269" t="s">
        <v>36</v>
      </c>
      <c r="M269" t="s">
        <v>135</v>
      </c>
      <c r="N269" t="s">
        <v>1031</v>
      </c>
      <c r="O269" t="s">
        <v>36</v>
      </c>
      <c r="P269" t="s">
        <v>110</v>
      </c>
      <c r="Q269" t="s">
        <v>75</v>
      </c>
      <c r="R269">
        <v>94</v>
      </c>
      <c r="S269">
        <v>0</v>
      </c>
      <c r="T269" t="s">
        <v>137</v>
      </c>
      <c r="U269" t="s">
        <v>57</v>
      </c>
      <c r="V269">
        <v>3.63</v>
      </c>
      <c r="W269">
        <v>1.51</v>
      </c>
      <c r="X269">
        <v>4</v>
      </c>
      <c r="Y269">
        <v>22.7</v>
      </c>
      <c r="Z269">
        <v>6.8</v>
      </c>
      <c r="AA269">
        <f>VALUE(SUBSTITUTE(DACS19___Pfizer’s_Personalised_Medicine_in[[#This Row],[Dose]],"mg",""))</f>
        <v>200</v>
      </c>
      <c r="AB269">
        <f t="shared" si="28"/>
        <v>200</v>
      </c>
      <c r="AC269" t="s">
        <v>75</v>
      </c>
      <c r="AD269">
        <f t="shared" si="29"/>
        <v>1</v>
      </c>
      <c r="AE269">
        <f t="shared" si="30"/>
        <v>1</v>
      </c>
      <c r="AF269">
        <f t="shared" si="31"/>
        <v>1.51</v>
      </c>
      <c r="AG269" t="e">
        <f t="shared" si="32"/>
        <v>#N/A</v>
      </c>
      <c r="AH269" t="e">
        <f t="shared" si="33"/>
        <v>#N/A</v>
      </c>
      <c r="AI269" t="e">
        <f t="shared" si="34"/>
        <v>#N/A</v>
      </c>
    </row>
    <row r="270" spans="1:35" x14ac:dyDescent="0.45">
      <c r="A270" t="s">
        <v>1032</v>
      </c>
      <c r="B270">
        <v>28</v>
      </c>
      <c r="C270" t="s">
        <v>45</v>
      </c>
      <c r="D270" t="s">
        <v>87</v>
      </c>
      <c r="E270" t="s">
        <v>163</v>
      </c>
      <c r="F270" t="s">
        <v>2614</v>
      </c>
      <c r="G270" t="s">
        <v>440</v>
      </c>
      <c r="H270" t="s">
        <v>71</v>
      </c>
      <c r="I270" t="s">
        <v>72</v>
      </c>
      <c r="J270" t="s">
        <v>1033</v>
      </c>
      <c r="K270" t="s">
        <v>1034</v>
      </c>
      <c r="L270" t="s">
        <v>64</v>
      </c>
      <c r="M270" t="s">
        <v>378</v>
      </c>
      <c r="N270" t="s">
        <v>168</v>
      </c>
      <c r="O270" t="s">
        <v>64</v>
      </c>
      <c r="P270" t="s">
        <v>110</v>
      </c>
      <c r="Q270" t="s">
        <v>40</v>
      </c>
      <c r="R270">
        <v>97</v>
      </c>
      <c r="S270">
        <v>0</v>
      </c>
      <c r="T270" t="s">
        <v>137</v>
      </c>
      <c r="U270" t="s">
        <v>42</v>
      </c>
      <c r="V270">
        <v>2.4900000000000002</v>
      </c>
      <c r="W270">
        <v>2.73</v>
      </c>
      <c r="X270">
        <v>5</v>
      </c>
      <c r="Y270">
        <v>17</v>
      </c>
      <c r="Z270">
        <v>19</v>
      </c>
      <c r="AA270">
        <f>VALUE(SUBSTITUTE(DACS19___Pfizer’s_Personalised_Medicine_in[[#This Row],[Dose]],"mg",""))</f>
        <v>150</v>
      </c>
      <c r="AB270">
        <f t="shared" si="28"/>
        <v>150</v>
      </c>
      <c r="AC270" t="s">
        <v>40</v>
      </c>
      <c r="AD270">
        <f t="shared" si="29"/>
        <v>3</v>
      </c>
      <c r="AE270">
        <f t="shared" si="30"/>
        <v>1</v>
      </c>
      <c r="AF270" t="e">
        <f t="shared" si="31"/>
        <v>#N/A</v>
      </c>
      <c r="AG270">
        <f t="shared" si="32"/>
        <v>2.73</v>
      </c>
      <c r="AH270" t="e">
        <f t="shared" si="33"/>
        <v>#N/A</v>
      </c>
      <c r="AI270" t="e">
        <f t="shared" si="34"/>
        <v>#N/A</v>
      </c>
    </row>
    <row r="271" spans="1:35" x14ac:dyDescent="0.45">
      <c r="A271" t="s">
        <v>1035</v>
      </c>
      <c r="B271">
        <v>45</v>
      </c>
      <c r="C271" t="s">
        <v>27</v>
      </c>
      <c r="D271" t="s">
        <v>87</v>
      </c>
      <c r="E271" t="s">
        <v>29</v>
      </c>
      <c r="F271" t="s">
        <v>88</v>
      </c>
      <c r="G271" t="s">
        <v>48</v>
      </c>
      <c r="H271" t="s">
        <v>61</v>
      </c>
      <c r="I271" t="s">
        <v>49</v>
      </c>
      <c r="J271" t="s">
        <v>1036</v>
      </c>
      <c r="K271" t="s">
        <v>1037</v>
      </c>
      <c r="L271" t="s">
        <v>36</v>
      </c>
      <c r="M271" t="s">
        <v>500</v>
      </c>
      <c r="N271" t="s">
        <v>1038</v>
      </c>
      <c r="O271" t="s">
        <v>36</v>
      </c>
      <c r="P271" t="s">
        <v>110</v>
      </c>
      <c r="Q271" t="s">
        <v>75</v>
      </c>
      <c r="R271">
        <v>122</v>
      </c>
      <c r="S271">
        <v>0</v>
      </c>
      <c r="T271" t="s">
        <v>56</v>
      </c>
      <c r="U271" t="s">
        <v>57</v>
      </c>
      <c r="V271">
        <v>1.96</v>
      </c>
      <c r="W271">
        <v>1.49</v>
      </c>
      <c r="X271">
        <v>2.8</v>
      </c>
      <c r="Y271">
        <v>22</v>
      </c>
      <c r="Z271">
        <v>14</v>
      </c>
      <c r="AA271">
        <f>VALUE(SUBSTITUTE(DACS19___Pfizer’s_Personalised_Medicine_in[[#This Row],[Dose]],"mg",""))</f>
        <v>200</v>
      </c>
      <c r="AB271">
        <f t="shared" si="28"/>
        <v>200</v>
      </c>
      <c r="AC271" t="s">
        <v>75</v>
      </c>
      <c r="AD271">
        <f t="shared" si="29"/>
        <v>1</v>
      </c>
      <c r="AE271">
        <f t="shared" si="30"/>
        <v>1</v>
      </c>
      <c r="AF271">
        <f t="shared" si="31"/>
        <v>1.49</v>
      </c>
      <c r="AG271" t="e">
        <f t="shared" si="32"/>
        <v>#N/A</v>
      </c>
      <c r="AH271" t="e">
        <f t="shared" si="33"/>
        <v>#N/A</v>
      </c>
      <c r="AI271" t="e">
        <f t="shared" si="34"/>
        <v>#N/A</v>
      </c>
    </row>
    <row r="272" spans="1:35" x14ac:dyDescent="0.45">
      <c r="A272" t="s">
        <v>1039</v>
      </c>
      <c r="B272">
        <v>29</v>
      </c>
      <c r="C272" t="s">
        <v>27</v>
      </c>
      <c r="D272" t="s">
        <v>106</v>
      </c>
      <c r="E272" t="s">
        <v>163</v>
      </c>
      <c r="F272" t="s">
        <v>88</v>
      </c>
      <c r="G272" t="s">
        <v>89</v>
      </c>
      <c r="H272" t="s">
        <v>61</v>
      </c>
      <c r="I272" t="s">
        <v>72</v>
      </c>
      <c r="J272" t="s">
        <v>315</v>
      </c>
      <c r="K272" t="s">
        <v>1040</v>
      </c>
      <c r="L272" t="s">
        <v>52</v>
      </c>
      <c r="M272" t="s">
        <v>155</v>
      </c>
      <c r="N272" t="s">
        <v>1041</v>
      </c>
      <c r="O272" t="s">
        <v>52</v>
      </c>
      <c r="P272" t="s">
        <v>55</v>
      </c>
      <c r="Q272" t="s">
        <v>40</v>
      </c>
      <c r="R272">
        <v>67</v>
      </c>
      <c r="S272">
        <v>0</v>
      </c>
      <c r="T272" t="s">
        <v>56</v>
      </c>
      <c r="U272" t="s">
        <v>57</v>
      </c>
      <c r="V272">
        <v>2.14</v>
      </c>
      <c r="W272">
        <v>4.26</v>
      </c>
      <c r="X272">
        <v>8.8000000000000007</v>
      </c>
      <c r="Y272">
        <v>21.2</v>
      </c>
      <c r="Z272">
        <v>18.600000000000001</v>
      </c>
      <c r="AA272">
        <f>VALUE(SUBSTITUTE(DACS19___Pfizer’s_Personalised_Medicine_in[[#This Row],[Dose]],"mg",""))</f>
        <v>100</v>
      </c>
      <c r="AB272">
        <f t="shared" si="28"/>
        <v>100</v>
      </c>
      <c r="AC272" t="s">
        <v>40</v>
      </c>
      <c r="AD272">
        <f t="shared" si="29"/>
        <v>3</v>
      </c>
      <c r="AE272">
        <f t="shared" si="30"/>
        <v>2</v>
      </c>
      <c r="AF272">
        <f t="shared" si="31"/>
        <v>4.26</v>
      </c>
      <c r="AG272" t="e">
        <f t="shared" si="32"/>
        <v>#N/A</v>
      </c>
      <c r="AH272" t="e">
        <f t="shared" si="33"/>
        <v>#N/A</v>
      </c>
      <c r="AI272" t="e">
        <f t="shared" si="34"/>
        <v>#N/A</v>
      </c>
    </row>
    <row r="273" spans="1:35" x14ac:dyDescent="0.45">
      <c r="A273" t="s">
        <v>1042</v>
      </c>
      <c r="B273">
        <v>20</v>
      </c>
      <c r="C273" t="s">
        <v>27</v>
      </c>
      <c r="D273" t="s">
        <v>106</v>
      </c>
      <c r="E273" t="s">
        <v>46</v>
      </c>
      <c r="F273" t="s">
        <v>2614</v>
      </c>
      <c r="G273" t="s">
        <v>440</v>
      </c>
      <c r="H273" t="s">
        <v>81</v>
      </c>
      <c r="I273" t="s">
        <v>33</v>
      </c>
      <c r="J273" t="s">
        <v>1043</v>
      </c>
      <c r="K273" t="s">
        <v>1044</v>
      </c>
      <c r="L273" t="s">
        <v>52</v>
      </c>
      <c r="M273" t="s">
        <v>378</v>
      </c>
      <c r="N273" t="s">
        <v>804</v>
      </c>
      <c r="O273" t="s">
        <v>52</v>
      </c>
      <c r="P273" t="s">
        <v>55</v>
      </c>
      <c r="Q273" t="s">
        <v>129</v>
      </c>
      <c r="R273">
        <v>56</v>
      </c>
      <c r="S273">
        <v>0</v>
      </c>
      <c r="T273" t="s">
        <v>56</v>
      </c>
      <c r="U273" t="s">
        <v>57</v>
      </c>
      <c r="V273">
        <v>2.0099999999999998</v>
      </c>
      <c r="W273">
        <v>4.0199999999999996</v>
      </c>
      <c r="X273">
        <v>5.0999999999999996</v>
      </c>
      <c r="Y273">
        <v>21.2</v>
      </c>
      <c r="Z273">
        <v>15.4</v>
      </c>
      <c r="AA273">
        <f>VALUE(SUBSTITUTE(DACS19___Pfizer’s_Personalised_Medicine_in[[#This Row],[Dose]],"mg",""))</f>
        <v>100</v>
      </c>
      <c r="AB273">
        <f t="shared" si="28"/>
        <v>100</v>
      </c>
      <c r="AC273" t="s">
        <v>129</v>
      </c>
      <c r="AD273">
        <f t="shared" si="29"/>
        <v>4</v>
      </c>
      <c r="AE273">
        <f t="shared" si="30"/>
        <v>2</v>
      </c>
      <c r="AF273" t="e">
        <f t="shared" si="31"/>
        <v>#N/A</v>
      </c>
      <c r="AG273" t="e">
        <f t="shared" si="32"/>
        <v>#N/A</v>
      </c>
      <c r="AH273" t="e">
        <f t="shared" si="33"/>
        <v>#N/A</v>
      </c>
      <c r="AI273">
        <f t="shared" si="34"/>
        <v>4.0199999999999996</v>
      </c>
    </row>
    <row r="274" spans="1:35" x14ac:dyDescent="0.45">
      <c r="A274" t="s">
        <v>1045</v>
      </c>
      <c r="B274">
        <v>81</v>
      </c>
      <c r="C274" t="s">
        <v>45</v>
      </c>
      <c r="D274" t="s">
        <v>45</v>
      </c>
      <c r="E274" t="s">
        <v>29</v>
      </c>
      <c r="F274" t="s">
        <v>2614</v>
      </c>
      <c r="G274" t="s">
        <v>276</v>
      </c>
      <c r="H274" t="s">
        <v>61</v>
      </c>
      <c r="I274" t="s">
        <v>33</v>
      </c>
      <c r="J274" t="s">
        <v>1046</v>
      </c>
      <c r="K274" t="s">
        <v>1047</v>
      </c>
      <c r="L274" t="s">
        <v>36</v>
      </c>
      <c r="M274" t="s">
        <v>129</v>
      </c>
      <c r="N274" t="s">
        <v>344</v>
      </c>
      <c r="O274" t="s">
        <v>36</v>
      </c>
      <c r="P274" t="s">
        <v>39</v>
      </c>
      <c r="Q274" t="s">
        <v>40</v>
      </c>
      <c r="R274">
        <v>177</v>
      </c>
      <c r="S274">
        <v>1</v>
      </c>
      <c r="T274" t="s">
        <v>137</v>
      </c>
      <c r="U274" t="s">
        <v>42</v>
      </c>
      <c r="V274">
        <v>4.1100000000000003</v>
      </c>
      <c r="W274">
        <v>3.62</v>
      </c>
      <c r="X274">
        <v>2.6</v>
      </c>
      <c r="Y274">
        <v>15.8</v>
      </c>
      <c r="Z274">
        <v>19.7</v>
      </c>
      <c r="AA274">
        <f>VALUE(SUBSTITUTE(DACS19___Pfizer’s_Personalised_Medicine_in[[#This Row],[Dose]],"mg",""))</f>
        <v>200</v>
      </c>
      <c r="AB274">
        <f t="shared" si="28"/>
        <v>200</v>
      </c>
      <c r="AC274" t="s">
        <v>40</v>
      </c>
      <c r="AD274">
        <f t="shared" si="29"/>
        <v>3</v>
      </c>
      <c r="AE274">
        <f t="shared" si="30"/>
        <v>3</v>
      </c>
      <c r="AF274">
        <f t="shared" si="31"/>
        <v>3.62</v>
      </c>
      <c r="AG274" t="e">
        <f t="shared" si="32"/>
        <v>#N/A</v>
      </c>
      <c r="AH274" t="e">
        <f t="shared" si="33"/>
        <v>#N/A</v>
      </c>
      <c r="AI274" t="e">
        <f t="shared" si="34"/>
        <v>#N/A</v>
      </c>
    </row>
    <row r="275" spans="1:35" x14ac:dyDescent="0.45">
      <c r="A275" t="s">
        <v>1048</v>
      </c>
      <c r="B275">
        <v>52</v>
      </c>
      <c r="C275" t="s">
        <v>45</v>
      </c>
      <c r="D275" t="s">
        <v>95</v>
      </c>
      <c r="E275" t="s">
        <v>78</v>
      </c>
      <c r="F275" t="s">
        <v>69</v>
      </c>
      <c r="G275" t="s">
        <v>194</v>
      </c>
      <c r="H275" t="s">
        <v>81</v>
      </c>
      <c r="I275" t="s">
        <v>33</v>
      </c>
      <c r="J275" t="s">
        <v>1049</v>
      </c>
      <c r="K275" t="s">
        <v>1050</v>
      </c>
      <c r="L275" t="s">
        <v>52</v>
      </c>
      <c r="M275" t="s">
        <v>2628</v>
      </c>
      <c r="N275" t="s">
        <v>661</v>
      </c>
      <c r="O275" t="s">
        <v>52</v>
      </c>
      <c r="P275" t="s">
        <v>110</v>
      </c>
      <c r="Q275" t="s">
        <v>67</v>
      </c>
      <c r="R275">
        <v>180</v>
      </c>
      <c r="S275">
        <v>0</v>
      </c>
      <c r="T275" t="s">
        <v>137</v>
      </c>
      <c r="U275" t="s">
        <v>57</v>
      </c>
      <c r="V275">
        <v>4.75</v>
      </c>
      <c r="W275">
        <v>1.17</v>
      </c>
      <c r="X275">
        <v>2.5</v>
      </c>
      <c r="Y275">
        <v>8.4</v>
      </c>
      <c r="Z275">
        <v>15.3</v>
      </c>
      <c r="AA275">
        <f>VALUE(SUBSTITUTE(DACS19___Pfizer’s_Personalised_Medicine_in[[#This Row],[Dose]],"mg",""))</f>
        <v>100</v>
      </c>
      <c r="AB275">
        <f t="shared" si="28"/>
        <v>100</v>
      </c>
      <c r="AC275" t="s">
        <v>67</v>
      </c>
      <c r="AD275">
        <f t="shared" si="29"/>
        <v>2</v>
      </c>
      <c r="AE275">
        <f t="shared" si="30"/>
        <v>1</v>
      </c>
      <c r="AF275" t="e">
        <f t="shared" si="31"/>
        <v>#N/A</v>
      </c>
      <c r="AG275" t="e">
        <f t="shared" si="32"/>
        <v>#N/A</v>
      </c>
      <c r="AH275" t="e">
        <f t="shared" si="33"/>
        <v>#N/A</v>
      </c>
      <c r="AI275">
        <f t="shared" si="34"/>
        <v>1.17</v>
      </c>
    </row>
    <row r="276" spans="1:35" x14ac:dyDescent="0.45">
      <c r="A276" t="s">
        <v>1051</v>
      </c>
      <c r="B276">
        <v>34</v>
      </c>
      <c r="C276" t="s">
        <v>44</v>
      </c>
      <c r="D276" t="s">
        <v>95</v>
      </c>
      <c r="E276" t="s">
        <v>78</v>
      </c>
      <c r="F276" t="s">
        <v>2614</v>
      </c>
      <c r="G276" t="s">
        <v>194</v>
      </c>
      <c r="H276" t="s">
        <v>81</v>
      </c>
      <c r="I276" t="s">
        <v>72</v>
      </c>
      <c r="J276" t="s">
        <v>1052</v>
      </c>
      <c r="K276" t="s">
        <v>1053</v>
      </c>
      <c r="L276" t="s">
        <v>92</v>
      </c>
      <c r="M276" t="s">
        <v>676</v>
      </c>
      <c r="N276" t="s">
        <v>379</v>
      </c>
      <c r="O276" t="s">
        <v>92</v>
      </c>
      <c r="P276" t="s">
        <v>39</v>
      </c>
      <c r="Q276" t="s">
        <v>75</v>
      </c>
      <c r="R276">
        <v>155</v>
      </c>
      <c r="S276">
        <v>1</v>
      </c>
      <c r="T276" t="s">
        <v>123</v>
      </c>
      <c r="U276" t="s">
        <v>57</v>
      </c>
      <c r="V276">
        <v>4.2699999999999996</v>
      </c>
      <c r="W276">
        <v>1.85</v>
      </c>
      <c r="X276">
        <v>5.6</v>
      </c>
      <c r="Y276">
        <v>21.1</v>
      </c>
      <c r="Z276">
        <v>15.5</v>
      </c>
      <c r="AA276">
        <f>VALUE(SUBSTITUTE(DACS19___Pfizer’s_Personalised_Medicine_in[[#This Row],[Dose]],"mg",""))</f>
        <v>50</v>
      </c>
      <c r="AB276">
        <f t="shared" si="28"/>
        <v>50</v>
      </c>
      <c r="AC276" t="s">
        <v>75</v>
      </c>
      <c r="AD276">
        <f t="shared" si="29"/>
        <v>1</v>
      </c>
      <c r="AE276">
        <f t="shared" si="30"/>
        <v>3</v>
      </c>
      <c r="AF276" t="e">
        <f t="shared" si="31"/>
        <v>#N/A</v>
      </c>
      <c r="AG276" t="e">
        <f t="shared" si="32"/>
        <v>#N/A</v>
      </c>
      <c r="AH276" t="e">
        <f t="shared" si="33"/>
        <v>#N/A</v>
      </c>
      <c r="AI276">
        <f t="shared" si="34"/>
        <v>1.85</v>
      </c>
    </row>
    <row r="277" spans="1:35" x14ac:dyDescent="0.45">
      <c r="A277" t="s">
        <v>1054</v>
      </c>
      <c r="B277">
        <v>81</v>
      </c>
      <c r="C277" t="s">
        <v>44</v>
      </c>
      <c r="D277" t="s">
        <v>106</v>
      </c>
      <c r="E277" t="s">
        <v>46</v>
      </c>
      <c r="F277" t="s">
        <v>2614</v>
      </c>
      <c r="G277" t="s">
        <v>164</v>
      </c>
      <c r="H277" t="s">
        <v>32</v>
      </c>
      <c r="I277" t="s">
        <v>132</v>
      </c>
      <c r="J277" t="s">
        <v>1055</v>
      </c>
      <c r="K277" t="s">
        <v>1056</v>
      </c>
      <c r="L277" t="s">
        <v>92</v>
      </c>
      <c r="M277" t="s">
        <v>2614</v>
      </c>
      <c r="N277" t="s">
        <v>946</v>
      </c>
      <c r="O277" t="s">
        <v>92</v>
      </c>
      <c r="P277" t="s">
        <v>39</v>
      </c>
      <c r="Q277" t="s">
        <v>75</v>
      </c>
      <c r="R277">
        <v>88</v>
      </c>
      <c r="S277">
        <v>1</v>
      </c>
      <c r="T277" t="s">
        <v>123</v>
      </c>
      <c r="U277" t="s">
        <v>42</v>
      </c>
      <c r="V277">
        <v>3.17</v>
      </c>
      <c r="W277">
        <v>3.36</v>
      </c>
      <c r="X277">
        <v>5.6</v>
      </c>
      <c r="Y277">
        <v>11.4</v>
      </c>
      <c r="Z277">
        <v>12.6</v>
      </c>
      <c r="AA277">
        <f>VALUE(SUBSTITUTE(DACS19___Pfizer’s_Personalised_Medicine_in[[#This Row],[Dose]],"mg",""))</f>
        <v>50</v>
      </c>
      <c r="AB277">
        <f t="shared" si="28"/>
        <v>50</v>
      </c>
      <c r="AC277" t="s">
        <v>75</v>
      </c>
      <c r="AD277">
        <f t="shared" si="29"/>
        <v>1</v>
      </c>
      <c r="AE277">
        <f t="shared" si="30"/>
        <v>3</v>
      </c>
      <c r="AF277" t="e">
        <f t="shared" si="31"/>
        <v>#N/A</v>
      </c>
      <c r="AG277" t="e">
        <f t="shared" si="32"/>
        <v>#N/A</v>
      </c>
      <c r="AH277">
        <f t="shared" si="33"/>
        <v>3.36</v>
      </c>
      <c r="AI277" t="e">
        <f t="shared" si="34"/>
        <v>#N/A</v>
      </c>
    </row>
    <row r="278" spans="1:35" x14ac:dyDescent="0.45">
      <c r="A278" t="s">
        <v>1057</v>
      </c>
      <c r="B278">
        <v>80</v>
      </c>
      <c r="C278" t="s">
        <v>44</v>
      </c>
      <c r="D278" t="s">
        <v>28</v>
      </c>
      <c r="E278" t="s">
        <v>2614</v>
      </c>
      <c r="F278" t="s">
        <v>2614</v>
      </c>
      <c r="G278" t="s">
        <v>178</v>
      </c>
      <c r="H278" t="s">
        <v>32</v>
      </c>
      <c r="I278" t="s">
        <v>72</v>
      </c>
      <c r="J278" t="s">
        <v>1058</v>
      </c>
      <c r="K278" t="s">
        <v>1059</v>
      </c>
      <c r="L278" t="s">
        <v>92</v>
      </c>
      <c r="M278" t="s">
        <v>187</v>
      </c>
      <c r="N278" t="s">
        <v>176</v>
      </c>
      <c r="O278" t="s">
        <v>92</v>
      </c>
      <c r="P278" t="s">
        <v>110</v>
      </c>
      <c r="Q278" t="s">
        <v>75</v>
      </c>
      <c r="R278">
        <v>56</v>
      </c>
      <c r="S278">
        <v>0</v>
      </c>
      <c r="T278" t="s">
        <v>85</v>
      </c>
      <c r="U278" t="s">
        <v>42</v>
      </c>
      <c r="V278">
        <v>3.76</v>
      </c>
      <c r="W278">
        <v>4.49</v>
      </c>
      <c r="X278">
        <v>6.7</v>
      </c>
      <c r="Y278">
        <v>19.7</v>
      </c>
      <c r="Z278">
        <v>5.7</v>
      </c>
      <c r="AA278">
        <f>VALUE(SUBSTITUTE(DACS19___Pfizer’s_Personalised_Medicine_in[[#This Row],[Dose]],"mg",""))</f>
        <v>50</v>
      </c>
      <c r="AB278">
        <f t="shared" si="28"/>
        <v>50</v>
      </c>
      <c r="AC278" t="s">
        <v>75</v>
      </c>
      <c r="AD278">
        <f t="shared" si="29"/>
        <v>1</v>
      </c>
      <c r="AE278">
        <f t="shared" si="30"/>
        <v>1</v>
      </c>
      <c r="AF278" t="e">
        <f t="shared" si="31"/>
        <v>#N/A</v>
      </c>
      <c r="AG278" t="e">
        <f t="shared" si="32"/>
        <v>#N/A</v>
      </c>
      <c r="AH278">
        <f t="shared" si="33"/>
        <v>4.49</v>
      </c>
      <c r="AI278" t="e">
        <f t="shared" si="34"/>
        <v>#N/A</v>
      </c>
    </row>
    <row r="279" spans="1:35" x14ac:dyDescent="0.45">
      <c r="A279" t="s">
        <v>1060</v>
      </c>
      <c r="B279">
        <v>82</v>
      </c>
      <c r="C279" t="s">
        <v>27</v>
      </c>
      <c r="D279" t="s">
        <v>106</v>
      </c>
      <c r="E279" t="s">
        <v>163</v>
      </c>
      <c r="F279" t="s">
        <v>2614</v>
      </c>
      <c r="G279" t="s">
        <v>194</v>
      </c>
      <c r="H279" t="s">
        <v>71</v>
      </c>
      <c r="I279" t="s">
        <v>132</v>
      </c>
      <c r="J279" t="s">
        <v>1061</v>
      </c>
      <c r="K279" t="s">
        <v>397</v>
      </c>
      <c r="L279" t="s">
        <v>92</v>
      </c>
      <c r="M279" t="s">
        <v>2614</v>
      </c>
      <c r="N279" t="s">
        <v>1062</v>
      </c>
      <c r="O279" t="s">
        <v>92</v>
      </c>
      <c r="P279" t="s">
        <v>39</v>
      </c>
      <c r="Q279" t="s">
        <v>129</v>
      </c>
      <c r="R279">
        <v>81</v>
      </c>
      <c r="S279">
        <v>1</v>
      </c>
      <c r="T279" t="s">
        <v>56</v>
      </c>
      <c r="U279" t="s">
        <v>57</v>
      </c>
      <c r="V279">
        <v>2.85</v>
      </c>
      <c r="W279">
        <v>1.04</v>
      </c>
      <c r="X279">
        <v>3.2</v>
      </c>
      <c r="Y279">
        <v>19.100000000000001</v>
      </c>
      <c r="Z279">
        <v>19.899999999999999</v>
      </c>
      <c r="AA279">
        <f>VALUE(SUBSTITUTE(DACS19___Pfizer’s_Personalised_Medicine_in[[#This Row],[Dose]],"mg",""))</f>
        <v>50</v>
      </c>
      <c r="AB279">
        <f t="shared" si="28"/>
        <v>50</v>
      </c>
      <c r="AC279" t="s">
        <v>129</v>
      </c>
      <c r="AD279">
        <f t="shared" si="29"/>
        <v>4</v>
      </c>
      <c r="AE279">
        <f t="shared" si="30"/>
        <v>3</v>
      </c>
      <c r="AF279" t="e">
        <f t="shared" si="31"/>
        <v>#N/A</v>
      </c>
      <c r="AG279">
        <f t="shared" si="32"/>
        <v>1.04</v>
      </c>
      <c r="AH279" t="e">
        <f t="shared" si="33"/>
        <v>#N/A</v>
      </c>
      <c r="AI279" t="e">
        <f t="shared" si="34"/>
        <v>#N/A</v>
      </c>
    </row>
    <row r="280" spans="1:35" x14ac:dyDescent="0.45">
      <c r="A280" t="s">
        <v>1063</v>
      </c>
      <c r="B280">
        <v>18</v>
      </c>
      <c r="C280" t="s">
        <v>27</v>
      </c>
      <c r="D280" t="s">
        <v>95</v>
      </c>
      <c r="E280" t="s">
        <v>2614</v>
      </c>
      <c r="F280" t="s">
        <v>79</v>
      </c>
      <c r="G280" t="s">
        <v>125</v>
      </c>
      <c r="H280" t="s">
        <v>32</v>
      </c>
      <c r="I280" t="s">
        <v>132</v>
      </c>
      <c r="J280" t="s">
        <v>1064</v>
      </c>
      <c r="K280" t="s">
        <v>1065</v>
      </c>
      <c r="L280" t="s">
        <v>52</v>
      </c>
      <c r="M280" t="s">
        <v>75</v>
      </c>
      <c r="N280" t="s">
        <v>1066</v>
      </c>
      <c r="O280" t="s">
        <v>52</v>
      </c>
      <c r="P280" t="s">
        <v>39</v>
      </c>
      <c r="Q280" t="s">
        <v>67</v>
      </c>
      <c r="R280">
        <v>139</v>
      </c>
      <c r="S280">
        <v>1</v>
      </c>
      <c r="T280" t="s">
        <v>56</v>
      </c>
      <c r="U280" t="s">
        <v>57</v>
      </c>
      <c r="V280">
        <v>1.4</v>
      </c>
      <c r="W280">
        <v>2.61</v>
      </c>
      <c r="X280">
        <v>8.1999999999999993</v>
      </c>
      <c r="Y280">
        <v>9.6999999999999993</v>
      </c>
      <c r="Z280">
        <v>12.4</v>
      </c>
      <c r="AA280">
        <f>VALUE(SUBSTITUTE(DACS19___Pfizer’s_Personalised_Medicine_in[[#This Row],[Dose]],"mg",""))</f>
        <v>100</v>
      </c>
      <c r="AB280">
        <f t="shared" si="28"/>
        <v>100</v>
      </c>
      <c r="AC280" t="s">
        <v>67</v>
      </c>
      <c r="AD280">
        <f t="shared" si="29"/>
        <v>2</v>
      </c>
      <c r="AE280">
        <f t="shared" si="30"/>
        <v>3</v>
      </c>
      <c r="AF280" t="e">
        <f t="shared" si="31"/>
        <v>#N/A</v>
      </c>
      <c r="AG280" t="e">
        <f t="shared" si="32"/>
        <v>#N/A</v>
      </c>
      <c r="AH280">
        <f t="shared" si="33"/>
        <v>2.61</v>
      </c>
      <c r="AI280" t="e">
        <f t="shared" si="34"/>
        <v>#N/A</v>
      </c>
    </row>
    <row r="281" spans="1:35" x14ac:dyDescent="0.45">
      <c r="A281" t="s">
        <v>1067</v>
      </c>
      <c r="B281">
        <v>76</v>
      </c>
      <c r="C281" t="s">
        <v>45</v>
      </c>
      <c r="D281" t="s">
        <v>28</v>
      </c>
      <c r="E281" t="s">
        <v>163</v>
      </c>
      <c r="F281" t="s">
        <v>88</v>
      </c>
      <c r="G281" t="s">
        <v>246</v>
      </c>
      <c r="H281" t="s">
        <v>61</v>
      </c>
      <c r="I281" t="s">
        <v>49</v>
      </c>
      <c r="J281" t="s">
        <v>1068</v>
      </c>
      <c r="K281" t="s">
        <v>1069</v>
      </c>
      <c r="L281" t="s">
        <v>52</v>
      </c>
      <c r="M281" t="s">
        <v>135</v>
      </c>
      <c r="N281" t="s">
        <v>136</v>
      </c>
      <c r="O281" t="s">
        <v>52</v>
      </c>
      <c r="P281" t="s">
        <v>39</v>
      </c>
      <c r="Q281" t="s">
        <v>67</v>
      </c>
      <c r="R281">
        <v>177</v>
      </c>
      <c r="S281">
        <v>1</v>
      </c>
      <c r="T281" t="s">
        <v>123</v>
      </c>
      <c r="U281" t="s">
        <v>57</v>
      </c>
      <c r="V281">
        <v>3.93</v>
      </c>
      <c r="W281">
        <v>3.46</v>
      </c>
      <c r="X281">
        <v>2.7</v>
      </c>
      <c r="Y281">
        <v>12.4</v>
      </c>
      <c r="Z281">
        <v>16.3</v>
      </c>
      <c r="AA281">
        <f>VALUE(SUBSTITUTE(DACS19___Pfizer’s_Personalised_Medicine_in[[#This Row],[Dose]],"mg",""))</f>
        <v>100</v>
      </c>
      <c r="AB281">
        <f t="shared" si="28"/>
        <v>100</v>
      </c>
      <c r="AC281" t="s">
        <v>67</v>
      </c>
      <c r="AD281">
        <f t="shared" si="29"/>
        <v>2</v>
      </c>
      <c r="AE281">
        <f t="shared" si="30"/>
        <v>3</v>
      </c>
      <c r="AF281">
        <f t="shared" si="31"/>
        <v>3.46</v>
      </c>
      <c r="AG281" t="e">
        <f t="shared" si="32"/>
        <v>#N/A</v>
      </c>
      <c r="AH281" t="e">
        <f t="shared" si="33"/>
        <v>#N/A</v>
      </c>
      <c r="AI281" t="e">
        <f t="shared" si="34"/>
        <v>#N/A</v>
      </c>
    </row>
    <row r="282" spans="1:35" x14ac:dyDescent="0.45">
      <c r="A282" t="s">
        <v>1070</v>
      </c>
      <c r="B282">
        <v>71</v>
      </c>
      <c r="C282" t="s">
        <v>44</v>
      </c>
      <c r="D282" t="s">
        <v>45</v>
      </c>
      <c r="E282" t="s">
        <v>2614</v>
      </c>
      <c r="F282" t="s">
        <v>2614</v>
      </c>
      <c r="G282" t="s">
        <v>31</v>
      </c>
      <c r="H282" t="s">
        <v>32</v>
      </c>
      <c r="I282" t="s">
        <v>49</v>
      </c>
      <c r="J282" t="s">
        <v>1071</v>
      </c>
      <c r="K282" t="s">
        <v>638</v>
      </c>
      <c r="L282" t="s">
        <v>36</v>
      </c>
      <c r="M282" t="s">
        <v>469</v>
      </c>
      <c r="N282" t="s">
        <v>156</v>
      </c>
      <c r="O282" t="s">
        <v>36</v>
      </c>
      <c r="P282" t="s">
        <v>55</v>
      </c>
      <c r="Q282" t="s">
        <v>40</v>
      </c>
      <c r="R282">
        <v>80</v>
      </c>
      <c r="S282">
        <v>0</v>
      </c>
      <c r="T282" t="s">
        <v>137</v>
      </c>
      <c r="U282" t="s">
        <v>42</v>
      </c>
      <c r="V282">
        <v>3.22</v>
      </c>
      <c r="W282">
        <v>1.02</v>
      </c>
      <c r="X282">
        <v>7.8</v>
      </c>
      <c r="Y282">
        <v>6.6</v>
      </c>
      <c r="Z282">
        <v>15.7</v>
      </c>
      <c r="AA282">
        <f>VALUE(SUBSTITUTE(DACS19___Pfizer’s_Personalised_Medicine_in[[#This Row],[Dose]],"mg",""))</f>
        <v>200</v>
      </c>
      <c r="AB282">
        <f t="shared" si="28"/>
        <v>200</v>
      </c>
      <c r="AC282" t="s">
        <v>40</v>
      </c>
      <c r="AD282">
        <f t="shared" si="29"/>
        <v>3</v>
      </c>
      <c r="AE282">
        <f t="shared" si="30"/>
        <v>2</v>
      </c>
      <c r="AF282" t="e">
        <f t="shared" si="31"/>
        <v>#N/A</v>
      </c>
      <c r="AG282" t="e">
        <f t="shared" si="32"/>
        <v>#N/A</v>
      </c>
      <c r="AH282">
        <f t="shared" si="33"/>
        <v>1.02</v>
      </c>
      <c r="AI282" t="e">
        <f t="shared" si="34"/>
        <v>#N/A</v>
      </c>
    </row>
    <row r="283" spans="1:35" x14ac:dyDescent="0.45">
      <c r="A283" t="s">
        <v>1072</v>
      </c>
      <c r="B283">
        <v>22</v>
      </c>
      <c r="C283" t="s">
        <v>45</v>
      </c>
      <c r="D283" t="s">
        <v>28</v>
      </c>
      <c r="E283" t="s">
        <v>78</v>
      </c>
      <c r="F283" t="s">
        <v>2614</v>
      </c>
      <c r="G283" t="s">
        <v>96</v>
      </c>
      <c r="H283" t="s">
        <v>32</v>
      </c>
      <c r="I283" t="s">
        <v>72</v>
      </c>
      <c r="J283" t="s">
        <v>148</v>
      </c>
      <c r="K283" t="s">
        <v>1073</v>
      </c>
      <c r="L283" t="s">
        <v>64</v>
      </c>
      <c r="M283" t="s">
        <v>99</v>
      </c>
      <c r="N283" t="s">
        <v>1074</v>
      </c>
      <c r="O283" t="s">
        <v>64</v>
      </c>
      <c r="P283" t="s">
        <v>110</v>
      </c>
      <c r="Q283" t="s">
        <v>2614</v>
      </c>
      <c r="R283">
        <v>91</v>
      </c>
      <c r="S283">
        <v>0</v>
      </c>
      <c r="T283" t="s">
        <v>137</v>
      </c>
      <c r="U283" t="s">
        <v>57</v>
      </c>
      <c r="V283">
        <v>1.81</v>
      </c>
      <c r="W283">
        <v>4.83</v>
      </c>
      <c r="X283">
        <v>4.3</v>
      </c>
      <c r="Y283">
        <v>11.9</v>
      </c>
      <c r="Z283">
        <v>5.5</v>
      </c>
      <c r="AA283">
        <f>VALUE(SUBSTITUTE(DACS19___Pfizer’s_Personalised_Medicine_in[[#This Row],[Dose]],"mg",""))</f>
        <v>150</v>
      </c>
      <c r="AB283">
        <f t="shared" si="28"/>
        <v>150</v>
      </c>
      <c r="AC283" t="s">
        <v>2614</v>
      </c>
      <c r="AD283">
        <f t="shared" si="29"/>
        <v>0</v>
      </c>
      <c r="AE283">
        <f t="shared" si="30"/>
        <v>1</v>
      </c>
      <c r="AF283" t="e">
        <f t="shared" si="31"/>
        <v>#N/A</v>
      </c>
      <c r="AG283" t="e">
        <f t="shared" si="32"/>
        <v>#N/A</v>
      </c>
      <c r="AH283">
        <f t="shared" si="33"/>
        <v>4.83</v>
      </c>
      <c r="AI283" t="e">
        <f t="shared" si="34"/>
        <v>#N/A</v>
      </c>
    </row>
    <row r="284" spans="1:35" x14ac:dyDescent="0.45">
      <c r="A284" t="s">
        <v>1075</v>
      </c>
      <c r="B284">
        <v>82</v>
      </c>
      <c r="C284" t="s">
        <v>27</v>
      </c>
      <c r="D284" t="s">
        <v>87</v>
      </c>
      <c r="E284" t="s">
        <v>2614</v>
      </c>
      <c r="F284" t="s">
        <v>69</v>
      </c>
      <c r="G284" t="s">
        <v>194</v>
      </c>
      <c r="H284" t="s">
        <v>61</v>
      </c>
      <c r="I284" t="s">
        <v>49</v>
      </c>
      <c r="J284" t="s">
        <v>1076</v>
      </c>
      <c r="K284" t="s">
        <v>1077</v>
      </c>
      <c r="L284" t="s">
        <v>92</v>
      </c>
      <c r="M284" t="s">
        <v>2615</v>
      </c>
      <c r="N284" t="s">
        <v>754</v>
      </c>
      <c r="O284" t="s">
        <v>92</v>
      </c>
      <c r="P284" t="s">
        <v>110</v>
      </c>
      <c r="Q284" t="s">
        <v>75</v>
      </c>
      <c r="R284">
        <v>166</v>
      </c>
      <c r="S284">
        <v>0</v>
      </c>
      <c r="T284" t="s">
        <v>85</v>
      </c>
      <c r="U284" t="s">
        <v>42</v>
      </c>
      <c r="V284">
        <v>2.2200000000000002</v>
      </c>
      <c r="W284">
        <v>4.51</v>
      </c>
      <c r="X284">
        <v>10</v>
      </c>
      <c r="Y284">
        <v>12.6</v>
      </c>
      <c r="Z284">
        <v>10.6</v>
      </c>
      <c r="AA284">
        <f>VALUE(SUBSTITUTE(DACS19___Pfizer’s_Personalised_Medicine_in[[#This Row],[Dose]],"mg",""))</f>
        <v>50</v>
      </c>
      <c r="AB284">
        <f t="shared" si="28"/>
        <v>50</v>
      </c>
      <c r="AC284" t="s">
        <v>75</v>
      </c>
      <c r="AD284">
        <f t="shared" si="29"/>
        <v>1</v>
      </c>
      <c r="AE284">
        <f t="shared" si="30"/>
        <v>1</v>
      </c>
      <c r="AF284">
        <f t="shared" si="31"/>
        <v>4.51</v>
      </c>
      <c r="AG284" t="e">
        <f t="shared" si="32"/>
        <v>#N/A</v>
      </c>
      <c r="AH284" t="e">
        <f t="shared" si="33"/>
        <v>#N/A</v>
      </c>
      <c r="AI284" t="e">
        <f t="shared" si="34"/>
        <v>#N/A</v>
      </c>
    </row>
    <row r="285" spans="1:35" x14ac:dyDescent="0.45">
      <c r="A285" t="s">
        <v>1078</v>
      </c>
      <c r="B285">
        <v>62</v>
      </c>
      <c r="C285" t="s">
        <v>44</v>
      </c>
      <c r="D285" t="s">
        <v>28</v>
      </c>
      <c r="E285" t="s">
        <v>29</v>
      </c>
      <c r="F285" t="s">
        <v>2614</v>
      </c>
      <c r="G285" t="s">
        <v>131</v>
      </c>
      <c r="H285" t="s">
        <v>71</v>
      </c>
      <c r="I285" t="s">
        <v>49</v>
      </c>
      <c r="J285" t="s">
        <v>1079</v>
      </c>
      <c r="K285" t="s">
        <v>1080</v>
      </c>
      <c r="L285" t="s">
        <v>64</v>
      </c>
      <c r="M285" t="s">
        <v>274</v>
      </c>
      <c r="N285" t="s">
        <v>250</v>
      </c>
      <c r="O285" t="s">
        <v>64</v>
      </c>
      <c r="P285" t="s">
        <v>55</v>
      </c>
      <c r="Q285" t="s">
        <v>40</v>
      </c>
      <c r="R285">
        <v>50</v>
      </c>
      <c r="S285">
        <v>0</v>
      </c>
      <c r="T285" t="s">
        <v>123</v>
      </c>
      <c r="U285" t="s">
        <v>42</v>
      </c>
      <c r="V285">
        <v>3.89</v>
      </c>
      <c r="W285">
        <v>4.54</v>
      </c>
      <c r="X285">
        <v>6.3</v>
      </c>
      <c r="Y285">
        <v>13</v>
      </c>
      <c r="Z285">
        <v>10</v>
      </c>
      <c r="AA285">
        <f>VALUE(SUBSTITUTE(DACS19___Pfizer’s_Personalised_Medicine_in[[#This Row],[Dose]],"mg",""))</f>
        <v>150</v>
      </c>
      <c r="AB285">
        <f t="shared" si="28"/>
        <v>150</v>
      </c>
      <c r="AC285" t="s">
        <v>40</v>
      </c>
      <c r="AD285">
        <f t="shared" si="29"/>
        <v>3</v>
      </c>
      <c r="AE285">
        <f t="shared" si="30"/>
        <v>2</v>
      </c>
      <c r="AF285" t="e">
        <f t="shared" si="31"/>
        <v>#N/A</v>
      </c>
      <c r="AG285">
        <f t="shared" si="32"/>
        <v>4.54</v>
      </c>
      <c r="AH285" t="e">
        <f t="shared" si="33"/>
        <v>#N/A</v>
      </c>
      <c r="AI285" t="e">
        <f t="shared" si="34"/>
        <v>#N/A</v>
      </c>
    </row>
    <row r="286" spans="1:35" x14ac:dyDescent="0.45">
      <c r="A286" t="s">
        <v>1081</v>
      </c>
      <c r="B286">
        <v>72</v>
      </c>
      <c r="C286" t="s">
        <v>27</v>
      </c>
      <c r="D286" t="s">
        <v>95</v>
      </c>
      <c r="E286" t="s">
        <v>46</v>
      </c>
      <c r="F286" t="s">
        <v>59</v>
      </c>
      <c r="G286" t="s">
        <v>246</v>
      </c>
      <c r="H286" t="s">
        <v>81</v>
      </c>
      <c r="I286" t="s">
        <v>33</v>
      </c>
      <c r="J286" t="s">
        <v>307</v>
      </c>
      <c r="K286" t="s">
        <v>1082</v>
      </c>
      <c r="L286" t="s">
        <v>36</v>
      </c>
      <c r="M286" t="s">
        <v>500</v>
      </c>
      <c r="N286" t="s">
        <v>1083</v>
      </c>
      <c r="O286" t="s">
        <v>36</v>
      </c>
      <c r="P286" t="s">
        <v>39</v>
      </c>
      <c r="Q286" t="s">
        <v>75</v>
      </c>
      <c r="R286">
        <v>62</v>
      </c>
      <c r="S286">
        <v>1</v>
      </c>
      <c r="T286" t="s">
        <v>56</v>
      </c>
      <c r="U286" t="s">
        <v>57</v>
      </c>
      <c r="V286">
        <v>3.78</v>
      </c>
      <c r="W286">
        <v>1.01</v>
      </c>
      <c r="X286">
        <v>6.6</v>
      </c>
      <c r="Y286">
        <v>12.4</v>
      </c>
      <c r="Z286">
        <v>16.5</v>
      </c>
      <c r="AA286">
        <f>VALUE(SUBSTITUTE(DACS19___Pfizer’s_Personalised_Medicine_in[[#This Row],[Dose]],"mg",""))</f>
        <v>200</v>
      </c>
      <c r="AB286">
        <f t="shared" si="28"/>
        <v>200</v>
      </c>
      <c r="AC286" t="s">
        <v>75</v>
      </c>
      <c r="AD286">
        <f t="shared" si="29"/>
        <v>1</v>
      </c>
      <c r="AE286">
        <f t="shared" si="30"/>
        <v>3</v>
      </c>
      <c r="AF286" t="e">
        <f t="shared" si="31"/>
        <v>#N/A</v>
      </c>
      <c r="AG286" t="e">
        <f t="shared" si="32"/>
        <v>#N/A</v>
      </c>
      <c r="AH286" t="e">
        <f t="shared" si="33"/>
        <v>#N/A</v>
      </c>
      <c r="AI286">
        <f t="shared" si="34"/>
        <v>1.01</v>
      </c>
    </row>
    <row r="287" spans="1:35" x14ac:dyDescent="0.45">
      <c r="A287" t="s">
        <v>1084</v>
      </c>
      <c r="B287">
        <v>34</v>
      </c>
      <c r="C287" t="s">
        <v>45</v>
      </c>
      <c r="D287" t="s">
        <v>45</v>
      </c>
      <c r="E287" t="s">
        <v>29</v>
      </c>
      <c r="F287" t="s">
        <v>79</v>
      </c>
      <c r="G287" t="s">
        <v>440</v>
      </c>
      <c r="H287" t="s">
        <v>81</v>
      </c>
      <c r="I287" t="s">
        <v>49</v>
      </c>
      <c r="J287" t="s">
        <v>1085</v>
      </c>
      <c r="K287" t="s">
        <v>1086</v>
      </c>
      <c r="L287" t="s">
        <v>36</v>
      </c>
      <c r="M287" t="s">
        <v>129</v>
      </c>
      <c r="N287" t="s">
        <v>1087</v>
      </c>
      <c r="O287" t="s">
        <v>36</v>
      </c>
      <c r="P287" t="s">
        <v>110</v>
      </c>
      <c r="Q287" t="s">
        <v>2614</v>
      </c>
      <c r="R287">
        <v>40</v>
      </c>
      <c r="S287">
        <v>0</v>
      </c>
      <c r="T287" t="s">
        <v>85</v>
      </c>
      <c r="U287" t="s">
        <v>42</v>
      </c>
      <c r="V287">
        <v>1.37</v>
      </c>
      <c r="W287">
        <v>3.35</v>
      </c>
      <c r="X287">
        <v>5.3</v>
      </c>
      <c r="Y287">
        <v>17.600000000000001</v>
      </c>
      <c r="Z287">
        <v>4.0999999999999996</v>
      </c>
      <c r="AA287">
        <f>VALUE(SUBSTITUTE(DACS19___Pfizer’s_Personalised_Medicine_in[[#This Row],[Dose]],"mg",""))</f>
        <v>200</v>
      </c>
      <c r="AB287">
        <f t="shared" si="28"/>
        <v>200</v>
      </c>
      <c r="AC287" t="s">
        <v>2614</v>
      </c>
      <c r="AD287">
        <f t="shared" si="29"/>
        <v>0</v>
      </c>
      <c r="AE287">
        <f t="shared" si="30"/>
        <v>1</v>
      </c>
      <c r="AF287" t="e">
        <f t="shared" si="31"/>
        <v>#N/A</v>
      </c>
      <c r="AG287" t="e">
        <f t="shared" si="32"/>
        <v>#N/A</v>
      </c>
      <c r="AH287" t="e">
        <f t="shared" si="33"/>
        <v>#N/A</v>
      </c>
      <c r="AI287">
        <f t="shared" si="34"/>
        <v>3.35</v>
      </c>
    </row>
    <row r="288" spans="1:35" x14ac:dyDescent="0.45">
      <c r="A288" t="s">
        <v>1088</v>
      </c>
      <c r="B288">
        <v>33</v>
      </c>
      <c r="C288" t="s">
        <v>44</v>
      </c>
      <c r="D288" t="s">
        <v>28</v>
      </c>
      <c r="E288" t="s">
        <v>2614</v>
      </c>
      <c r="F288" t="s">
        <v>47</v>
      </c>
      <c r="G288" t="s">
        <v>164</v>
      </c>
      <c r="H288" t="s">
        <v>71</v>
      </c>
      <c r="I288" t="s">
        <v>72</v>
      </c>
      <c r="J288" t="s">
        <v>1089</v>
      </c>
      <c r="K288" t="s">
        <v>1090</v>
      </c>
      <c r="L288" t="s">
        <v>64</v>
      </c>
      <c r="M288" t="s">
        <v>67</v>
      </c>
      <c r="N288" t="s">
        <v>808</v>
      </c>
      <c r="O288" t="s">
        <v>64</v>
      </c>
      <c r="P288" t="s">
        <v>55</v>
      </c>
      <c r="Q288" t="s">
        <v>129</v>
      </c>
      <c r="R288">
        <v>61</v>
      </c>
      <c r="S288">
        <v>0</v>
      </c>
      <c r="T288" t="s">
        <v>85</v>
      </c>
      <c r="U288" t="s">
        <v>57</v>
      </c>
      <c r="V288">
        <v>3.32</v>
      </c>
      <c r="W288">
        <v>3.25</v>
      </c>
      <c r="X288">
        <v>6</v>
      </c>
      <c r="Y288">
        <v>16.899999999999999</v>
      </c>
      <c r="Z288">
        <v>14.5</v>
      </c>
      <c r="AA288">
        <f>VALUE(SUBSTITUTE(DACS19___Pfizer’s_Personalised_Medicine_in[[#This Row],[Dose]],"mg",""))</f>
        <v>150</v>
      </c>
      <c r="AB288">
        <f t="shared" si="28"/>
        <v>150</v>
      </c>
      <c r="AC288" t="s">
        <v>129</v>
      </c>
      <c r="AD288">
        <f t="shared" si="29"/>
        <v>4</v>
      </c>
      <c r="AE288">
        <f t="shared" si="30"/>
        <v>2</v>
      </c>
      <c r="AF288" t="e">
        <f t="shared" si="31"/>
        <v>#N/A</v>
      </c>
      <c r="AG288">
        <f t="shared" si="32"/>
        <v>3.25</v>
      </c>
      <c r="AH288" t="e">
        <f t="shared" si="33"/>
        <v>#N/A</v>
      </c>
      <c r="AI288" t="e">
        <f t="shared" si="34"/>
        <v>#N/A</v>
      </c>
    </row>
    <row r="289" spans="1:35" x14ac:dyDescent="0.45">
      <c r="A289" t="s">
        <v>1091</v>
      </c>
      <c r="B289">
        <v>26</v>
      </c>
      <c r="C289" t="s">
        <v>27</v>
      </c>
      <c r="D289" t="s">
        <v>95</v>
      </c>
      <c r="E289" t="s">
        <v>78</v>
      </c>
      <c r="F289" t="s">
        <v>2614</v>
      </c>
      <c r="G289" t="s">
        <v>80</v>
      </c>
      <c r="H289" t="s">
        <v>81</v>
      </c>
      <c r="I289" t="s">
        <v>132</v>
      </c>
      <c r="J289" t="s">
        <v>1092</v>
      </c>
      <c r="K289" t="s">
        <v>1093</v>
      </c>
      <c r="L289" t="s">
        <v>52</v>
      </c>
      <c r="M289" t="s">
        <v>75</v>
      </c>
      <c r="N289" t="s">
        <v>287</v>
      </c>
      <c r="O289" t="s">
        <v>52</v>
      </c>
      <c r="P289" t="s">
        <v>55</v>
      </c>
      <c r="Q289" t="s">
        <v>40</v>
      </c>
      <c r="R289">
        <v>144</v>
      </c>
      <c r="S289">
        <v>0</v>
      </c>
      <c r="T289" t="s">
        <v>41</v>
      </c>
      <c r="U289" t="s">
        <v>57</v>
      </c>
      <c r="V289">
        <v>4.22</v>
      </c>
      <c r="W289">
        <v>2.08</v>
      </c>
      <c r="X289">
        <v>8.4</v>
      </c>
      <c r="Y289">
        <v>15</v>
      </c>
      <c r="Z289">
        <v>4.3</v>
      </c>
      <c r="AA289">
        <f>VALUE(SUBSTITUTE(DACS19___Pfizer’s_Personalised_Medicine_in[[#This Row],[Dose]],"mg",""))</f>
        <v>100</v>
      </c>
      <c r="AB289">
        <f t="shared" si="28"/>
        <v>100</v>
      </c>
      <c r="AC289" t="s">
        <v>40</v>
      </c>
      <c r="AD289">
        <f t="shared" si="29"/>
        <v>3</v>
      </c>
      <c r="AE289">
        <f t="shared" si="30"/>
        <v>2</v>
      </c>
      <c r="AF289" t="e">
        <f t="shared" si="31"/>
        <v>#N/A</v>
      </c>
      <c r="AG289" t="e">
        <f t="shared" si="32"/>
        <v>#N/A</v>
      </c>
      <c r="AH289" t="e">
        <f t="shared" si="33"/>
        <v>#N/A</v>
      </c>
      <c r="AI289">
        <f t="shared" si="34"/>
        <v>2.08</v>
      </c>
    </row>
    <row r="290" spans="1:35" x14ac:dyDescent="0.45">
      <c r="A290" t="s">
        <v>1094</v>
      </c>
      <c r="B290">
        <v>29</v>
      </c>
      <c r="C290" t="s">
        <v>45</v>
      </c>
      <c r="D290" t="s">
        <v>45</v>
      </c>
      <c r="E290" t="s">
        <v>78</v>
      </c>
      <c r="F290" t="s">
        <v>47</v>
      </c>
      <c r="G290" t="s">
        <v>31</v>
      </c>
      <c r="H290" t="s">
        <v>61</v>
      </c>
      <c r="I290" t="s">
        <v>33</v>
      </c>
      <c r="J290" t="s">
        <v>1095</v>
      </c>
      <c r="K290" t="s">
        <v>294</v>
      </c>
      <c r="L290" t="s">
        <v>92</v>
      </c>
      <c r="M290" t="s">
        <v>2630</v>
      </c>
      <c r="N290" t="s">
        <v>578</v>
      </c>
      <c r="O290" t="s">
        <v>92</v>
      </c>
      <c r="P290" t="s">
        <v>39</v>
      </c>
      <c r="Q290" t="s">
        <v>67</v>
      </c>
      <c r="R290">
        <v>168</v>
      </c>
      <c r="S290">
        <v>1</v>
      </c>
      <c r="T290" t="s">
        <v>85</v>
      </c>
      <c r="U290" t="s">
        <v>42</v>
      </c>
      <c r="V290">
        <v>1.23</v>
      </c>
      <c r="W290">
        <v>2.34</v>
      </c>
      <c r="X290">
        <v>8.1</v>
      </c>
      <c r="Y290">
        <v>18.7</v>
      </c>
      <c r="Z290">
        <v>16.399999999999999</v>
      </c>
      <c r="AA290">
        <f>VALUE(SUBSTITUTE(DACS19___Pfizer’s_Personalised_Medicine_in[[#This Row],[Dose]],"mg",""))</f>
        <v>50</v>
      </c>
      <c r="AB290">
        <f t="shared" si="28"/>
        <v>50</v>
      </c>
      <c r="AC290" t="s">
        <v>67</v>
      </c>
      <c r="AD290">
        <f t="shared" si="29"/>
        <v>2</v>
      </c>
      <c r="AE290">
        <f t="shared" si="30"/>
        <v>3</v>
      </c>
      <c r="AF290">
        <f t="shared" si="31"/>
        <v>2.34</v>
      </c>
      <c r="AG290" t="e">
        <f t="shared" si="32"/>
        <v>#N/A</v>
      </c>
      <c r="AH290" t="e">
        <f t="shared" si="33"/>
        <v>#N/A</v>
      </c>
      <c r="AI290" t="e">
        <f t="shared" si="34"/>
        <v>#N/A</v>
      </c>
    </row>
    <row r="291" spans="1:35" x14ac:dyDescent="0.45">
      <c r="A291" t="s">
        <v>1096</v>
      </c>
      <c r="B291">
        <v>84</v>
      </c>
      <c r="C291" t="s">
        <v>27</v>
      </c>
      <c r="D291" t="s">
        <v>95</v>
      </c>
      <c r="E291" t="s">
        <v>29</v>
      </c>
      <c r="F291" t="s">
        <v>2614</v>
      </c>
      <c r="G291" t="s">
        <v>102</v>
      </c>
      <c r="H291" t="s">
        <v>71</v>
      </c>
      <c r="I291" t="s">
        <v>49</v>
      </c>
      <c r="J291" t="s">
        <v>1097</v>
      </c>
      <c r="K291" t="s">
        <v>1098</v>
      </c>
      <c r="L291" t="s">
        <v>36</v>
      </c>
      <c r="M291" t="s">
        <v>75</v>
      </c>
      <c r="N291" t="s">
        <v>567</v>
      </c>
      <c r="O291" t="s">
        <v>36</v>
      </c>
      <c r="P291" t="s">
        <v>55</v>
      </c>
      <c r="Q291" t="s">
        <v>40</v>
      </c>
      <c r="R291">
        <v>180</v>
      </c>
      <c r="S291">
        <v>0</v>
      </c>
      <c r="T291" t="s">
        <v>123</v>
      </c>
      <c r="U291" t="s">
        <v>57</v>
      </c>
      <c r="V291">
        <v>3.07</v>
      </c>
      <c r="W291">
        <v>2.76</v>
      </c>
      <c r="X291">
        <v>2.2999999999999998</v>
      </c>
      <c r="Y291">
        <v>11.9</v>
      </c>
      <c r="Z291">
        <v>10.4</v>
      </c>
      <c r="AA291">
        <f>VALUE(SUBSTITUTE(DACS19___Pfizer’s_Personalised_Medicine_in[[#This Row],[Dose]],"mg",""))</f>
        <v>200</v>
      </c>
      <c r="AB291">
        <f t="shared" si="28"/>
        <v>200</v>
      </c>
      <c r="AC291" t="s">
        <v>40</v>
      </c>
      <c r="AD291">
        <f t="shared" si="29"/>
        <v>3</v>
      </c>
      <c r="AE291">
        <f t="shared" si="30"/>
        <v>2</v>
      </c>
      <c r="AF291" t="e">
        <f t="shared" si="31"/>
        <v>#N/A</v>
      </c>
      <c r="AG291">
        <f t="shared" si="32"/>
        <v>2.76</v>
      </c>
      <c r="AH291" t="e">
        <f t="shared" si="33"/>
        <v>#N/A</v>
      </c>
      <c r="AI291" t="e">
        <f t="shared" si="34"/>
        <v>#N/A</v>
      </c>
    </row>
    <row r="292" spans="1:35" x14ac:dyDescent="0.45">
      <c r="A292" t="s">
        <v>1099</v>
      </c>
      <c r="B292">
        <v>20</v>
      </c>
      <c r="C292" t="s">
        <v>44</v>
      </c>
      <c r="D292" t="s">
        <v>95</v>
      </c>
      <c r="E292" t="s">
        <v>46</v>
      </c>
      <c r="F292" t="s">
        <v>69</v>
      </c>
      <c r="G292" t="s">
        <v>31</v>
      </c>
      <c r="H292" t="s">
        <v>81</v>
      </c>
      <c r="I292" t="s">
        <v>132</v>
      </c>
      <c r="J292" t="s">
        <v>1100</v>
      </c>
      <c r="K292" t="s">
        <v>1101</v>
      </c>
      <c r="L292" t="s">
        <v>52</v>
      </c>
      <c r="M292" t="s">
        <v>339</v>
      </c>
      <c r="N292" t="s">
        <v>818</v>
      </c>
      <c r="O292" t="s">
        <v>52</v>
      </c>
      <c r="P292" t="s">
        <v>39</v>
      </c>
      <c r="Q292" t="s">
        <v>67</v>
      </c>
      <c r="R292">
        <v>108</v>
      </c>
      <c r="S292">
        <v>1</v>
      </c>
      <c r="T292" t="s">
        <v>56</v>
      </c>
      <c r="U292" t="s">
        <v>42</v>
      </c>
      <c r="V292">
        <v>1.35</v>
      </c>
      <c r="W292">
        <v>1.88</v>
      </c>
      <c r="X292">
        <v>6.4</v>
      </c>
      <c r="Y292">
        <v>19.2</v>
      </c>
      <c r="Z292">
        <v>20</v>
      </c>
      <c r="AA292">
        <f>VALUE(SUBSTITUTE(DACS19___Pfizer’s_Personalised_Medicine_in[[#This Row],[Dose]],"mg",""))</f>
        <v>100</v>
      </c>
      <c r="AB292">
        <f t="shared" si="28"/>
        <v>100</v>
      </c>
      <c r="AC292" t="s">
        <v>67</v>
      </c>
      <c r="AD292">
        <f t="shared" si="29"/>
        <v>2</v>
      </c>
      <c r="AE292">
        <f t="shared" si="30"/>
        <v>3</v>
      </c>
      <c r="AF292" t="e">
        <f t="shared" si="31"/>
        <v>#N/A</v>
      </c>
      <c r="AG292" t="e">
        <f t="shared" si="32"/>
        <v>#N/A</v>
      </c>
      <c r="AH292" t="e">
        <f t="shared" si="33"/>
        <v>#N/A</v>
      </c>
      <c r="AI292">
        <f t="shared" si="34"/>
        <v>1.88</v>
      </c>
    </row>
    <row r="293" spans="1:35" x14ac:dyDescent="0.45">
      <c r="A293" t="s">
        <v>1102</v>
      </c>
      <c r="B293">
        <v>25</v>
      </c>
      <c r="C293" t="s">
        <v>45</v>
      </c>
      <c r="D293" t="s">
        <v>28</v>
      </c>
      <c r="E293" t="s">
        <v>46</v>
      </c>
      <c r="F293" t="s">
        <v>88</v>
      </c>
      <c r="G293" t="s">
        <v>276</v>
      </c>
      <c r="H293" t="s">
        <v>81</v>
      </c>
      <c r="I293" t="s">
        <v>49</v>
      </c>
      <c r="J293" t="s">
        <v>1103</v>
      </c>
      <c r="K293" t="s">
        <v>1104</v>
      </c>
      <c r="L293" t="s">
        <v>64</v>
      </c>
      <c r="M293" t="s">
        <v>451</v>
      </c>
      <c r="N293" t="s">
        <v>379</v>
      </c>
      <c r="O293" t="s">
        <v>64</v>
      </c>
      <c r="P293" t="s">
        <v>39</v>
      </c>
      <c r="Q293" t="s">
        <v>75</v>
      </c>
      <c r="R293">
        <v>180</v>
      </c>
      <c r="S293">
        <v>1</v>
      </c>
      <c r="T293" t="s">
        <v>41</v>
      </c>
      <c r="U293" t="s">
        <v>57</v>
      </c>
      <c r="V293">
        <v>4.7300000000000004</v>
      </c>
      <c r="W293">
        <v>3.57</v>
      </c>
      <c r="X293">
        <v>4.8</v>
      </c>
      <c r="Y293">
        <v>17.5</v>
      </c>
      <c r="Z293">
        <v>16.399999999999999</v>
      </c>
      <c r="AA293">
        <f>VALUE(SUBSTITUTE(DACS19___Pfizer’s_Personalised_Medicine_in[[#This Row],[Dose]],"mg",""))</f>
        <v>150</v>
      </c>
      <c r="AB293">
        <f t="shared" si="28"/>
        <v>150</v>
      </c>
      <c r="AC293" t="s">
        <v>75</v>
      </c>
      <c r="AD293">
        <f t="shared" si="29"/>
        <v>1</v>
      </c>
      <c r="AE293">
        <f t="shared" si="30"/>
        <v>3</v>
      </c>
      <c r="AF293" t="e">
        <f t="shared" si="31"/>
        <v>#N/A</v>
      </c>
      <c r="AG293" t="e">
        <f t="shared" si="32"/>
        <v>#N/A</v>
      </c>
      <c r="AH293" t="e">
        <f t="shared" si="33"/>
        <v>#N/A</v>
      </c>
      <c r="AI293">
        <f t="shared" si="34"/>
        <v>3.57</v>
      </c>
    </row>
    <row r="294" spans="1:35" x14ac:dyDescent="0.45">
      <c r="A294" t="s">
        <v>1105</v>
      </c>
      <c r="B294">
        <v>83</v>
      </c>
      <c r="C294" t="s">
        <v>45</v>
      </c>
      <c r="D294" t="s">
        <v>95</v>
      </c>
      <c r="E294" t="s">
        <v>163</v>
      </c>
      <c r="F294" t="s">
        <v>59</v>
      </c>
      <c r="G294" t="s">
        <v>440</v>
      </c>
      <c r="H294" t="s">
        <v>81</v>
      </c>
      <c r="I294" t="s">
        <v>49</v>
      </c>
      <c r="J294" t="s">
        <v>1106</v>
      </c>
      <c r="K294" t="s">
        <v>642</v>
      </c>
      <c r="L294" t="s">
        <v>52</v>
      </c>
      <c r="M294" t="s">
        <v>2614</v>
      </c>
      <c r="N294" t="s">
        <v>172</v>
      </c>
      <c r="O294" t="s">
        <v>52</v>
      </c>
      <c r="P294" t="s">
        <v>110</v>
      </c>
      <c r="Q294" t="s">
        <v>129</v>
      </c>
      <c r="R294">
        <v>93</v>
      </c>
      <c r="S294">
        <v>0</v>
      </c>
      <c r="T294" t="s">
        <v>85</v>
      </c>
      <c r="U294" t="s">
        <v>42</v>
      </c>
      <c r="V294">
        <v>1.47</v>
      </c>
      <c r="W294">
        <v>2.64</v>
      </c>
      <c r="X294">
        <v>8.6</v>
      </c>
      <c r="Y294">
        <v>12.9</v>
      </c>
      <c r="Z294">
        <v>12.7</v>
      </c>
      <c r="AA294">
        <f>VALUE(SUBSTITUTE(DACS19___Pfizer’s_Personalised_Medicine_in[[#This Row],[Dose]],"mg",""))</f>
        <v>100</v>
      </c>
      <c r="AB294">
        <f t="shared" si="28"/>
        <v>100</v>
      </c>
      <c r="AC294" t="s">
        <v>129</v>
      </c>
      <c r="AD294">
        <f t="shared" si="29"/>
        <v>4</v>
      </c>
      <c r="AE294">
        <f t="shared" si="30"/>
        <v>1</v>
      </c>
      <c r="AF294" t="e">
        <f t="shared" si="31"/>
        <v>#N/A</v>
      </c>
      <c r="AG294" t="e">
        <f t="shared" si="32"/>
        <v>#N/A</v>
      </c>
      <c r="AH294" t="e">
        <f t="shared" si="33"/>
        <v>#N/A</v>
      </c>
      <c r="AI294">
        <f t="shared" si="34"/>
        <v>2.64</v>
      </c>
    </row>
    <row r="295" spans="1:35" x14ac:dyDescent="0.45">
      <c r="A295" t="s">
        <v>1107</v>
      </c>
      <c r="B295">
        <v>56</v>
      </c>
      <c r="C295" t="s">
        <v>45</v>
      </c>
      <c r="D295" t="s">
        <v>95</v>
      </c>
      <c r="E295" t="s">
        <v>78</v>
      </c>
      <c r="F295" t="s">
        <v>69</v>
      </c>
      <c r="G295" t="s">
        <v>89</v>
      </c>
      <c r="H295" t="s">
        <v>71</v>
      </c>
      <c r="I295" t="s">
        <v>132</v>
      </c>
      <c r="J295" t="s">
        <v>865</v>
      </c>
      <c r="K295" t="s">
        <v>1108</v>
      </c>
      <c r="L295" t="s">
        <v>36</v>
      </c>
      <c r="M295" t="s">
        <v>517</v>
      </c>
      <c r="N295" t="s">
        <v>971</v>
      </c>
      <c r="O295" t="s">
        <v>36</v>
      </c>
      <c r="P295" t="s">
        <v>110</v>
      </c>
      <c r="Q295" t="s">
        <v>2614</v>
      </c>
      <c r="R295">
        <v>72</v>
      </c>
      <c r="S295">
        <v>0</v>
      </c>
      <c r="T295" t="s">
        <v>123</v>
      </c>
      <c r="U295" t="s">
        <v>42</v>
      </c>
      <c r="V295">
        <v>3.35</v>
      </c>
      <c r="W295">
        <v>1.74</v>
      </c>
      <c r="X295">
        <v>4.3</v>
      </c>
      <c r="Y295">
        <v>12</v>
      </c>
      <c r="Z295">
        <v>3.4</v>
      </c>
      <c r="AA295">
        <f>VALUE(SUBSTITUTE(DACS19___Pfizer’s_Personalised_Medicine_in[[#This Row],[Dose]],"mg",""))</f>
        <v>200</v>
      </c>
      <c r="AB295">
        <f t="shared" si="28"/>
        <v>200</v>
      </c>
      <c r="AC295" t="s">
        <v>2614</v>
      </c>
      <c r="AD295">
        <f t="shared" si="29"/>
        <v>0</v>
      </c>
      <c r="AE295">
        <f t="shared" si="30"/>
        <v>1</v>
      </c>
      <c r="AF295" t="e">
        <f t="shared" si="31"/>
        <v>#N/A</v>
      </c>
      <c r="AG295">
        <f t="shared" si="32"/>
        <v>1.74</v>
      </c>
      <c r="AH295" t="e">
        <f t="shared" si="33"/>
        <v>#N/A</v>
      </c>
      <c r="AI295" t="e">
        <f t="shared" si="34"/>
        <v>#N/A</v>
      </c>
    </row>
    <row r="296" spans="1:35" x14ac:dyDescent="0.45">
      <c r="A296" t="s">
        <v>1109</v>
      </c>
      <c r="B296">
        <v>79</v>
      </c>
      <c r="C296" t="s">
        <v>44</v>
      </c>
      <c r="D296" t="s">
        <v>45</v>
      </c>
      <c r="E296" t="s">
        <v>2614</v>
      </c>
      <c r="F296" t="s">
        <v>2614</v>
      </c>
      <c r="G296" t="s">
        <v>131</v>
      </c>
      <c r="H296" t="s">
        <v>32</v>
      </c>
      <c r="I296" t="s">
        <v>72</v>
      </c>
      <c r="J296" t="s">
        <v>1110</v>
      </c>
      <c r="K296" t="s">
        <v>1111</v>
      </c>
      <c r="L296" t="s">
        <v>52</v>
      </c>
      <c r="M296" t="s">
        <v>362</v>
      </c>
      <c r="N296" t="s">
        <v>1041</v>
      </c>
      <c r="O296" t="s">
        <v>52</v>
      </c>
      <c r="P296" t="s">
        <v>55</v>
      </c>
      <c r="Q296" t="s">
        <v>129</v>
      </c>
      <c r="R296">
        <v>65</v>
      </c>
      <c r="S296">
        <v>0</v>
      </c>
      <c r="T296" t="s">
        <v>85</v>
      </c>
      <c r="U296" t="s">
        <v>57</v>
      </c>
      <c r="V296">
        <v>1.1000000000000001</v>
      </c>
      <c r="W296">
        <v>4.33</v>
      </c>
      <c r="X296">
        <v>3.5</v>
      </c>
      <c r="Y296">
        <v>15.3</v>
      </c>
      <c r="Z296">
        <v>8.1</v>
      </c>
      <c r="AA296">
        <f>VALUE(SUBSTITUTE(DACS19___Pfizer’s_Personalised_Medicine_in[[#This Row],[Dose]],"mg",""))</f>
        <v>100</v>
      </c>
      <c r="AB296">
        <f t="shared" si="28"/>
        <v>100</v>
      </c>
      <c r="AC296" t="s">
        <v>129</v>
      </c>
      <c r="AD296">
        <f t="shared" si="29"/>
        <v>4</v>
      </c>
      <c r="AE296">
        <f t="shared" si="30"/>
        <v>2</v>
      </c>
      <c r="AF296" t="e">
        <f t="shared" si="31"/>
        <v>#N/A</v>
      </c>
      <c r="AG296" t="e">
        <f t="shared" si="32"/>
        <v>#N/A</v>
      </c>
      <c r="AH296">
        <f t="shared" si="33"/>
        <v>4.33</v>
      </c>
      <c r="AI296" t="e">
        <f t="shared" si="34"/>
        <v>#N/A</v>
      </c>
    </row>
    <row r="297" spans="1:35" x14ac:dyDescent="0.45">
      <c r="A297" t="s">
        <v>1112</v>
      </c>
      <c r="B297">
        <v>73</v>
      </c>
      <c r="C297" t="s">
        <v>27</v>
      </c>
      <c r="D297" t="s">
        <v>45</v>
      </c>
      <c r="E297" t="s">
        <v>29</v>
      </c>
      <c r="F297" t="s">
        <v>2614</v>
      </c>
      <c r="G297" t="s">
        <v>31</v>
      </c>
      <c r="H297" t="s">
        <v>32</v>
      </c>
      <c r="I297" t="s">
        <v>132</v>
      </c>
      <c r="J297" t="s">
        <v>1113</v>
      </c>
      <c r="K297" t="s">
        <v>1114</v>
      </c>
      <c r="L297" t="s">
        <v>64</v>
      </c>
      <c r="M297" t="s">
        <v>469</v>
      </c>
      <c r="N297" t="s">
        <v>1115</v>
      </c>
      <c r="O297" t="s">
        <v>64</v>
      </c>
      <c r="P297" t="s">
        <v>55</v>
      </c>
      <c r="Q297" t="s">
        <v>129</v>
      </c>
      <c r="R297">
        <v>64</v>
      </c>
      <c r="S297">
        <v>0</v>
      </c>
      <c r="T297" t="s">
        <v>123</v>
      </c>
      <c r="U297" t="s">
        <v>57</v>
      </c>
      <c r="V297">
        <v>4.76</v>
      </c>
      <c r="W297">
        <v>2.04</v>
      </c>
      <c r="X297">
        <v>4.9000000000000004</v>
      </c>
      <c r="Y297">
        <v>21.7</v>
      </c>
      <c r="Z297">
        <v>17.3</v>
      </c>
      <c r="AA297">
        <f>VALUE(SUBSTITUTE(DACS19___Pfizer’s_Personalised_Medicine_in[[#This Row],[Dose]],"mg",""))</f>
        <v>150</v>
      </c>
      <c r="AB297">
        <f t="shared" si="28"/>
        <v>150</v>
      </c>
      <c r="AC297" t="s">
        <v>129</v>
      </c>
      <c r="AD297">
        <f t="shared" si="29"/>
        <v>4</v>
      </c>
      <c r="AE297">
        <f t="shared" si="30"/>
        <v>2</v>
      </c>
      <c r="AF297" t="e">
        <f t="shared" si="31"/>
        <v>#N/A</v>
      </c>
      <c r="AG297" t="e">
        <f t="shared" si="32"/>
        <v>#N/A</v>
      </c>
      <c r="AH297">
        <f t="shared" si="33"/>
        <v>2.04</v>
      </c>
      <c r="AI297" t="e">
        <f t="shared" si="34"/>
        <v>#N/A</v>
      </c>
    </row>
    <row r="298" spans="1:35" x14ac:dyDescent="0.45">
      <c r="A298" t="s">
        <v>1116</v>
      </c>
      <c r="B298">
        <v>18</v>
      </c>
      <c r="C298" t="s">
        <v>27</v>
      </c>
      <c r="D298" t="s">
        <v>106</v>
      </c>
      <c r="E298" t="s">
        <v>78</v>
      </c>
      <c r="F298" t="s">
        <v>2614</v>
      </c>
      <c r="G298" t="s">
        <v>70</v>
      </c>
      <c r="H298" t="s">
        <v>81</v>
      </c>
      <c r="I298" t="s">
        <v>49</v>
      </c>
      <c r="J298" t="s">
        <v>1117</v>
      </c>
      <c r="K298" t="s">
        <v>1118</v>
      </c>
      <c r="L298" t="s">
        <v>36</v>
      </c>
      <c r="M298" t="s">
        <v>2616</v>
      </c>
      <c r="N298" t="s">
        <v>1115</v>
      </c>
      <c r="O298" t="s">
        <v>36</v>
      </c>
      <c r="P298" t="s">
        <v>55</v>
      </c>
      <c r="Q298" t="s">
        <v>40</v>
      </c>
      <c r="R298">
        <v>75</v>
      </c>
      <c r="S298">
        <v>0</v>
      </c>
      <c r="T298" t="s">
        <v>123</v>
      </c>
      <c r="U298" t="s">
        <v>42</v>
      </c>
      <c r="V298">
        <v>1.74</v>
      </c>
      <c r="W298">
        <v>4.21</v>
      </c>
      <c r="X298">
        <v>5.0999999999999996</v>
      </c>
      <c r="Y298">
        <v>14.7</v>
      </c>
      <c r="Z298">
        <v>5.3</v>
      </c>
      <c r="AA298">
        <f>VALUE(SUBSTITUTE(DACS19___Pfizer’s_Personalised_Medicine_in[[#This Row],[Dose]],"mg",""))</f>
        <v>200</v>
      </c>
      <c r="AB298">
        <f t="shared" si="28"/>
        <v>200</v>
      </c>
      <c r="AC298" t="s">
        <v>40</v>
      </c>
      <c r="AD298">
        <f t="shared" si="29"/>
        <v>3</v>
      </c>
      <c r="AE298">
        <f t="shared" si="30"/>
        <v>2</v>
      </c>
      <c r="AF298" t="e">
        <f t="shared" si="31"/>
        <v>#N/A</v>
      </c>
      <c r="AG298" t="e">
        <f t="shared" si="32"/>
        <v>#N/A</v>
      </c>
      <c r="AH298" t="e">
        <f t="shared" si="33"/>
        <v>#N/A</v>
      </c>
      <c r="AI298">
        <f t="shared" si="34"/>
        <v>4.21</v>
      </c>
    </row>
    <row r="299" spans="1:35" x14ac:dyDescent="0.45">
      <c r="A299" t="s">
        <v>1119</v>
      </c>
      <c r="B299">
        <v>77</v>
      </c>
      <c r="C299" t="s">
        <v>44</v>
      </c>
      <c r="D299" t="s">
        <v>106</v>
      </c>
      <c r="E299" t="s">
        <v>78</v>
      </c>
      <c r="F299" t="s">
        <v>88</v>
      </c>
      <c r="G299" t="s">
        <v>184</v>
      </c>
      <c r="H299" t="s">
        <v>32</v>
      </c>
      <c r="I299" t="s">
        <v>72</v>
      </c>
      <c r="J299" t="s">
        <v>1120</v>
      </c>
      <c r="K299" t="s">
        <v>229</v>
      </c>
      <c r="L299" t="s">
        <v>52</v>
      </c>
      <c r="M299" t="s">
        <v>40</v>
      </c>
      <c r="N299" t="s">
        <v>188</v>
      </c>
      <c r="O299" t="s">
        <v>52</v>
      </c>
      <c r="P299" t="s">
        <v>39</v>
      </c>
      <c r="Q299" t="s">
        <v>2614</v>
      </c>
      <c r="R299">
        <v>156</v>
      </c>
      <c r="S299">
        <v>1</v>
      </c>
      <c r="T299" t="s">
        <v>85</v>
      </c>
      <c r="U299" t="s">
        <v>42</v>
      </c>
      <c r="V299">
        <v>1.32</v>
      </c>
      <c r="W299">
        <v>3.91</v>
      </c>
      <c r="X299">
        <v>5.5</v>
      </c>
      <c r="Y299">
        <v>13.9</v>
      </c>
      <c r="Z299">
        <v>15.4</v>
      </c>
      <c r="AA299">
        <f>VALUE(SUBSTITUTE(DACS19___Pfizer’s_Personalised_Medicine_in[[#This Row],[Dose]],"mg",""))</f>
        <v>100</v>
      </c>
      <c r="AB299">
        <f t="shared" si="28"/>
        <v>100</v>
      </c>
      <c r="AC299" t="s">
        <v>2614</v>
      </c>
      <c r="AD299">
        <f t="shared" si="29"/>
        <v>0</v>
      </c>
      <c r="AE299">
        <f t="shared" si="30"/>
        <v>3</v>
      </c>
      <c r="AF299" t="e">
        <f t="shared" si="31"/>
        <v>#N/A</v>
      </c>
      <c r="AG299" t="e">
        <f t="shared" si="32"/>
        <v>#N/A</v>
      </c>
      <c r="AH299">
        <f t="shared" si="33"/>
        <v>3.91</v>
      </c>
      <c r="AI299" t="e">
        <f t="shared" si="34"/>
        <v>#N/A</v>
      </c>
    </row>
    <row r="300" spans="1:35" x14ac:dyDescent="0.45">
      <c r="A300" t="s">
        <v>1121</v>
      </c>
      <c r="B300">
        <v>18</v>
      </c>
      <c r="C300" t="s">
        <v>27</v>
      </c>
      <c r="D300" t="s">
        <v>95</v>
      </c>
      <c r="E300" t="s">
        <v>163</v>
      </c>
      <c r="F300" t="s">
        <v>2614</v>
      </c>
      <c r="G300" t="s">
        <v>80</v>
      </c>
      <c r="H300" t="s">
        <v>81</v>
      </c>
      <c r="I300" t="s">
        <v>72</v>
      </c>
      <c r="J300" t="s">
        <v>1122</v>
      </c>
      <c r="K300" t="s">
        <v>1123</v>
      </c>
      <c r="L300" t="s">
        <v>52</v>
      </c>
      <c r="M300" t="s">
        <v>75</v>
      </c>
      <c r="N300" t="s">
        <v>1124</v>
      </c>
      <c r="O300" t="s">
        <v>52</v>
      </c>
      <c r="P300" t="s">
        <v>110</v>
      </c>
      <c r="Q300" t="s">
        <v>129</v>
      </c>
      <c r="R300">
        <v>62</v>
      </c>
      <c r="S300">
        <v>0</v>
      </c>
      <c r="T300" t="s">
        <v>137</v>
      </c>
      <c r="U300" t="s">
        <v>42</v>
      </c>
      <c r="V300">
        <v>4.0599999999999996</v>
      </c>
      <c r="W300">
        <v>1.64</v>
      </c>
      <c r="X300">
        <v>6.5</v>
      </c>
      <c r="Y300">
        <v>8.4</v>
      </c>
      <c r="Z300">
        <v>15.8</v>
      </c>
      <c r="AA300">
        <f>VALUE(SUBSTITUTE(DACS19___Pfizer’s_Personalised_Medicine_in[[#This Row],[Dose]],"mg",""))</f>
        <v>100</v>
      </c>
      <c r="AB300">
        <f t="shared" si="28"/>
        <v>100</v>
      </c>
      <c r="AC300" t="s">
        <v>129</v>
      </c>
      <c r="AD300">
        <f t="shared" si="29"/>
        <v>4</v>
      </c>
      <c r="AE300">
        <f t="shared" si="30"/>
        <v>1</v>
      </c>
      <c r="AF300" t="e">
        <f t="shared" si="31"/>
        <v>#N/A</v>
      </c>
      <c r="AG300" t="e">
        <f t="shared" si="32"/>
        <v>#N/A</v>
      </c>
      <c r="AH300" t="e">
        <f t="shared" si="33"/>
        <v>#N/A</v>
      </c>
      <c r="AI300">
        <f t="shared" si="34"/>
        <v>1.64</v>
      </c>
    </row>
    <row r="301" spans="1:35" x14ac:dyDescent="0.45">
      <c r="A301" t="s">
        <v>1125</v>
      </c>
      <c r="B301">
        <v>84</v>
      </c>
      <c r="C301" t="s">
        <v>45</v>
      </c>
      <c r="D301" t="s">
        <v>28</v>
      </c>
      <c r="E301" t="s">
        <v>46</v>
      </c>
      <c r="F301" t="s">
        <v>2614</v>
      </c>
      <c r="G301" t="s">
        <v>164</v>
      </c>
      <c r="H301" t="s">
        <v>32</v>
      </c>
      <c r="I301" t="s">
        <v>33</v>
      </c>
      <c r="J301" t="s">
        <v>372</v>
      </c>
      <c r="K301" t="s">
        <v>534</v>
      </c>
      <c r="L301" t="s">
        <v>92</v>
      </c>
      <c r="M301" t="s">
        <v>500</v>
      </c>
      <c r="N301" t="s">
        <v>398</v>
      </c>
      <c r="O301" t="s">
        <v>92</v>
      </c>
      <c r="P301" t="s">
        <v>39</v>
      </c>
      <c r="Q301" t="s">
        <v>75</v>
      </c>
      <c r="R301">
        <v>149</v>
      </c>
      <c r="S301">
        <v>1</v>
      </c>
      <c r="T301" t="s">
        <v>56</v>
      </c>
      <c r="U301" t="s">
        <v>57</v>
      </c>
      <c r="V301">
        <v>3.63</v>
      </c>
      <c r="W301">
        <v>4.83</v>
      </c>
      <c r="X301">
        <v>1.6</v>
      </c>
      <c r="Y301">
        <v>7</v>
      </c>
      <c r="Z301">
        <v>7.8</v>
      </c>
      <c r="AA301">
        <f>VALUE(SUBSTITUTE(DACS19___Pfizer’s_Personalised_Medicine_in[[#This Row],[Dose]],"mg",""))</f>
        <v>50</v>
      </c>
      <c r="AB301">
        <f t="shared" si="28"/>
        <v>50</v>
      </c>
      <c r="AC301" t="s">
        <v>75</v>
      </c>
      <c r="AD301">
        <f t="shared" si="29"/>
        <v>1</v>
      </c>
      <c r="AE301">
        <f t="shared" si="30"/>
        <v>3</v>
      </c>
      <c r="AF301" t="e">
        <f t="shared" si="31"/>
        <v>#N/A</v>
      </c>
      <c r="AG301" t="e">
        <f t="shared" si="32"/>
        <v>#N/A</v>
      </c>
      <c r="AH301">
        <f t="shared" si="33"/>
        <v>4.83</v>
      </c>
      <c r="AI301" t="e">
        <f t="shared" si="34"/>
        <v>#N/A</v>
      </c>
    </row>
    <row r="302" spans="1:35" x14ac:dyDescent="0.45">
      <c r="A302" t="s">
        <v>1126</v>
      </c>
      <c r="B302">
        <v>84</v>
      </c>
      <c r="C302" t="s">
        <v>27</v>
      </c>
      <c r="D302" t="s">
        <v>106</v>
      </c>
      <c r="E302" t="s">
        <v>163</v>
      </c>
      <c r="F302" t="s">
        <v>47</v>
      </c>
      <c r="G302" t="s">
        <v>178</v>
      </c>
      <c r="H302" t="s">
        <v>81</v>
      </c>
      <c r="I302" t="s">
        <v>132</v>
      </c>
      <c r="J302" t="s">
        <v>1127</v>
      </c>
      <c r="K302" t="s">
        <v>1128</v>
      </c>
      <c r="L302" t="s">
        <v>92</v>
      </c>
      <c r="M302" t="s">
        <v>2641</v>
      </c>
      <c r="N302" t="s">
        <v>391</v>
      </c>
      <c r="O302" t="s">
        <v>92</v>
      </c>
      <c r="P302" t="s">
        <v>39</v>
      </c>
      <c r="Q302" t="s">
        <v>67</v>
      </c>
      <c r="R302">
        <v>80</v>
      </c>
      <c r="S302">
        <v>1</v>
      </c>
      <c r="T302" t="s">
        <v>41</v>
      </c>
      <c r="U302" t="s">
        <v>57</v>
      </c>
      <c r="V302">
        <v>2.0499999999999998</v>
      </c>
      <c r="W302">
        <v>1.99</v>
      </c>
      <c r="X302">
        <v>9.1999999999999993</v>
      </c>
      <c r="Y302">
        <v>10.5</v>
      </c>
      <c r="Z302">
        <v>7.6</v>
      </c>
      <c r="AA302">
        <f>VALUE(SUBSTITUTE(DACS19___Pfizer’s_Personalised_Medicine_in[[#This Row],[Dose]],"mg",""))</f>
        <v>50</v>
      </c>
      <c r="AB302">
        <f t="shared" si="28"/>
        <v>50</v>
      </c>
      <c r="AC302" t="s">
        <v>67</v>
      </c>
      <c r="AD302">
        <f t="shared" si="29"/>
        <v>2</v>
      </c>
      <c r="AE302">
        <f t="shared" si="30"/>
        <v>3</v>
      </c>
      <c r="AF302" t="e">
        <f t="shared" si="31"/>
        <v>#N/A</v>
      </c>
      <c r="AG302" t="e">
        <f t="shared" si="32"/>
        <v>#N/A</v>
      </c>
      <c r="AH302" t="e">
        <f t="shared" si="33"/>
        <v>#N/A</v>
      </c>
      <c r="AI302">
        <f t="shared" si="34"/>
        <v>1.99</v>
      </c>
    </row>
    <row r="303" spans="1:35" x14ac:dyDescent="0.45">
      <c r="A303" t="s">
        <v>1129</v>
      </c>
      <c r="B303">
        <v>57</v>
      </c>
      <c r="C303" t="s">
        <v>27</v>
      </c>
      <c r="D303" t="s">
        <v>87</v>
      </c>
      <c r="E303" t="s">
        <v>163</v>
      </c>
      <c r="F303" t="s">
        <v>88</v>
      </c>
      <c r="G303" t="s">
        <v>80</v>
      </c>
      <c r="H303" t="s">
        <v>32</v>
      </c>
      <c r="I303" t="s">
        <v>132</v>
      </c>
      <c r="J303" t="s">
        <v>1130</v>
      </c>
      <c r="K303" t="s">
        <v>1131</v>
      </c>
      <c r="L303" t="s">
        <v>64</v>
      </c>
      <c r="M303" t="s">
        <v>2614</v>
      </c>
      <c r="N303" t="s">
        <v>1132</v>
      </c>
      <c r="O303" t="s">
        <v>64</v>
      </c>
      <c r="P303" t="s">
        <v>39</v>
      </c>
      <c r="Q303" t="s">
        <v>129</v>
      </c>
      <c r="R303">
        <v>142</v>
      </c>
      <c r="S303">
        <v>1</v>
      </c>
      <c r="T303" t="s">
        <v>123</v>
      </c>
      <c r="U303" t="s">
        <v>57</v>
      </c>
      <c r="V303">
        <v>4.04</v>
      </c>
      <c r="W303">
        <v>2.8</v>
      </c>
      <c r="X303">
        <v>8</v>
      </c>
      <c r="Y303">
        <v>7.2</v>
      </c>
      <c r="Z303">
        <v>11.3</v>
      </c>
      <c r="AA303">
        <f>VALUE(SUBSTITUTE(DACS19___Pfizer’s_Personalised_Medicine_in[[#This Row],[Dose]],"mg",""))</f>
        <v>150</v>
      </c>
      <c r="AB303">
        <f t="shared" si="28"/>
        <v>150</v>
      </c>
      <c r="AC303" t="s">
        <v>129</v>
      </c>
      <c r="AD303">
        <f t="shared" si="29"/>
        <v>4</v>
      </c>
      <c r="AE303">
        <f t="shared" si="30"/>
        <v>3</v>
      </c>
      <c r="AF303" t="e">
        <f t="shared" si="31"/>
        <v>#N/A</v>
      </c>
      <c r="AG303" t="e">
        <f t="shared" si="32"/>
        <v>#N/A</v>
      </c>
      <c r="AH303">
        <f t="shared" si="33"/>
        <v>2.8</v>
      </c>
      <c r="AI303" t="e">
        <f t="shared" si="34"/>
        <v>#N/A</v>
      </c>
    </row>
    <row r="304" spans="1:35" x14ac:dyDescent="0.45">
      <c r="A304" t="s">
        <v>1133</v>
      </c>
      <c r="B304">
        <v>33</v>
      </c>
      <c r="C304" t="s">
        <v>27</v>
      </c>
      <c r="D304" t="s">
        <v>87</v>
      </c>
      <c r="E304" t="s">
        <v>163</v>
      </c>
      <c r="F304" t="s">
        <v>88</v>
      </c>
      <c r="G304" t="s">
        <v>96</v>
      </c>
      <c r="H304" t="s">
        <v>61</v>
      </c>
      <c r="I304" t="s">
        <v>33</v>
      </c>
      <c r="J304" t="s">
        <v>767</v>
      </c>
      <c r="K304" t="s">
        <v>1134</v>
      </c>
      <c r="L304" t="s">
        <v>36</v>
      </c>
      <c r="M304" t="s">
        <v>129</v>
      </c>
      <c r="N304" t="s">
        <v>327</v>
      </c>
      <c r="O304" t="s">
        <v>36</v>
      </c>
      <c r="P304" t="s">
        <v>39</v>
      </c>
      <c r="Q304" t="s">
        <v>75</v>
      </c>
      <c r="R304">
        <v>43</v>
      </c>
      <c r="S304">
        <v>1</v>
      </c>
      <c r="T304" t="s">
        <v>137</v>
      </c>
      <c r="U304" t="s">
        <v>57</v>
      </c>
      <c r="V304">
        <v>1.1299999999999999</v>
      </c>
      <c r="W304">
        <v>1.25</v>
      </c>
      <c r="X304">
        <v>9.1999999999999993</v>
      </c>
      <c r="Y304">
        <v>8.5</v>
      </c>
      <c r="Z304">
        <v>12.1</v>
      </c>
      <c r="AA304">
        <f>VALUE(SUBSTITUTE(DACS19___Pfizer’s_Personalised_Medicine_in[[#This Row],[Dose]],"mg",""))</f>
        <v>200</v>
      </c>
      <c r="AB304">
        <f t="shared" si="28"/>
        <v>200</v>
      </c>
      <c r="AC304" t="s">
        <v>75</v>
      </c>
      <c r="AD304">
        <f t="shared" si="29"/>
        <v>1</v>
      </c>
      <c r="AE304">
        <f t="shared" si="30"/>
        <v>3</v>
      </c>
      <c r="AF304">
        <f t="shared" si="31"/>
        <v>1.25</v>
      </c>
      <c r="AG304" t="e">
        <f t="shared" si="32"/>
        <v>#N/A</v>
      </c>
      <c r="AH304" t="e">
        <f t="shared" si="33"/>
        <v>#N/A</v>
      </c>
      <c r="AI304" t="e">
        <f t="shared" si="34"/>
        <v>#N/A</v>
      </c>
    </row>
    <row r="305" spans="1:35" x14ac:dyDescent="0.45">
      <c r="A305" t="s">
        <v>1135</v>
      </c>
      <c r="B305">
        <v>69</v>
      </c>
      <c r="C305" t="s">
        <v>27</v>
      </c>
      <c r="D305" t="s">
        <v>45</v>
      </c>
      <c r="E305" t="s">
        <v>78</v>
      </c>
      <c r="F305" t="s">
        <v>69</v>
      </c>
      <c r="G305" t="s">
        <v>152</v>
      </c>
      <c r="H305" t="s">
        <v>61</v>
      </c>
      <c r="I305" t="s">
        <v>33</v>
      </c>
      <c r="J305" t="s">
        <v>369</v>
      </c>
      <c r="K305" t="s">
        <v>82</v>
      </c>
      <c r="L305" t="s">
        <v>92</v>
      </c>
      <c r="M305" t="s">
        <v>135</v>
      </c>
      <c r="N305" t="s">
        <v>682</v>
      </c>
      <c r="O305" t="s">
        <v>92</v>
      </c>
      <c r="P305" t="s">
        <v>55</v>
      </c>
      <c r="Q305" t="s">
        <v>75</v>
      </c>
      <c r="R305">
        <v>79</v>
      </c>
      <c r="S305">
        <v>0</v>
      </c>
      <c r="T305" t="s">
        <v>123</v>
      </c>
      <c r="U305" t="s">
        <v>42</v>
      </c>
      <c r="V305">
        <v>2.64</v>
      </c>
      <c r="W305">
        <v>2.39</v>
      </c>
      <c r="X305">
        <v>9.1</v>
      </c>
      <c r="Y305">
        <v>6.4</v>
      </c>
      <c r="Z305">
        <v>14.3</v>
      </c>
      <c r="AA305">
        <f>VALUE(SUBSTITUTE(DACS19___Pfizer’s_Personalised_Medicine_in[[#This Row],[Dose]],"mg",""))</f>
        <v>50</v>
      </c>
      <c r="AB305">
        <f t="shared" si="28"/>
        <v>50</v>
      </c>
      <c r="AC305" t="s">
        <v>75</v>
      </c>
      <c r="AD305">
        <f t="shared" si="29"/>
        <v>1</v>
      </c>
      <c r="AE305">
        <f t="shared" si="30"/>
        <v>2</v>
      </c>
      <c r="AF305">
        <f t="shared" si="31"/>
        <v>2.39</v>
      </c>
      <c r="AG305" t="e">
        <f t="shared" si="32"/>
        <v>#N/A</v>
      </c>
      <c r="AH305" t="e">
        <f t="shared" si="33"/>
        <v>#N/A</v>
      </c>
      <c r="AI305" t="e">
        <f t="shared" si="34"/>
        <v>#N/A</v>
      </c>
    </row>
    <row r="306" spans="1:35" x14ac:dyDescent="0.45">
      <c r="A306" t="s">
        <v>1136</v>
      </c>
      <c r="B306">
        <v>19</v>
      </c>
      <c r="C306" t="s">
        <v>45</v>
      </c>
      <c r="D306" t="s">
        <v>87</v>
      </c>
      <c r="E306" t="s">
        <v>29</v>
      </c>
      <c r="F306" t="s">
        <v>2614</v>
      </c>
      <c r="G306" t="s">
        <v>89</v>
      </c>
      <c r="H306" t="s">
        <v>71</v>
      </c>
      <c r="I306" t="s">
        <v>132</v>
      </c>
      <c r="J306" t="s">
        <v>1137</v>
      </c>
      <c r="K306" t="s">
        <v>939</v>
      </c>
      <c r="L306" t="s">
        <v>36</v>
      </c>
      <c r="M306" t="s">
        <v>67</v>
      </c>
      <c r="N306" t="s">
        <v>146</v>
      </c>
      <c r="O306" t="s">
        <v>36</v>
      </c>
      <c r="P306" t="s">
        <v>39</v>
      </c>
      <c r="Q306" t="s">
        <v>129</v>
      </c>
      <c r="R306">
        <v>62</v>
      </c>
      <c r="S306">
        <v>1</v>
      </c>
      <c r="T306" t="s">
        <v>137</v>
      </c>
      <c r="U306" t="s">
        <v>57</v>
      </c>
      <c r="V306">
        <v>4.8499999999999996</v>
      </c>
      <c r="W306">
        <v>3.24</v>
      </c>
      <c r="X306">
        <v>9.4</v>
      </c>
      <c r="Y306">
        <v>6.9</v>
      </c>
      <c r="Z306">
        <v>10.1</v>
      </c>
      <c r="AA306">
        <f>VALUE(SUBSTITUTE(DACS19___Pfizer’s_Personalised_Medicine_in[[#This Row],[Dose]],"mg",""))</f>
        <v>200</v>
      </c>
      <c r="AB306">
        <f t="shared" si="28"/>
        <v>200</v>
      </c>
      <c r="AC306" t="s">
        <v>129</v>
      </c>
      <c r="AD306">
        <f t="shared" si="29"/>
        <v>4</v>
      </c>
      <c r="AE306">
        <f t="shared" si="30"/>
        <v>3</v>
      </c>
      <c r="AF306" t="e">
        <f t="shared" si="31"/>
        <v>#N/A</v>
      </c>
      <c r="AG306">
        <f t="shared" si="32"/>
        <v>3.24</v>
      </c>
      <c r="AH306" t="e">
        <f t="shared" si="33"/>
        <v>#N/A</v>
      </c>
      <c r="AI306" t="e">
        <f t="shared" si="34"/>
        <v>#N/A</v>
      </c>
    </row>
    <row r="307" spans="1:35" x14ac:dyDescent="0.45">
      <c r="A307" t="s">
        <v>1138</v>
      </c>
      <c r="B307">
        <v>83</v>
      </c>
      <c r="C307" t="s">
        <v>45</v>
      </c>
      <c r="D307" t="s">
        <v>28</v>
      </c>
      <c r="E307" t="s">
        <v>2614</v>
      </c>
      <c r="F307" t="s">
        <v>2614</v>
      </c>
      <c r="G307" t="s">
        <v>178</v>
      </c>
      <c r="H307" t="s">
        <v>71</v>
      </c>
      <c r="I307" t="s">
        <v>72</v>
      </c>
      <c r="J307" t="s">
        <v>638</v>
      </c>
      <c r="K307" t="s">
        <v>1139</v>
      </c>
      <c r="L307" t="s">
        <v>64</v>
      </c>
      <c r="M307" t="s">
        <v>274</v>
      </c>
      <c r="N307" t="s">
        <v>296</v>
      </c>
      <c r="O307" t="s">
        <v>64</v>
      </c>
      <c r="P307" t="s">
        <v>39</v>
      </c>
      <c r="Q307" t="s">
        <v>75</v>
      </c>
      <c r="R307">
        <v>173</v>
      </c>
      <c r="S307">
        <v>1</v>
      </c>
      <c r="T307" t="s">
        <v>123</v>
      </c>
      <c r="U307" t="s">
        <v>57</v>
      </c>
      <c r="V307">
        <v>2.04</v>
      </c>
      <c r="W307">
        <v>3.92</v>
      </c>
      <c r="X307">
        <v>9.8000000000000007</v>
      </c>
      <c r="Y307">
        <v>10.6</v>
      </c>
      <c r="Z307">
        <v>14.1</v>
      </c>
      <c r="AA307">
        <f>VALUE(SUBSTITUTE(DACS19___Pfizer’s_Personalised_Medicine_in[[#This Row],[Dose]],"mg",""))</f>
        <v>150</v>
      </c>
      <c r="AB307">
        <f t="shared" si="28"/>
        <v>150</v>
      </c>
      <c r="AC307" t="s">
        <v>75</v>
      </c>
      <c r="AD307">
        <f t="shared" si="29"/>
        <v>1</v>
      </c>
      <c r="AE307">
        <f t="shared" si="30"/>
        <v>3</v>
      </c>
      <c r="AF307" t="e">
        <f t="shared" si="31"/>
        <v>#N/A</v>
      </c>
      <c r="AG307">
        <f t="shared" si="32"/>
        <v>3.92</v>
      </c>
      <c r="AH307" t="e">
        <f t="shared" si="33"/>
        <v>#N/A</v>
      </c>
      <c r="AI307" t="e">
        <f t="shared" si="34"/>
        <v>#N/A</v>
      </c>
    </row>
    <row r="308" spans="1:35" x14ac:dyDescent="0.45">
      <c r="A308" t="s">
        <v>1140</v>
      </c>
      <c r="B308">
        <v>62</v>
      </c>
      <c r="C308" t="s">
        <v>27</v>
      </c>
      <c r="D308" t="s">
        <v>106</v>
      </c>
      <c r="E308" t="s">
        <v>46</v>
      </c>
      <c r="F308" t="s">
        <v>2614</v>
      </c>
      <c r="G308" t="s">
        <v>31</v>
      </c>
      <c r="H308" t="s">
        <v>71</v>
      </c>
      <c r="I308" t="s">
        <v>33</v>
      </c>
      <c r="J308" t="s">
        <v>489</v>
      </c>
      <c r="K308" t="s">
        <v>1141</v>
      </c>
      <c r="L308" t="s">
        <v>64</v>
      </c>
      <c r="M308" t="s">
        <v>2617</v>
      </c>
      <c r="N308" t="s">
        <v>1083</v>
      </c>
      <c r="O308" t="s">
        <v>64</v>
      </c>
      <c r="P308" t="s">
        <v>39</v>
      </c>
      <c r="Q308" t="s">
        <v>40</v>
      </c>
      <c r="R308">
        <v>40</v>
      </c>
      <c r="S308">
        <v>1</v>
      </c>
      <c r="T308" t="s">
        <v>56</v>
      </c>
      <c r="U308" t="s">
        <v>42</v>
      </c>
      <c r="V308">
        <v>1.79</v>
      </c>
      <c r="W308">
        <v>3.26</v>
      </c>
      <c r="X308">
        <v>5.2</v>
      </c>
      <c r="Y308">
        <v>23.5</v>
      </c>
      <c r="Z308">
        <v>13.3</v>
      </c>
      <c r="AA308">
        <f>VALUE(SUBSTITUTE(DACS19___Pfizer’s_Personalised_Medicine_in[[#This Row],[Dose]],"mg",""))</f>
        <v>150</v>
      </c>
      <c r="AB308">
        <f t="shared" si="28"/>
        <v>150</v>
      </c>
      <c r="AC308" t="s">
        <v>40</v>
      </c>
      <c r="AD308">
        <f t="shared" si="29"/>
        <v>3</v>
      </c>
      <c r="AE308">
        <f t="shared" si="30"/>
        <v>3</v>
      </c>
      <c r="AF308" t="e">
        <f t="shared" si="31"/>
        <v>#N/A</v>
      </c>
      <c r="AG308">
        <f t="shared" si="32"/>
        <v>3.26</v>
      </c>
      <c r="AH308" t="e">
        <f t="shared" si="33"/>
        <v>#N/A</v>
      </c>
      <c r="AI308" t="e">
        <f t="shared" si="34"/>
        <v>#N/A</v>
      </c>
    </row>
    <row r="309" spans="1:35" x14ac:dyDescent="0.45">
      <c r="A309" t="s">
        <v>1142</v>
      </c>
      <c r="B309">
        <v>18</v>
      </c>
      <c r="C309" t="s">
        <v>45</v>
      </c>
      <c r="D309" t="s">
        <v>106</v>
      </c>
      <c r="E309" t="s">
        <v>46</v>
      </c>
      <c r="F309" t="s">
        <v>79</v>
      </c>
      <c r="G309" t="s">
        <v>60</v>
      </c>
      <c r="H309" t="s">
        <v>81</v>
      </c>
      <c r="I309" t="s">
        <v>132</v>
      </c>
      <c r="J309" t="s">
        <v>1143</v>
      </c>
      <c r="K309" t="s">
        <v>1069</v>
      </c>
      <c r="L309" t="s">
        <v>92</v>
      </c>
      <c r="M309" t="s">
        <v>451</v>
      </c>
      <c r="N309" t="s">
        <v>1144</v>
      </c>
      <c r="O309" t="s">
        <v>92</v>
      </c>
      <c r="P309" t="s">
        <v>39</v>
      </c>
      <c r="Q309" t="s">
        <v>75</v>
      </c>
      <c r="R309">
        <v>59</v>
      </c>
      <c r="S309">
        <v>1</v>
      </c>
      <c r="T309" t="s">
        <v>41</v>
      </c>
      <c r="U309" t="s">
        <v>57</v>
      </c>
      <c r="V309">
        <v>2.4</v>
      </c>
      <c r="W309">
        <v>1.46</v>
      </c>
      <c r="X309">
        <v>2.4</v>
      </c>
      <c r="Y309">
        <v>10.1</v>
      </c>
      <c r="Z309">
        <v>7.3</v>
      </c>
      <c r="AA309">
        <f>VALUE(SUBSTITUTE(DACS19___Pfizer’s_Personalised_Medicine_in[[#This Row],[Dose]],"mg",""))</f>
        <v>50</v>
      </c>
      <c r="AB309">
        <f t="shared" si="28"/>
        <v>50</v>
      </c>
      <c r="AC309" t="s">
        <v>75</v>
      </c>
      <c r="AD309">
        <f t="shared" si="29"/>
        <v>1</v>
      </c>
      <c r="AE309">
        <f t="shared" si="30"/>
        <v>3</v>
      </c>
      <c r="AF309" t="e">
        <f t="shared" si="31"/>
        <v>#N/A</v>
      </c>
      <c r="AG309" t="e">
        <f t="shared" si="32"/>
        <v>#N/A</v>
      </c>
      <c r="AH309" t="e">
        <f t="shared" si="33"/>
        <v>#N/A</v>
      </c>
      <c r="AI309">
        <f t="shared" si="34"/>
        <v>1.46</v>
      </c>
    </row>
    <row r="310" spans="1:35" x14ac:dyDescent="0.45">
      <c r="A310" t="s">
        <v>1145</v>
      </c>
      <c r="B310">
        <v>74</v>
      </c>
      <c r="C310" t="s">
        <v>27</v>
      </c>
      <c r="D310" t="s">
        <v>45</v>
      </c>
      <c r="E310" t="s">
        <v>2614</v>
      </c>
      <c r="F310" t="s">
        <v>88</v>
      </c>
      <c r="G310" t="s">
        <v>89</v>
      </c>
      <c r="H310" t="s">
        <v>71</v>
      </c>
      <c r="I310" t="s">
        <v>132</v>
      </c>
      <c r="J310" t="s">
        <v>1146</v>
      </c>
      <c r="K310" t="s">
        <v>1147</v>
      </c>
      <c r="L310" t="s">
        <v>52</v>
      </c>
      <c r="M310" t="s">
        <v>155</v>
      </c>
      <c r="N310" t="s">
        <v>598</v>
      </c>
      <c r="O310" t="s">
        <v>52</v>
      </c>
      <c r="P310" t="s">
        <v>39</v>
      </c>
      <c r="Q310" t="s">
        <v>129</v>
      </c>
      <c r="R310">
        <v>75</v>
      </c>
      <c r="S310">
        <v>1</v>
      </c>
      <c r="T310" t="s">
        <v>137</v>
      </c>
      <c r="U310" t="s">
        <v>42</v>
      </c>
      <c r="V310">
        <v>4.4000000000000004</v>
      </c>
      <c r="W310">
        <v>3.24</v>
      </c>
      <c r="X310">
        <v>5.7</v>
      </c>
      <c r="Y310">
        <v>8.1</v>
      </c>
      <c r="Z310">
        <v>17.600000000000001</v>
      </c>
      <c r="AA310">
        <f>VALUE(SUBSTITUTE(DACS19___Pfizer’s_Personalised_Medicine_in[[#This Row],[Dose]],"mg",""))</f>
        <v>100</v>
      </c>
      <c r="AB310">
        <f t="shared" si="28"/>
        <v>100</v>
      </c>
      <c r="AC310" t="s">
        <v>129</v>
      </c>
      <c r="AD310">
        <f t="shared" si="29"/>
        <v>4</v>
      </c>
      <c r="AE310">
        <f t="shared" si="30"/>
        <v>3</v>
      </c>
      <c r="AF310" t="e">
        <f t="shared" si="31"/>
        <v>#N/A</v>
      </c>
      <c r="AG310">
        <f t="shared" si="32"/>
        <v>3.24</v>
      </c>
      <c r="AH310" t="e">
        <f t="shared" si="33"/>
        <v>#N/A</v>
      </c>
      <c r="AI310" t="e">
        <f t="shared" si="34"/>
        <v>#N/A</v>
      </c>
    </row>
    <row r="311" spans="1:35" x14ac:dyDescent="0.45">
      <c r="A311" t="s">
        <v>1148</v>
      </c>
      <c r="B311">
        <v>20</v>
      </c>
      <c r="C311" t="s">
        <v>45</v>
      </c>
      <c r="D311" t="s">
        <v>106</v>
      </c>
      <c r="E311" t="s">
        <v>78</v>
      </c>
      <c r="F311" t="s">
        <v>2614</v>
      </c>
      <c r="G311" t="s">
        <v>102</v>
      </c>
      <c r="H311" t="s">
        <v>32</v>
      </c>
      <c r="I311" t="s">
        <v>72</v>
      </c>
      <c r="J311" t="s">
        <v>1149</v>
      </c>
      <c r="K311" t="s">
        <v>549</v>
      </c>
      <c r="L311" t="s">
        <v>64</v>
      </c>
      <c r="M311" t="s">
        <v>2619</v>
      </c>
      <c r="N311" t="s">
        <v>776</v>
      </c>
      <c r="O311" t="s">
        <v>64</v>
      </c>
      <c r="P311" t="s">
        <v>39</v>
      </c>
      <c r="Q311" t="s">
        <v>67</v>
      </c>
      <c r="R311">
        <v>63</v>
      </c>
      <c r="S311">
        <v>1</v>
      </c>
      <c r="T311" t="s">
        <v>41</v>
      </c>
      <c r="U311" t="s">
        <v>42</v>
      </c>
      <c r="V311">
        <v>3.89</v>
      </c>
      <c r="W311">
        <v>1.27</v>
      </c>
      <c r="X311">
        <v>7.4</v>
      </c>
      <c r="Y311">
        <v>15.8</v>
      </c>
      <c r="Z311">
        <v>4.4000000000000004</v>
      </c>
      <c r="AA311">
        <f>VALUE(SUBSTITUTE(DACS19___Pfizer’s_Personalised_Medicine_in[[#This Row],[Dose]],"mg",""))</f>
        <v>150</v>
      </c>
      <c r="AB311">
        <f t="shared" si="28"/>
        <v>150</v>
      </c>
      <c r="AC311" t="s">
        <v>67</v>
      </c>
      <c r="AD311">
        <f t="shared" si="29"/>
        <v>2</v>
      </c>
      <c r="AE311">
        <f t="shared" si="30"/>
        <v>3</v>
      </c>
      <c r="AF311" t="e">
        <f t="shared" si="31"/>
        <v>#N/A</v>
      </c>
      <c r="AG311" t="e">
        <f t="shared" si="32"/>
        <v>#N/A</v>
      </c>
      <c r="AH311">
        <f t="shared" si="33"/>
        <v>1.27</v>
      </c>
      <c r="AI311" t="e">
        <f t="shared" si="34"/>
        <v>#N/A</v>
      </c>
    </row>
    <row r="312" spans="1:35" x14ac:dyDescent="0.45">
      <c r="A312" t="s">
        <v>1150</v>
      </c>
      <c r="B312">
        <v>66</v>
      </c>
      <c r="C312" t="s">
        <v>45</v>
      </c>
      <c r="D312" t="s">
        <v>28</v>
      </c>
      <c r="E312" t="s">
        <v>2614</v>
      </c>
      <c r="F312" t="s">
        <v>2614</v>
      </c>
      <c r="G312" t="s">
        <v>60</v>
      </c>
      <c r="H312" t="s">
        <v>61</v>
      </c>
      <c r="I312" t="s">
        <v>72</v>
      </c>
      <c r="J312" t="s">
        <v>1151</v>
      </c>
      <c r="K312" t="s">
        <v>846</v>
      </c>
      <c r="L312" t="s">
        <v>64</v>
      </c>
      <c r="M312" t="s">
        <v>129</v>
      </c>
      <c r="N312" t="s">
        <v>340</v>
      </c>
      <c r="O312" t="s">
        <v>64</v>
      </c>
      <c r="P312" t="s">
        <v>55</v>
      </c>
      <c r="Q312" t="s">
        <v>67</v>
      </c>
      <c r="R312">
        <v>160</v>
      </c>
      <c r="S312">
        <v>0</v>
      </c>
      <c r="T312" t="s">
        <v>85</v>
      </c>
      <c r="U312" t="s">
        <v>57</v>
      </c>
      <c r="V312">
        <v>2.83</v>
      </c>
      <c r="W312">
        <v>2.94</v>
      </c>
      <c r="X312">
        <v>2.5</v>
      </c>
      <c r="Y312">
        <v>23</v>
      </c>
      <c r="Z312">
        <v>17.399999999999999</v>
      </c>
      <c r="AA312">
        <f>VALUE(SUBSTITUTE(DACS19___Pfizer’s_Personalised_Medicine_in[[#This Row],[Dose]],"mg",""))</f>
        <v>150</v>
      </c>
      <c r="AB312">
        <f t="shared" si="28"/>
        <v>150</v>
      </c>
      <c r="AC312" t="s">
        <v>67</v>
      </c>
      <c r="AD312">
        <f t="shared" si="29"/>
        <v>2</v>
      </c>
      <c r="AE312">
        <f t="shared" si="30"/>
        <v>2</v>
      </c>
      <c r="AF312">
        <f t="shared" si="31"/>
        <v>2.94</v>
      </c>
      <c r="AG312" t="e">
        <f t="shared" si="32"/>
        <v>#N/A</v>
      </c>
      <c r="AH312" t="e">
        <f t="shared" si="33"/>
        <v>#N/A</v>
      </c>
      <c r="AI312" t="e">
        <f t="shared" si="34"/>
        <v>#N/A</v>
      </c>
    </row>
    <row r="313" spans="1:35" x14ac:dyDescent="0.45">
      <c r="A313" t="s">
        <v>1152</v>
      </c>
      <c r="B313">
        <v>44</v>
      </c>
      <c r="C313" t="s">
        <v>45</v>
      </c>
      <c r="D313" t="s">
        <v>87</v>
      </c>
      <c r="E313" t="s">
        <v>78</v>
      </c>
      <c r="F313" t="s">
        <v>2614</v>
      </c>
      <c r="G313" t="s">
        <v>152</v>
      </c>
      <c r="H313" t="s">
        <v>61</v>
      </c>
      <c r="I313" t="s">
        <v>72</v>
      </c>
      <c r="J313" t="s">
        <v>1153</v>
      </c>
      <c r="K313" t="s">
        <v>1154</v>
      </c>
      <c r="L313" t="s">
        <v>64</v>
      </c>
      <c r="M313" t="s">
        <v>378</v>
      </c>
      <c r="N313" t="s">
        <v>598</v>
      </c>
      <c r="O313" t="s">
        <v>64</v>
      </c>
      <c r="P313" t="s">
        <v>55</v>
      </c>
      <c r="Q313" t="s">
        <v>2614</v>
      </c>
      <c r="R313">
        <v>164</v>
      </c>
      <c r="S313">
        <v>0</v>
      </c>
      <c r="T313" t="s">
        <v>56</v>
      </c>
      <c r="U313" t="s">
        <v>57</v>
      </c>
      <c r="V313">
        <v>3.68</v>
      </c>
      <c r="W313">
        <v>2.85</v>
      </c>
      <c r="X313">
        <v>4.7</v>
      </c>
      <c r="Y313">
        <v>17.7</v>
      </c>
      <c r="Z313">
        <v>12.3</v>
      </c>
      <c r="AA313">
        <f>VALUE(SUBSTITUTE(DACS19___Pfizer’s_Personalised_Medicine_in[[#This Row],[Dose]],"mg",""))</f>
        <v>150</v>
      </c>
      <c r="AB313">
        <f t="shared" si="28"/>
        <v>150</v>
      </c>
      <c r="AC313" t="s">
        <v>2614</v>
      </c>
      <c r="AD313">
        <f t="shared" si="29"/>
        <v>0</v>
      </c>
      <c r="AE313">
        <f t="shared" si="30"/>
        <v>2</v>
      </c>
      <c r="AF313">
        <f t="shared" si="31"/>
        <v>2.85</v>
      </c>
      <c r="AG313" t="e">
        <f t="shared" si="32"/>
        <v>#N/A</v>
      </c>
      <c r="AH313" t="e">
        <f t="shared" si="33"/>
        <v>#N/A</v>
      </c>
      <c r="AI313" t="e">
        <f t="shared" si="34"/>
        <v>#N/A</v>
      </c>
    </row>
    <row r="314" spans="1:35" x14ac:dyDescent="0.45">
      <c r="A314" t="s">
        <v>1155</v>
      </c>
      <c r="B314">
        <v>78</v>
      </c>
      <c r="C314" t="s">
        <v>44</v>
      </c>
      <c r="D314" t="s">
        <v>45</v>
      </c>
      <c r="E314" t="s">
        <v>78</v>
      </c>
      <c r="F314" t="s">
        <v>2614</v>
      </c>
      <c r="G314" t="s">
        <v>80</v>
      </c>
      <c r="H314" t="s">
        <v>61</v>
      </c>
      <c r="I314" t="s">
        <v>72</v>
      </c>
      <c r="J314" t="s">
        <v>321</v>
      </c>
      <c r="K314" t="s">
        <v>1156</v>
      </c>
      <c r="L314" t="s">
        <v>36</v>
      </c>
      <c r="M314" t="s">
        <v>2614</v>
      </c>
      <c r="N314" t="s">
        <v>391</v>
      </c>
      <c r="O314" t="s">
        <v>36</v>
      </c>
      <c r="P314" t="s">
        <v>55</v>
      </c>
      <c r="Q314" t="s">
        <v>75</v>
      </c>
      <c r="R314">
        <v>70</v>
      </c>
      <c r="S314">
        <v>0</v>
      </c>
      <c r="T314" t="s">
        <v>137</v>
      </c>
      <c r="U314" t="s">
        <v>57</v>
      </c>
      <c r="V314">
        <v>1.25</v>
      </c>
      <c r="W314">
        <v>3.05</v>
      </c>
      <c r="X314">
        <v>8.3000000000000007</v>
      </c>
      <c r="Y314">
        <v>14.3</v>
      </c>
      <c r="Z314">
        <v>3.9</v>
      </c>
      <c r="AA314">
        <f>VALUE(SUBSTITUTE(DACS19___Pfizer’s_Personalised_Medicine_in[[#This Row],[Dose]],"mg",""))</f>
        <v>200</v>
      </c>
      <c r="AB314">
        <f t="shared" si="28"/>
        <v>200</v>
      </c>
      <c r="AC314" t="s">
        <v>75</v>
      </c>
      <c r="AD314">
        <f t="shared" si="29"/>
        <v>1</v>
      </c>
      <c r="AE314">
        <f t="shared" si="30"/>
        <v>2</v>
      </c>
      <c r="AF314">
        <f t="shared" si="31"/>
        <v>3.05</v>
      </c>
      <c r="AG314" t="e">
        <f t="shared" si="32"/>
        <v>#N/A</v>
      </c>
      <c r="AH314" t="e">
        <f t="shared" si="33"/>
        <v>#N/A</v>
      </c>
      <c r="AI314" t="e">
        <f t="shared" si="34"/>
        <v>#N/A</v>
      </c>
    </row>
    <row r="315" spans="1:35" x14ac:dyDescent="0.45">
      <c r="A315" t="s">
        <v>1157</v>
      </c>
      <c r="B315">
        <v>28</v>
      </c>
      <c r="C315" t="s">
        <v>27</v>
      </c>
      <c r="D315" t="s">
        <v>87</v>
      </c>
      <c r="E315" t="s">
        <v>2614</v>
      </c>
      <c r="F315" t="s">
        <v>59</v>
      </c>
      <c r="G315" t="s">
        <v>60</v>
      </c>
      <c r="H315" t="s">
        <v>61</v>
      </c>
      <c r="I315" t="s">
        <v>33</v>
      </c>
      <c r="J315" t="s">
        <v>1158</v>
      </c>
      <c r="K315" t="s">
        <v>1159</v>
      </c>
      <c r="L315" t="s">
        <v>36</v>
      </c>
      <c r="M315" t="s">
        <v>500</v>
      </c>
      <c r="N315" t="s">
        <v>1087</v>
      </c>
      <c r="O315" t="s">
        <v>36</v>
      </c>
      <c r="P315" t="s">
        <v>55</v>
      </c>
      <c r="Q315" t="s">
        <v>2614</v>
      </c>
      <c r="R315">
        <v>99</v>
      </c>
      <c r="S315">
        <v>0</v>
      </c>
      <c r="T315" t="s">
        <v>56</v>
      </c>
      <c r="U315" t="s">
        <v>42</v>
      </c>
      <c r="V315">
        <v>4.1500000000000004</v>
      </c>
      <c r="W315">
        <v>1.81</v>
      </c>
      <c r="X315">
        <v>3.3</v>
      </c>
      <c r="Y315">
        <v>9</v>
      </c>
      <c r="Z315">
        <v>8.6</v>
      </c>
      <c r="AA315">
        <f>VALUE(SUBSTITUTE(DACS19___Pfizer’s_Personalised_Medicine_in[[#This Row],[Dose]],"mg",""))</f>
        <v>200</v>
      </c>
      <c r="AB315">
        <f t="shared" si="28"/>
        <v>200</v>
      </c>
      <c r="AC315" t="s">
        <v>2614</v>
      </c>
      <c r="AD315">
        <f t="shared" si="29"/>
        <v>0</v>
      </c>
      <c r="AE315">
        <f t="shared" si="30"/>
        <v>2</v>
      </c>
      <c r="AF315">
        <f t="shared" si="31"/>
        <v>1.81</v>
      </c>
      <c r="AG315" t="e">
        <f t="shared" si="32"/>
        <v>#N/A</v>
      </c>
      <c r="AH315" t="e">
        <f t="shared" si="33"/>
        <v>#N/A</v>
      </c>
      <c r="AI315" t="e">
        <f t="shared" si="34"/>
        <v>#N/A</v>
      </c>
    </row>
    <row r="316" spans="1:35" x14ac:dyDescent="0.45">
      <c r="A316" t="s">
        <v>1160</v>
      </c>
      <c r="B316">
        <v>40</v>
      </c>
      <c r="C316" t="s">
        <v>44</v>
      </c>
      <c r="D316" t="s">
        <v>106</v>
      </c>
      <c r="E316" t="s">
        <v>2614</v>
      </c>
      <c r="F316" t="s">
        <v>2614</v>
      </c>
      <c r="G316" t="s">
        <v>194</v>
      </c>
      <c r="H316" t="s">
        <v>61</v>
      </c>
      <c r="I316" t="s">
        <v>132</v>
      </c>
      <c r="J316" t="s">
        <v>1161</v>
      </c>
      <c r="K316" t="s">
        <v>1162</v>
      </c>
      <c r="L316" t="s">
        <v>92</v>
      </c>
      <c r="M316" t="s">
        <v>37</v>
      </c>
      <c r="N316" t="s">
        <v>602</v>
      </c>
      <c r="O316" t="s">
        <v>92</v>
      </c>
      <c r="P316" t="s">
        <v>39</v>
      </c>
      <c r="Q316" t="s">
        <v>2614</v>
      </c>
      <c r="R316">
        <v>39</v>
      </c>
      <c r="S316">
        <v>1</v>
      </c>
      <c r="T316" t="s">
        <v>85</v>
      </c>
      <c r="U316" t="s">
        <v>42</v>
      </c>
      <c r="V316">
        <v>4.03</v>
      </c>
      <c r="W316">
        <v>3.08</v>
      </c>
      <c r="X316">
        <v>2.8</v>
      </c>
      <c r="Y316">
        <v>21.8</v>
      </c>
      <c r="Z316">
        <v>18</v>
      </c>
      <c r="AA316">
        <f>VALUE(SUBSTITUTE(DACS19___Pfizer’s_Personalised_Medicine_in[[#This Row],[Dose]],"mg",""))</f>
        <v>50</v>
      </c>
      <c r="AB316">
        <f t="shared" si="28"/>
        <v>50</v>
      </c>
      <c r="AC316" t="s">
        <v>2614</v>
      </c>
      <c r="AD316">
        <f t="shared" si="29"/>
        <v>0</v>
      </c>
      <c r="AE316">
        <f t="shared" si="30"/>
        <v>3</v>
      </c>
      <c r="AF316">
        <f t="shared" si="31"/>
        <v>3.08</v>
      </c>
      <c r="AG316" t="e">
        <f t="shared" si="32"/>
        <v>#N/A</v>
      </c>
      <c r="AH316" t="e">
        <f t="shared" si="33"/>
        <v>#N/A</v>
      </c>
      <c r="AI316" t="e">
        <f t="shared" si="34"/>
        <v>#N/A</v>
      </c>
    </row>
    <row r="317" spans="1:35" x14ac:dyDescent="0.45">
      <c r="A317" t="s">
        <v>1163</v>
      </c>
      <c r="B317">
        <v>60</v>
      </c>
      <c r="C317" t="s">
        <v>27</v>
      </c>
      <c r="D317" t="s">
        <v>28</v>
      </c>
      <c r="E317" t="s">
        <v>2614</v>
      </c>
      <c r="F317" t="s">
        <v>59</v>
      </c>
      <c r="G317" t="s">
        <v>89</v>
      </c>
      <c r="H317" t="s">
        <v>71</v>
      </c>
      <c r="I317" t="s">
        <v>132</v>
      </c>
      <c r="J317" t="s">
        <v>1164</v>
      </c>
      <c r="K317" t="s">
        <v>1165</v>
      </c>
      <c r="L317" t="s">
        <v>36</v>
      </c>
      <c r="M317" t="s">
        <v>536</v>
      </c>
      <c r="N317" t="s">
        <v>650</v>
      </c>
      <c r="O317" t="s">
        <v>36</v>
      </c>
      <c r="P317" t="s">
        <v>110</v>
      </c>
      <c r="Q317" t="s">
        <v>75</v>
      </c>
      <c r="R317">
        <v>68</v>
      </c>
      <c r="S317">
        <v>0</v>
      </c>
      <c r="T317" t="s">
        <v>56</v>
      </c>
      <c r="U317" t="s">
        <v>42</v>
      </c>
      <c r="V317">
        <v>4.4800000000000004</v>
      </c>
      <c r="W317">
        <v>1.96</v>
      </c>
      <c r="X317">
        <v>5.0999999999999996</v>
      </c>
      <c r="Y317">
        <v>23.7</v>
      </c>
      <c r="Z317">
        <v>16.100000000000001</v>
      </c>
      <c r="AA317">
        <f>VALUE(SUBSTITUTE(DACS19___Pfizer’s_Personalised_Medicine_in[[#This Row],[Dose]],"mg",""))</f>
        <v>200</v>
      </c>
      <c r="AB317">
        <f t="shared" si="28"/>
        <v>200</v>
      </c>
      <c r="AC317" t="s">
        <v>75</v>
      </c>
      <c r="AD317">
        <f t="shared" si="29"/>
        <v>1</v>
      </c>
      <c r="AE317">
        <f t="shared" si="30"/>
        <v>1</v>
      </c>
      <c r="AF317" t="e">
        <f t="shared" si="31"/>
        <v>#N/A</v>
      </c>
      <c r="AG317">
        <f t="shared" si="32"/>
        <v>1.96</v>
      </c>
      <c r="AH317" t="e">
        <f t="shared" si="33"/>
        <v>#N/A</v>
      </c>
      <c r="AI317" t="e">
        <f t="shared" si="34"/>
        <v>#N/A</v>
      </c>
    </row>
    <row r="318" spans="1:35" x14ac:dyDescent="0.45">
      <c r="A318" t="s">
        <v>1166</v>
      </c>
      <c r="B318">
        <v>47</v>
      </c>
      <c r="C318" t="s">
        <v>45</v>
      </c>
      <c r="D318" t="s">
        <v>106</v>
      </c>
      <c r="E318" t="s">
        <v>78</v>
      </c>
      <c r="F318" t="s">
        <v>69</v>
      </c>
      <c r="G318" t="s">
        <v>178</v>
      </c>
      <c r="H318" t="s">
        <v>81</v>
      </c>
      <c r="I318" t="s">
        <v>33</v>
      </c>
      <c r="J318" t="s">
        <v>1167</v>
      </c>
      <c r="K318" t="s">
        <v>1168</v>
      </c>
      <c r="L318" t="s">
        <v>36</v>
      </c>
      <c r="M318" t="s">
        <v>197</v>
      </c>
      <c r="N318" t="s">
        <v>1004</v>
      </c>
      <c r="O318" t="s">
        <v>36</v>
      </c>
      <c r="P318" t="s">
        <v>110</v>
      </c>
      <c r="Q318" t="s">
        <v>129</v>
      </c>
      <c r="R318">
        <v>125</v>
      </c>
      <c r="S318">
        <v>0</v>
      </c>
      <c r="T318" t="s">
        <v>41</v>
      </c>
      <c r="U318" t="s">
        <v>42</v>
      </c>
      <c r="V318">
        <v>1.1100000000000001</v>
      </c>
      <c r="W318">
        <v>1.26</v>
      </c>
      <c r="X318">
        <v>5.2</v>
      </c>
      <c r="Y318">
        <v>22.4</v>
      </c>
      <c r="Z318">
        <v>12.2</v>
      </c>
      <c r="AA318">
        <f>VALUE(SUBSTITUTE(DACS19___Pfizer’s_Personalised_Medicine_in[[#This Row],[Dose]],"mg",""))</f>
        <v>200</v>
      </c>
      <c r="AB318">
        <f t="shared" si="28"/>
        <v>200</v>
      </c>
      <c r="AC318" t="s">
        <v>129</v>
      </c>
      <c r="AD318">
        <f t="shared" si="29"/>
        <v>4</v>
      </c>
      <c r="AE318">
        <f t="shared" si="30"/>
        <v>1</v>
      </c>
      <c r="AF318" t="e">
        <f t="shared" si="31"/>
        <v>#N/A</v>
      </c>
      <c r="AG318" t="e">
        <f t="shared" si="32"/>
        <v>#N/A</v>
      </c>
      <c r="AH318" t="e">
        <f t="shared" si="33"/>
        <v>#N/A</v>
      </c>
      <c r="AI318">
        <f t="shared" si="34"/>
        <v>1.26</v>
      </c>
    </row>
    <row r="319" spans="1:35" x14ac:dyDescent="0.45">
      <c r="A319" t="s">
        <v>1169</v>
      </c>
      <c r="B319">
        <v>57</v>
      </c>
      <c r="C319" t="s">
        <v>45</v>
      </c>
      <c r="D319" t="s">
        <v>87</v>
      </c>
      <c r="E319" t="s">
        <v>78</v>
      </c>
      <c r="F319" t="s">
        <v>2614</v>
      </c>
      <c r="G319" t="s">
        <v>194</v>
      </c>
      <c r="H319" t="s">
        <v>32</v>
      </c>
      <c r="I319" t="s">
        <v>72</v>
      </c>
      <c r="J319" t="s">
        <v>1170</v>
      </c>
      <c r="K319" t="s">
        <v>1171</v>
      </c>
      <c r="L319" t="s">
        <v>36</v>
      </c>
      <c r="M319" t="s">
        <v>2621</v>
      </c>
      <c r="N319" t="s">
        <v>595</v>
      </c>
      <c r="O319" t="s">
        <v>36</v>
      </c>
      <c r="P319" t="s">
        <v>39</v>
      </c>
      <c r="Q319" t="s">
        <v>75</v>
      </c>
      <c r="R319">
        <v>38</v>
      </c>
      <c r="S319">
        <v>1</v>
      </c>
      <c r="T319" t="s">
        <v>41</v>
      </c>
      <c r="U319" t="s">
        <v>42</v>
      </c>
      <c r="V319">
        <v>2.99</v>
      </c>
      <c r="W319">
        <v>1.42</v>
      </c>
      <c r="X319">
        <v>6.9</v>
      </c>
      <c r="Y319">
        <v>20.8</v>
      </c>
      <c r="Z319">
        <v>9.5</v>
      </c>
      <c r="AA319">
        <f>VALUE(SUBSTITUTE(DACS19___Pfizer’s_Personalised_Medicine_in[[#This Row],[Dose]],"mg",""))</f>
        <v>200</v>
      </c>
      <c r="AB319">
        <f t="shared" si="28"/>
        <v>200</v>
      </c>
      <c r="AC319" t="s">
        <v>75</v>
      </c>
      <c r="AD319">
        <f t="shared" si="29"/>
        <v>1</v>
      </c>
      <c r="AE319">
        <f t="shared" si="30"/>
        <v>3</v>
      </c>
      <c r="AF319" t="e">
        <f t="shared" si="31"/>
        <v>#N/A</v>
      </c>
      <c r="AG319" t="e">
        <f t="shared" si="32"/>
        <v>#N/A</v>
      </c>
      <c r="AH319">
        <f t="shared" si="33"/>
        <v>1.42</v>
      </c>
      <c r="AI319" t="e">
        <f t="shared" si="34"/>
        <v>#N/A</v>
      </c>
    </row>
    <row r="320" spans="1:35" x14ac:dyDescent="0.45">
      <c r="A320" t="s">
        <v>1172</v>
      </c>
      <c r="B320">
        <v>60</v>
      </c>
      <c r="C320" t="s">
        <v>45</v>
      </c>
      <c r="D320" t="s">
        <v>45</v>
      </c>
      <c r="E320" t="s">
        <v>29</v>
      </c>
      <c r="F320" t="s">
        <v>2614</v>
      </c>
      <c r="G320" t="s">
        <v>131</v>
      </c>
      <c r="H320" t="s">
        <v>81</v>
      </c>
      <c r="I320" t="s">
        <v>72</v>
      </c>
      <c r="J320" t="s">
        <v>493</v>
      </c>
      <c r="K320" t="s">
        <v>1173</v>
      </c>
      <c r="L320" t="s">
        <v>52</v>
      </c>
      <c r="M320" t="s">
        <v>2629</v>
      </c>
      <c r="N320" t="s">
        <v>799</v>
      </c>
      <c r="O320" t="s">
        <v>52</v>
      </c>
      <c r="P320" t="s">
        <v>55</v>
      </c>
      <c r="Q320" t="s">
        <v>2614</v>
      </c>
      <c r="R320">
        <v>53</v>
      </c>
      <c r="S320">
        <v>0</v>
      </c>
      <c r="T320" t="s">
        <v>41</v>
      </c>
      <c r="U320" t="s">
        <v>42</v>
      </c>
      <c r="V320">
        <v>4.0999999999999996</v>
      </c>
      <c r="W320">
        <v>4.8600000000000003</v>
      </c>
      <c r="X320">
        <v>2.8</v>
      </c>
      <c r="Y320">
        <v>15.4</v>
      </c>
      <c r="Z320">
        <v>7.9</v>
      </c>
      <c r="AA320">
        <f>VALUE(SUBSTITUTE(DACS19___Pfizer’s_Personalised_Medicine_in[[#This Row],[Dose]],"mg",""))</f>
        <v>100</v>
      </c>
      <c r="AB320">
        <f t="shared" si="28"/>
        <v>100</v>
      </c>
      <c r="AC320" t="s">
        <v>2614</v>
      </c>
      <c r="AD320">
        <f t="shared" si="29"/>
        <v>0</v>
      </c>
      <c r="AE320">
        <f t="shared" si="30"/>
        <v>2</v>
      </c>
      <c r="AF320" t="e">
        <f t="shared" si="31"/>
        <v>#N/A</v>
      </c>
      <c r="AG320" t="e">
        <f t="shared" si="32"/>
        <v>#N/A</v>
      </c>
      <c r="AH320" t="e">
        <f t="shared" si="33"/>
        <v>#N/A</v>
      </c>
      <c r="AI320">
        <f t="shared" si="34"/>
        <v>4.8600000000000003</v>
      </c>
    </row>
    <row r="321" spans="1:35" x14ac:dyDescent="0.45">
      <c r="A321" t="s">
        <v>1174</v>
      </c>
      <c r="B321">
        <v>40</v>
      </c>
      <c r="C321" t="s">
        <v>27</v>
      </c>
      <c r="D321" t="s">
        <v>45</v>
      </c>
      <c r="E321" t="s">
        <v>78</v>
      </c>
      <c r="F321" t="s">
        <v>79</v>
      </c>
      <c r="G321" t="s">
        <v>125</v>
      </c>
      <c r="H321" t="s">
        <v>81</v>
      </c>
      <c r="I321" t="s">
        <v>132</v>
      </c>
      <c r="J321" t="s">
        <v>1165</v>
      </c>
      <c r="K321" t="s">
        <v>1175</v>
      </c>
      <c r="L321" t="s">
        <v>92</v>
      </c>
      <c r="M321" t="s">
        <v>2629</v>
      </c>
      <c r="N321" t="s">
        <v>682</v>
      </c>
      <c r="O321" t="s">
        <v>92</v>
      </c>
      <c r="P321" t="s">
        <v>39</v>
      </c>
      <c r="Q321" t="s">
        <v>67</v>
      </c>
      <c r="R321">
        <v>113</v>
      </c>
      <c r="S321">
        <v>1</v>
      </c>
      <c r="T321" t="s">
        <v>56</v>
      </c>
      <c r="U321" t="s">
        <v>57</v>
      </c>
      <c r="V321">
        <v>4.17</v>
      </c>
      <c r="W321">
        <v>3.31</v>
      </c>
      <c r="X321">
        <v>6.7</v>
      </c>
      <c r="Y321">
        <v>20.399999999999999</v>
      </c>
      <c r="Z321">
        <v>9.6999999999999993</v>
      </c>
      <c r="AA321">
        <f>VALUE(SUBSTITUTE(DACS19___Pfizer’s_Personalised_Medicine_in[[#This Row],[Dose]],"mg",""))</f>
        <v>50</v>
      </c>
      <c r="AB321">
        <f t="shared" si="28"/>
        <v>50</v>
      </c>
      <c r="AC321" t="s">
        <v>67</v>
      </c>
      <c r="AD321">
        <f t="shared" si="29"/>
        <v>2</v>
      </c>
      <c r="AE321">
        <f t="shared" si="30"/>
        <v>3</v>
      </c>
      <c r="AF321" t="e">
        <f t="shared" si="31"/>
        <v>#N/A</v>
      </c>
      <c r="AG321" t="e">
        <f t="shared" si="32"/>
        <v>#N/A</v>
      </c>
      <c r="AH321" t="e">
        <f t="shared" si="33"/>
        <v>#N/A</v>
      </c>
      <c r="AI321">
        <f t="shared" si="34"/>
        <v>3.31</v>
      </c>
    </row>
    <row r="322" spans="1:35" x14ac:dyDescent="0.45">
      <c r="A322" t="s">
        <v>1176</v>
      </c>
      <c r="B322">
        <v>38</v>
      </c>
      <c r="C322" t="s">
        <v>27</v>
      </c>
      <c r="D322" t="s">
        <v>106</v>
      </c>
      <c r="E322" t="s">
        <v>29</v>
      </c>
      <c r="F322" t="s">
        <v>88</v>
      </c>
      <c r="G322" t="s">
        <v>131</v>
      </c>
      <c r="H322" t="s">
        <v>71</v>
      </c>
      <c r="I322" t="s">
        <v>72</v>
      </c>
      <c r="J322" t="s">
        <v>1177</v>
      </c>
      <c r="K322" t="s">
        <v>1178</v>
      </c>
      <c r="L322" t="s">
        <v>36</v>
      </c>
      <c r="M322" t="s">
        <v>75</v>
      </c>
      <c r="N322" t="s">
        <v>612</v>
      </c>
      <c r="O322" t="s">
        <v>36</v>
      </c>
      <c r="P322" t="s">
        <v>55</v>
      </c>
      <c r="Q322" t="s">
        <v>75</v>
      </c>
      <c r="R322">
        <v>81</v>
      </c>
      <c r="S322">
        <v>0</v>
      </c>
      <c r="T322" t="s">
        <v>85</v>
      </c>
      <c r="U322" t="s">
        <v>57</v>
      </c>
      <c r="V322">
        <v>4.66</v>
      </c>
      <c r="W322">
        <v>3.13</v>
      </c>
      <c r="X322">
        <v>2.4</v>
      </c>
      <c r="Y322">
        <v>18.5</v>
      </c>
      <c r="Z322">
        <v>16.5</v>
      </c>
      <c r="AA322">
        <f>VALUE(SUBSTITUTE(DACS19___Pfizer’s_Personalised_Medicine_in[[#This Row],[Dose]],"mg",""))</f>
        <v>200</v>
      </c>
      <c r="AB322">
        <f t="shared" ref="AB322:AB385" si="35">VALUE(SUBSTITUTE(O322,"mg",""))</f>
        <v>200</v>
      </c>
      <c r="AC322" t="s">
        <v>75</v>
      </c>
      <c r="AD322">
        <f t="shared" ref="AD322:AD385" si="36">IF(Q322="","",IF(Q322="Dizziness",1,IF(Q322="Fatigue",2,IF(Q322="Headache",3,IF(Q322="Nausea",4,IF(Q322="Not Reported",0,""))))))</f>
        <v>1</v>
      </c>
      <c r="AE322">
        <f t="shared" ref="AE322:AE385" si="37">IF(P322="Deteriorated",1,IF(P322="No Change",2,IF(P322="Improved",3,0)))</f>
        <v>2</v>
      </c>
      <c r="AF322" t="e">
        <f t="shared" ref="AF322:AF385" si="38">IF($H322="DrugA",$W322,NA())</f>
        <v>#N/A</v>
      </c>
      <c r="AG322">
        <f t="shared" ref="AG322:AG385" si="39">IF($H322="DrugB",$W322,NA())</f>
        <v>3.13</v>
      </c>
      <c r="AH322" t="e">
        <f t="shared" ref="AH322:AH385" si="40">IF($H322="DrugC",$W322,NA())</f>
        <v>#N/A</v>
      </c>
      <c r="AI322" t="e">
        <f t="shared" ref="AI322:AI385" si="41">IF($H322="DrugD",$W322,NA())</f>
        <v>#N/A</v>
      </c>
    </row>
    <row r="323" spans="1:35" x14ac:dyDescent="0.45">
      <c r="A323" t="s">
        <v>1179</v>
      </c>
      <c r="B323">
        <v>53</v>
      </c>
      <c r="C323" t="s">
        <v>27</v>
      </c>
      <c r="D323" t="s">
        <v>87</v>
      </c>
      <c r="E323" t="s">
        <v>46</v>
      </c>
      <c r="F323" t="s">
        <v>47</v>
      </c>
      <c r="G323" t="s">
        <v>152</v>
      </c>
      <c r="H323" t="s">
        <v>71</v>
      </c>
      <c r="I323" t="s">
        <v>132</v>
      </c>
      <c r="J323" t="s">
        <v>1180</v>
      </c>
      <c r="K323" t="s">
        <v>1181</v>
      </c>
      <c r="L323" t="s">
        <v>92</v>
      </c>
      <c r="M323" t="s">
        <v>2622</v>
      </c>
      <c r="N323" t="s">
        <v>991</v>
      </c>
      <c r="O323" t="s">
        <v>92</v>
      </c>
      <c r="P323" t="s">
        <v>55</v>
      </c>
      <c r="Q323" t="s">
        <v>2614</v>
      </c>
      <c r="R323">
        <v>130</v>
      </c>
      <c r="S323">
        <v>0</v>
      </c>
      <c r="T323" t="s">
        <v>85</v>
      </c>
      <c r="U323" t="s">
        <v>42</v>
      </c>
      <c r="V323">
        <v>2.27</v>
      </c>
      <c r="W323">
        <v>4.43</v>
      </c>
      <c r="X323">
        <v>9.1999999999999993</v>
      </c>
      <c r="Y323">
        <v>11</v>
      </c>
      <c r="Z323">
        <v>19.7</v>
      </c>
      <c r="AA323">
        <f>VALUE(SUBSTITUTE(DACS19___Pfizer’s_Personalised_Medicine_in[[#This Row],[Dose]],"mg",""))</f>
        <v>50</v>
      </c>
      <c r="AB323">
        <f t="shared" si="35"/>
        <v>50</v>
      </c>
      <c r="AC323" t="s">
        <v>2614</v>
      </c>
      <c r="AD323">
        <f t="shared" si="36"/>
        <v>0</v>
      </c>
      <c r="AE323">
        <f t="shared" si="37"/>
        <v>2</v>
      </c>
      <c r="AF323" t="e">
        <f t="shared" si="38"/>
        <v>#N/A</v>
      </c>
      <c r="AG323">
        <f t="shared" si="39"/>
        <v>4.43</v>
      </c>
      <c r="AH323" t="e">
        <f t="shared" si="40"/>
        <v>#N/A</v>
      </c>
      <c r="AI323" t="e">
        <f t="shared" si="41"/>
        <v>#N/A</v>
      </c>
    </row>
    <row r="324" spans="1:35" x14ac:dyDescent="0.45">
      <c r="A324" t="s">
        <v>1182</v>
      </c>
      <c r="B324">
        <v>71</v>
      </c>
      <c r="C324" t="s">
        <v>27</v>
      </c>
      <c r="D324" t="s">
        <v>106</v>
      </c>
      <c r="E324" t="s">
        <v>29</v>
      </c>
      <c r="F324" t="s">
        <v>2614</v>
      </c>
      <c r="G324" t="s">
        <v>440</v>
      </c>
      <c r="H324" t="s">
        <v>81</v>
      </c>
      <c r="I324" t="s">
        <v>72</v>
      </c>
      <c r="J324" t="s">
        <v>681</v>
      </c>
      <c r="K324" t="s">
        <v>1183</v>
      </c>
      <c r="L324" t="s">
        <v>92</v>
      </c>
      <c r="M324" t="s">
        <v>67</v>
      </c>
      <c r="N324" t="s">
        <v>398</v>
      </c>
      <c r="O324" t="s">
        <v>92</v>
      </c>
      <c r="P324" t="s">
        <v>110</v>
      </c>
      <c r="Q324" t="s">
        <v>75</v>
      </c>
      <c r="R324">
        <v>104</v>
      </c>
      <c r="S324">
        <v>0</v>
      </c>
      <c r="T324" t="s">
        <v>123</v>
      </c>
      <c r="U324" t="s">
        <v>42</v>
      </c>
      <c r="V324">
        <v>1.56</v>
      </c>
      <c r="W324">
        <v>1.81</v>
      </c>
      <c r="X324">
        <v>2.7</v>
      </c>
      <c r="Y324">
        <v>22.1</v>
      </c>
      <c r="Z324">
        <v>14.1</v>
      </c>
      <c r="AA324">
        <f>VALUE(SUBSTITUTE(DACS19___Pfizer’s_Personalised_Medicine_in[[#This Row],[Dose]],"mg",""))</f>
        <v>50</v>
      </c>
      <c r="AB324">
        <f t="shared" si="35"/>
        <v>50</v>
      </c>
      <c r="AC324" t="s">
        <v>75</v>
      </c>
      <c r="AD324">
        <f t="shared" si="36"/>
        <v>1</v>
      </c>
      <c r="AE324">
        <f t="shared" si="37"/>
        <v>1</v>
      </c>
      <c r="AF324" t="e">
        <f t="shared" si="38"/>
        <v>#N/A</v>
      </c>
      <c r="AG324" t="e">
        <f t="shared" si="39"/>
        <v>#N/A</v>
      </c>
      <c r="AH324" t="e">
        <f t="shared" si="40"/>
        <v>#N/A</v>
      </c>
      <c r="AI324">
        <f t="shared" si="41"/>
        <v>1.81</v>
      </c>
    </row>
    <row r="325" spans="1:35" x14ac:dyDescent="0.45">
      <c r="A325" t="s">
        <v>1184</v>
      </c>
      <c r="B325">
        <v>81</v>
      </c>
      <c r="C325" t="s">
        <v>44</v>
      </c>
      <c r="D325" t="s">
        <v>45</v>
      </c>
      <c r="E325" t="s">
        <v>163</v>
      </c>
      <c r="F325" t="s">
        <v>2614</v>
      </c>
      <c r="G325" t="s">
        <v>125</v>
      </c>
      <c r="H325" t="s">
        <v>61</v>
      </c>
      <c r="I325" t="s">
        <v>132</v>
      </c>
      <c r="J325" t="s">
        <v>1185</v>
      </c>
      <c r="K325" t="s">
        <v>1186</v>
      </c>
      <c r="L325" t="s">
        <v>52</v>
      </c>
      <c r="M325" t="s">
        <v>304</v>
      </c>
      <c r="N325" t="s">
        <v>622</v>
      </c>
      <c r="O325" t="s">
        <v>52</v>
      </c>
      <c r="P325" t="s">
        <v>110</v>
      </c>
      <c r="Q325" t="s">
        <v>40</v>
      </c>
      <c r="R325">
        <v>127</v>
      </c>
      <c r="S325">
        <v>0</v>
      </c>
      <c r="T325" t="s">
        <v>137</v>
      </c>
      <c r="U325" t="s">
        <v>57</v>
      </c>
      <c r="V325">
        <v>1.61</v>
      </c>
      <c r="W325">
        <v>2.76</v>
      </c>
      <c r="X325">
        <v>6.5</v>
      </c>
      <c r="Y325">
        <v>7.5</v>
      </c>
      <c r="Z325">
        <v>18</v>
      </c>
      <c r="AA325">
        <f>VALUE(SUBSTITUTE(DACS19___Pfizer’s_Personalised_Medicine_in[[#This Row],[Dose]],"mg",""))</f>
        <v>100</v>
      </c>
      <c r="AB325">
        <f t="shared" si="35"/>
        <v>100</v>
      </c>
      <c r="AC325" t="s">
        <v>40</v>
      </c>
      <c r="AD325">
        <f t="shared" si="36"/>
        <v>3</v>
      </c>
      <c r="AE325">
        <f t="shared" si="37"/>
        <v>1</v>
      </c>
      <c r="AF325">
        <f t="shared" si="38"/>
        <v>2.76</v>
      </c>
      <c r="AG325" t="e">
        <f t="shared" si="39"/>
        <v>#N/A</v>
      </c>
      <c r="AH325" t="e">
        <f t="shared" si="40"/>
        <v>#N/A</v>
      </c>
      <c r="AI325" t="e">
        <f t="shared" si="41"/>
        <v>#N/A</v>
      </c>
    </row>
    <row r="326" spans="1:35" x14ac:dyDescent="0.45">
      <c r="A326" t="s">
        <v>1187</v>
      </c>
      <c r="B326">
        <v>42</v>
      </c>
      <c r="C326" t="s">
        <v>44</v>
      </c>
      <c r="D326" t="s">
        <v>87</v>
      </c>
      <c r="E326" t="s">
        <v>163</v>
      </c>
      <c r="F326" t="s">
        <v>79</v>
      </c>
      <c r="G326" t="s">
        <v>31</v>
      </c>
      <c r="H326" t="s">
        <v>81</v>
      </c>
      <c r="I326" t="s">
        <v>33</v>
      </c>
      <c r="J326" t="s">
        <v>1188</v>
      </c>
      <c r="K326" t="s">
        <v>1189</v>
      </c>
      <c r="L326" t="s">
        <v>52</v>
      </c>
      <c r="M326" t="s">
        <v>197</v>
      </c>
      <c r="N326" t="s">
        <v>1190</v>
      </c>
      <c r="O326" t="s">
        <v>52</v>
      </c>
      <c r="P326" t="s">
        <v>39</v>
      </c>
      <c r="Q326" t="s">
        <v>67</v>
      </c>
      <c r="R326">
        <v>34</v>
      </c>
      <c r="S326">
        <v>1</v>
      </c>
      <c r="T326" t="s">
        <v>85</v>
      </c>
      <c r="U326" t="s">
        <v>42</v>
      </c>
      <c r="V326">
        <v>4.21</v>
      </c>
      <c r="W326">
        <v>3.02</v>
      </c>
      <c r="X326">
        <v>9.6999999999999993</v>
      </c>
      <c r="Y326">
        <v>13.5</v>
      </c>
      <c r="Z326">
        <v>19.7</v>
      </c>
      <c r="AA326">
        <f>VALUE(SUBSTITUTE(DACS19___Pfizer’s_Personalised_Medicine_in[[#This Row],[Dose]],"mg",""))</f>
        <v>100</v>
      </c>
      <c r="AB326">
        <f t="shared" si="35"/>
        <v>100</v>
      </c>
      <c r="AC326" t="s">
        <v>67</v>
      </c>
      <c r="AD326">
        <f t="shared" si="36"/>
        <v>2</v>
      </c>
      <c r="AE326">
        <f t="shared" si="37"/>
        <v>3</v>
      </c>
      <c r="AF326" t="e">
        <f t="shared" si="38"/>
        <v>#N/A</v>
      </c>
      <c r="AG326" t="e">
        <f t="shared" si="39"/>
        <v>#N/A</v>
      </c>
      <c r="AH326" t="e">
        <f t="shared" si="40"/>
        <v>#N/A</v>
      </c>
      <c r="AI326">
        <f t="shared" si="41"/>
        <v>3.02</v>
      </c>
    </row>
    <row r="327" spans="1:35" x14ac:dyDescent="0.45">
      <c r="A327" t="s">
        <v>1191</v>
      </c>
      <c r="B327">
        <v>40</v>
      </c>
      <c r="C327" t="s">
        <v>44</v>
      </c>
      <c r="D327" t="s">
        <v>87</v>
      </c>
      <c r="E327" t="s">
        <v>29</v>
      </c>
      <c r="F327" t="s">
        <v>2614</v>
      </c>
      <c r="G327" t="s">
        <v>112</v>
      </c>
      <c r="H327" t="s">
        <v>61</v>
      </c>
      <c r="I327" t="s">
        <v>49</v>
      </c>
      <c r="J327" t="s">
        <v>1192</v>
      </c>
      <c r="K327" t="s">
        <v>1193</v>
      </c>
      <c r="L327" t="s">
        <v>52</v>
      </c>
      <c r="M327" t="s">
        <v>129</v>
      </c>
      <c r="N327" t="s">
        <v>950</v>
      </c>
      <c r="O327" t="s">
        <v>52</v>
      </c>
      <c r="P327" t="s">
        <v>110</v>
      </c>
      <c r="Q327" t="s">
        <v>67</v>
      </c>
      <c r="R327">
        <v>143</v>
      </c>
      <c r="S327">
        <v>0</v>
      </c>
      <c r="T327" t="s">
        <v>123</v>
      </c>
      <c r="U327" t="s">
        <v>42</v>
      </c>
      <c r="V327">
        <v>3.67</v>
      </c>
      <c r="W327">
        <v>3.54</v>
      </c>
      <c r="X327">
        <v>2.5</v>
      </c>
      <c r="Y327">
        <v>21.9</v>
      </c>
      <c r="Z327">
        <v>10.3</v>
      </c>
      <c r="AA327">
        <f>VALUE(SUBSTITUTE(DACS19___Pfizer’s_Personalised_Medicine_in[[#This Row],[Dose]],"mg",""))</f>
        <v>100</v>
      </c>
      <c r="AB327">
        <f t="shared" si="35"/>
        <v>100</v>
      </c>
      <c r="AC327" t="s">
        <v>67</v>
      </c>
      <c r="AD327">
        <f t="shared" si="36"/>
        <v>2</v>
      </c>
      <c r="AE327">
        <f t="shared" si="37"/>
        <v>1</v>
      </c>
      <c r="AF327">
        <f t="shared" si="38"/>
        <v>3.54</v>
      </c>
      <c r="AG327" t="e">
        <f t="shared" si="39"/>
        <v>#N/A</v>
      </c>
      <c r="AH327" t="e">
        <f t="shared" si="40"/>
        <v>#N/A</v>
      </c>
      <c r="AI327" t="e">
        <f t="shared" si="41"/>
        <v>#N/A</v>
      </c>
    </row>
    <row r="328" spans="1:35" x14ac:dyDescent="0.45">
      <c r="A328" t="s">
        <v>1194</v>
      </c>
      <c r="B328">
        <v>67</v>
      </c>
      <c r="C328" t="s">
        <v>45</v>
      </c>
      <c r="D328" t="s">
        <v>28</v>
      </c>
      <c r="E328" t="s">
        <v>78</v>
      </c>
      <c r="F328" t="s">
        <v>88</v>
      </c>
      <c r="G328" t="s">
        <v>118</v>
      </c>
      <c r="H328" t="s">
        <v>81</v>
      </c>
      <c r="I328" t="s">
        <v>72</v>
      </c>
      <c r="J328" t="s">
        <v>425</v>
      </c>
      <c r="K328" t="s">
        <v>1195</v>
      </c>
      <c r="L328" t="s">
        <v>92</v>
      </c>
      <c r="M328" t="s">
        <v>40</v>
      </c>
      <c r="N328" t="s">
        <v>769</v>
      </c>
      <c r="O328" t="s">
        <v>92</v>
      </c>
      <c r="P328" t="s">
        <v>39</v>
      </c>
      <c r="Q328" t="s">
        <v>2614</v>
      </c>
      <c r="R328">
        <v>79</v>
      </c>
      <c r="S328">
        <v>1</v>
      </c>
      <c r="T328" t="s">
        <v>123</v>
      </c>
      <c r="U328" t="s">
        <v>42</v>
      </c>
      <c r="V328">
        <v>1.65</v>
      </c>
      <c r="W328">
        <v>1.05</v>
      </c>
      <c r="X328">
        <v>6</v>
      </c>
      <c r="Y328">
        <v>15.5</v>
      </c>
      <c r="Z328">
        <v>15.2</v>
      </c>
      <c r="AA328">
        <f>VALUE(SUBSTITUTE(DACS19___Pfizer’s_Personalised_Medicine_in[[#This Row],[Dose]],"mg",""))</f>
        <v>50</v>
      </c>
      <c r="AB328">
        <f t="shared" si="35"/>
        <v>50</v>
      </c>
      <c r="AC328" t="s">
        <v>2614</v>
      </c>
      <c r="AD328">
        <f t="shared" si="36"/>
        <v>0</v>
      </c>
      <c r="AE328">
        <f t="shared" si="37"/>
        <v>3</v>
      </c>
      <c r="AF328" t="e">
        <f t="shared" si="38"/>
        <v>#N/A</v>
      </c>
      <c r="AG328" t="e">
        <f t="shared" si="39"/>
        <v>#N/A</v>
      </c>
      <c r="AH328" t="e">
        <f t="shared" si="40"/>
        <v>#N/A</v>
      </c>
      <c r="AI328">
        <f t="shared" si="41"/>
        <v>1.05</v>
      </c>
    </row>
    <row r="329" spans="1:35" x14ac:dyDescent="0.45">
      <c r="A329" t="s">
        <v>1196</v>
      </c>
      <c r="B329">
        <v>30</v>
      </c>
      <c r="C329" t="s">
        <v>45</v>
      </c>
      <c r="D329" t="s">
        <v>106</v>
      </c>
      <c r="E329" t="s">
        <v>46</v>
      </c>
      <c r="F329" t="s">
        <v>69</v>
      </c>
      <c r="G329" t="s">
        <v>102</v>
      </c>
      <c r="H329" t="s">
        <v>32</v>
      </c>
      <c r="I329" t="s">
        <v>132</v>
      </c>
      <c r="J329" t="s">
        <v>434</v>
      </c>
      <c r="K329" t="s">
        <v>1197</v>
      </c>
      <c r="L329" t="s">
        <v>52</v>
      </c>
      <c r="M329" t="s">
        <v>216</v>
      </c>
      <c r="N329" t="s">
        <v>661</v>
      </c>
      <c r="O329" t="s">
        <v>52</v>
      </c>
      <c r="P329" t="s">
        <v>39</v>
      </c>
      <c r="Q329" t="s">
        <v>129</v>
      </c>
      <c r="R329">
        <v>121</v>
      </c>
      <c r="S329">
        <v>1</v>
      </c>
      <c r="T329" t="s">
        <v>137</v>
      </c>
      <c r="U329" t="s">
        <v>42</v>
      </c>
      <c r="V329">
        <v>4.5599999999999996</v>
      </c>
      <c r="W329">
        <v>1.32</v>
      </c>
      <c r="X329">
        <v>7.6</v>
      </c>
      <c r="Y329">
        <v>9.4</v>
      </c>
      <c r="Z329">
        <v>17.600000000000001</v>
      </c>
      <c r="AA329">
        <f>VALUE(SUBSTITUTE(DACS19___Pfizer’s_Personalised_Medicine_in[[#This Row],[Dose]],"mg",""))</f>
        <v>100</v>
      </c>
      <c r="AB329">
        <f t="shared" si="35"/>
        <v>100</v>
      </c>
      <c r="AC329" t="s">
        <v>129</v>
      </c>
      <c r="AD329">
        <f t="shared" si="36"/>
        <v>4</v>
      </c>
      <c r="AE329">
        <f t="shared" si="37"/>
        <v>3</v>
      </c>
      <c r="AF329" t="e">
        <f t="shared" si="38"/>
        <v>#N/A</v>
      </c>
      <c r="AG329" t="e">
        <f t="shared" si="39"/>
        <v>#N/A</v>
      </c>
      <c r="AH329">
        <f t="shared" si="40"/>
        <v>1.32</v>
      </c>
      <c r="AI329" t="e">
        <f t="shared" si="41"/>
        <v>#N/A</v>
      </c>
    </row>
    <row r="330" spans="1:35" x14ac:dyDescent="0.45">
      <c r="A330" t="s">
        <v>1198</v>
      </c>
      <c r="B330">
        <v>19</v>
      </c>
      <c r="C330" t="s">
        <v>44</v>
      </c>
      <c r="D330" t="s">
        <v>28</v>
      </c>
      <c r="E330" t="s">
        <v>163</v>
      </c>
      <c r="F330" t="s">
        <v>47</v>
      </c>
      <c r="G330" t="s">
        <v>60</v>
      </c>
      <c r="H330" t="s">
        <v>61</v>
      </c>
      <c r="I330" t="s">
        <v>132</v>
      </c>
      <c r="J330" t="s">
        <v>740</v>
      </c>
      <c r="K330" t="s">
        <v>741</v>
      </c>
      <c r="L330" t="s">
        <v>52</v>
      </c>
      <c r="M330" t="s">
        <v>2628</v>
      </c>
      <c r="N330" t="s">
        <v>1199</v>
      </c>
      <c r="O330" t="s">
        <v>52</v>
      </c>
      <c r="P330" t="s">
        <v>110</v>
      </c>
      <c r="Q330" t="s">
        <v>75</v>
      </c>
      <c r="R330">
        <v>175</v>
      </c>
      <c r="S330">
        <v>0</v>
      </c>
      <c r="T330" t="s">
        <v>41</v>
      </c>
      <c r="U330" t="s">
        <v>57</v>
      </c>
      <c r="V330">
        <v>4.28</v>
      </c>
      <c r="W330">
        <v>3.16</v>
      </c>
      <c r="X330">
        <v>7.4</v>
      </c>
      <c r="Y330">
        <v>11.7</v>
      </c>
      <c r="Z330">
        <v>11</v>
      </c>
      <c r="AA330">
        <f>VALUE(SUBSTITUTE(DACS19___Pfizer’s_Personalised_Medicine_in[[#This Row],[Dose]],"mg",""))</f>
        <v>100</v>
      </c>
      <c r="AB330">
        <f t="shared" si="35"/>
        <v>100</v>
      </c>
      <c r="AC330" t="s">
        <v>75</v>
      </c>
      <c r="AD330">
        <f t="shared" si="36"/>
        <v>1</v>
      </c>
      <c r="AE330">
        <f t="shared" si="37"/>
        <v>1</v>
      </c>
      <c r="AF330">
        <f t="shared" si="38"/>
        <v>3.16</v>
      </c>
      <c r="AG330" t="e">
        <f t="shared" si="39"/>
        <v>#N/A</v>
      </c>
      <c r="AH330" t="e">
        <f t="shared" si="40"/>
        <v>#N/A</v>
      </c>
      <c r="AI330" t="e">
        <f t="shared" si="41"/>
        <v>#N/A</v>
      </c>
    </row>
    <row r="331" spans="1:35" x14ac:dyDescent="0.45">
      <c r="A331" t="s">
        <v>1200</v>
      </c>
      <c r="B331">
        <v>30</v>
      </c>
      <c r="C331" t="s">
        <v>45</v>
      </c>
      <c r="D331" t="s">
        <v>28</v>
      </c>
      <c r="E331" t="s">
        <v>78</v>
      </c>
      <c r="F331" t="s">
        <v>2614</v>
      </c>
      <c r="G331" t="s">
        <v>96</v>
      </c>
      <c r="H331" t="s">
        <v>32</v>
      </c>
      <c r="I331" t="s">
        <v>72</v>
      </c>
      <c r="J331" t="s">
        <v>984</v>
      </c>
      <c r="K331" t="s">
        <v>1201</v>
      </c>
      <c r="L331" t="s">
        <v>64</v>
      </c>
      <c r="M331" t="s">
        <v>75</v>
      </c>
      <c r="N331" t="s">
        <v>416</v>
      </c>
      <c r="O331" t="s">
        <v>64</v>
      </c>
      <c r="P331" t="s">
        <v>55</v>
      </c>
      <c r="Q331" t="s">
        <v>40</v>
      </c>
      <c r="R331">
        <v>160</v>
      </c>
      <c r="S331">
        <v>0</v>
      </c>
      <c r="T331" t="s">
        <v>41</v>
      </c>
      <c r="U331" t="s">
        <v>42</v>
      </c>
      <c r="V331">
        <v>4.29</v>
      </c>
      <c r="W331">
        <v>2.84</v>
      </c>
      <c r="X331">
        <v>4.2</v>
      </c>
      <c r="Y331">
        <v>14.9</v>
      </c>
      <c r="Z331">
        <v>17.100000000000001</v>
      </c>
      <c r="AA331">
        <f>VALUE(SUBSTITUTE(DACS19___Pfizer’s_Personalised_Medicine_in[[#This Row],[Dose]],"mg",""))</f>
        <v>150</v>
      </c>
      <c r="AB331">
        <f t="shared" si="35"/>
        <v>150</v>
      </c>
      <c r="AC331" t="s">
        <v>40</v>
      </c>
      <c r="AD331">
        <f t="shared" si="36"/>
        <v>3</v>
      </c>
      <c r="AE331">
        <f t="shared" si="37"/>
        <v>2</v>
      </c>
      <c r="AF331" t="e">
        <f t="shared" si="38"/>
        <v>#N/A</v>
      </c>
      <c r="AG331" t="e">
        <f t="shared" si="39"/>
        <v>#N/A</v>
      </c>
      <c r="AH331">
        <f t="shared" si="40"/>
        <v>2.84</v>
      </c>
      <c r="AI331" t="e">
        <f t="shared" si="41"/>
        <v>#N/A</v>
      </c>
    </row>
    <row r="332" spans="1:35" x14ac:dyDescent="0.45">
      <c r="A332" t="s">
        <v>1202</v>
      </c>
      <c r="B332">
        <v>47</v>
      </c>
      <c r="C332" t="s">
        <v>27</v>
      </c>
      <c r="D332" t="s">
        <v>45</v>
      </c>
      <c r="E332" t="s">
        <v>163</v>
      </c>
      <c r="F332" t="s">
        <v>47</v>
      </c>
      <c r="G332" t="s">
        <v>60</v>
      </c>
      <c r="H332" t="s">
        <v>61</v>
      </c>
      <c r="I332" t="s">
        <v>49</v>
      </c>
      <c r="J332" t="s">
        <v>441</v>
      </c>
      <c r="K332" t="s">
        <v>1203</v>
      </c>
      <c r="L332" t="s">
        <v>52</v>
      </c>
      <c r="M332" t="s">
        <v>40</v>
      </c>
      <c r="N332" t="s">
        <v>1204</v>
      </c>
      <c r="O332" t="s">
        <v>52</v>
      </c>
      <c r="P332" t="s">
        <v>110</v>
      </c>
      <c r="Q332" t="s">
        <v>129</v>
      </c>
      <c r="R332">
        <v>90</v>
      </c>
      <c r="S332">
        <v>0</v>
      </c>
      <c r="T332" t="s">
        <v>85</v>
      </c>
      <c r="U332" t="s">
        <v>57</v>
      </c>
      <c r="V332">
        <v>2.34</v>
      </c>
      <c r="W332">
        <v>1.7</v>
      </c>
      <c r="X332">
        <v>7.4</v>
      </c>
      <c r="Y332">
        <v>20.9</v>
      </c>
      <c r="Z332">
        <v>4.7</v>
      </c>
      <c r="AA332">
        <f>VALUE(SUBSTITUTE(DACS19___Pfizer’s_Personalised_Medicine_in[[#This Row],[Dose]],"mg",""))</f>
        <v>100</v>
      </c>
      <c r="AB332">
        <f t="shared" si="35"/>
        <v>100</v>
      </c>
      <c r="AC332" t="s">
        <v>129</v>
      </c>
      <c r="AD332">
        <f t="shared" si="36"/>
        <v>4</v>
      </c>
      <c r="AE332">
        <f t="shared" si="37"/>
        <v>1</v>
      </c>
      <c r="AF332">
        <f t="shared" si="38"/>
        <v>1.7</v>
      </c>
      <c r="AG332" t="e">
        <f t="shared" si="39"/>
        <v>#N/A</v>
      </c>
      <c r="AH332" t="e">
        <f t="shared" si="40"/>
        <v>#N/A</v>
      </c>
      <c r="AI332" t="e">
        <f t="shared" si="41"/>
        <v>#N/A</v>
      </c>
    </row>
    <row r="333" spans="1:35" x14ac:dyDescent="0.45">
      <c r="A333" t="s">
        <v>1205</v>
      </c>
      <c r="B333">
        <v>60</v>
      </c>
      <c r="C333" t="s">
        <v>27</v>
      </c>
      <c r="D333" t="s">
        <v>28</v>
      </c>
      <c r="E333" t="s">
        <v>2614</v>
      </c>
      <c r="F333" t="s">
        <v>2614</v>
      </c>
      <c r="G333" t="s">
        <v>118</v>
      </c>
      <c r="H333" t="s">
        <v>81</v>
      </c>
      <c r="I333" t="s">
        <v>132</v>
      </c>
      <c r="J333" t="s">
        <v>1206</v>
      </c>
      <c r="K333" t="s">
        <v>1207</v>
      </c>
      <c r="L333" t="s">
        <v>64</v>
      </c>
      <c r="M333" t="s">
        <v>339</v>
      </c>
      <c r="N333" t="s">
        <v>1074</v>
      </c>
      <c r="O333" t="s">
        <v>64</v>
      </c>
      <c r="P333" t="s">
        <v>39</v>
      </c>
      <c r="Q333" t="s">
        <v>67</v>
      </c>
      <c r="R333">
        <v>86</v>
      </c>
      <c r="S333">
        <v>1</v>
      </c>
      <c r="T333" t="s">
        <v>85</v>
      </c>
      <c r="U333" t="s">
        <v>57</v>
      </c>
      <c r="V333">
        <v>1.96</v>
      </c>
      <c r="W333">
        <v>1.57</v>
      </c>
      <c r="X333">
        <v>4.0999999999999996</v>
      </c>
      <c r="Y333">
        <v>14.1</v>
      </c>
      <c r="Z333">
        <v>15.7</v>
      </c>
      <c r="AA333">
        <f>VALUE(SUBSTITUTE(DACS19___Pfizer’s_Personalised_Medicine_in[[#This Row],[Dose]],"mg",""))</f>
        <v>150</v>
      </c>
      <c r="AB333">
        <f t="shared" si="35"/>
        <v>150</v>
      </c>
      <c r="AC333" t="s">
        <v>67</v>
      </c>
      <c r="AD333">
        <f t="shared" si="36"/>
        <v>2</v>
      </c>
      <c r="AE333">
        <f t="shared" si="37"/>
        <v>3</v>
      </c>
      <c r="AF333" t="e">
        <f t="shared" si="38"/>
        <v>#N/A</v>
      </c>
      <c r="AG333" t="e">
        <f t="shared" si="39"/>
        <v>#N/A</v>
      </c>
      <c r="AH333" t="e">
        <f t="shared" si="40"/>
        <v>#N/A</v>
      </c>
      <c r="AI333">
        <f t="shared" si="41"/>
        <v>1.57</v>
      </c>
    </row>
    <row r="334" spans="1:35" x14ac:dyDescent="0.45">
      <c r="A334" t="s">
        <v>1208</v>
      </c>
      <c r="B334">
        <v>84</v>
      </c>
      <c r="C334" t="s">
        <v>44</v>
      </c>
      <c r="D334" t="s">
        <v>106</v>
      </c>
      <c r="E334" t="s">
        <v>78</v>
      </c>
      <c r="F334" t="s">
        <v>2614</v>
      </c>
      <c r="G334" t="s">
        <v>125</v>
      </c>
      <c r="H334" t="s">
        <v>81</v>
      </c>
      <c r="I334" t="s">
        <v>49</v>
      </c>
      <c r="J334" t="s">
        <v>1209</v>
      </c>
      <c r="K334" t="s">
        <v>1210</v>
      </c>
      <c r="L334" t="s">
        <v>52</v>
      </c>
      <c r="M334" t="s">
        <v>129</v>
      </c>
      <c r="N334" t="s">
        <v>1211</v>
      </c>
      <c r="O334" t="s">
        <v>52</v>
      </c>
      <c r="P334" t="s">
        <v>110</v>
      </c>
      <c r="Q334" t="s">
        <v>75</v>
      </c>
      <c r="R334">
        <v>82</v>
      </c>
      <c r="S334">
        <v>0</v>
      </c>
      <c r="T334" t="s">
        <v>41</v>
      </c>
      <c r="U334" t="s">
        <v>42</v>
      </c>
      <c r="V334">
        <v>3.6</v>
      </c>
      <c r="W334">
        <v>3.48</v>
      </c>
      <c r="X334">
        <v>4.2</v>
      </c>
      <c r="Y334">
        <v>21.1</v>
      </c>
      <c r="Z334">
        <v>11</v>
      </c>
      <c r="AA334">
        <f>VALUE(SUBSTITUTE(DACS19___Pfizer’s_Personalised_Medicine_in[[#This Row],[Dose]],"mg",""))</f>
        <v>100</v>
      </c>
      <c r="AB334">
        <f t="shared" si="35"/>
        <v>100</v>
      </c>
      <c r="AC334" t="s">
        <v>75</v>
      </c>
      <c r="AD334">
        <f t="shared" si="36"/>
        <v>1</v>
      </c>
      <c r="AE334">
        <f t="shared" si="37"/>
        <v>1</v>
      </c>
      <c r="AF334" t="e">
        <f t="shared" si="38"/>
        <v>#N/A</v>
      </c>
      <c r="AG334" t="e">
        <f t="shared" si="39"/>
        <v>#N/A</v>
      </c>
      <c r="AH334" t="e">
        <f t="shared" si="40"/>
        <v>#N/A</v>
      </c>
      <c r="AI334">
        <f t="shared" si="41"/>
        <v>3.48</v>
      </c>
    </row>
    <row r="335" spans="1:35" x14ac:dyDescent="0.45">
      <c r="A335" t="s">
        <v>1212</v>
      </c>
      <c r="B335">
        <v>72</v>
      </c>
      <c r="C335" t="s">
        <v>45</v>
      </c>
      <c r="D335" t="s">
        <v>95</v>
      </c>
      <c r="E335" t="s">
        <v>2614</v>
      </c>
      <c r="F335" t="s">
        <v>79</v>
      </c>
      <c r="G335" t="s">
        <v>60</v>
      </c>
      <c r="H335" t="s">
        <v>81</v>
      </c>
      <c r="I335" t="s">
        <v>72</v>
      </c>
      <c r="J335" t="s">
        <v>1052</v>
      </c>
      <c r="K335" t="s">
        <v>1213</v>
      </c>
      <c r="L335" t="s">
        <v>36</v>
      </c>
      <c r="M335" t="s">
        <v>2642</v>
      </c>
      <c r="N335" t="s">
        <v>922</v>
      </c>
      <c r="O335" t="s">
        <v>36</v>
      </c>
      <c r="P335" t="s">
        <v>55</v>
      </c>
      <c r="Q335" t="s">
        <v>40</v>
      </c>
      <c r="R335">
        <v>126</v>
      </c>
      <c r="S335">
        <v>0</v>
      </c>
      <c r="T335" t="s">
        <v>41</v>
      </c>
      <c r="U335" t="s">
        <v>57</v>
      </c>
      <c r="V335">
        <v>4.92</v>
      </c>
      <c r="W335">
        <v>3.54</v>
      </c>
      <c r="X335">
        <v>2.1</v>
      </c>
      <c r="Y335">
        <v>18.2</v>
      </c>
      <c r="Z335">
        <v>8.5</v>
      </c>
      <c r="AA335">
        <f>VALUE(SUBSTITUTE(DACS19___Pfizer’s_Personalised_Medicine_in[[#This Row],[Dose]],"mg",""))</f>
        <v>200</v>
      </c>
      <c r="AB335">
        <f t="shared" si="35"/>
        <v>200</v>
      </c>
      <c r="AC335" t="s">
        <v>40</v>
      </c>
      <c r="AD335">
        <f t="shared" si="36"/>
        <v>3</v>
      </c>
      <c r="AE335">
        <f t="shared" si="37"/>
        <v>2</v>
      </c>
      <c r="AF335" t="e">
        <f t="shared" si="38"/>
        <v>#N/A</v>
      </c>
      <c r="AG335" t="e">
        <f t="shared" si="39"/>
        <v>#N/A</v>
      </c>
      <c r="AH335" t="e">
        <f t="shared" si="40"/>
        <v>#N/A</v>
      </c>
      <c r="AI335">
        <f t="shared" si="41"/>
        <v>3.54</v>
      </c>
    </row>
    <row r="336" spans="1:35" x14ac:dyDescent="0.45">
      <c r="A336" t="s">
        <v>1214</v>
      </c>
      <c r="B336">
        <v>74</v>
      </c>
      <c r="C336" t="s">
        <v>44</v>
      </c>
      <c r="D336" t="s">
        <v>45</v>
      </c>
      <c r="E336" t="s">
        <v>29</v>
      </c>
      <c r="F336" t="s">
        <v>2614</v>
      </c>
      <c r="G336" t="s">
        <v>96</v>
      </c>
      <c r="H336" t="s">
        <v>81</v>
      </c>
      <c r="I336" t="s">
        <v>49</v>
      </c>
      <c r="J336" t="s">
        <v>632</v>
      </c>
      <c r="K336" t="s">
        <v>429</v>
      </c>
      <c r="L336" t="s">
        <v>64</v>
      </c>
      <c r="M336" t="s">
        <v>2644</v>
      </c>
      <c r="N336" t="s">
        <v>1215</v>
      </c>
      <c r="O336" t="s">
        <v>64</v>
      </c>
      <c r="P336" t="s">
        <v>39</v>
      </c>
      <c r="Q336" t="s">
        <v>2614</v>
      </c>
      <c r="R336">
        <v>127</v>
      </c>
      <c r="S336">
        <v>1</v>
      </c>
      <c r="T336" t="s">
        <v>56</v>
      </c>
      <c r="U336" t="s">
        <v>57</v>
      </c>
      <c r="V336">
        <v>3.75</v>
      </c>
      <c r="W336">
        <v>1.28</v>
      </c>
      <c r="X336">
        <v>2.6</v>
      </c>
      <c r="Y336">
        <v>21.4</v>
      </c>
      <c r="Z336">
        <v>6.9</v>
      </c>
      <c r="AA336">
        <f>VALUE(SUBSTITUTE(DACS19___Pfizer’s_Personalised_Medicine_in[[#This Row],[Dose]],"mg",""))</f>
        <v>150</v>
      </c>
      <c r="AB336">
        <f t="shared" si="35"/>
        <v>150</v>
      </c>
      <c r="AC336" t="s">
        <v>2614</v>
      </c>
      <c r="AD336">
        <f t="shared" si="36"/>
        <v>0</v>
      </c>
      <c r="AE336">
        <f t="shared" si="37"/>
        <v>3</v>
      </c>
      <c r="AF336" t="e">
        <f t="shared" si="38"/>
        <v>#N/A</v>
      </c>
      <c r="AG336" t="e">
        <f t="shared" si="39"/>
        <v>#N/A</v>
      </c>
      <c r="AH336" t="e">
        <f t="shared" si="40"/>
        <v>#N/A</v>
      </c>
      <c r="AI336">
        <f t="shared" si="41"/>
        <v>1.28</v>
      </c>
    </row>
    <row r="337" spans="1:35" x14ac:dyDescent="0.45">
      <c r="A337" t="s">
        <v>1216</v>
      </c>
      <c r="B337">
        <v>76</v>
      </c>
      <c r="C337" t="s">
        <v>44</v>
      </c>
      <c r="D337" t="s">
        <v>95</v>
      </c>
      <c r="E337" t="s">
        <v>29</v>
      </c>
      <c r="F337" t="s">
        <v>2614</v>
      </c>
      <c r="G337" t="s">
        <v>125</v>
      </c>
      <c r="H337" t="s">
        <v>32</v>
      </c>
      <c r="I337" t="s">
        <v>72</v>
      </c>
      <c r="J337" t="s">
        <v>982</v>
      </c>
      <c r="K337" t="s">
        <v>1217</v>
      </c>
      <c r="L337" t="s">
        <v>92</v>
      </c>
      <c r="M337" t="s">
        <v>75</v>
      </c>
      <c r="N337" t="s">
        <v>1215</v>
      </c>
      <c r="O337" t="s">
        <v>92</v>
      </c>
      <c r="P337" t="s">
        <v>110</v>
      </c>
      <c r="Q337" t="s">
        <v>2614</v>
      </c>
      <c r="R337">
        <v>155</v>
      </c>
      <c r="S337">
        <v>0</v>
      </c>
      <c r="T337" t="s">
        <v>56</v>
      </c>
      <c r="U337" t="s">
        <v>57</v>
      </c>
      <c r="V337">
        <v>4.3499999999999996</v>
      </c>
      <c r="W337">
        <v>2.12</v>
      </c>
      <c r="X337">
        <v>6.8</v>
      </c>
      <c r="Y337">
        <v>18.5</v>
      </c>
      <c r="Z337">
        <v>11.7</v>
      </c>
      <c r="AA337">
        <f>VALUE(SUBSTITUTE(DACS19___Pfizer’s_Personalised_Medicine_in[[#This Row],[Dose]],"mg",""))</f>
        <v>50</v>
      </c>
      <c r="AB337">
        <f t="shared" si="35"/>
        <v>50</v>
      </c>
      <c r="AC337" t="s">
        <v>2614</v>
      </c>
      <c r="AD337">
        <f t="shared" si="36"/>
        <v>0</v>
      </c>
      <c r="AE337">
        <f t="shared" si="37"/>
        <v>1</v>
      </c>
      <c r="AF337" t="e">
        <f t="shared" si="38"/>
        <v>#N/A</v>
      </c>
      <c r="AG337" t="e">
        <f t="shared" si="39"/>
        <v>#N/A</v>
      </c>
      <c r="AH337">
        <f t="shared" si="40"/>
        <v>2.12</v>
      </c>
      <c r="AI337" t="e">
        <f t="shared" si="41"/>
        <v>#N/A</v>
      </c>
    </row>
    <row r="338" spans="1:35" x14ac:dyDescent="0.45">
      <c r="A338" t="s">
        <v>1218</v>
      </c>
      <c r="B338">
        <v>68</v>
      </c>
      <c r="C338" t="s">
        <v>45</v>
      </c>
      <c r="D338" t="s">
        <v>28</v>
      </c>
      <c r="E338" t="s">
        <v>78</v>
      </c>
      <c r="F338" t="s">
        <v>69</v>
      </c>
      <c r="G338" t="s">
        <v>125</v>
      </c>
      <c r="H338" t="s">
        <v>81</v>
      </c>
      <c r="I338" t="s">
        <v>49</v>
      </c>
      <c r="J338" t="s">
        <v>702</v>
      </c>
      <c r="K338" t="s">
        <v>1219</v>
      </c>
      <c r="L338" t="s">
        <v>52</v>
      </c>
      <c r="M338" t="s">
        <v>2633</v>
      </c>
      <c r="N338" t="s">
        <v>1220</v>
      </c>
      <c r="O338" t="s">
        <v>52</v>
      </c>
      <c r="P338" t="s">
        <v>110</v>
      </c>
      <c r="Q338" t="s">
        <v>40</v>
      </c>
      <c r="R338">
        <v>124</v>
      </c>
      <c r="S338">
        <v>0</v>
      </c>
      <c r="T338" t="s">
        <v>123</v>
      </c>
      <c r="U338" t="s">
        <v>57</v>
      </c>
      <c r="V338">
        <v>2.2200000000000002</v>
      </c>
      <c r="W338">
        <v>1.85</v>
      </c>
      <c r="X338">
        <v>1.3</v>
      </c>
      <c r="Y338">
        <v>11.5</v>
      </c>
      <c r="Z338">
        <v>14.1</v>
      </c>
      <c r="AA338">
        <f>VALUE(SUBSTITUTE(DACS19___Pfizer’s_Personalised_Medicine_in[[#This Row],[Dose]],"mg",""))</f>
        <v>100</v>
      </c>
      <c r="AB338">
        <f t="shared" si="35"/>
        <v>100</v>
      </c>
      <c r="AC338" t="s">
        <v>40</v>
      </c>
      <c r="AD338">
        <f t="shared" si="36"/>
        <v>3</v>
      </c>
      <c r="AE338">
        <f t="shared" si="37"/>
        <v>1</v>
      </c>
      <c r="AF338" t="e">
        <f t="shared" si="38"/>
        <v>#N/A</v>
      </c>
      <c r="AG338" t="e">
        <f t="shared" si="39"/>
        <v>#N/A</v>
      </c>
      <c r="AH338" t="e">
        <f t="shared" si="40"/>
        <v>#N/A</v>
      </c>
      <c r="AI338">
        <f t="shared" si="41"/>
        <v>1.85</v>
      </c>
    </row>
    <row r="339" spans="1:35" x14ac:dyDescent="0.45">
      <c r="A339" t="s">
        <v>1221</v>
      </c>
      <c r="B339">
        <v>72</v>
      </c>
      <c r="C339" t="s">
        <v>45</v>
      </c>
      <c r="D339" t="s">
        <v>106</v>
      </c>
      <c r="E339" t="s">
        <v>46</v>
      </c>
      <c r="F339" t="s">
        <v>59</v>
      </c>
      <c r="G339" t="s">
        <v>164</v>
      </c>
      <c r="H339" t="s">
        <v>71</v>
      </c>
      <c r="I339" t="s">
        <v>132</v>
      </c>
      <c r="J339" t="s">
        <v>1222</v>
      </c>
      <c r="K339" t="s">
        <v>1223</v>
      </c>
      <c r="L339" t="s">
        <v>64</v>
      </c>
      <c r="M339" t="s">
        <v>75</v>
      </c>
      <c r="N339" t="s">
        <v>788</v>
      </c>
      <c r="O339" t="s">
        <v>64</v>
      </c>
      <c r="P339" t="s">
        <v>110</v>
      </c>
      <c r="Q339" t="s">
        <v>67</v>
      </c>
      <c r="R339">
        <v>33</v>
      </c>
      <c r="S339">
        <v>0</v>
      </c>
      <c r="T339" t="s">
        <v>123</v>
      </c>
      <c r="U339" t="s">
        <v>42</v>
      </c>
      <c r="V339">
        <v>4.75</v>
      </c>
      <c r="W339">
        <v>4.4800000000000004</v>
      </c>
      <c r="X339">
        <v>7.9</v>
      </c>
      <c r="Y339">
        <v>20.2</v>
      </c>
      <c r="Z339">
        <v>14.3</v>
      </c>
      <c r="AA339">
        <f>VALUE(SUBSTITUTE(DACS19___Pfizer’s_Personalised_Medicine_in[[#This Row],[Dose]],"mg",""))</f>
        <v>150</v>
      </c>
      <c r="AB339">
        <f t="shared" si="35"/>
        <v>150</v>
      </c>
      <c r="AC339" t="s">
        <v>67</v>
      </c>
      <c r="AD339">
        <f t="shared" si="36"/>
        <v>2</v>
      </c>
      <c r="AE339">
        <f t="shared" si="37"/>
        <v>1</v>
      </c>
      <c r="AF339" t="e">
        <f t="shared" si="38"/>
        <v>#N/A</v>
      </c>
      <c r="AG339">
        <f t="shared" si="39"/>
        <v>4.4800000000000004</v>
      </c>
      <c r="AH339" t="e">
        <f t="shared" si="40"/>
        <v>#N/A</v>
      </c>
      <c r="AI339" t="e">
        <f t="shared" si="41"/>
        <v>#N/A</v>
      </c>
    </row>
    <row r="340" spans="1:35" x14ac:dyDescent="0.45">
      <c r="A340" t="s">
        <v>1224</v>
      </c>
      <c r="B340">
        <v>67</v>
      </c>
      <c r="C340" t="s">
        <v>44</v>
      </c>
      <c r="D340" t="s">
        <v>45</v>
      </c>
      <c r="E340" t="s">
        <v>163</v>
      </c>
      <c r="F340" t="s">
        <v>2614</v>
      </c>
      <c r="G340" t="s">
        <v>89</v>
      </c>
      <c r="H340" t="s">
        <v>81</v>
      </c>
      <c r="I340" t="s">
        <v>72</v>
      </c>
      <c r="J340" t="s">
        <v>1225</v>
      </c>
      <c r="K340" t="s">
        <v>1226</v>
      </c>
      <c r="L340" t="s">
        <v>36</v>
      </c>
      <c r="M340" t="s">
        <v>2626</v>
      </c>
      <c r="N340" t="s">
        <v>1041</v>
      </c>
      <c r="O340" t="s">
        <v>36</v>
      </c>
      <c r="P340" t="s">
        <v>39</v>
      </c>
      <c r="Q340" t="s">
        <v>75</v>
      </c>
      <c r="R340">
        <v>118</v>
      </c>
      <c r="S340">
        <v>1</v>
      </c>
      <c r="T340" t="s">
        <v>41</v>
      </c>
      <c r="U340" t="s">
        <v>57</v>
      </c>
      <c r="V340">
        <v>2.04</v>
      </c>
      <c r="W340">
        <v>4.63</v>
      </c>
      <c r="X340">
        <v>7</v>
      </c>
      <c r="Y340">
        <v>16.100000000000001</v>
      </c>
      <c r="Z340">
        <v>4.9000000000000004</v>
      </c>
      <c r="AA340">
        <f>VALUE(SUBSTITUTE(DACS19___Pfizer’s_Personalised_Medicine_in[[#This Row],[Dose]],"mg",""))</f>
        <v>200</v>
      </c>
      <c r="AB340">
        <f t="shared" si="35"/>
        <v>200</v>
      </c>
      <c r="AC340" t="s">
        <v>75</v>
      </c>
      <c r="AD340">
        <f t="shared" si="36"/>
        <v>1</v>
      </c>
      <c r="AE340">
        <f t="shared" si="37"/>
        <v>3</v>
      </c>
      <c r="AF340" t="e">
        <f t="shared" si="38"/>
        <v>#N/A</v>
      </c>
      <c r="AG340" t="e">
        <f t="shared" si="39"/>
        <v>#N/A</v>
      </c>
      <c r="AH340" t="e">
        <f t="shared" si="40"/>
        <v>#N/A</v>
      </c>
      <c r="AI340">
        <f t="shared" si="41"/>
        <v>4.63</v>
      </c>
    </row>
    <row r="341" spans="1:35" x14ac:dyDescent="0.45">
      <c r="A341" t="s">
        <v>1227</v>
      </c>
      <c r="B341">
        <v>44</v>
      </c>
      <c r="C341" t="s">
        <v>45</v>
      </c>
      <c r="D341" t="s">
        <v>95</v>
      </c>
      <c r="E341" t="s">
        <v>2614</v>
      </c>
      <c r="F341" t="s">
        <v>79</v>
      </c>
      <c r="G341" t="s">
        <v>70</v>
      </c>
      <c r="H341" t="s">
        <v>61</v>
      </c>
      <c r="I341" t="s">
        <v>49</v>
      </c>
      <c r="J341" t="s">
        <v>1228</v>
      </c>
      <c r="K341" t="s">
        <v>1229</v>
      </c>
      <c r="L341" t="s">
        <v>36</v>
      </c>
      <c r="M341" t="s">
        <v>2634</v>
      </c>
      <c r="N341" t="s">
        <v>598</v>
      </c>
      <c r="O341" t="s">
        <v>36</v>
      </c>
      <c r="P341" t="s">
        <v>55</v>
      </c>
      <c r="Q341" t="s">
        <v>67</v>
      </c>
      <c r="R341">
        <v>64</v>
      </c>
      <c r="S341">
        <v>0</v>
      </c>
      <c r="T341" t="s">
        <v>41</v>
      </c>
      <c r="U341" t="s">
        <v>57</v>
      </c>
      <c r="V341">
        <v>2.79</v>
      </c>
      <c r="W341">
        <v>2.84</v>
      </c>
      <c r="X341">
        <v>8.8000000000000007</v>
      </c>
      <c r="Y341">
        <v>15.8</v>
      </c>
      <c r="Z341">
        <v>9.5</v>
      </c>
      <c r="AA341">
        <f>VALUE(SUBSTITUTE(DACS19___Pfizer’s_Personalised_Medicine_in[[#This Row],[Dose]],"mg",""))</f>
        <v>200</v>
      </c>
      <c r="AB341">
        <f t="shared" si="35"/>
        <v>200</v>
      </c>
      <c r="AC341" t="s">
        <v>67</v>
      </c>
      <c r="AD341">
        <f t="shared" si="36"/>
        <v>2</v>
      </c>
      <c r="AE341">
        <f t="shared" si="37"/>
        <v>2</v>
      </c>
      <c r="AF341">
        <f t="shared" si="38"/>
        <v>2.84</v>
      </c>
      <c r="AG341" t="e">
        <f t="shared" si="39"/>
        <v>#N/A</v>
      </c>
      <c r="AH341" t="e">
        <f t="shared" si="40"/>
        <v>#N/A</v>
      </c>
      <c r="AI341" t="e">
        <f t="shared" si="41"/>
        <v>#N/A</v>
      </c>
    </row>
    <row r="342" spans="1:35" x14ac:dyDescent="0.45">
      <c r="A342" t="s">
        <v>1230</v>
      </c>
      <c r="B342">
        <v>41</v>
      </c>
      <c r="C342" t="s">
        <v>45</v>
      </c>
      <c r="D342" t="s">
        <v>87</v>
      </c>
      <c r="E342" t="s">
        <v>78</v>
      </c>
      <c r="F342" t="s">
        <v>2614</v>
      </c>
      <c r="G342" t="s">
        <v>89</v>
      </c>
      <c r="H342" t="s">
        <v>71</v>
      </c>
      <c r="I342" t="s">
        <v>72</v>
      </c>
      <c r="J342" t="s">
        <v>1231</v>
      </c>
      <c r="K342" t="s">
        <v>1232</v>
      </c>
      <c r="L342" t="s">
        <v>52</v>
      </c>
      <c r="M342" t="s">
        <v>500</v>
      </c>
      <c r="N342" t="s">
        <v>262</v>
      </c>
      <c r="O342" t="s">
        <v>52</v>
      </c>
      <c r="P342" t="s">
        <v>110</v>
      </c>
      <c r="Q342" t="s">
        <v>129</v>
      </c>
      <c r="R342">
        <v>72</v>
      </c>
      <c r="S342">
        <v>0</v>
      </c>
      <c r="T342" t="s">
        <v>123</v>
      </c>
      <c r="U342" t="s">
        <v>57</v>
      </c>
      <c r="V342">
        <v>4.91</v>
      </c>
      <c r="W342">
        <v>1.44</v>
      </c>
      <c r="X342">
        <v>4.8</v>
      </c>
      <c r="Y342">
        <v>6.8</v>
      </c>
      <c r="Z342">
        <v>15.6</v>
      </c>
      <c r="AA342">
        <f>VALUE(SUBSTITUTE(DACS19___Pfizer’s_Personalised_Medicine_in[[#This Row],[Dose]],"mg",""))</f>
        <v>100</v>
      </c>
      <c r="AB342">
        <f t="shared" si="35"/>
        <v>100</v>
      </c>
      <c r="AC342" t="s">
        <v>129</v>
      </c>
      <c r="AD342">
        <f t="shared" si="36"/>
        <v>4</v>
      </c>
      <c r="AE342">
        <f t="shared" si="37"/>
        <v>1</v>
      </c>
      <c r="AF342" t="e">
        <f t="shared" si="38"/>
        <v>#N/A</v>
      </c>
      <c r="AG342">
        <f t="shared" si="39"/>
        <v>1.44</v>
      </c>
      <c r="AH342" t="e">
        <f t="shared" si="40"/>
        <v>#N/A</v>
      </c>
      <c r="AI342" t="e">
        <f t="shared" si="41"/>
        <v>#N/A</v>
      </c>
    </row>
    <row r="343" spans="1:35" x14ac:dyDescent="0.45">
      <c r="A343" t="s">
        <v>1233</v>
      </c>
      <c r="B343">
        <v>28</v>
      </c>
      <c r="C343" t="s">
        <v>44</v>
      </c>
      <c r="D343" t="s">
        <v>87</v>
      </c>
      <c r="E343" t="s">
        <v>2614</v>
      </c>
      <c r="F343" t="s">
        <v>88</v>
      </c>
      <c r="G343" t="s">
        <v>80</v>
      </c>
      <c r="H343" t="s">
        <v>71</v>
      </c>
      <c r="I343" t="s">
        <v>33</v>
      </c>
      <c r="J343" t="s">
        <v>824</v>
      </c>
      <c r="K343" t="s">
        <v>1234</v>
      </c>
      <c r="L343" t="s">
        <v>92</v>
      </c>
      <c r="M343" t="s">
        <v>2614</v>
      </c>
      <c r="N343" t="s">
        <v>1235</v>
      </c>
      <c r="O343" t="s">
        <v>92</v>
      </c>
      <c r="P343" t="s">
        <v>39</v>
      </c>
      <c r="Q343" t="s">
        <v>75</v>
      </c>
      <c r="R343">
        <v>40</v>
      </c>
      <c r="S343">
        <v>1</v>
      </c>
      <c r="T343" t="s">
        <v>123</v>
      </c>
      <c r="U343" t="s">
        <v>42</v>
      </c>
      <c r="V343">
        <v>4.67</v>
      </c>
      <c r="W343">
        <v>2.12</v>
      </c>
      <c r="X343">
        <v>8.6999999999999993</v>
      </c>
      <c r="Y343">
        <v>11.3</v>
      </c>
      <c r="Z343">
        <v>18.5</v>
      </c>
      <c r="AA343">
        <f>VALUE(SUBSTITUTE(DACS19___Pfizer’s_Personalised_Medicine_in[[#This Row],[Dose]],"mg",""))</f>
        <v>50</v>
      </c>
      <c r="AB343">
        <f t="shared" si="35"/>
        <v>50</v>
      </c>
      <c r="AC343" t="s">
        <v>75</v>
      </c>
      <c r="AD343">
        <f t="shared" si="36"/>
        <v>1</v>
      </c>
      <c r="AE343">
        <f t="shared" si="37"/>
        <v>3</v>
      </c>
      <c r="AF343" t="e">
        <f t="shared" si="38"/>
        <v>#N/A</v>
      </c>
      <c r="AG343">
        <f t="shared" si="39"/>
        <v>2.12</v>
      </c>
      <c r="AH343" t="e">
        <f t="shared" si="40"/>
        <v>#N/A</v>
      </c>
      <c r="AI343" t="e">
        <f t="shared" si="41"/>
        <v>#N/A</v>
      </c>
    </row>
    <row r="344" spans="1:35" x14ac:dyDescent="0.45">
      <c r="A344" t="s">
        <v>1236</v>
      </c>
      <c r="B344">
        <v>84</v>
      </c>
      <c r="C344" t="s">
        <v>27</v>
      </c>
      <c r="D344" t="s">
        <v>95</v>
      </c>
      <c r="E344" t="s">
        <v>29</v>
      </c>
      <c r="F344" t="s">
        <v>2614</v>
      </c>
      <c r="G344" t="s">
        <v>184</v>
      </c>
      <c r="H344" t="s">
        <v>81</v>
      </c>
      <c r="I344" t="s">
        <v>33</v>
      </c>
      <c r="J344" t="s">
        <v>1178</v>
      </c>
      <c r="K344" t="s">
        <v>1237</v>
      </c>
      <c r="L344" t="s">
        <v>64</v>
      </c>
      <c r="M344" t="s">
        <v>2632</v>
      </c>
      <c r="N344" t="s">
        <v>188</v>
      </c>
      <c r="O344" t="s">
        <v>64</v>
      </c>
      <c r="P344" t="s">
        <v>110</v>
      </c>
      <c r="Q344" t="s">
        <v>40</v>
      </c>
      <c r="R344">
        <v>126</v>
      </c>
      <c r="S344">
        <v>0</v>
      </c>
      <c r="T344" t="s">
        <v>85</v>
      </c>
      <c r="U344" t="s">
        <v>42</v>
      </c>
      <c r="V344">
        <v>4.0199999999999996</v>
      </c>
      <c r="W344">
        <v>4.22</v>
      </c>
      <c r="X344">
        <v>1.2</v>
      </c>
      <c r="Y344">
        <v>23.3</v>
      </c>
      <c r="Z344">
        <v>15.4</v>
      </c>
      <c r="AA344">
        <f>VALUE(SUBSTITUTE(DACS19___Pfizer’s_Personalised_Medicine_in[[#This Row],[Dose]],"mg",""))</f>
        <v>150</v>
      </c>
      <c r="AB344">
        <f t="shared" si="35"/>
        <v>150</v>
      </c>
      <c r="AC344" t="s">
        <v>40</v>
      </c>
      <c r="AD344">
        <f t="shared" si="36"/>
        <v>3</v>
      </c>
      <c r="AE344">
        <f t="shared" si="37"/>
        <v>1</v>
      </c>
      <c r="AF344" t="e">
        <f t="shared" si="38"/>
        <v>#N/A</v>
      </c>
      <c r="AG344" t="e">
        <f t="shared" si="39"/>
        <v>#N/A</v>
      </c>
      <c r="AH344" t="e">
        <f t="shared" si="40"/>
        <v>#N/A</v>
      </c>
      <c r="AI344">
        <f t="shared" si="41"/>
        <v>4.22</v>
      </c>
    </row>
    <row r="345" spans="1:35" x14ac:dyDescent="0.45">
      <c r="A345" t="s">
        <v>1238</v>
      </c>
      <c r="B345">
        <v>63</v>
      </c>
      <c r="C345" t="s">
        <v>44</v>
      </c>
      <c r="D345" t="s">
        <v>87</v>
      </c>
      <c r="E345" t="s">
        <v>163</v>
      </c>
      <c r="F345" t="s">
        <v>47</v>
      </c>
      <c r="G345" t="s">
        <v>96</v>
      </c>
      <c r="H345" t="s">
        <v>61</v>
      </c>
      <c r="I345" t="s">
        <v>49</v>
      </c>
      <c r="J345" t="s">
        <v>1239</v>
      </c>
      <c r="K345" t="s">
        <v>1240</v>
      </c>
      <c r="L345" t="s">
        <v>52</v>
      </c>
      <c r="M345" t="s">
        <v>500</v>
      </c>
      <c r="N345" t="s">
        <v>909</v>
      </c>
      <c r="O345" t="s">
        <v>52</v>
      </c>
      <c r="P345" t="s">
        <v>55</v>
      </c>
      <c r="Q345" t="s">
        <v>67</v>
      </c>
      <c r="R345">
        <v>30</v>
      </c>
      <c r="S345">
        <v>0</v>
      </c>
      <c r="T345" t="s">
        <v>137</v>
      </c>
      <c r="U345" t="s">
        <v>42</v>
      </c>
      <c r="V345">
        <v>2.2200000000000002</v>
      </c>
      <c r="W345">
        <v>4.32</v>
      </c>
      <c r="X345">
        <v>3.5</v>
      </c>
      <c r="Y345">
        <v>21.7</v>
      </c>
      <c r="Z345">
        <v>4.9000000000000004</v>
      </c>
      <c r="AA345">
        <f>VALUE(SUBSTITUTE(DACS19___Pfizer’s_Personalised_Medicine_in[[#This Row],[Dose]],"mg",""))</f>
        <v>100</v>
      </c>
      <c r="AB345">
        <f t="shared" si="35"/>
        <v>100</v>
      </c>
      <c r="AC345" t="s">
        <v>67</v>
      </c>
      <c r="AD345">
        <f t="shared" si="36"/>
        <v>2</v>
      </c>
      <c r="AE345">
        <f t="shared" si="37"/>
        <v>2</v>
      </c>
      <c r="AF345">
        <f t="shared" si="38"/>
        <v>4.32</v>
      </c>
      <c r="AG345" t="e">
        <f t="shared" si="39"/>
        <v>#N/A</v>
      </c>
      <c r="AH345" t="e">
        <f t="shared" si="40"/>
        <v>#N/A</v>
      </c>
      <c r="AI345" t="e">
        <f t="shared" si="41"/>
        <v>#N/A</v>
      </c>
    </row>
    <row r="346" spans="1:35" x14ac:dyDescent="0.45">
      <c r="A346" t="s">
        <v>1241</v>
      </c>
      <c r="B346">
        <v>64</v>
      </c>
      <c r="C346" t="s">
        <v>27</v>
      </c>
      <c r="D346" t="s">
        <v>28</v>
      </c>
      <c r="E346" t="s">
        <v>78</v>
      </c>
      <c r="F346" t="s">
        <v>47</v>
      </c>
      <c r="G346" t="s">
        <v>131</v>
      </c>
      <c r="H346" t="s">
        <v>61</v>
      </c>
      <c r="I346" t="s">
        <v>132</v>
      </c>
      <c r="J346" t="s">
        <v>1242</v>
      </c>
      <c r="K346" t="s">
        <v>1171</v>
      </c>
      <c r="L346" t="s">
        <v>92</v>
      </c>
      <c r="M346" t="s">
        <v>2637</v>
      </c>
      <c r="N346" t="s">
        <v>537</v>
      </c>
      <c r="O346" t="s">
        <v>92</v>
      </c>
      <c r="P346" t="s">
        <v>110</v>
      </c>
      <c r="Q346" t="s">
        <v>67</v>
      </c>
      <c r="R346">
        <v>163</v>
      </c>
      <c r="S346">
        <v>0</v>
      </c>
      <c r="T346" t="s">
        <v>85</v>
      </c>
      <c r="U346" t="s">
        <v>42</v>
      </c>
      <c r="V346">
        <v>3.81</v>
      </c>
      <c r="W346">
        <v>3.16</v>
      </c>
      <c r="X346">
        <v>1.9</v>
      </c>
      <c r="Y346">
        <v>10.4</v>
      </c>
      <c r="Z346">
        <v>3.2</v>
      </c>
      <c r="AA346">
        <f>VALUE(SUBSTITUTE(DACS19___Pfizer’s_Personalised_Medicine_in[[#This Row],[Dose]],"mg",""))</f>
        <v>50</v>
      </c>
      <c r="AB346">
        <f t="shared" si="35"/>
        <v>50</v>
      </c>
      <c r="AC346" t="s">
        <v>67</v>
      </c>
      <c r="AD346">
        <f t="shared" si="36"/>
        <v>2</v>
      </c>
      <c r="AE346">
        <f t="shared" si="37"/>
        <v>1</v>
      </c>
      <c r="AF346">
        <f t="shared" si="38"/>
        <v>3.16</v>
      </c>
      <c r="AG346" t="e">
        <f t="shared" si="39"/>
        <v>#N/A</v>
      </c>
      <c r="AH346" t="e">
        <f t="shared" si="40"/>
        <v>#N/A</v>
      </c>
      <c r="AI346" t="e">
        <f t="shared" si="41"/>
        <v>#N/A</v>
      </c>
    </row>
    <row r="347" spans="1:35" x14ac:dyDescent="0.45">
      <c r="A347" t="s">
        <v>1243</v>
      </c>
      <c r="B347">
        <v>34</v>
      </c>
      <c r="C347" t="s">
        <v>44</v>
      </c>
      <c r="D347" t="s">
        <v>87</v>
      </c>
      <c r="E347" t="s">
        <v>2614</v>
      </c>
      <c r="F347" t="s">
        <v>2614</v>
      </c>
      <c r="G347" t="s">
        <v>178</v>
      </c>
      <c r="H347" t="s">
        <v>81</v>
      </c>
      <c r="I347" t="s">
        <v>72</v>
      </c>
      <c r="J347" t="s">
        <v>1244</v>
      </c>
      <c r="K347" t="s">
        <v>999</v>
      </c>
      <c r="L347" t="s">
        <v>52</v>
      </c>
      <c r="M347" t="s">
        <v>67</v>
      </c>
      <c r="N347" t="s">
        <v>958</v>
      </c>
      <c r="O347" t="s">
        <v>52</v>
      </c>
      <c r="P347" t="s">
        <v>110</v>
      </c>
      <c r="Q347" t="s">
        <v>129</v>
      </c>
      <c r="R347">
        <v>57</v>
      </c>
      <c r="S347">
        <v>0</v>
      </c>
      <c r="T347" t="s">
        <v>56</v>
      </c>
      <c r="U347" t="s">
        <v>42</v>
      </c>
      <c r="V347">
        <v>2.88</v>
      </c>
      <c r="W347">
        <v>2.21</v>
      </c>
      <c r="X347">
        <v>6.4</v>
      </c>
      <c r="Y347">
        <v>11.4</v>
      </c>
      <c r="Z347">
        <v>8.1</v>
      </c>
      <c r="AA347">
        <f>VALUE(SUBSTITUTE(DACS19___Pfizer’s_Personalised_Medicine_in[[#This Row],[Dose]],"mg",""))</f>
        <v>100</v>
      </c>
      <c r="AB347">
        <f t="shared" si="35"/>
        <v>100</v>
      </c>
      <c r="AC347" t="s">
        <v>129</v>
      </c>
      <c r="AD347">
        <f t="shared" si="36"/>
        <v>4</v>
      </c>
      <c r="AE347">
        <f t="shared" si="37"/>
        <v>1</v>
      </c>
      <c r="AF347" t="e">
        <f t="shared" si="38"/>
        <v>#N/A</v>
      </c>
      <c r="AG347" t="e">
        <f t="shared" si="39"/>
        <v>#N/A</v>
      </c>
      <c r="AH347" t="e">
        <f t="shared" si="40"/>
        <v>#N/A</v>
      </c>
      <c r="AI347">
        <f t="shared" si="41"/>
        <v>2.21</v>
      </c>
    </row>
    <row r="348" spans="1:35" x14ac:dyDescent="0.45">
      <c r="A348" t="s">
        <v>1245</v>
      </c>
      <c r="B348">
        <v>38</v>
      </c>
      <c r="C348" t="s">
        <v>44</v>
      </c>
      <c r="D348" t="s">
        <v>95</v>
      </c>
      <c r="E348" t="s">
        <v>2614</v>
      </c>
      <c r="F348" t="s">
        <v>59</v>
      </c>
      <c r="G348" t="s">
        <v>70</v>
      </c>
      <c r="H348" t="s">
        <v>61</v>
      </c>
      <c r="I348" t="s">
        <v>72</v>
      </c>
      <c r="J348" t="s">
        <v>1246</v>
      </c>
      <c r="K348" t="s">
        <v>1247</v>
      </c>
      <c r="L348" t="s">
        <v>92</v>
      </c>
      <c r="M348" t="s">
        <v>2645</v>
      </c>
      <c r="N348" t="s">
        <v>571</v>
      </c>
      <c r="O348" t="s">
        <v>92</v>
      </c>
      <c r="P348" t="s">
        <v>110</v>
      </c>
      <c r="Q348" t="s">
        <v>129</v>
      </c>
      <c r="R348">
        <v>117</v>
      </c>
      <c r="S348">
        <v>0</v>
      </c>
      <c r="T348" t="s">
        <v>56</v>
      </c>
      <c r="U348" t="s">
        <v>57</v>
      </c>
      <c r="V348">
        <v>3.97</v>
      </c>
      <c r="W348">
        <v>1.19</v>
      </c>
      <c r="X348">
        <v>9.1</v>
      </c>
      <c r="Y348">
        <v>21.3</v>
      </c>
      <c r="Z348">
        <v>14.4</v>
      </c>
      <c r="AA348">
        <f>VALUE(SUBSTITUTE(DACS19___Pfizer’s_Personalised_Medicine_in[[#This Row],[Dose]],"mg",""))</f>
        <v>50</v>
      </c>
      <c r="AB348">
        <f t="shared" si="35"/>
        <v>50</v>
      </c>
      <c r="AC348" t="s">
        <v>129</v>
      </c>
      <c r="AD348">
        <f t="shared" si="36"/>
        <v>4</v>
      </c>
      <c r="AE348">
        <f t="shared" si="37"/>
        <v>1</v>
      </c>
      <c r="AF348">
        <f t="shared" si="38"/>
        <v>1.19</v>
      </c>
      <c r="AG348" t="e">
        <f t="shared" si="39"/>
        <v>#N/A</v>
      </c>
      <c r="AH348" t="e">
        <f t="shared" si="40"/>
        <v>#N/A</v>
      </c>
      <c r="AI348" t="e">
        <f t="shared" si="41"/>
        <v>#N/A</v>
      </c>
    </row>
    <row r="349" spans="1:35" x14ac:dyDescent="0.45">
      <c r="A349" t="s">
        <v>1249</v>
      </c>
      <c r="B349">
        <v>73</v>
      </c>
      <c r="C349" t="s">
        <v>27</v>
      </c>
      <c r="D349" t="s">
        <v>106</v>
      </c>
      <c r="E349" t="s">
        <v>2614</v>
      </c>
      <c r="F349" t="s">
        <v>88</v>
      </c>
      <c r="G349" t="s">
        <v>102</v>
      </c>
      <c r="H349" t="s">
        <v>61</v>
      </c>
      <c r="I349" t="s">
        <v>132</v>
      </c>
      <c r="J349" t="s">
        <v>1250</v>
      </c>
      <c r="K349" t="s">
        <v>1246</v>
      </c>
      <c r="L349" t="s">
        <v>64</v>
      </c>
      <c r="M349" t="s">
        <v>2614</v>
      </c>
      <c r="N349" t="s">
        <v>466</v>
      </c>
      <c r="O349" t="s">
        <v>64</v>
      </c>
      <c r="P349" t="s">
        <v>110</v>
      </c>
      <c r="Q349" t="s">
        <v>129</v>
      </c>
      <c r="R349">
        <v>109</v>
      </c>
      <c r="S349">
        <v>0</v>
      </c>
      <c r="T349" t="s">
        <v>123</v>
      </c>
      <c r="U349" t="s">
        <v>42</v>
      </c>
      <c r="V349">
        <v>3.37</v>
      </c>
      <c r="W349">
        <v>4.57</v>
      </c>
      <c r="X349">
        <v>2.7</v>
      </c>
      <c r="Y349">
        <v>7.4</v>
      </c>
      <c r="Z349">
        <v>7.1</v>
      </c>
      <c r="AA349">
        <f>VALUE(SUBSTITUTE(DACS19___Pfizer’s_Personalised_Medicine_in[[#This Row],[Dose]],"mg",""))</f>
        <v>150</v>
      </c>
      <c r="AB349">
        <f t="shared" si="35"/>
        <v>150</v>
      </c>
      <c r="AC349" t="s">
        <v>129</v>
      </c>
      <c r="AD349">
        <f t="shared" si="36"/>
        <v>4</v>
      </c>
      <c r="AE349">
        <f t="shared" si="37"/>
        <v>1</v>
      </c>
      <c r="AF349">
        <f t="shared" si="38"/>
        <v>4.57</v>
      </c>
      <c r="AG349" t="e">
        <f t="shared" si="39"/>
        <v>#N/A</v>
      </c>
      <c r="AH349" t="e">
        <f t="shared" si="40"/>
        <v>#N/A</v>
      </c>
      <c r="AI349" t="e">
        <f t="shared" si="41"/>
        <v>#N/A</v>
      </c>
    </row>
    <row r="350" spans="1:35" x14ac:dyDescent="0.45">
      <c r="A350" t="s">
        <v>1251</v>
      </c>
      <c r="B350">
        <v>67</v>
      </c>
      <c r="C350" t="s">
        <v>44</v>
      </c>
      <c r="D350" t="s">
        <v>28</v>
      </c>
      <c r="E350" t="s">
        <v>2614</v>
      </c>
      <c r="F350" t="s">
        <v>2614</v>
      </c>
      <c r="G350" t="s">
        <v>96</v>
      </c>
      <c r="H350" t="s">
        <v>71</v>
      </c>
      <c r="I350" t="s">
        <v>49</v>
      </c>
      <c r="J350" t="s">
        <v>1252</v>
      </c>
      <c r="K350" t="s">
        <v>1173</v>
      </c>
      <c r="L350" t="s">
        <v>64</v>
      </c>
      <c r="M350" t="s">
        <v>2614</v>
      </c>
      <c r="N350" t="s">
        <v>1253</v>
      </c>
      <c r="O350" t="s">
        <v>64</v>
      </c>
      <c r="P350" t="s">
        <v>55</v>
      </c>
      <c r="Q350" t="s">
        <v>40</v>
      </c>
      <c r="R350">
        <v>67</v>
      </c>
      <c r="S350">
        <v>0</v>
      </c>
      <c r="T350" t="s">
        <v>85</v>
      </c>
      <c r="U350" t="s">
        <v>57</v>
      </c>
      <c r="V350">
        <v>4.18</v>
      </c>
      <c r="W350">
        <v>1.1399999999999999</v>
      </c>
      <c r="X350">
        <v>6.2</v>
      </c>
      <c r="Y350">
        <v>23.9</v>
      </c>
      <c r="Z350">
        <v>17.5</v>
      </c>
      <c r="AA350">
        <f>VALUE(SUBSTITUTE(DACS19___Pfizer’s_Personalised_Medicine_in[[#This Row],[Dose]],"mg",""))</f>
        <v>150</v>
      </c>
      <c r="AB350">
        <f t="shared" si="35"/>
        <v>150</v>
      </c>
      <c r="AC350" t="s">
        <v>40</v>
      </c>
      <c r="AD350">
        <f t="shared" si="36"/>
        <v>3</v>
      </c>
      <c r="AE350">
        <f t="shared" si="37"/>
        <v>2</v>
      </c>
      <c r="AF350" t="e">
        <f t="shared" si="38"/>
        <v>#N/A</v>
      </c>
      <c r="AG350">
        <f t="shared" si="39"/>
        <v>1.1399999999999999</v>
      </c>
      <c r="AH350" t="e">
        <f t="shared" si="40"/>
        <v>#N/A</v>
      </c>
      <c r="AI350" t="e">
        <f t="shared" si="41"/>
        <v>#N/A</v>
      </c>
    </row>
    <row r="351" spans="1:35" x14ac:dyDescent="0.45">
      <c r="A351" t="s">
        <v>1254</v>
      </c>
      <c r="B351">
        <v>36</v>
      </c>
      <c r="C351" t="s">
        <v>45</v>
      </c>
      <c r="D351" t="s">
        <v>87</v>
      </c>
      <c r="E351" t="s">
        <v>29</v>
      </c>
      <c r="F351" t="s">
        <v>69</v>
      </c>
      <c r="G351" t="s">
        <v>102</v>
      </c>
      <c r="H351" t="s">
        <v>32</v>
      </c>
      <c r="I351" t="s">
        <v>33</v>
      </c>
      <c r="J351" t="s">
        <v>1050</v>
      </c>
      <c r="K351" t="s">
        <v>1255</v>
      </c>
      <c r="L351" t="s">
        <v>36</v>
      </c>
      <c r="M351" t="s">
        <v>2614</v>
      </c>
      <c r="N351" t="s">
        <v>690</v>
      </c>
      <c r="O351" t="s">
        <v>36</v>
      </c>
      <c r="P351" t="s">
        <v>110</v>
      </c>
      <c r="Q351" t="s">
        <v>67</v>
      </c>
      <c r="R351">
        <v>87</v>
      </c>
      <c r="S351">
        <v>0</v>
      </c>
      <c r="T351" t="s">
        <v>123</v>
      </c>
      <c r="U351" t="s">
        <v>42</v>
      </c>
      <c r="V351">
        <v>3.09</v>
      </c>
      <c r="W351">
        <v>1.25</v>
      </c>
      <c r="X351">
        <v>8.5</v>
      </c>
      <c r="Y351">
        <v>16.8</v>
      </c>
      <c r="Z351">
        <v>5</v>
      </c>
      <c r="AA351">
        <f>VALUE(SUBSTITUTE(DACS19___Pfizer’s_Personalised_Medicine_in[[#This Row],[Dose]],"mg",""))</f>
        <v>200</v>
      </c>
      <c r="AB351">
        <f t="shared" si="35"/>
        <v>200</v>
      </c>
      <c r="AC351" t="s">
        <v>67</v>
      </c>
      <c r="AD351">
        <f t="shared" si="36"/>
        <v>2</v>
      </c>
      <c r="AE351">
        <f t="shared" si="37"/>
        <v>1</v>
      </c>
      <c r="AF351" t="e">
        <f t="shared" si="38"/>
        <v>#N/A</v>
      </c>
      <c r="AG351" t="e">
        <f t="shared" si="39"/>
        <v>#N/A</v>
      </c>
      <c r="AH351">
        <f t="shared" si="40"/>
        <v>1.25</v>
      </c>
      <c r="AI351" t="e">
        <f t="shared" si="41"/>
        <v>#N/A</v>
      </c>
    </row>
    <row r="352" spans="1:35" x14ac:dyDescent="0.45">
      <c r="A352" t="s">
        <v>1256</v>
      </c>
      <c r="B352">
        <v>80</v>
      </c>
      <c r="C352" t="s">
        <v>45</v>
      </c>
      <c r="D352" t="s">
        <v>95</v>
      </c>
      <c r="E352" t="s">
        <v>2614</v>
      </c>
      <c r="F352" t="s">
        <v>2614</v>
      </c>
      <c r="G352" t="s">
        <v>112</v>
      </c>
      <c r="H352" t="s">
        <v>61</v>
      </c>
      <c r="I352" t="s">
        <v>33</v>
      </c>
      <c r="J352" t="s">
        <v>1257</v>
      </c>
      <c r="K352" t="s">
        <v>1242</v>
      </c>
      <c r="L352" t="s">
        <v>64</v>
      </c>
      <c r="M352" t="s">
        <v>187</v>
      </c>
      <c r="N352" t="s">
        <v>344</v>
      </c>
      <c r="O352" t="s">
        <v>64</v>
      </c>
      <c r="P352" t="s">
        <v>110</v>
      </c>
      <c r="Q352" t="s">
        <v>2614</v>
      </c>
      <c r="R352">
        <v>102</v>
      </c>
      <c r="S352">
        <v>0</v>
      </c>
      <c r="T352" t="s">
        <v>41</v>
      </c>
      <c r="U352" t="s">
        <v>57</v>
      </c>
      <c r="V352">
        <v>1.38</v>
      </c>
      <c r="W352">
        <v>4.6399999999999997</v>
      </c>
      <c r="X352">
        <v>7</v>
      </c>
      <c r="Y352">
        <v>20.9</v>
      </c>
      <c r="Z352">
        <v>17.899999999999999</v>
      </c>
      <c r="AA352">
        <f>VALUE(SUBSTITUTE(DACS19___Pfizer’s_Personalised_Medicine_in[[#This Row],[Dose]],"mg",""))</f>
        <v>150</v>
      </c>
      <c r="AB352">
        <f t="shared" si="35"/>
        <v>150</v>
      </c>
      <c r="AC352" t="s">
        <v>2614</v>
      </c>
      <c r="AD352">
        <f t="shared" si="36"/>
        <v>0</v>
      </c>
      <c r="AE352">
        <f t="shared" si="37"/>
        <v>1</v>
      </c>
      <c r="AF352">
        <f t="shared" si="38"/>
        <v>4.6399999999999997</v>
      </c>
      <c r="AG352" t="e">
        <f t="shared" si="39"/>
        <v>#N/A</v>
      </c>
      <c r="AH352" t="e">
        <f t="shared" si="40"/>
        <v>#N/A</v>
      </c>
      <c r="AI352" t="e">
        <f t="shared" si="41"/>
        <v>#N/A</v>
      </c>
    </row>
    <row r="353" spans="1:35" x14ac:dyDescent="0.45">
      <c r="A353" t="s">
        <v>1258</v>
      </c>
      <c r="B353">
        <v>30</v>
      </c>
      <c r="C353" t="s">
        <v>27</v>
      </c>
      <c r="D353" t="s">
        <v>28</v>
      </c>
      <c r="E353" t="s">
        <v>29</v>
      </c>
      <c r="F353" t="s">
        <v>2614</v>
      </c>
      <c r="G353" t="s">
        <v>118</v>
      </c>
      <c r="H353" t="s">
        <v>32</v>
      </c>
      <c r="I353" t="s">
        <v>33</v>
      </c>
      <c r="J353" t="s">
        <v>1259</v>
      </c>
      <c r="K353" t="s">
        <v>659</v>
      </c>
      <c r="L353" t="s">
        <v>36</v>
      </c>
      <c r="M353" t="s">
        <v>339</v>
      </c>
      <c r="N353" t="s">
        <v>240</v>
      </c>
      <c r="O353" t="s">
        <v>36</v>
      </c>
      <c r="P353" t="s">
        <v>110</v>
      </c>
      <c r="Q353" t="s">
        <v>67</v>
      </c>
      <c r="R353">
        <v>32</v>
      </c>
      <c r="S353">
        <v>0</v>
      </c>
      <c r="T353" t="s">
        <v>137</v>
      </c>
      <c r="U353" t="s">
        <v>42</v>
      </c>
      <c r="V353">
        <v>3.29</v>
      </c>
      <c r="W353">
        <v>3.07</v>
      </c>
      <c r="X353">
        <v>4.9000000000000004</v>
      </c>
      <c r="Y353">
        <v>11.7</v>
      </c>
      <c r="Z353">
        <v>10.4</v>
      </c>
      <c r="AA353">
        <f>VALUE(SUBSTITUTE(DACS19___Pfizer’s_Personalised_Medicine_in[[#This Row],[Dose]],"mg",""))</f>
        <v>200</v>
      </c>
      <c r="AB353">
        <f t="shared" si="35"/>
        <v>200</v>
      </c>
      <c r="AC353" t="s">
        <v>67</v>
      </c>
      <c r="AD353">
        <f t="shared" si="36"/>
        <v>2</v>
      </c>
      <c r="AE353">
        <f t="shared" si="37"/>
        <v>1</v>
      </c>
      <c r="AF353" t="e">
        <f t="shared" si="38"/>
        <v>#N/A</v>
      </c>
      <c r="AG353" t="e">
        <f t="shared" si="39"/>
        <v>#N/A</v>
      </c>
      <c r="AH353">
        <f t="shared" si="40"/>
        <v>3.07</v>
      </c>
      <c r="AI353" t="e">
        <f t="shared" si="41"/>
        <v>#N/A</v>
      </c>
    </row>
    <row r="354" spans="1:35" x14ac:dyDescent="0.45">
      <c r="A354" t="s">
        <v>1260</v>
      </c>
      <c r="B354">
        <v>36</v>
      </c>
      <c r="C354" t="s">
        <v>44</v>
      </c>
      <c r="D354" t="s">
        <v>95</v>
      </c>
      <c r="E354" t="s">
        <v>46</v>
      </c>
      <c r="F354" t="s">
        <v>2614</v>
      </c>
      <c r="G354" t="s">
        <v>102</v>
      </c>
      <c r="H354" t="s">
        <v>32</v>
      </c>
      <c r="I354" t="s">
        <v>33</v>
      </c>
      <c r="J354" t="s">
        <v>1261</v>
      </c>
      <c r="K354" t="s">
        <v>1262</v>
      </c>
      <c r="L354" t="s">
        <v>64</v>
      </c>
      <c r="M354" t="s">
        <v>2646</v>
      </c>
      <c r="N354" t="s">
        <v>150</v>
      </c>
      <c r="O354" t="s">
        <v>64</v>
      </c>
      <c r="P354" t="s">
        <v>55</v>
      </c>
      <c r="Q354" t="s">
        <v>67</v>
      </c>
      <c r="R354">
        <v>38</v>
      </c>
      <c r="S354">
        <v>0</v>
      </c>
      <c r="T354" t="s">
        <v>123</v>
      </c>
      <c r="U354" t="s">
        <v>42</v>
      </c>
      <c r="V354">
        <v>4.0999999999999996</v>
      </c>
      <c r="W354">
        <v>3.41</v>
      </c>
      <c r="X354">
        <v>9</v>
      </c>
      <c r="Y354">
        <v>14</v>
      </c>
      <c r="Z354">
        <v>13.3</v>
      </c>
      <c r="AA354">
        <f>VALUE(SUBSTITUTE(DACS19___Pfizer’s_Personalised_Medicine_in[[#This Row],[Dose]],"mg",""))</f>
        <v>150</v>
      </c>
      <c r="AB354">
        <f t="shared" si="35"/>
        <v>150</v>
      </c>
      <c r="AC354" t="s">
        <v>67</v>
      </c>
      <c r="AD354">
        <f t="shared" si="36"/>
        <v>2</v>
      </c>
      <c r="AE354">
        <f t="shared" si="37"/>
        <v>2</v>
      </c>
      <c r="AF354" t="e">
        <f t="shared" si="38"/>
        <v>#N/A</v>
      </c>
      <c r="AG354" t="e">
        <f t="shared" si="39"/>
        <v>#N/A</v>
      </c>
      <c r="AH354">
        <f t="shared" si="40"/>
        <v>3.41</v>
      </c>
      <c r="AI354" t="e">
        <f t="shared" si="41"/>
        <v>#N/A</v>
      </c>
    </row>
    <row r="355" spans="1:35" x14ac:dyDescent="0.45">
      <c r="A355" t="s">
        <v>1264</v>
      </c>
      <c r="B355">
        <v>68</v>
      </c>
      <c r="C355" t="s">
        <v>44</v>
      </c>
      <c r="D355" t="s">
        <v>28</v>
      </c>
      <c r="E355" t="s">
        <v>29</v>
      </c>
      <c r="F355" t="s">
        <v>2614</v>
      </c>
      <c r="G355" t="s">
        <v>131</v>
      </c>
      <c r="H355" t="s">
        <v>61</v>
      </c>
      <c r="I355" t="s">
        <v>33</v>
      </c>
      <c r="J355" t="s">
        <v>836</v>
      </c>
      <c r="K355" t="s">
        <v>1265</v>
      </c>
      <c r="L355" t="s">
        <v>36</v>
      </c>
      <c r="M355" t="s">
        <v>451</v>
      </c>
      <c r="N355" t="s">
        <v>463</v>
      </c>
      <c r="O355" t="s">
        <v>36</v>
      </c>
      <c r="P355" t="s">
        <v>39</v>
      </c>
      <c r="Q355" t="s">
        <v>129</v>
      </c>
      <c r="R355">
        <v>155</v>
      </c>
      <c r="S355">
        <v>1</v>
      </c>
      <c r="T355" t="s">
        <v>85</v>
      </c>
      <c r="U355" t="s">
        <v>42</v>
      </c>
      <c r="V355">
        <v>3.53</v>
      </c>
      <c r="W355">
        <v>3.37</v>
      </c>
      <c r="X355">
        <v>7.3</v>
      </c>
      <c r="Y355">
        <v>10.3</v>
      </c>
      <c r="Z355">
        <v>11.7</v>
      </c>
      <c r="AA355">
        <f>VALUE(SUBSTITUTE(DACS19___Pfizer’s_Personalised_Medicine_in[[#This Row],[Dose]],"mg",""))</f>
        <v>200</v>
      </c>
      <c r="AB355">
        <f t="shared" si="35"/>
        <v>200</v>
      </c>
      <c r="AC355" t="s">
        <v>129</v>
      </c>
      <c r="AD355">
        <f t="shared" si="36"/>
        <v>4</v>
      </c>
      <c r="AE355">
        <f t="shared" si="37"/>
        <v>3</v>
      </c>
      <c r="AF355">
        <f t="shared" si="38"/>
        <v>3.37</v>
      </c>
      <c r="AG355" t="e">
        <f t="shared" si="39"/>
        <v>#N/A</v>
      </c>
      <c r="AH355" t="e">
        <f t="shared" si="40"/>
        <v>#N/A</v>
      </c>
      <c r="AI355" t="e">
        <f t="shared" si="41"/>
        <v>#N/A</v>
      </c>
    </row>
    <row r="356" spans="1:35" x14ac:dyDescent="0.45">
      <c r="A356" t="s">
        <v>1266</v>
      </c>
      <c r="B356">
        <v>20</v>
      </c>
      <c r="C356" t="s">
        <v>45</v>
      </c>
      <c r="D356" t="s">
        <v>45</v>
      </c>
      <c r="E356" t="s">
        <v>29</v>
      </c>
      <c r="F356" t="s">
        <v>88</v>
      </c>
      <c r="G356" t="s">
        <v>80</v>
      </c>
      <c r="H356" t="s">
        <v>71</v>
      </c>
      <c r="I356" t="s">
        <v>33</v>
      </c>
      <c r="J356" t="s">
        <v>1267</v>
      </c>
      <c r="K356" t="s">
        <v>1268</v>
      </c>
      <c r="L356" t="s">
        <v>64</v>
      </c>
      <c r="M356" t="s">
        <v>834</v>
      </c>
      <c r="N356" t="s">
        <v>776</v>
      </c>
      <c r="O356" t="s">
        <v>64</v>
      </c>
      <c r="P356" t="s">
        <v>110</v>
      </c>
      <c r="Q356" t="s">
        <v>75</v>
      </c>
      <c r="R356">
        <v>77</v>
      </c>
      <c r="S356">
        <v>0</v>
      </c>
      <c r="T356" t="s">
        <v>56</v>
      </c>
      <c r="U356" t="s">
        <v>42</v>
      </c>
      <c r="V356">
        <v>1.42</v>
      </c>
      <c r="W356">
        <v>2.54</v>
      </c>
      <c r="X356">
        <v>5.4</v>
      </c>
      <c r="Y356">
        <v>17.7</v>
      </c>
      <c r="Z356">
        <v>19.2</v>
      </c>
      <c r="AA356">
        <f>VALUE(SUBSTITUTE(DACS19___Pfizer’s_Personalised_Medicine_in[[#This Row],[Dose]],"mg",""))</f>
        <v>150</v>
      </c>
      <c r="AB356">
        <f t="shared" si="35"/>
        <v>150</v>
      </c>
      <c r="AC356" t="s">
        <v>75</v>
      </c>
      <c r="AD356">
        <f t="shared" si="36"/>
        <v>1</v>
      </c>
      <c r="AE356">
        <f t="shared" si="37"/>
        <v>1</v>
      </c>
      <c r="AF356" t="e">
        <f t="shared" si="38"/>
        <v>#N/A</v>
      </c>
      <c r="AG356">
        <f t="shared" si="39"/>
        <v>2.54</v>
      </c>
      <c r="AH356" t="e">
        <f t="shared" si="40"/>
        <v>#N/A</v>
      </c>
      <c r="AI356" t="e">
        <f t="shared" si="41"/>
        <v>#N/A</v>
      </c>
    </row>
    <row r="357" spans="1:35" x14ac:dyDescent="0.45">
      <c r="A357" t="s">
        <v>1269</v>
      </c>
      <c r="B357">
        <v>68</v>
      </c>
      <c r="C357" t="s">
        <v>45</v>
      </c>
      <c r="D357" t="s">
        <v>45</v>
      </c>
      <c r="E357" t="s">
        <v>29</v>
      </c>
      <c r="F357" t="s">
        <v>69</v>
      </c>
      <c r="G357" t="s">
        <v>80</v>
      </c>
      <c r="H357" t="s">
        <v>61</v>
      </c>
      <c r="I357" t="s">
        <v>72</v>
      </c>
      <c r="J357" t="s">
        <v>1270</v>
      </c>
      <c r="K357" t="s">
        <v>1271</v>
      </c>
      <c r="L357" t="s">
        <v>52</v>
      </c>
      <c r="M357" t="s">
        <v>75</v>
      </c>
      <c r="N357" t="s">
        <v>711</v>
      </c>
      <c r="O357" t="s">
        <v>52</v>
      </c>
      <c r="P357" t="s">
        <v>55</v>
      </c>
      <c r="Q357" t="s">
        <v>129</v>
      </c>
      <c r="R357">
        <v>40</v>
      </c>
      <c r="S357">
        <v>0</v>
      </c>
      <c r="T357" t="s">
        <v>41</v>
      </c>
      <c r="U357" t="s">
        <v>42</v>
      </c>
      <c r="V357">
        <v>3.4</v>
      </c>
      <c r="W357">
        <v>3.97</v>
      </c>
      <c r="X357">
        <v>5.6</v>
      </c>
      <c r="Y357">
        <v>17.399999999999999</v>
      </c>
      <c r="Z357">
        <v>4.2</v>
      </c>
      <c r="AA357">
        <f>VALUE(SUBSTITUTE(DACS19___Pfizer’s_Personalised_Medicine_in[[#This Row],[Dose]],"mg",""))</f>
        <v>100</v>
      </c>
      <c r="AB357">
        <f t="shared" si="35"/>
        <v>100</v>
      </c>
      <c r="AC357" t="s">
        <v>129</v>
      </c>
      <c r="AD357">
        <f t="shared" si="36"/>
        <v>4</v>
      </c>
      <c r="AE357">
        <f t="shared" si="37"/>
        <v>2</v>
      </c>
      <c r="AF357">
        <f t="shared" si="38"/>
        <v>3.97</v>
      </c>
      <c r="AG357" t="e">
        <f t="shared" si="39"/>
        <v>#N/A</v>
      </c>
      <c r="AH357" t="e">
        <f t="shared" si="40"/>
        <v>#N/A</v>
      </c>
      <c r="AI357" t="e">
        <f t="shared" si="41"/>
        <v>#N/A</v>
      </c>
    </row>
    <row r="358" spans="1:35" x14ac:dyDescent="0.45">
      <c r="A358" t="s">
        <v>1272</v>
      </c>
      <c r="B358">
        <v>38</v>
      </c>
      <c r="C358" t="s">
        <v>27</v>
      </c>
      <c r="D358" t="s">
        <v>45</v>
      </c>
      <c r="E358" t="s">
        <v>2614</v>
      </c>
      <c r="F358" t="s">
        <v>2614</v>
      </c>
      <c r="G358" t="s">
        <v>118</v>
      </c>
      <c r="H358" t="s">
        <v>61</v>
      </c>
      <c r="I358" t="s">
        <v>49</v>
      </c>
      <c r="J358" t="s">
        <v>635</v>
      </c>
      <c r="K358" t="s">
        <v>1273</v>
      </c>
      <c r="L358" t="s">
        <v>52</v>
      </c>
      <c r="M358" t="s">
        <v>274</v>
      </c>
      <c r="N358" t="s">
        <v>100</v>
      </c>
      <c r="O358" t="s">
        <v>52</v>
      </c>
      <c r="P358" t="s">
        <v>39</v>
      </c>
      <c r="Q358" t="s">
        <v>75</v>
      </c>
      <c r="R358">
        <v>105</v>
      </c>
      <c r="S358">
        <v>1</v>
      </c>
      <c r="T358" t="s">
        <v>85</v>
      </c>
      <c r="U358" t="s">
        <v>57</v>
      </c>
      <c r="V358">
        <v>2.02</v>
      </c>
      <c r="W358">
        <v>2.4500000000000002</v>
      </c>
      <c r="X358">
        <v>5.3</v>
      </c>
      <c r="Y358">
        <v>6.8</v>
      </c>
      <c r="Z358">
        <v>5.4</v>
      </c>
      <c r="AA358">
        <f>VALUE(SUBSTITUTE(DACS19___Pfizer’s_Personalised_Medicine_in[[#This Row],[Dose]],"mg",""))</f>
        <v>100</v>
      </c>
      <c r="AB358">
        <f t="shared" si="35"/>
        <v>100</v>
      </c>
      <c r="AC358" t="s">
        <v>75</v>
      </c>
      <c r="AD358">
        <f t="shared" si="36"/>
        <v>1</v>
      </c>
      <c r="AE358">
        <f t="shared" si="37"/>
        <v>3</v>
      </c>
      <c r="AF358">
        <f t="shared" si="38"/>
        <v>2.4500000000000002</v>
      </c>
      <c r="AG358" t="e">
        <f t="shared" si="39"/>
        <v>#N/A</v>
      </c>
      <c r="AH358" t="e">
        <f t="shared" si="40"/>
        <v>#N/A</v>
      </c>
      <c r="AI358" t="e">
        <f t="shared" si="41"/>
        <v>#N/A</v>
      </c>
    </row>
    <row r="359" spans="1:35" x14ac:dyDescent="0.45">
      <c r="A359" t="s">
        <v>1274</v>
      </c>
      <c r="B359">
        <v>35</v>
      </c>
      <c r="C359" t="s">
        <v>45</v>
      </c>
      <c r="D359" t="s">
        <v>95</v>
      </c>
      <c r="E359" t="s">
        <v>2614</v>
      </c>
      <c r="F359" t="s">
        <v>2614</v>
      </c>
      <c r="G359" t="s">
        <v>194</v>
      </c>
      <c r="H359" t="s">
        <v>71</v>
      </c>
      <c r="I359" t="s">
        <v>49</v>
      </c>
      <c r="J359" t="s">
        <v>1275</v>
      </c>
      <c r="K359" t="s">
        <v>1276</v>
      </c>
      <c r="L359" t="s">
        <v>52</v>
      </c>
      <c r="M359" t="s">
        <v>339</v>
      </c>
      <c r="N359" t="s">
        <v>926</v>
      </c>
      <c r="O359" t="s">
        <v>52</v>
      </c>
      <c r="P359" t="s">
        <v>110</v>
      </c>
      <c r="Q359" t="s">
        <v>67</v>
      </c>
      <c r="R359">
        <v>121</v>
      </c>
      <c r="S359">
        <v>0</v>
      </c>
      <c r="T359" t="s">
        <v>137</v>
      </c>
      <c r="U359" t="s">
        <v>42</v>
      </c>
      <c r="V359">
        <v>2.11</v>
      </c>
      <c r="W359">
        <v>4.8899999999999997</v>
      </c>
      <c r="X359">
        <v>4</v>
      </c>
      <c r="Y359">
        <v>14.7</v>
      </c>
      <c r="Z359">
        <v>6.3</v>
      </c>
      <c r="AA359">
        <f>VALUE(SUBSTITUTE(DACS19___Pfizer’s_Personalised_Medicine_in[[#This Row],[Dose]],"mg",""))</f>
        <v>100</v>
      </c>
      <c r="AB359">
        <f t="shared" si="35"/>
        <v>100</v>
      </c>
      <c r="AC359" t="s">
        <v>67</v>
      </c>
      <c r="AD359">
        <f t="shared" si="36"/>
        <v>2</v>
      </c>
      <c r="AE359">
        <f t="shared" si="37"/>
        <v>1</v>
      </c>
      <c r="AF359" t="e">
        <f t="shared" si="38"/>
        <v>#N/A</v>
      </c>
      <c r="AG359">
        <f t="shared" si="39"/>
        <v>4.8899999999999997</v>
      </c>
      <c r="AH359" t="e">
        <f t="shared" si="40"/>
        <v>#N/A</v>
      </c>
      <c r="AI359" t="e">
        <f t="shared" si="41"/>
        <v>#N/A</v>
      </c>
    </row>
    <row r="360" spans="1:35" x14ac:dyDescent="0.45">
      <c r="A360" t="s">
        <v>1277</v>
      </c>
      <c r="B360">
        <v>72</v>
      </c>
      <c r="C360" t="s">
        <v>27</v>
      </c>
      <c r="D360" t="s">
        <v>45</v>
      </c>
      <c r="E360" t="s">
        <v>2614</v>
      </c>
      <c r="F360" t="s">
        <v>79</v>
      </c>
      <c r="G360" t="s">
        <v>131</v>
      </c>
      <c r="H360" t="s">
        <v>81</v>
      </c>
      <c r="I360" t="s">
        <v>49</v>
      </c>
      <c r="J360" t="s">
        <v>1278</v>
      </c>
      <c r="K360" t="s">
        <v>311</v>
      </c>
      <c r="L360" t="s">
        <v>52</v>
      </c>
      <c r="M360" t="s">
        <v>2647</v>
      </c>
      <c r="N360" t="s">
        <v>1280</v>
      </c>
      <c r="O360" t="s">
        <v>52</v>
      </c>
      <c r="P360" t="s">
        <v>55</v>
      </c>
      <c r="Q360" t="s">
        <v>67</v>
      </c>
      <c r="R360">
        <v>125</v>
      </c>
      <c r="S360">
        <v>0</v>
      </c>
      <c r="T360" t="s">
        <v>85</v>
      </c>
      <c r="U360" t="s">
        <v>42</v>
      </c>
      <c r="V360">
        <v>3.44</v>
      </c>
      <c r="W360">
        <v>2.12</v>
      </c>
      <c r="X360">
        <v>2.9</v>
      </c>
      <c r="Y360">
        <v>15.3</v>
      </c>
      <c r="Z360">
        <v>3.1</v>
      </c>
      <c r="AA360">
        <f>VALUE(SUBSTITUTE(DACS19___Pfizer’s_Personalised_Medicine_in[[#This Row],[Dose]],"mg",""))</f>
        <v>100</v>
      </c>
      <c r="AB360">
        <f t="shared" si="35"/>
        <v>100</v>
      </c>
      <c r="AC360" t="s">
        <v>67</v>
      </c>
      <c r="AD360">
        <f t="shared" si="36"/>
        <v>2</v>
      </c>
      <c r="AE360">
        <f t="shared" si="37"/>
        <v>2</v>
      </c>
      <c r="AF360" t="e">
        <f t="shared" si="38"/>
        <v>#N/A</v>
      </c>
      <c r="AG360" t="e">
        <f t="shared" si="39"/>
        <v>#N/A</v>
      </c>
      <c r="AH360" t="e">
        <f t="shared" si="40"/>
        <v>#N/A</v>
      </c>
      <c r="AI360">
        <f t="shared" si="41"/>
        <v>2.12</v>
      </c>
    </row>
    <row r="361" spans="1:35" x14ac:dyDescent="0.45">
      <c r="A361" t="s">
        <v>1281</v>
      </c>
      <c r="B361">
        <v>71</v>
      </c>
      <c r="C361" t="s">
        <v>27</v>
      </c>
      <c r="D361" t="s">
        <v>28</v>
      </c>
      <c r="E361" t="s">
        <v>78</v>
      </c>
      <c r="F361" t="s">
        <v>69</v>
      </c>
      <c r="G361" t="s">
        <v>60</v>
      </c>
      <c r="H361" t="s">
        <v>61</v>
      </c>
      <c r="I361" t="s">
        <v>132</v>
      </c>
      <c r="J361" t="s">
        <v>854</v>
      </c>
      <c r="K361" t="s">
        <v>1282</v>
      </c>
      <c r="L361" t="s">
        <v>36</v>
      </c>
      <c r="M361" t="s">
        <v>2614</v>
      </c>
      <c r="N361" t="s">
        <v>586</v>
      </c>
      <c r="O361" t="s">
        <v>36</v>
      </c>
      <c r="P361" t="s">
        <v>39</v>
      </c>
      <c r="Q361" t="s">
        <v>2614</v>
      </c>
      <c r="R361">
        <v>115</v>
      </c>
      <c r="S361">
        <v>1</v>
      </c>
      <c r="T361" t="s">
        <v>137</v>
      </c>
      <c r="U361" t="s">
        <v>42</v>
      </c>
      <c r="V361">
        <v>1.03</v>
      </c>
      <c r="W361">
        <v>1.88</v>
      </c>
      <c r="X361">
        <v>1.3</v>
      </c>
      <c r="Y361">
        <v>7.9</v>
      </c>
      <c r="Z361">
        <v>8.8000000000000007</v>
      </c>
      <c r="AA361">
        <f>VALUE(SUBSTITUTE(DACS19___Pfizer’s_Personalised_Medicine_in[[#This Row],[Dose]],"mg",""))</f>
        <v>200</v>
      </c>
      <c r="AB361">
        <f t="shared" si="35"/>
        <v>200</v>
      </c>
      <c r="AC361" t="s">
        <v>2614</v>
      </c>
      <c r="AD361">
        <f t="shared" si="36"/>
        <v>0</v>
      </c>
      <c r="AE361">
        <f t="shared" si="37"/>
        <v>3</v>
      </c>
      <c r="AF361">
        <f t="shared" si="38"/>
        <v>1.88</v>
      </c>
      <c r="AG361" t="e">
        <f t="shared" si="39"/>
        <v>#N/A</v>
      </c>
      <c r="AH361" t="e">
        <f t="shared" si="40"/>
        <v>#N/A</v>
      </c>
      <c r="AI361" t="e">
        <f t="shared" si="41"/>
        <v>#N/A</v>
      </c>
    </row>
    <row r="362" spans="1:35" x14ac:dyDescent="0.45">
      <c r="A362" t="s">
        <v>1283</v>
      </c>
      <c r="B362">
        <v>46</v>
      </c>
      <c r="C362" t="s">
        <v>44</v>
      </c>
      <c r="D362" t="s">
        <v>87</v>
      </c>
      <c r="E362" t="s">
        <v>163</v>
      </c>
      <c r="F362" t="s">
        <v>79</v>
      </c>
      <c r="G362" t="s">
        <v>131</v>
      </c>
      <c r="H362" t="s">
        <v>61</v>
      </c>
      <c r="I362" t="s">
        <v>49</v>
      </c>
      <c r="J362" t="s">
        <v>1284</v>
      </c>
      <c r="K362" t="s">
        <v>1285</v>
      </c>
      <c r="L362" t="s">
        <v>36</v>
      </c>
      <c r="M362" t="s">
        <v>75</v>
      </c>
      <c r="N362" t="s">
        <v>954</v>
      </c>
      <c r="O362" t="s">
        <v>36</v>
      </c>
      <c r="P362" t="s">
        <v>110</v>
      </c>
      <c r="Q362" t="s">
        <v>75</v>
      </c>
      <c r="R362">
        <v>102</v>
      </c>
      <c r="S362">
        <v>0</v>
      </c>
      <c r="T362" t="s">
        <v>85</v>
      </c>
      <c r="U362" t="s">
        <v>57</v>
      </c>
      <c r="V362">
        <v>4.21</v>
      </c>
      <c r="W362">
        <v>3.29</v>
      </c>
      <c r="X362">
        <v>5.6</v>
      </c>
      <c r="Y362">
        <v>11.3</v>
      </c>
      <c r="Z362">
        <v>18.8</v>
      </c>
      <c r="AA362">
        <f>VALUE(SUBSTITUTE(DACS19___Pfizer’s_Personalised_Medicine_in[[#This Row],[Dose]],"mg",""))</f>
        <v>200</v>
      </c>
      <c r="AB362">
        <f t="shared" si="35"/>
        <v>200</v>
      </c>
      <c r="AC362" t="s">
        <v>75</v>
      </c>
      <c r="AD362">
        <f t="shared" si="36"/>
        <v>1</v>
      </c>
      <c r="AE362">
        <f t="shared" si="37"/>
        <v>1</v>
      </c>
      <c r="AF362">
        <f t="shared" si="38"/>
        <v>3.29</v>
      </c>
      <c r="AG362" t="e">
        <f t="shared" si="39"/>
        <v>#N/A</v>
      </c>
      <c r="AH362" t="e">
        <f t="shared" si="40"/>
        <v>#N/A</v>
      </c>
      <c r="AI362" t="e">
        <f t="shared" si="41"/>
        <v>#N/A</v>
      </c>
    </row>
    <row r="363" spans="1:35" x14ac:dyDescent="0.45">
      <c r="A363" t="s">
        <v>1286</v>
      </c>
      <c r="B363">
        <v>30</v>
      </c>
      <c r="C363" t="s">
        <v>27</v>
      </c>
      <c r="D363" t="s">
        <v>106</v>
      </c>
      <c r="E363" t="s">
        <v>2614</v>
      </c>
      <c r="F363" t="s">
        <v>2614</v>
      </c>
      <c r="G363" t="s">
        <v>131</v>
      </c>
      <c r="H363" t="s">
        <v>71</v>
      </c>
      <c r="I363" t="s">
        <v>132</v>
      </c>
      <c r="J363" t="s">
        <v>1287</v>
      </c>
      <c r="K363" t="s">
        <v>929</v>
      </c>
      <c r="L363" t="s">
        <v>36</v>
      </c>
      <c r="M363" t="s">
        <v>2648</v>
      </c>
      <c r="N363" t="s">
        <v>501</v>
      </c>
      <c r="O363" t="s">
        <v>36</v>
      </c>
      <c r="P363" t="s">
        <v>110</v>
      </c>
      <c r="Q363" t="s">
        <v>67</v>
      </c>
      <c r="R363">
        <v>62</v>
      </c>
      <c r="S363">
        <v>0</v>
      </c>
      <c r="T363" t="s">
        <v>41</v>
      </c>
      <c r="U363" t="s">
        <v>57</v>
      </c>
      <c r="V363">
        <v>2.59</v>
      </c>
      <c r="W363">
        <v>1.35</v>
      </c>
      <c r="X363">
        <v>6.6</v>
      </c>
      <c r="Y363">
        <v>8</v>
      </c>
      <c r="Z363">
        <v>8.9</v>
      </c>
      <c r="AA363">
        <f>VALUE(SUBSTITUTE(DACS19___Pfizer’s_Personalised_Medicine_in[[#This Row],[Dose]],"mg",""))</f>
        <v>200</v>
      </c>
      <c r="AB363">
        <f t="shared" si="35"/>
        <v>200</v>
      </c>
      <c r="AC363" t="s">
        <v>67</v>
      </c>
      <c r="AD363">
        <f t="shared" si="36"/>
        <v>2</v>
      </c>
      <c r="AE363">
        <f t="shared" si="37"/>
        <v>1</v>
      </c>
      <c r="AF363" t="e">
        <f t="shared" si="38"/>
        <v>#N/A</v>
      </c>
      <c r="AG363">
        <f t="shared" si="39"/>
        <v>1.35</v>
      </c>
      <c r="AH363" t="e">
        <f t="shared" si="40"/>
        <v>#N/A</v>
      </c>
      <c r="AI363" t="e">
        <f t="shared" si="41"/>
        <v>#N/A</v>
      </c>
    </row>
    <row r="364" spans="1:35" x14ac:dyDescent="0.45">
      <c r="A364" t="s">
        <v>1289</v>
      </c>
      <c r="B364">
        <v>52</v>
      </c>
      <c r="C364" t="s">
        <v>27</v>
      </c>
      <c r="D364" t="s">
        <v>28</v>
      </c>
      <c r="E364" t="s">
        <v>46</v>
      </c>
      <c r="F364" t="s">
        <v>2614</v>
      </c>
      <c r="G364" t="s">
        <v>48</v>
      </c>
      <c r="H364" t="s">
        <v>81</v>
      </c>
      <c r="I364" t="s">
        <v>72</v>
      </c>
      <c r="J364" t="s">
        <v>272</v>
      </c>
      <c r="K364" t="s">
        <v>1290</v>
      </c>
      <c r="L364" t="s">
        <v>64</v>
      </c>
      <c r="M364" t="s">
        <v>1291</v>
      </c>
      <c r="N364" t="s">
        <v>1292</v>
      </c>
      <c r="O364" t="s">
        <v>64</v>
      </c>
      <c r="P364" t="s">
        <v>110</v>
      </c>
      <c r="Q364" t="s">
        <v>129</v>
      </c>
      <c r="R364">
        <v>108</v>
      </c>
      <c r="S364">
        <v>0</v>
      </c>
      <c r="T364" t="s">
        <v>56</v>
      </c>
      <c r="U364" t="s">
        <v>57</v>
      </c>
      <c r="V364">
        <v>3.03</v>
      </c>
      <c r="W364">
        <v>4.5</v>
      </c>
      <c r="X364">
        <v>5.4</v>
      </c>
      <c r="Y364">
        <v>18.600000000000001</v>
      </c>
      <c r="Z364">
        <v>19.899999999999999</v>
      </c>
      <c r="AA364">
        <f>VALUE(SUBSTITUTE(DACS19___Pfizer’s_Personalised_Medicine_in[[#This Row],[Dose]],"mg",""))</f>
        <v>150</v>
      </c>
      <c r="AB364">
        <f t="shared" si="35"/>
        <v>150</v>
      </c>
      <c r="AC364" t="s">
        <v>129</v>
      </c>
      <c r="AD364">
        <f t="shared" si="36"/>
        <v>4</v>
      </c>
      <c r="AE364">
        <f t="shared" si="37"/>
        <v>1</v>
      </c>
      <c r="AF364" t="e">
        <f t="shared" si="38"/>
        <v>#N/A</v>
      </c>
      <c r="AG364" t="e">
        <f t="shared" si="39"/>
        <v>#N/A</v>
      </c>
      <c r="AH364" t="e">
        <f t="shared" si="40"/>
        <v>#N/A</v>
      </c>
      <c r="AI364">
        <f t="shared" si="41"/>
        <v>4.5</v>
      </c>
    </row>
    <row r="365" spans="1:35" x14ac:dyDescent="0.45">
      <c r="A365" t="s">
        <v>1293</v>
      </c>
      <c r="B365">
        <v>29</v>
      </c>
      <c r="C365" t="s">
        <v>45</v>
      </c>
      <c r="D365" t="s">
        <v>87</v>
      </c>
      <c r="E365" t="s">
        <v>163</v>
      </c>
      <c r="F365" t="s">
        <v>2614</v>
      </c>
      <c r="G365" t="s">
        <v>125</v>
      </c>
      <c r="H365" t="s">
        <v>71</v>
      </c>
      <c r="I365" t="s">
        <v>49</v>
      </c>
      <c r="J365" t="s">
        <v>1294</v>
      </c>
      <c r="K365" t="s">
        <v>1295</v>
      </c>
      <c r="L365" t="s">
        <v>36</v>
      </c>
      <c r="M365" t="s">
        <v>40</v>
      </c>
      <c r="N365" t="s">
        <v>327</v>
      </c>
      <c r="O365" t="s">
        <v>36</v>
      </c>
      <c r="P365" t="s">
        <v>110</v>
      </c>
      <c r="Q365" t="s">
        <v>67</v>
      </c>
      <c r="R365">
        <v>152</v>
      </c>
      <c r="S365">
        <v>0</v>
      </c>
      <c r="T365" t="s">
        <v>56</v>
      </c>
      <c r="U365" t="s">
        <v>42</v>
      </c>
      <c r="V365">
        <v>1.53</v>
      </c>
      <c r="W365">
        <v>2.1</v>
      </c>
      <c r="X365">
        <v>4.5999999999999996</v>
      </c>
      <c r="Y365">
        <v>13.6</v>
      </c>
      <c r="Z365">
        <v>10</v>
      </c>
      <c r="AA365">
        <f>VALUE(SUBSTITUTE(DACS19___Pfizer’s_Personalised_Medicine_in[[#This Row],[Dose]],"mg",""))</f>
        <v>200</v>
      </c>
      <c r="AB365">
        <f t="shared" si="35"/>
        <v>200</v>
      </c>
      <c r="AC365" t="s">
        <v>67</v>
      </c>
      <c r="AD365">
        <f t="shared" si="36"/>
        <v>2</v>
      </c>
      <c r="AE365">
        <f t="shared" si="37"/>
        <v>1</v>
      </c>
      <c r="AF365" t="e">
        <f t="shared" si="38"/>
        <v>#N/A</v>
      </c>
      <c r="AG365">
        <f t="shared" si="39"/>
        <v>2.1</v>
      </c>
      <c r="AH365" t="e">
        <f t="shared" si="40"/>
        <v>#N/A</v>
      </c>
      <c r="AI365" t="e">
        <f t="shared" si="41"/>
        <v>#N/A</v>
      </c>
    </row>
    <row r="366" spans="1:35" x14ac:dyDescent="0.45">
      <c r="A366" t="s">
        <v>1296</v>
      </c>
      <c r="B366">
        <v>69</v>
      </c>
      <c r="C366" t="s">
        <v>27</v>
      </c>
      <c r="D366" t="s">
        <v>45</v>
      </c>
      <c r="E366" t="s">
        <v>46</v>
      </c>
      <c r="F366" t="s">
        <v>2614</v>
      </c>
      <c r="G366" t="s">
        <v>164</v>
      </c>
      <c r="H366" t="s">
        <v>81</v>
      </c>
      <c r="I366" t="s">
        <v>132</v>
      </c>
      <c r="J366" t="s">
        <v>774</v>
      </c>
      <c r="K366" t="s">
        <v>1297</v>
      </c>
      <c r="L366" t="s">
        <v>92</v>
      </c>
      <c r="M366" t="s">
        <v>2646</v>
      </c>
      <c r="N366" t="s">
        <v>930</v>
      </c>
      <c r="O366" t="s">
        <v>92</v>
      </c>
      <c r="P366" t="s">
        <v>110</v>
      </c>
      <c r="Q366" t="s">
        <v>67</v>
      </c>
      <c r="R366">
        <v>74</v>
      </c>
      <c r="S366">
        <v>0</v>
      </c>
      <c r="T366" t="s">
        <v>123</v>
      </c>
      <c r="U366" t="s">
        <v>57</v>
      </c>
      <c r="V366">
        <v>4.63</v>
      </c>
      <c r="W366">
        <v>3.86</v>
      </c>
      <c r="X366">
        <v>6.5</v>
      </c>
      <c r="Y366">
        <v>11.6</v>
      </c>
      <c r="Z366">
        <v>17</v>
      </c>
      <c r="AA366">
        <f>VALUE(SUBSTITUTE(DACS19___Pfizer’s_Personalised_Medicine_in[[#This Row],[Dose]],"mg",""))</f>
        <v>50</v>
      </c>
      <c r="AB366">
        <f t="shared" si="35"/>
        <v>50</v>
      </c>
      <c r="AC366" t="s">
        <v>67</v>
      </c>
      <c r="AD366">
        <f t="shared" si="36"/>
        <v>2</v>
      </c>
      <c r="AE366">
        <f t="shared" si="37"/>
        <v>1</v>
      </c>
      <c r="AF366" t="e">
        <f t="shared" si="38"/>
        <v>#N/A</v>
      </c>
      <c r="AG366" t="e">
        <f t="shared" si="39"/>
        <v>#N/A</v>
      </c>
      <c r="AH366" t="e">
        <f t="shared" si="40"/>
        <v>#N/A</v>
      </c>
      <c r="AI366">
        <f t="shared" si="41"/>
        <v>3.86</v>
      </c>
    </row>
    <row r="367" spans="1:35" x14ac:dyDescent="0.45">
      <c r="A367" t="s">
        <v>1298</v>
      </c>
      <c r="B367">
        <v>35</v>
      </c>
      <c r="C367" t="s">
        <v>45</v>
      </c>
      <c r="D367" t="s">
        <v>28</v>
      </c>
      <c r="E367" t="s">
        <v>163</v>
      </c>
      <c r="F367" t="s">
        <v>47</v>
      </c>
      <c r="G367" t="s">
        <v>112</v>
      </c>
      <c r="H367" t="s">
        <v>32</v>
      </c>
      <c r="I367" t="s">
        <v>49</v>
      </c>
      <c r="J367" t="s">
        <v>426</v>
      </c>
      <c r="K367" t="s">
        <v>103</v>
      </c>
      <c r="L367" t="s">
        <v>92</v>
      </c>
      <c r="M367" t="s">
        <v>2628</v>
      </c>
      <c r="N367" t="s">
        <v>491</v>
      </c>
      <c r="O367" t="s">
        <v>92</v>
      </c>
      <c r="P367" t="s">
        <v>55</v>
      </c>
      <c r="Q367" t="s">
        <v>67</v>
      </c>
      <c r="R367">
        <v>30</v>
      </c>
      <c r="S367">
        <v>0</v>
      </c>
      <c r="T367" t="s">
        <v>85</v>
      </c>
      <c r="U367" t="s">
        <v>57</v>
      </c>
      <c r="V367">
        <v>4.82</v>
      </c>
      <c r="W367">
        <v>4.28</v>
      </c>
      <c r="X367">
        <v>1</v>
      </c>
      <c r="Y367">
        <v>17.5</v>
      </c>
      <c r="Z367">
        <v>3.9</v>
      </c>
      <c r="AA367">
        <f>VALUE(SUBSTITUTE(DACS19___Pfizer’s_Personalised_Medicine_in[[#This Row],[Dose]],"mg",""))</f>
        <v>50</v>
      </c>
      <c r="AB367">
        <f t="shared" si="35"/>
        <v>50</v>
      </c>
      <c r="AC367" t="s">
        <v>67</v>
      </c>
      <c r="AD367">
        <f t="shared" si="36"/>
        <v>2</v>
      </c>
      <c r="AE367">
        <f t="shared" si="37"/>
        <v>2</v>
      </c>
      <c r="AF367" t="e">
        <f t="shared" si="38"/>
        <v>#N/A</v>
      </c>
      <c r="AG367" t="e">
        <f t="shared" si="39"/>
        <v>#N/A</v>
      </c>
      <c r="AH367">
        <f t="shared" si="40"/>
        <v>4.28</v>
      </c>
      <c r="AI367" t="e">
        <f t="shared" si="41"/>
        <v>#N/A</v>
      </c>
    </row>
    <row r="368" spans="1:35" x14ac:dyDescent="0.45">
      <c r="A368" t="s">
        <v>1299</v>
      </c>
      <c r="B368">
        <v>45</v>
      </c>
      <c r="C368" t="s">
        <v>44</v>
      </c>
      <c r="D368" t="s">
        <v>45</v>
      </c>
      <c r="E368" t="s">
        <v>163</v>
      </c>
      <c r="F368" t="s">
        <v>2614</v>
      </c>
      <c r="G368" t="s">
        <v>152</v>
      </c>
      <c r="H368" t="s">
        <v>81</v>
      </c>
      <c r="I368" t="s">
        <v>49</v>
      </c>
      <c r="J368" t="s">
        <v>1300</v>
      </c>
      <c r="K368" t="s">
        <v>1301</v>
      </c>
      <c r="L368" t="s">
        <v>64</v>
      </c>
      <c r="M368" t="s">
        <v>2639</v>
      </c>
      <c r="N368" t="s">
        <v>54</v>
      </c>
      <c r="O368" t="s">
        <v>64</v>
      </c>
      <c r="P368" t="s">
        <v>55</v>
      </c>
      <c r="Q368" t="s">
        <v>67</v>
      </c>
      <c r="R368">
        <v>132</v>
      </c>
      <c r="S368">
        <v>0</v>
      </c>
      <c r="T368" t="s">
        <v>137</v>
      </c>
      <c r="U368" t="s">
        <v>42</v>
      </c>
      <c r="V368">
        <v>2.0299999999999998</v>
      </c>
      <c r="W368">
        <v>1.24</v>
      </c>
      <c r="X368">
        <v>6.4</v>
      </c>
      <c r="Y368">
        <v>18.399999999999999</v>
      </c>
      <c r="Z368">
        <v>4.9000000000000004</v>
      </c>
      <c r="AA368">
        <f>VALUE(SUBSTITUTE(DACS19___Pfizer’s_Personalised_Medicine_in[[#This Row],[Dose]],"mg",""))</f>
        <v>150</v>
      </c>
      <c r="AB368">
        <f t="shared" si="35"/>
        <v>150</v>
      </c>
      <c r="AC368" t="s">
        <v>67</v>
      </c>
      <c r="AD368">
        <f t="shared" si="36"/>
        <v>2</v>
      </c>
      <c r="AE368">
        <f t="shared" si="37"/>
        <v>2</v>
      </c>
      <c r="AF368" t="e">
        <f t="shared" si="38"/>
        <v>#N/A</v>
      </c>
      <c r="AG368" t="e">
        <f t="shared" si="39"/>
        <v>#N/A</v>
      </c>
      <c r="AH368" t="e">
        <f t="shared" si="40"/>
        <v>#N/A</v>
      </c>
      <c r="AI368">
        <f t="shared" si="41"/>
        <v>1.24</v>
      </c>
    </row>
    <row r="369" spans="1:35" x14ac:dyDescent="0.45">
      <c r="A369" t="s">
        <v>1302</v>
      </c>
      <c r="B369">
        <v>30</v>
      </c>
      <c r="C369" t="s">
        <v>44</v>
      </c>
      <c r="D369" t="s">
        <v>95</v>
      </c>
      <c r="E369" t="s">
        <v>46</v>
      </c>
      <c r="F369" t="s">
        <v>69</v>
      </c>
      <c r="G369" t="s">
        <v>96</v>
      </c>
      <c r="H369" t="s">
        <v>81</v>
      </c>
      <c r="I369" t="s">
        <v>49</v>
      </c>
      <c r="J369" t="s">
        <v>1303</v>
      </c>
      <c r="K369" t="s">
        <v>621</v>
      </c>
      <c r="L369" t="s">
        <v>64</v>
      </c>
      <c r="M369" t="s">
        <v>40</v>
      </c>
      <c r="N369" t="s">
        <v>525</v>
      </c>
      <c r="O369" t="s">
        <v>64</v>
      </c>
      <c r="P369" t="s">
        <v>55</v>
      </c>
      <c r="Q369" t="s">
        <v>2614</v>
      </c>
      <c r="R369">
        <v>123</v>
      </c>
      <c r="S369">
        <v>0</v>
      </c>
      <c r="T369" t="s">
        <v>56</v>
      </c>
      <c r="U369" t="s">
        <v>42</v>
      </c>
      <c r="V369">
        <v>2.54</v>
      </c>
      <c r="W369">
        <v>2.82</v>
      </c>
      <c r="X369">
        <v>4.3</v>
      </c>
      <c r="Y369">
        <v>8.1999999999999993</v>
      </c>
      <c r="Z369">
        <v>10.1</v>
      </c>
      <c r="AA369">
        <f>VALUE(SUBSTITUTE(DACS19___Pfizer’s_Personalised_Medicine_in[[#This Row],[Dose]],"mg",""))</f>
        <v>150</v>
      </c>
      <c r="AB369">
        <f t="shared" si="35"/>
        <v>150</v>
      </c>
      <c r="AC369" t="s">
        <v>2614</v>
      </c>
      <c r="AD369">
        <f t="shared" si="36"/>
        <v>0</v>
      </c>
      <c r="AE369">
        <f t="shared" si="37"/>
        <v>2</v>
      </c>
      <c r="AF369" t="e">
        <f t="shared" si="38"/>
        <v>#N/A</v>
      </c>
      <c r="AG369" t="e">
        <f t="shared" si="39"/>
        <v>#N/A</v>
      </c>
      <c r="AH369" t="e">
        <f t="shared" si="40"/>
        <v>#N/A</v>
      </c>
      <c r="AI369">
        <f t="shared" si="41"/>
        <v>2.82</v>
      </c>
    </row>
    <row r="370" spans="1:35" x14ac:dyDescent="0.45">
      <c r="A370" t="s">
        <v>1304</v>
      </c>
      <c r="B370">
        <v>52</v>
      </c>
      <c r="C370" t="s">
        <v>27</v>
      </c>
      <c r="D370" t="s">
        <v>95</v>
      </c>
      <c r="E370" t="s">
        <v>78</v>
      </c>
      <c r="F370" t="s">
        <v>59</v>
      </c>
      <c r="G370" t="s">
        <v>48</v>
      </c>
      <c r="H370" t="s">
        <v>61</v>
      </c>
      <c r="I370" t="s">
        <v>132</v>
      </c>
      <c r="J370" t="s">
        <v>1305</v>
      </c>
      <c r="K370" t="s">
        <v>1306</v>
      </c>
      <c r="L370" t="s">
        <v>92</v>
      </c>
      <c r="M370" t="s">
        <v>40</v>
      </c>
      <c r="N370" t="s">
        <v>1066</v>
      </c>
      <c r="O370" t="s">
        <v>92</v>
      </c>
      <c r="P370" t="s">
        <v>110</v>
      </c>
      <c r="Q370" t="s">
        <v>2614</v>
      </c>
      <c r="R370">
        <v>38</v>
      </c>
      <c r="S370">
        <v>0</v>
      </c>
      <c r="T370" t="s">
        <v>41</v>
      </c>
      <c r="U370" t="s">
        <v>42</v>
      </c>
      <c r="V370">
        <v>4</v>
      </c>
      <c r="W370">
        <v>1.28</v>
      </c>
      <c r="X370">
        <v>1.7</v>
      </c>
      <c r="Y370">
        <v>12.4</v>
      </c>
      <c r="Z370">
        <v>19</v>
      </c>
      <c r="AA370">
        <f>VALUE(SUBSTITUTE(DACS19___Pfizer’s_Personalised_Medicine_in[[#This Row],[Dose]],"mg",""))</f>
        <v>50</v>
      </c>
      <c r="AB370">
        <f t="shared" si="35"/>
        <v>50</v>
      </c>
      <c r="AC370" t="s">
        <v>2614</v>
      </c>
      <c r="AD370">
        <f t="shared" si="36"/>
        <v>0</v>
      </c>
      <c r="AE370">
        <f t="shared" si="37"/>
        <v>1</v>
      </c>
      <c r="AF370">
        <f t="shared" si="38"/>
        <v>1.28</v>
      </c>
      <c r="AG370" t="e">
        <f t="shared" si="39"/>
        <v>#N/A</v>
      </c>
      <c r="AH370" t="e">
        <f t="shared" si="40"/>
        <v>#N/A</v>
      </c>
      <c r="AI370" t="e">
        <f t="shared" si="41"/>
        <v>#N/A</v>
      </c>
    </row>
    <row r="371" spans="1:35" x14ac:dyDescent="0.45">
      <c r="A371" t="s">
        <v>1307</v>
      </c>
      <c r="B371">
        <v>79</v>
      </c>
      <c r="C371" t="s">
        <v>45</v>
      </c>
      <c r="D371" t="s">
        <v>28</v>
      </c>
      <c r="E371" t="s">
        <v>163</v>
      </c>
      <c r="F371" t="s">
        <v>69</v>
      </c>
      <c r="G371" t="s">
        <v>70</v>
      </c>
      <c r="H371" t="s">
        <v>71</v>
      </c>
      <c r="I371" t="s">
        <v>132</v>
      </c>
      <c r="J371" t="s">
        <v>905</v>
      </c>
      <c r="K371" t="s">
        <v>1308</v>
      </c>
      <c r="L371" t="s">
        <v>36</v>
      </c>
      <c r="M371" t="s">
        <v>129</v>
      </c>
      <c r="N371" t="s">
        <v>176</v>
      </c>
      <c r="O371" t="s">
        <v>36</v>
      </c>
      <c r="P371" t="s">
        <v>39</v>
      </c>
      <c r="Q371" t="s">
        <v>67</v>
      </c>
      <c r="R371">
        <v>69</v>
      </c>
      <c r="S371">
        <v>1</v>
      </c>
      <c r="T371" t="s">
        <v>137</v>
      </c>
      <c r="U371" t="s">
        <v>42</v>
      </c>
      <c r="V371">
        <v>3.67</v>
      </c>
      <c r="W371">
        <v>3.71</v>
      </c>
      <c r="X371">
        <v>4.3</v>
      </c>
      <c r="Y371">
        <v>16.7</v>
      </c>
      <c r="Z371">
        <v>3.2</v>
      </c>
      <c r="AA371">
        <f>VALUE(SUBSTITUTE(DACS19___Pfizer’s_Personalised_Medicine_in[[#This Row],[Dose]],"mg",""))</f>
        <v>200</v>
      </c>
      <c r="AB371">
        <f t="shared" si="35"/>
        <v>200</v>
      </c>
      <c r="AC371" t="s">
        <v>67</v>
      </c>
      <c r="AD371">
        <f t="shared" si="36"/>
        <v>2</v>
      </c>
      <c r="AE371">
        <f t="shared" si="37"/>
        <v>3</v>
      </c>
      <c r="AF371" t="e">
        <f t="shared" si="38"/>
        <v>#N/A</v>
      </c>
      <c r="AG371">
        <f t="shared" si="39"/>
        <v>3.71</v>
      </c>
      <c r="AH371" t="e">
        <f t="shared" si="40"/>
        <v>#N/A</v>
      </c>
      <c r="AI371" t="e">
        <f t="shared" si="41"/>
        <v>#N/A</v>
      </c>
    </row>
    <row r="372" spans="1:35" x14ac:dyDescent="0.45">
      <c r="A372" t="s">
        <v>1309</v>
      </c>
      <c r="B372">
        <v>48</v>
      </c>
      <c r="C372" t="s">
        <v>27</v>
      </c>
      <c r="D372" t="s">
        <v>28</v>
      </c>
      <c r="E372" t="s">
        <v>78</v>
      </c>
      <c r="F372" t="s">
        <v>2614</v>
      </c>
      <c r="G372" t="s">
        <v>164</v>
      </c>
      <c r="H372" t="s">
        <v>81</v>
      </c>
      <c r="I372" t="s">
        <v>33</v>
      </c>
      <c r="J372" t="s">
        <v>442</v>
      </c>
      <c r="K372" t="s">
        <v>1310</v>
      </c>
      <c r="L372" t="s">
        <v>36</v>
      </c>
      <c r="M372" t="s">
        <v>75</v>
      </c>
      <c r="N372" t="s">
        <v>690</v>
      </c>
      <c r="O372" t="s">
        <v>36</v>
      </c>
      <c r="P372" t="s">
        <v>110</v>
      </c>
      <c r="Q372" t="s">
        <v>75</v>
      </c>
      <c r="R372">
        <v>77</v>
      </c>
      <c r="S372">
        <v>0</v>
      </c>
      <c r="T372" t="s">
        <v>41</v>
      </c>
      <c r="U372" t="s">
        <v>57</v>
      </c>
      <c r="V372">
        <v>3.54</v>
      </c>
      <c r="W372">
        <v>4.6500000000000004</v>
      </c>
      <c r="X372">
        <v>6.5</v>
      </c>
      <c r="Y372">
        <v>21.7</v>
      </c>
      <c r="Z372">
        <v>15.3</v>
      </c>
      <c r="AA372">
        <f>VALUE(SUBSTITUTE(DACS19___Pfizer’s_Personalised_Medicine_in[[#This Row],[Dose]],"mg",""))</f>
        <v>200</v>
      </c>
      <c r="AB372">
        <f t="shared" si="35"/>
        <v>200</v>
      </c>
      <c r="AC372" t="s">
        <v>75</v>
      </c>
      <c r="AD372">
        <f t="shared" si="36"/>
        <v>1</v>
      </c>
      <c r="AE372">
        <f t="shared" si="37"/>
        <v>1</v>
      </c>
      <c r="AF372" t="e">
        <f t="shared" si="38"/>
        <v>#N/A</v>
      </c>
      <c r="AG372" t="e">
        <f t="shared" si="39"/>
        <v>#N/A</v>
      </c>
      <c r="AH372" t="e">
        <f t="shared" si="40"/>
        <v>#N/A</v>
      </c>
      <c r="AI372">
        <f t="shared" si="41"/>
        <v>4.6500000000000004</v>
      </c>
    </row>
    <row r="373" spans="1:35" x14ac:dyDescent="0.45">
      <c r="A373" t="s">
        <v>1311</v>
      </c>
      <c r="B373">
        <v>32</v>
      </c>
      <c r="C373" t="s">
        <v>44</v>
      </c>
      <c r="D373" t="s">
        <v>106</v>
      </c>
      <c r="E373" t="s">
        <v>78</v>
      </c>
      <c r="F373" t="s">
        <v>88</v>
      </c>
      <c r="G373" t="s">
        <v>246</v>
      </c>
      <c r="H373" t="s">
        <v>71</v>
      </c>
      <c r="I373" t="s">
        <v>72</v>
      </c>
      <c r="J373" t="s">
        <v>1312</v>
      </c>
      <c r="K373" t="s">
        <v>1313</v>
      </c>
      <c r="L373" t="s">
        <v>52</v>
      </c>
      <c r="M373" t="s">
        <v>67</v>
      </c>
      <c r="N373" t="s">
        <v>780</v>
      </c>
      <c r="O373" t="s">
        <v>52</v>
      </c>
      <c r="P373" t="s">
        <v>39</v>
      </c>
      <c r="Q373" t="s">
        <v>2614</v>
      </c>
      <c r="R373">
        <v>79</v>
      </c>
      <c r="S373">
        <v>1</v>
      </c>
      <c r="T373" t="s">
        <v>41</v>
      </c>
      <c r="U373" t="s">
        <v>57</v>
      </c>
      <c r="V373">
        <v>1.48</v>
      </c>
      <c r="W373">
        <v>4.6100000000000003</v>
      </c>
      <c r="X373">
        <v>1.6</v>
      </c>
      <c r="Y373">
        <v>15.6</v>
      </c>
      <c r="Z373">
        <v>5.4</v>
      </c>
      <c r="AA373">
        <f>VALUE(SUBSTITUTE(DACS19___Pfizer’s_Personalised_Medicine_in[[#This Row],[Dose]],"mg",""))</f>
        <v>100</v>
      </c>
      <c r="AB373">
        <f t="shared" si="35"/>
        <v>100</v>
      </c>
      <c r="AC373" t="s">
        <v>2614</v>
      </c>
      <c r="AD373">
        <f t="shared" si="36"/>
        <v>0</v>
      </c>
      <c r="AE373">
        <f t="shared" si="37"/>
        <v>3</v>
      </c>
      <c r="AF373" t="e">
        <f t="shared" si="38"/>
        <v>#N/A</v>
      </c>
      <c r="AG373">
        <f t="shared" si="39"/>
        <v>4.6100000000000003</v>
      </c>
      <c r="AH373" t="e">
        <f t="shared" si="40"/>
        <v>#N/A</v>
      </c>
      <c r="AI373" t="e">
        <f t="shared" si="41"/>
        <v>#N/A</v>
      </c>
    </row>
    <row r="374" spans="1:35" x14ac:dyDescent="0.45">
      <c r="A374" t="s">
        <v>1314</v>
      </c>
      <c r="B374">
        <v>20</v>
      </c>
      <c r="C374" t="s">
        <v>45</v>
      </c>
      <c r="D374" t="s">
        <v>106</v>
      </c>
      <c r="E374" t="s">
        <v>163</v>
      </c>
      <c r="F374" t="s">
        <v>2614</v>
      </c>
      <c r="G374" t="s">
        <v>131</v>
      </c>
      <c r="H374" t="s">
        <v>81</v>
      </c>
      <c r="I374" t="s">
        <v>132</v>
      </c>
      <c r="J374" t="s">
        <v>139</v>
      </c>
      <c r="K374" t="s">
        <v>1315</v>
      </c>
      <c r="L374" t="s">
        <v>36</v>
      </c>
      <c r="M374" t="s">
        <v>75</v>
      </c>
      <c r="N374" t="s">
        <v>746</v>
      </c>
      <c r="O374" t="s">
        <v>36</v>
      </c>
      <c r="P374" t="s">
        <v>110</v>
      </c>
      <c r="Q374" t="s">
        <v>129</v>
      </c>
      <c r="R374">
        <v>107</v>
      </c>
      <c r="S374">
        <v>0</v>
      </c>
      <c r="T374" t="s">
        <v>123</v>
      </c>
      <c r="U374" t="s">
        <v>57</v>
      </c>
      <c r="V374">
        <v>1.05</v>
      </c>
      <c r="W374">
        <v>2.69</v>
      </c>
      <c r="X374">
        <v>3.7</v>
      </c>
      <c r="Y374">
        <v>14.7</v>
      </c>
      <c r="Z374">
        <v>12.8</v>
      </c>
      <c r="AA374">
        <f>VALUE(SUBSTITUTE(DACS19___Pfizer’s_Personalised_Medicine_in[[#This Row],[Dose]],"mg",""))</f>
        <v>200</v>
      </c>
      <c r="AB374">
        <f t="shared" si="35"/>
        <v>200</v>
      </c>
      <c r="AC374" t="s">
        <v>129</v>
      </c>
      <c r="AD374">
        <f t="shared" si="36"/>
        <v>4</v>
      </c>
      <c r="AE374">
        <f t="shared" si="37"/>
        <v>1</v>
      </c>
      <c r="AF374" t="e">
        <f t="shared" si="38"/>
        <v>#N/A</v>
      </c>
      <c r="AG374" t="e">
        <f t="shared" si="39"/>
        <v>#N/A</v>
      </c>
      <c r="AH374" t="e">
        <f t="shared" si="40"/>
        <v>#N/A</v>
      </c>
      <c r="AI374">
        <f t="shared" si="41"/>
        <v>2.69</v>
      </c>
    </row>
    <row r="375" spans="1:35" x14ac:dyDescent="0.45">
      <c r="A375" t="s">
        <v>1316</v>
      </c>
      <c r="B375">
        <v>64</v>
      </c>
      <c r="C375" t="s">
        <v>44</v>
      </c>
      <c r="D375" t="s">
        <v>28</v>
      </c>
      <c r="E375" t="s">
        <v>78</v>
      </c>
      <c r="F375" t="s">
        <v>88</v>
      </c>
      <c r="G375" t="s">
        <v>112</v>
      </c>
      <c r="H375" t="s">
        <v>61</v>
      </c>
      <c r="I375" t="s">
        <v>49</v>
      </c>
      <c r="J375" t="s">
        <v>1317</v>
      </c>
      <c r="K375" t="s">
        <v>1318</v>
      </c>
      <c r="L375" t="s">
        <v>52</v>
      </c>
      <c r="M375" t="s">
        <v>2627</v>
      </c>
      <c r="N375" t="s">
        <v>567</v>
      </c>
      <c r="O375" t="s">
        <v>52</v>
      </c>
      <c r="P375" t="s">
        <v>39</v>
      </c>
      <c r="Q375" t="s">
        <v>40</v>
      </c>
      <c r="R375">
        <v>77</v>
      </c>
      <c r="S375">
        <v>1</v>
      </c>
      <c r="T375" t="s">
        <v>137</v>
      </c>
      <c r="U375" t="s">
        <v>57</v>
      </c>
      <c r="V375">
        <v>1.17</v>
      </c>
      <c r="W375">
        <v>1.49</v>
      </c>
      <c r="X375">
        <v>6</v>
      </c>
      <c r="Y375">
        <v>12.2</v>
      </c>
      <c r="Z375">
        <v>15.4</v>
      </c>
      <c r="AA375">
        <f>VALUE(SUBSTITUTE(DACS19___Pfizer’s_Personalised_Medicine_in[[#This Row],[Dose]],"mg",""))</f>
        <v>100</v>
      </c>
      <c r="AB375">
        <f t="shared" si="35"/>
        <v>100</v>
      </c>
      <c r="AC375" t="s">
        <v>40</v>
      </c>
      <c r="AD375">
        <f t="shared" si="36"/>
        <v>3</v>
      </c>
      <c r="AE375">
        <f t="shared" si="37"/>
        <v>3</v>
      </c>
      <c r="AF375">
        <f t="shared" si="38"/>
        <v>1.49</v>
      </c>
      <c r="AG375" t="e">
        <f t="shared" si="39"/>
        <v>#N/A</v>
      </c>
      <c r="AH375" t="e">
        <f t="shared" si="40"/>
        <v>#N/A</v>
      </c>
      <c r="AI375" t="e">
        <f t="shared" si="41"/>
        <v>#N/A</v>
      </c>
    </row>
    <row r="376" spans="1:35" x14ac:dyDescent="0.45">
      <c r="A376" t="s">
        <v>1319</v>
      </c>
      <c r="B376">
        <v>64</v>
      </c>
      <c r="C376" t="s">
        <v>44</v>
      </c>
      <c r="D376" t="s">
        <v>28</v>
      </c>
      <c r="E376" t="s">
        <v>163</v>
      </c>
      <c r="F376" t="s">
        <v>88</v>
      </c>
      <c r="G376" t="s">
        <v>178</v>
      </c>
      <c r="H376" t="s">
        <v>71</v>
      </c>
      <c r="I376" t="s">
        <v>132</v>
      </c>
      <c r="J376" t="s">
        <v>365</v>
      </c>
      <c r="K376" t="s">
        <v>158</v>
      </c>
      <c r="L376" t="s">
        <v>64</v>
      </c>
      <c r="M376" t="s">
        <v>2614</v>
      </c>
      <c r="N376" t="s">
        <v>987</v>
      </c>
      <c r="O376" t="s">
        <v>64</v>
      </c>
      <c r="P376" t="s">
        <v>110</v>
      </c>
      <c r="Q376" t="s">
        <v>40</v>
      </c>
      <c r="R376">
        <v>52</v>
      </c>
      <c r="S376">
        <v>0</v>
      </c>
      <c r="T376" t="s">
        <v>123</v>
      </c>
      <c r="U376" t="s">
        <v>42</v>
      </c>
      <c r="V376">
        <v>3.61</v>
      </c>
      <c r="W376">
        <v>4.38</v>
      </c>
      <c r="X376">
        <v>7.2</v>
      </c>
      <c r="Y376">
        <v>13.7</v>
      </c>
      <c r="Z376">
        <v>14.4</v>
      </c>
      <c r="AA376">
        <f>VALUE(SUBSTITUTE(DACS19___Pfizer’s_Personalised_Medicine_in[[#This Row],[Dose]],"mg",""))</f>
        <v>150</v>
      </c>
      <c r="AB376">
        <f t="shared" si="35"/>
        <v>150</v>
      </c>
      <c r="AC376" t="s">
        <v>40</v>
      </c>
      <c r="AD376">
        <f t="shared" si="36"/>
        <v>3</v>
      </c>
      <c r="AE376">
        <f t="shared" si="37"/>
        <v>1</v>
      </c>
      <c r="AF376" t="e">
        <f t="shared" si="38"/>
        <v>#N/A</v>
      </c>
      <c r="AG376">
        <f t="shared" si="39"/>
        <v>4.38</v>
      </c>
      <c r="AH376" t="e">
        <f t="shared" si="40"/>
        <v>#N/A</v>
      </c>
      <c r="AI376" t="e">
        <f t="shared" si="41"/>
        <v>#N/A</v>
      </c>
    </row>
    <row r="377" spans="1:35" x14ac:dyDescent="0.45">
      <c r="A377" t="s">
        <v>1320</v>
      </c>
      <c r="B377">
        <v>33</v>
      </c>
      <c r="C377" t="s">
        <v>27</v>
      </c>
      <c r="D377" t="s">
        <v>45</v>
      </c>
      <c r="E377" t="s">
        <v>46</v>
      </c>
      <c r="F377" t="s">
        <v>47</v>
      </c>
      <c r="G377" t="s">
        <v>102</v>
      </c>
      <c r="H377" t="s">
        <v>61</v>
      </c>
      <c r="I377" t="s">
        <v>132</v>
      </c>
      <c r="J377" t="s">
        <v>1310</v>
      </c>
      <c r="K377" t="s">
        <v>999</v>
      </c>
      <c r="L377" t="s">
        <v>52</v>
      </c>
      <c r="M377" t="s">
        <v>99</v>
      </c>
      <c r="N377" t="s">
        <v>537</v>
      </c>
      <c r="O377" t="s">
        <v>52</v>
      </c>
      <c r="P377" t="s">
        <v>55</v>
      </c>
      <c r="Q377" t="s">
        <v>75</v>
      </c>
      <c r="R377">
        <v>94</v>
      </c>
      <c r="S377">
        <v>0</v>
      </c>
      <c r="T377" t="s">
        <v>85</v>
      </c>
      <c r="U377" t="s">
        <v>57</v>
      </c>
      <c r="V377">
        <v>2.1</v>
      </c>
      <c r="W377">
        <v>2.23</v>
      </c>
      <c r="X377">
        <v>8.1</v>
      </c>
      <c r="Y377">
        <v>14</v>
      </c>
      <c r="Z377">
        <v>16.600000000000001</v>
      </c>
      <c r="AA377">
        <f>VALUE(SUBSTITUTE(DACS19___Pfizer’s_Personalised_Medicine_in[[#This Row],[Dose]],"mg",""))</f>
        <v>100</v>
      </c>
      <c r="AB377">
        <f t="shared" si="35"/>
        <v>100</v>
      </c>
      <c r="AC377" t="s">
        <v>75</v>
      </c>
      <c r="AD377">
        <f t="shared" si="36"/>
        <v>1</v>
      </c>
      <c r="AE377">
        <f t="shared" si="37"/>
        <v>2</v>
      </c>
      <c r="AF377">
        <f t="shared" si="38"/>
        <v>2.23</v>
      </c>
      <c r="AG377" t="e">
        <f t="shared" si="39"/>
        <v>#N/A</v>
      </c>
      <c r="AH377" t="e">
        <f t="shared" si="40"/>
        <v>#N/A</v>
      </c>
      <c r="AI377" t="e">
        <f t="shared" si="41"/>
        <v>#N/A</v>
      </c>
    </row>
    <row r="378" spans="1:35" x14ac:dyDescent="0.45">
      <c r="A378" t="s">
        <v>1321</v>
      </c>
      <c r="B378">
        <v>64</v>
      </c>
      <c r="C378" t="s">
        <v>44</v>
      </c>
      <c r="D378" t="s">
        <v>87</v>
      </c>
      <c r="E378" t="s">
        <v>78</v>
      </c>
      <c r="F378" t="s">
        <v>47</v>
      </c>
      <c r="G378" t="s">
        <v>246</v>
      </c>
      <c r="H378" t="s">
        <v>61</v>
      </c>
      <c r="I378" t="s">
        <v>72</v>
      </c>
      <c r="J378" t="s">
        <v>1239</v>
      </c>
      <c r="K378" t="s">
        <v>1322</v>
      </c>
      <c r="L378" t="s">
        <v>64</v>
      </c>
      <c r="M378" t="s">
        <v>75</v>
      </c>
      <c r="N378" t="s">
        <v>244</v>
      </c>
      <c r="O378" t="s">
        <v>64</v>
      </c>
      <c r="P378" t="s">
        <v>110</v>
      </c>
      <c r="Q378" t="s">
        <v>67</v>
      </c>
      <c r="R378">
        <v>131</v>
      </c>
      <c r="S378">
        <v>0</v>
      </c>
      <c r="T378" t="s">
        <v>56</v>
      </c>
      <c r="U378" t="s">
        <v>42</v>
      </c>
      <c r="V378">
        <v>4.29</v>
      </c>
      <c r="W378">
        <v>4.43</v>
      </c>
      <c r="X378">
        <v>9.1999999999999993</v>
      </c>
      <c r="Y378">
        <v>13.8</v>
      </c>
      <c r="Z378">
        <v>8.4</v>
      </c>
      <c r="AA378">
        <f>VALUE(SUBSTITUTE(DACS19___Pfizer’s_Personalised_Medicine_in[[#This Row],[Dose]],"mg",""))</f>
        <v>150</v>
      </c>
      <c r="AB378">
        <f t="shared" si="35"/>
        <v>150</v>
      </c>
      <c r="AC378" t="s">
        <v>67</v>
      </c>
      <c r="AD378">
        <f t="shared" si="36"/>
        <v>2</v>
      </c>
      <c r="AE378">
        <f t="shared" si="37"/>
        <v>1</v>
      </c>
      <c r="AF378">
        <f t="shared" si="38"/>
        <v>4.43</v>
      </c>
      <c r="AG378" t="e">
        <f t="shared" si="39"/>
        <v>#N/A</v>
      </c>
      <c r="AH378" t="e">
        <f t="shared" si="40"/>
        <v>#N/A</v>
      </c>
      <c r="AI378" t="e">
        <f t="shared" si="41"/>
        <v>#N/A</v>
      </c>
    </row>
    <row r="379" spans="1:35" x14ac:dyDescent="0.45">
      <c r="A379" t="s">
        <v>1323</v>
      </c>
      <c r="B379">
        <v>39</v>
      </c>
      <c r="C379" t="s">
        <v>44</v>
      </c>
      <c r="D379" t="s">
        <v>45</v>
      </c>
      <c r="E379" t="s">
        <v>78</v>
      </c>
      <c r="F379" t="s">
        <v>2614</v>
      </c>
      <c r="G379" t="s">
        <v>131</v>
      </c>
      <c r="H379" t="s">
        <v>81</v>
      </c>
      <c r="I379" t="s">
        <v>132</v>
      </c>
      <c r="J379" t="s">
        <v>1324</v>
      </c>
      <c r="K379" t="s">
        <v>1325</v>
      </c>
      <c r="L379" t="s">
        <v>52</v>
      </c>
      <c r="M379" t="s">
        <v>2624</v>
      </c>
      <c r="N379" t="s">
        <v>1326</v>
      </c>
      <c r="O379" t="s">
        <v>52</v>
      </c>
      <c r="P379" t="s">
        <v>110</v>
      </c>
      <c r="Q379" t="s">
        <v>75</v>
      </c>
      <c r="R379">
        <v>96</v>
      </c>
      <c r="S379">
        <v>0</v>
      </c>
      <c r="T379" t="s">
        <v>137</v>
      </c>
      <c r="U379" t="s">
        <v>42</v>
      </c>
      <c r="V379">
        <v>3.33</v>
      </c>
      <c r="W379">
        <v>2.48</v>
      </c>
      <c r="X379">
        <v>6.4</v>
      </c>
      <c r="Y379">
        <v>18.7</v>
      </c>
      <c r="Z379">
        <v>14.7</v>
      </c>
      <c r="AA379">
        <f>VALUE(SUBSTITUTE(DACS19___Pfizer’s_Personalised_Medicine_in[[#This Row],[Dose]],"mg",""))</f>
        <v>100</v>
      </c>
      <c r="AB379">
        <f t="shared" si="35"/>
        <v>100</v>
      </c>
      <c r="AC379" t="s">
        <v>75</v>
      </c>
      <c r="AD379">
        <f t="shared" si="36"/>
        <v>1</v>
      </c>
      <c r="AE379">
        <f t="shared" si="37"/>
        <v>1</v>
      </c>
      <c r="AF379" t="e">
        <f t="shared" si="38"/>
        <v>#N/A</v>
      </c>
      <c r="AG379" t="e">
        <f t="shared" si="39"/>
        <v>#N/A</v>
      </c>
      <c r="AH379" t="e">
        <f t="shared" si="40"/>
        <v>#N/A</v>
      </c>
      <c r="AI379">
        <f t="shared" si="41"/>
        <v>2.48</v>
      </c>
    </row>
    <row r="380" spans="1:35" x14ac:dyDescent="0.45">
      <c r="A380" t="s">
        <v>1327</v>
      </c>
      <c r="B380">
        <v>55</v>
      </c>
      <c r="C380" t="s">
        <v>45</v>
      </c>
      <c r="D380" t="s">
        <v>28</v>
      </c>
      <c r="E380" t="s">
        <v>29</v>
      </c>
      <c r="F380" t="s">
        <v>79</v>
      </c>
      <c r="G380" t="s">
        <v>118</v>
      </c>
      <c r="H380" t="s">
        <v>71</v>
      </c>
      <c r="I380" t="s">
        <v>132</v>
      </c>
      <c r="J380" t="s">
        <v>1328</v>
      </c>
      <c r="K380" t="s">
        <v>1329</v>
      </c>
      <c r="L380" t="s">
        <v>52</v>
      </c>
      <c r="M380" t="s">
        <v>274</v>
      </c>
      <c r="N380" t="s">
        <v>987</v>
      </c>
      <c r="O380" t="s">
        <v>52</v>
      </c>
      <c r="P380" t="s">
        <v>110</v>
      </c>
      <c r="Q380" t="s">
        <v>129</v>
      </c>
      <c r="R380">
        <v>30</v>
      </c>
      <c r="S380">
        <v>0</v>
      </c>
      <c r="T380" t="s">
        <v>137</v>
      </c>
      <c r="U380" t="s">
        <v>57</v>
      </c>
      <c r="V380">
        <v>2.5</v>
      </c>
      <c r="W380">
        <v>1.67</v>
      </c>
      <c r="X380">
        <v>4.9000000000000004</v>
      </c>
      <c r="Y380">
        <v>8.6</v>
      </c>
      <c r="Z380">
        <v>18.100000000000001</v>
      </c>
      <c r="AA380">
        <f>VALUE(SUBSTITUTE(DACS19___Pfizer’s_Personalised_Medicine_in[[#This Row],[Dose]],"mg",""))</f>
        <v>100</v>
      </c>
      <c r="AB380">
        <f t="shared" si="35"/>
        <v>100</v>
      </c>
      <c r="AC380" t="s">
        <v>129</v>
      </c>
      <c r="AD380">
        <f t="shared" si="36"/>
        <v>4</v>
      </c>
      <c r="AE380">
        <f t="shared" si="37"/>
        <v>1</v>
      </c>
      <c r="AF380" t="e">
        <f t="shared" si="38"/>
        <v>#N/A</v>
      </c>
      <c r="AG380">
        <f t="shared" si="39"/>
        <v>1.67</v>
      </c>
      <c r="AH380" t="e">
        <f t="shared" si="40"/>
        <v>#N/A</v>
      </c>
      <c r="AI380" t="e">
        <f t="shared" si="41"/>
        <v>#N/A</v>
      </c>
    </row>
    <row r="381" spans="1:35" x14ac:dyDescent="0.45">
      <c r="A381" t="s">
        <v>1330</v>
      </c>
      <c r="B381">
        <v>59</v>
      </c>
      <c r="C381" t="s">
        <v>27</v>
      </c>
      <c r="D381" t="s">
        <v>45</v>
      </c>
      <c r="E381" t="s">
        <v>2614</v>
      </c>
      <c r="F381" t="s">
        <v>2614</v>
      </c>
      <c r="G381" t="s">
        <v>48</v>
      </c>
      <c r="H381" t="s">
        <v>32</v>
      </c>
      <c r="I381" t="s">
        <v>132</v>
      </c>
      <c r="J381" t="s">
        <v>1331</v>
      </c>
      <c r="K381" t="s">
        <v>1332</v>
      </c>
      <c r="L381" t="s">
        <v>64</v>
      </c>
      <c r="M381" t="s">
        <v>2614</v>
      </c>
      <c r="N381" t="s">
        <v>598</v>
      </c>
      <c r="O381" t="s">
        <v>64</v>
      </c>
      <c r="P381" t="s">
        <v>55</v>
      </c>
      <c r="Q381" t="s">
        <v>129</v>
      </c>
      <c r="R381">
        <v>167</v>
      </c>
      <c r="S381">
        <v>0</v>
      </c>
      <c r="T381" t="s">
        <v>85</v>
      </c>
      <c r="U381" t="s">
        <v>42</v>
      </c>
      <c r="V381">
        <v>2.38</v>
      </c>
      <c r="W381">
        <v>1.62</v>
      </c>
      <c r="X381">
        <v>1.2</v>
      </c>
      <c r="Y381">
        <v>17.600000000000001</v>
      </c>
      <c r="Z381">
        <v>13.8</v>
      </c>
      <c r="AA381">
        <f>VALUE(SUBSTITUTE(DACS19___Pfizer’s_Personalised_Medicine_in[[#This Row],[Dose]],"mg",""))</f>
        <v>150</v>
      </c>
      <c r="AB381">
        <f t="shared" si="35"/>
        <v>150</v>
      </c>
      <c r="AC381" t="s">
        <v>129</v>
      </c>
      <c r="AD381">
        <f t="shared" si="36"/>
        <v>4</v>
      </c>
      <c r="AE381">
        <f t="shared" si="37"/>
        <v>2</v>
      </c>
      <c r="AF381" t="e">
        <f t="shared" si="38"/>
        <v>#N/A</v>
      </c>
      <c r="AG381" t="e">
        <f t="shared" si="39"/>
        <v>#N/A</v>
      </c>
      <c r="AH381">
        <f t="shared" si="40"/>
        <v>1.62</v>
      </c>
      <c r="AI381" t="e">
        <f t="shared" si="41"/>
        <v>#N/A</v>
      </c>
    </row>
    <row r="382" spans="1:35" x14ac:dyDescent="0.45">
      <c r="A382" t="s">
        <v>1333</v>
      </c>
      <c r="B382">
        <v>66</v>
      </c>
      <c r="C382" t="s">
        <v>45</v>
      </c>
      <c r="D382" t="s">
        <v>28</v>
      </c>
      <c r="E382" t="s">
        <v>29</v>
      </c>
      <c r="F382" t="s">
        <v>2614</v>
      </c>
      <c r="G382" t="s">
        <v>440</v>
      </c>
      <c r="H382" t="s">
        <v>71</v>
      </c>
      <c r="I382" t="s">
        <v>132</v>
      </c>
      <c r="J382" t="s">
        <v>1334</v>
      </c>
      <c r="K382" t="s">
        <v>1335</v>
      </c>
      <c r="L382" t="s">
        <v>36</v>
      </c>
      <c r="M382" t="s">
        <v>40</v>
      </c>
      <c r="N382" t="s">
        <v>661</v>
      </c>
      <c r="O382" t="s">
        <v>36</v>
      </c>
      <c r="P382" t="s">
        <v>110</v>
      </c>
      <c r="Q382" t="s">
        <v>40</v>
      </c>
      <c r="R382">
        <v>124</v>
      </c>
      <c r="S382">
        <v>0</v>
      </c>
      <c r="T382" t="s">
        <v>41</v>
      </c>
      <c r="U382" t="s">
        <v>57</v>
      </c>
      <c r="V382">
        <v>2.36</v>
      </c>
      <c r="W382">
        <v>1.29</v>
      </c>
      <c r="X382">
        <v>4.7</v>
      </c>
      <c r="Y382">
        <v>11.6</v>
      </c>
      <c r="Z382">
        <v>14.5</v>
      </c>
      <c r="AA382">
        <f>VALUE(SUBSTITUTE(DACS19___Pfizer’s_Personalised_Medicine_in[[#This Row],[Dose]],"mg",""))</f>
        <v>200</v>
      </c>
      <c r="AB382">
        <f t="shared" si="35"/>
        <v>200</v>
      </c>
      <c r="AC382" t="s">
        <v>40</v>
      </c>
      <c r="AD382">
        <f t="shared" si="36"/>
        <v>3</v>
      </c>
      <c r="AE382">
        <f t="shared" si="37"/>
        <v>1</v>
      </c>
      <c r="AF382" t="e">
        <f t="shared" si="38"/>
        <v>#N/A</v>
      </c>
      <c r="AG382">
        <f t="shared" si="39"/>
        <v>1.29</v>
      </c>
      <c r="AH382" t="e">
        <f t="shared" si="40"/>
        <v>#N/A</v>
      </c>
      <c r="AI382" t="e">
        <f t="shared" si="41"/>
        <v>#N/A</v>
      </c>
    </row>
    <row r="383" spans="1:35" x14ac:dyDescent="0.45">
      <c r="A383" t="s">
        <v>1336</v>
      </c>
      <c r="B383">
        <v>29</v>
      </c>
      <c r="C383" t="s">
        <v>44</v>
      </c>
      <c r="D383" t="s">
        <v>106</v>
      </c>
      <c r="E383" t="s">
        <v>78</v>
      </c>
      <c r="F383" t="s">
        <v>79</v>
      </c>
      <c r="G383" t="s">
        <v>89</v>
      </c>
      <c r="H383" t="s">
        <v>81</v>
      </c>
      <c r="I383" t="s">
        <v>72</v>
      </c>
      <c r="J383" t="s">
        <v>964</v>
      </c>
      <c r="K383" t="s">
        <v>1337</v>
      </c>
      <c r="L383" t="s">
        <v>52</v>
      </c>
      <c r="M383" t="s">
        <v>155</v>
      </c>
      <c r="N383" t="s">
        <v>742</v>
      </c>
      <c r="O383" t="s">
        <v>52</v>
      </c>
      <c r="P383" t="s">
        <v>39</v>
      </c>
      <c r="Q383" t="s">
        <v>129</v>
      </c>
      <c r="R383">
        <v>139</v>
      </c>
      <c r="S383">
        <v>1</v>
      </c>
      <c r="T383" t="s">
        <v>41</v>
      </c>
      <c r="U383" t="s">
        <v>57</v>
      </c>
      <c r="V383">
        <v>3.42</v>
      </c>
      <c r="W383">
        <v>2.46</v>
      </c>
      <c r="X383">
        <v>3</v>
      </c>
      <c r="Y383">
        <v>23.8</v>
      </c>
      <c r="Z383">
        <v>10.7</v>
      </c>
      <c r="AA383">
        <f>VALUE(SUBSTITUTE(DACS19___Pfizer’s_Personalised_Medicine_in[[#This Row],[Dose]],"mg",""))</f>
        <v>100</v>
      </c>
      <c r="AB383">
        <f t="shared" si="35"/>
        <v>100</v>
      </c>
      <c r="AC383" t="s">
        <v>129</v>
      </c>
      <c r="AD383">
        <f t="shared" si="36"/>
        <v>4</v>
      </c>
      <c r="AE383">
        <f t="shared" si="37"/>
        <v>3</v>
      </c>
      <c r="AF383" t="e">
        <f t="shared" si="38"/>
        <v>#N/A</v>
      </c>
      <c r="AG383" t="e">
        <f t="shared" si="39"/>
        <v>#N/A</v>
      </c>
      <c r="AH383" t="e">
        <f t="shared" si="40"/>
        <v>#N/A</v>
      </c>
      <c r="AI383">
        <f t="shared" si="41"/>
        <v>2.46</v>
      </c>
    </row>
    <row r="384" spans="1:35" x14ac:dyDescent="0.45">
      <c r="A384" t="s">
        <v>1338</v>
      </c>
      <c r="B384">
        <v>69</v>
      </c>
      <c r="C384" t="s">
        <v>27</v>
      </c>
      <c r="D384" t="s">
        <v>45</v>
      </c>
      <c r="E384" t="s">
        <v>46</v>
      </c>
      <c r="F384" t="s">
        <v>2614</v>
      </c>
      <c r="G384" t="s">
        <v>164</v>
      </c>
      <c r="H384" t="s">
        <v>61</v>
      </c>
      <c r="I384" t="s">
        <v>33</v>
      </c>
      <c r="J384" t="s">
        <v>1339</v>
      </c>
      <c r="K384" t="s">
        <v>277</v>
      </c>
      <c r="L384" t="s">
        <v>92</v>
      </c>
      <c r="M384" t="s">
        <v>67</v>
      </c>
      <c r="N384" t="s">
        <v>323</v>
      </c>
      <c r="O384" t="s">
        <v>92</v>
      </c>
      <c r="P384" t="s">
        <v>39</v>
      </c>
      <c r="Q384" t="s">
        <v>2614</v>
      </c>
      <c r="R384">
        <v>66</v>
      </c>
      <c r="S384">
        <v>1</v>
      </c>
      <c r="T384" t="s">
        <v>85</v>
      </c>
      <c r="U384" t="s">
        <v>42</v>
      </c>
      <c r="V384">
        <v>3.75</v>
      </c>
      <c r="W384">
        <v>1.56</v>
      </c>
      <c r="X384">
        <v>5.4</v>
      </c>
      <c r="Y384">
        <v>6.5</v>
      </c>
      <c r="Z384">
        <v>11.6</v>
      </c>
      <c r="AA384">
        <f>VALUE(SUBSTITUTE(DACS19___Pfizer’s_Personalised_Medicine_in[[#This Row],[Dose]],"mg",""))</f>
        <v>50</v>
      </c>
      <c r="AB384">
        <f t="shared" si="35"/>
        <v>50</v>
      </c>
      <c r="AC384" t="s">
        <v>2614</v>
      </c>
      <c r="AD384">
        <f t="shared" si="36"/>
        <v>0</v>
      </c>
      <c r="AE384">
        <f t="shared" si="37"/>
        <v>3</v>
      </c>
      <c r="AF384">
        <f t="shared" si="38"/>
        <v>1.56</v>
      </c>
      <c r="AG384" t="e">
        <f t="shared" si="39"/>
        <v>#N/A</v>
      </c>
      <c r="AH384" t="e">
        <f t="shared" si="40"/>
        <v>#N/A</v>
      </c>
      <c r="AI384" t="e">
        <f t="shared" si="41"/>
        <v>#N/A</v>
      </c>
    </row>
    <row r="385" spans="1:35" x14ac:dyDescent="0.45">
      <c r="A385" t="s">
        <v>1340</v>
      </c>
      <c r="B385">
        <v>19</v>
      </c>
      <c r="C385" t="s">
        <v>27</v>
      </c>
      <c r="D385" t="s">
        <v>45</v>
      </c>
      <c r="E385" t="s">
        <v>2614</v>
      </c>
      <c r="F385" t="s">
        <v>2614</v>
      </c>
      <c r="G385" t="s">
        <v>125</v>
      </c>
      <c r="H385" t="s">
        <v>71</v>
      </c>
      <c r="I385" t="s">
        <v>72</v>
      </c>
      <c r="J385" t="s">
        <v>1341</v>
      </c>
      <c r="K385" t="s">
        <v>1342</v>
      </c>
      <c r="L385" t="s">
        <v>64</v>
      </c>
      <c r="M385" t="s">
        <v>1291</v>
      </c>
      <c r="N385" t="s">
        <v>843</v>
      </c>
      <c r="O385" t="s">
        <v>64</v>
      </c>
      <c r="P385" t="s">
        <v>39</v>
      </c>
      <c r="Q385" t="s">
        <v>75</v>
      </c>
      <c r="R385">
        <v>98</v>
      </c>
      <c r="S385">
        <v>1</v>
      </c>
      <c r="T385" t="s">
        <v>85</v>
      </c>
      <c r="U385" t="s">
        <v>42</v>
      </c>
      <c r="V385">
        <v>4.8600000000000003</v>
      </c>
      <c r="W385">
        <v>2.54</v>
      </c>
      <c r="X385">
        <v>1.4</v>
      </c>
      <c r="Y385">
        <v>6.6</v>
      </c>
      <c r="Z385">
        <v>9.6</v>
      </c>
      <c r="AA385">
        <f>VALUE(SUBSTITUTE(DACS19___Pfizer’s_Personalised_Medicine_in[[#This Row],[Dose]],"mg",""))</f>
        <v>150</v>
      </c>
      <c r="AB385">
        <f t="shared" si="35"/>
        <v>150</v>
      </c>
      <c r="AC385" t="s">
        <v>75</v>
      </c>
      <c r="AD385">
        <f t="shared" si="36"/>
        <v>1</v>
      </c>
      <c r="AE385">
        <f t="shared" si="37"/>
        <v>3</v>
      </c>
      <c r="AF385" t="e">
        <f t="shared" si="38"/>
        <v>#N/A</v>
      </c>
      <c r="AG385">
        <f t="shared" si="39"/>
        <v>2.54</v>
      </c>
      <c r="AH385" t="e">
        <f t="shared" si="40"/>
        <v>#N/A</v>
      </c>
      <c r="AI385" t="e">
        <f t="shared" si="41"/>
        <v>#N/A</v>
      </c>
    </row>
    <row r="386" spans="1:35" x14ac:dyDescent="0.45">
      <c r="A386" t="s">
        <v>1343</v>
      </c>
      <c r="B386">
        <v>20</v>
      </c>
      <c r="C386" t="s">
        <v>27</v>
      </c>
      <c r="D386" t="s">
        <v>87</v>
      </c>
      <c r="E386" t="s">
        <v>29</v>
      </c>
      <c r="F386" t="s">
        <v>69</v>
      </c>
      <c r="G386" t="s">
        <v>48</v>
      </c>
      <c r="H386" t="s">
        <v>71</v>
      </c>
      <c r="I386" t="s">
        <v>49</v>
      </c>
      <c r="J386" t="s">
        <v>1344</v>
      </c>
      <c r="K386" t="s">
        <v>548</v>
      </c>
      <c r="L386" t="s">
        <v>36</v>
      </c>
      <c r="M386" t="s">
        <v>2614</v>
      </c>
      <c r="N386" t="s">
        <v>142</v>
      </c>
      <c r="O386" t="s">
        <v>36</v>
      </c>
      <c r="P386" t="s">
        <v>55</v>
      </c>
      <c r="Q386" t="s">
        <v>67</v>
      </c>
      <c r="R386">
        <v>128</v>
      </c>
      <c r="S386">
        <v>0</v>
      </c>
      <c r="T386" t="s">
        <v>123</v>
      </c>
      <c r="U386" t="s">
        <v>57</v>
      </c>
      <c r="V386">
        <v>1.64</v>
      </c>
      <c r="W386">
        <v>1.0900000000000001</v>
      </c>
      <c r="X386">
        <v>7.8</v>
      </c>
      <c r="Y386">
        <v>14.3</v>
      </c>
      <c r="Z386">
        <v>7.9</v>
      </c>
      <c r="AA386">
        <f>VALUE(SUBSTITUTE(DACS19___Pfizer’s_Personalised_Medicine_in[[#This Row],[Dose]],"mg",""))</f>
        <v>200</v>
      </c>
      <c r="AB386">
        <f t="shared" ref="AB386:AB449" si="42">VALUE(SUBSTITUTE(O386,"mg",""))</f>
        <v>200</v>
      </c>
      <c r="AC386" t="s">
        <v>67</v>
      </c>
      <c r="AD386">
        <f t="shared" ref="AD386:AD449" si="43">IF(Q386="","",IF(Q386="Dizziness",1,IF(Q386="Fatigue",2,IF(Q386="Headache",3,IF(Q386="Nausea",4,IF(Q386="Not Reported",0,""))))))</f>
        <v>2</v>
      </c>
      <c r="AE386">
        <f t="shared" ref="AE386:AE449" si="44">IF(P386="Deteriorated",1,IF(P386="No Change",2,IF(P386="Improved",3,0)))</f>
        <v>2</v>
      </c>
      <c r="AF386" t="e">
        <f t="shared" ref="AF386:AF449" si="45">IF($H386="DrugA",$W386,NA())</f>
        <v>#N/A</v>
      </c>
      <c r="AG386">
        <f t="shared" ref="AG386:AG449" si="46">IF($H386="DrugB",$W386,NA())</f>
        <v>1.0900000000000001</v>
      </c>
      <c r="AH386" t="e">
        <f t="shared" ref="AH386:AH449" si="47">IF($H386="DrugC",$W386,NA())</f>
        <v>#N/A</v>
      </c>
      <c r="AI386" t="e">
        <f t="shared" ref="AI386:AI449" si="48">IF($H386="DrugD",$W386,NA())</f>
        <v>#N/A</v>
      </c>
    </row>
    <row r="387" spans="1:35" x14ac:dyDescent="0.45">
      <c r="A387" t="s">
        <v>1345</v>
      </c>
      <c r="B387">
        <v>39</v>
      </c>
      <c r="C387" t="s">
        <v>27</v>
      </c>
      <c r="D387" t="s">
        <v>106</v>
      </c>
      <c r="E387" t="s">
        <v>163</v>
      </c>
      <c r="F387" t="s">
        <v>2614</v>
      </c>
      <c r="G387" t="s">
        <v>276</v>
      </c>
      <c r="H387" t="s">
        <v>32</v>
      </c>
      <c r="I387" t="s">
        <v>49</v>
      </c>
      <c r="J387" t="s">
        <v>1346</v>
      </c>
      <c r="K387" t="s">
        <v>1347</v>
      </c>
      <c r="L387" t="s">
        <v>92</v>
      </c>
      <c r="M387" t="s">
        <v>75</v>
      </c>
      <c r="N387" t="s">
        <v>116</v>
      </c>
      <c r="O387" t="s">
        <v>92</v>
      </c>
      <c r="P387" t="s">
        <v>39</v>
      </c>
      <c r="Q387" t="s">
        <v>40</v>
      </c>
      <c r="R387">
        <v>165</v>
      </c>
      <c r="S387">
        <v>1</v>
      </c>
      <c r="T387" t="s">
        <v>137</v>
      </c>
      <c r="U387" t="s">
        <v>42</v>
      </c>
      <c r="V387">
        <v>4.5999999999999996</v>
      </c>
      <c r="W387">
        <v>1.46</v>
      </c>
      <c r="X387">
        <v>9.6</v>
      </c>
      <c r="Y387">
        <v>11.7</v>
      </c>
      <c r="Z387">
        <v>18.100000000000001</v>
      </c>
      <c r="AA387">
        <f>VALUE(SUBSTITUTE(DACS19___Pfizer’s_Personalised_Medicine_in[[#This Row],[Dose]],"mg",""))</f>
        <v>50</v>
      </c>
      <c r="AB387">
        <f t="shared" si="42"/>
        <v>50</v>
      </c>
      <c r="AC387" t="s">
        <v>40</v>
      </c>
      <c r="AD387">
        <f t="shared" si="43"/>
        <v>3</v>
      </c>
      <c r="AE387">
        <f t="shared" si="44"/>
        <v>3</v>
      </c>
      <c r="AF387" t="e">
        <f t="shared" si="45"/>
        <v>#N/A</v>
      </c>
      <c r="AG387" t="e">
        <f t="shared" si="46"/>
        <v>#N/A</v>
      </c>
      <c r="AH387">
        <f t="shared" si="47"/>
        <v>1.46</v>
      </c>
      <c r="AI387" t="e">
        <f t="shared" si="48"/>
        <v>#N/A</v>
      </c>
    </row>
    <row r="388" spans="1:35" x14ac:dyDescent="0.45">
      <c r="A388" t="s">
        <v>1348</v>
      </c>
      <c r="B388">
        <v>72</v>
      </c>
      <c r="C388" t="s">
        <v>27</v>
      </c>
      <c r="D388" t="s">
        <v>28</v>
      </c>
      <c r="E388" t="s">
        <v>29</v>
      </c>
      <c r="F388" t="s">
        <v>2614</v>
      </c>
      <c r="G388" t="s">
        <v>194</v>
      </c>
      <c r="H388" t="s">
        <v>61</v>
      </c>
      <c r="I388" t="s">
        <v>132</v>
      </c>
      <c r="J388" t="s">
        <v>1349</v>
      </c>
      <c r="K388" t="s">
        <v>1350</v>
      </c>
      <c r="L388" t="s">
        <v>92</v>
      </c>
      <c r="M388" t="s">
        <v>67</v>
      </c>
      <c r="N388" t="s">
        <v>412</v>
      </c>
      <c r="O388" t="s">
        <v>92</v>
      </c>
      <c r="P388" t="s">
        <v>110</v>
      </c>
      <c r="Q388" t="s">
        <v>67</v>
      </c>
      <c r="R388">
        <v>111</v>
      </c>
      <c r="S388">
        <v>0</v>
      </c>
      <c r="T388" t="s">
        <v>41</v>
      </c>
      <c r="U388" t="s">
        <v>57</v>
      </c>
      <c r="V388">
        <v>3.41</v>
      </c>
      <c r="W388">
        <v>4.3099999999999996</v>
      </c>
      <c r="X388">
        <v>9.9</v>
      </c>
      <c r="Y388">
        <v>11.2</v>
      </c>
      <c r="Z388">
        <v>19.3</v>
      </c>
      <c r="AA388">
        <f>VALUE(SUBSTITUTE(DACS19___Pfizer’s_Personalised_Medicine_in[[#This Row],[Dose]],"mg",""))</f>
        <v>50</v>
      </c>
      <c r="AB388">
        <f t="shared" si="42"/>
        <v>50</v>
      </c>
      <c r="AC388" t="s">
        <v>67</v>
      </c>
      <c r="AD388">
        <f t="shared" si="43"/>
        <v>2</v>
      </c>
      <c r="AE388">
        <f t="shared" si="44"/>
        <v>1</v>
      </c>
      <c r="AF388">
        <f t="shared" si="45"/>
        <v>4.3099999999999996</v>
      </c>
      <c r="AG388" t="e">
        <f t="shared" si="46"/>
        <v>#N/A</v>
      </c>
      <c r="AH388" t="e">
        <f t="shared" si="47"/>
        <v>#N/A</v>
      </c>
      <c r="AI388" t="e">
        <f t="shared" si="48"/>
        <v>#N/A</v>
      </c>
    </row>
    <row r="389" spans="1:35" x14ac:dyDescent="0.45">
      <c r="A389" t="s">
        <v>1351</v>
      </c>
      <c r="B389">
        <v>75</v>
      </c>
      <c r="C389" t="s">
        <v>45</v>
      </c>
      <c r="D389" t="s">
        <v>95</v>
      </c>
      <c r="E389" t="s">
        <v>163</v>
      </c>
      <c r="F389" t="s">
        <v>47</v>
      </c>
      <c r="G389" t="s">
        <v>184</v>
      </c>
      <c r="H389" t="s">
        <v>71</v>
      </c>
      <c r="I389" t="s">
        <v>49</v>
      </c>
      <c r="J389" t="s">
        <v>346</v>
      </c>
      <c r="K389" t="s">
        <v>1352</v>
      </c>
      <c r="L389" t="s">
        <v>36</v>
      </c>
      <c r="M389" t="s">
        <v>2628</v>
      </c>
      <c r="N389" t="s">
        <v>391</v>
      </c>
      <c r="O389" t="s">
        <v>36</v>
      </c>
      <c r="P389" t="s">
        <v>55</v>
      </c>
      <c r="Q389" t="s">
        <v>40</v>
      </c>
      <c r="R389">
        <v>115</v>
      </c>
      <c r="S389">
        <v>0</v>
      </c>
      <c r="T389" t="s">
        <v>41</v>
      </c>
      <c r="U389" t="s">
        <v>42</v>
      </c>
      <c r="V389">
        <v>2.56</v>
      </c>
      <c r="W389">
        <v>2.54</v>
      </c>
      <c r="X389">
        <v>4.0999999999999996</v>
      </c>
      <c r="Y389">
        <v>15.7</v>
      </c>
      <c r="Z389">
        <v>5.6</v>
      </c>
      <c r="AA389">
        <f>VALUE(SUBSTITUTE(DACS19___Pfizer’s_Personalised_Medicine_in[[#This Row],[Dose]],"mg",""))</f>
        <v>200</v>
      </c>
      <c r="AB389">
        <f t="shared" si="42"/>
        <v>200</v>
      </c>
      <c r="AC389" t="s">
        <v>40</v>
      </c>
      <c r="AD389">
        <f t="shared" si="43"/>
        <v>3</v>
      </c>
      <c r="AE389">
        <f t="shared" si="44"/>
        <v>2</v>
      </c>
      <c r="AF389" t="e">
        <f t="shared" si="45"/>
        <v>#N/A</v>
      </c>
      <c r="AG389">
        <f t="shared" si="46"/>
        <v>2.54</v>
      </c>
      <c r="AH389" t="e">
        <f t="shared" si="47"/>
        <v>#N/A</v>
      </c>
      <c r="AI389" t="e">
        <f t="shared" si="48"/>
        <v>#N/A</v>
      </c>
    </row>
    <row r="390" spans="1:35" x14ac:dyDescent="0.45">
      <c r="A390" t="s">
        <v>1353</v>
      </c>
      <c r="B390">
        <v>67</v>
      </c>
      <c r="C390" t="s">
        <v>44</v>
      </c>
      <c r="D390" t="s">
        <v>45</v>
      </c>
      <c r="E390" t="s">
        <v>78</v>
      </c>
      <c r="F390" t="s">
        <v>2614</v>
      </c>
      <c r="G390" t="s">
        <v>70</v>
      </c>
      <c r="H390" t="s">
        <v>71</v>
      </c>
      <c r="I390" t="s">
        <v>33</v>
      </c>
      <c r="J390" t="s">
        <v>1354</v>
      </c>
      <c r="K390" t="s">
        <v>1355</v>
      </c>
      <c r="L390" t="s">
        <v>52</v>
      </c>
      <c r="M390" t="s">
        <v>221</v>
      </c>
      <c r="N390" t="s">
        <v>1356</v>
      </c>
      <c r="O390" t="s">
        <v>52</v>
      </c>
      <c r="P390" t="s">
        <v>39</v>
      </c>
      <c r="Q390" t="s">
        <v>129</v>
      </c>
      <c r="R390">
        <v>122</v>
      </c>
      <c r="S390">
        <v>1</v>
      </c>
      <c r="T390" t="s">
        <v>85</v>
      </c>
      <c r="U390" t="s">
        <v>57</v>
      </c>
      <c r="V390">
        <v>3.21</v>
      </c>
      <c r="W390">
        <v>3.17</v>
      </c>
      <c r="X390">
        <v>7.9</v>
      </c>
      <c r="Y390">
        <v>21</v>
      </c>
      <c r="Z390">
        <v>10.5</v>
      </c>
      <c r="AA390">
        <f>VALUE(SUBSTITUTE(DACS19___Pfizer’s_Personalised_Medicine_in[[#This Row],[Dose]],"mg",""))</f>
        <v>100</v>
      </c>
      <c r="AB390">
        <f t="shared" si="42"/>
        <v>100</v>
      </c>
      <c r="AC390" t="s">
        <v>129</v>
      </c>
      <c r="AD390">
        <f t="shared" si="43"/>
        <v>4</v>
      </c>
      <c r="AE390">
        <f t="shared" si="44"/>
        <v>3</v>
      </c>
      <c r="AF390" t="e">
        <f t="shared" si="45"/>
        <v>#N/A</v>
      </c>
      <c r="AG390">
        <f t="shared" si="46"/>
        <v>3.17</v>
      </c>
      <c r="AH390" t="e">
        <f t="shared" si="47"/>
        <v>#N/A</v>
      </c>
      <c r="AI390" t="e">
        <f t="shared" si="48"/>
        <v>#N/A</v>
      </c>
    </row>
    <row r="391" spans="1:35" x14ac:dyDescent="0.45">
      <c r="A391" t="s">
        <v>1357</v>
      </c>
      <c r="B391">
        <v>35</v>
      </c>
      <c r="C391" t="s">
        <v>27</v>
      </c>
      <c r="D391" t="s">
        <v>87</v>
      </c>
      <c r="E391" t="s">
        <v>2614</v>
      </c>
      <c r="F391" t="s">
        <v>79</v>
      </c>
      <c r="G391" t="s">
        <v>276</v>
      </c>
      <c r="H391" t="s">
        <v>81</v>
      </c>
      <c r="I391" t="s">
        <v>72</v>
      </c>
      <c r="J391" t="s">
        <v>1358</v>
      </c>
      <c r="K391" t="s">
        <v>1359</v>
      </c>
      <c r="L391" t="s">
        <v>52</v>
      </c>
      <c r="M391" t="s">
        <v>67</v>
      </c>
      <c r="N391" t="s">
        <v>602</v>
      </c>
      <c r="O391" t="s">
        <v>52</v>
      </c>
      <c r="P391" t="s">
        <v>110</v>
      </c>
      <c r="Q391" t="s">
        <v>67</v>
      </c>
      <c r="R391">
        <v>126</v>
      </c>
      <c r="S391">
        <v>0</v>
      </c>
      <c r="T391" t="s">
        <v>123</v>
      </c>
      <c r="U391" t="s">
        <v>57</v>
      </c>
      <c r="V391">
        <v>2.21</v>
      </c>
      <c r="W391">
        <v>2.04</v>
      </c>
      <c r="X391">
        <v>2.8</v>
      </c>
      <c r="Y391">
        <v>7</v>
      </c>
      <c r="Z391">
        <v>8.8000000000000007</v>
      </c>
      <c r="AA391">
        <f>VALUE(SUBSTITUTE(DACS19___Pfizer’s_Personalised_Medicine_in[[#This Row],[Dose]],"mg",""))</f>
        <v>100</v>
      </c>
      <c r="AB391">
        <f t="shared" si="42"/>
        <v>100</v>
      </c>
      <c r="AC391" t="s">
        <v>67</v>
      </c>
      <c r="AD391">
        <f t="shared" si="43"/>
        <v>2</v>
      </c>
      <c r="AE391">
        <f t="shared" si="44"/>
        <v>1</v>
      </c>
      <c r="AF391" t="e">
        <f t="shared" si="45"/>
        <v>#N/A</v>
      </c>
      <c r="AG391" t="e">
        <f t="shared" si="46"/>
        <v>#N/A</v>
      </c>
      <c r="AH391" t="e">
        <f t="shared" si="47"/>
        <v>#N/A</v>
      </c>
      <c r="AI391">
        <f t="shared" si="48"/>
        <v>2.04</v>
      </c>
    </row>
    <row r="392" spans="1:35" x14ac:dyDescent="0.45">
      <c r="A392" t="s">
        <v>1360</v>
      </c>
      <c r="B392">
        <v>65</v>
      </c>
      <c r="C392" t="s">
        <v>27</v>
      </c>
      <c r="D392" t="s">
        <v>87</v>
      </c>
      <c r="E392" t="s">
        <v>29</v>
      </c>
      <c r="F392" t="s">
        <v>69</v>
      </c>
      <c r="G392" t="s">
        <v>112</v>
      </c>
      <c r="H392" t="s">
        <v>61</v>
      </c>
      <c r="I392" t="s">
        <v>72</v>
      </c>
      <c r="J392" t="s">
        <v>325</v>
      </c>
      <c r="K392" t="s">
        <v>1361</v>
      </c>
      <c r="L392" t="s">
        <v>92</v>
      </c>
      <c r="M392" t="s">
        <v>75</v>
      </c>
      <c r="N392" t="s">
        <v>84</v>
      </c>
      <c r="O392" t="s">
        <v>92</v>
      </c>
      <c r="P392" t="s">
        <v>39</v>
      </c>
      <c r="Q392" t="s">
        <v>67</v>
      </c>
      <c r="R392">
        <v>150</v>
      </c>
      <c r="S392">
        <v>1</v>
      </c>
      <c r="T392" t="s">
        <v>41</v>
      </c>
      <c r="U392" t="s">
        <v>57</v>
      </c>
      <c r="V392">
        <v>2.08</v>
      </c>
      <c r="W392">
        <v>4.87</v>
      </c>
      <c r="X392">
        <v>6</v>
      </c>
      <c r="Y392">
        <v>12.3</v>
      </c>
      <c r="Z392">
        <v>12.9</v>
      </c>
      <c r="AA392">
        <f>VALUE(SUBSTITUTE(DACS19___Pfizer’s_Personalised_Medicine_in[[#This Row],[Dose]],"mg",""))</f>
        <v>50</v>
      </c>
      <c r="AB392">
        <f t="shared" si="42"/>
        <v>50</v>
      </c>
      <c r="AC392" t="s">
        <v>67</v>
      </c>
      <c r="AD392">
        <f t="shared" si="43"/>
        <v>2</v>
      </c>
      <c r="AE392">
        <f t="shared" si="44"/>
        <v>3</v>
      </c>
      <c r="AF392">
        <f t="shared" si="45"/>
        <v>4.87</v>
      </c>
      <c r="AG392" t="e">
        <f t="shared" si="46"/>
        <v>#N/A</v>
      </c>
      <c r="AH392" t="e">
        <f t="shared" si="47"/>
        <v>#N/A</v>
      </c>
      <c r="AI392" t="e">
        <f t="shared" si="48"/>
        <v>#N/A</v>
      </c>
    </row>
    <row r="393" spans="1:35" x14ac:dyDescent="0.45">
      <c r="A393" t="s">
        <v>1362</v>
      </c>
      <c r="B393">
        <v>78</v>
      </c>
      <c r="C393" t="s">
        <v>44</v>
      </c>
      <c r="D393" t="s">
        <v>28</v>
      </c>
      <c r="E393" t="s">
        <v>78</v>
      </c>
      <c r="F393" t="s">
        <v>2614</v>
      </c>
      <c r="G393" t="s">
        <v>164</v>
      </c>
      <c r="H393" t="s">
        <v>32</v>
      </c>
      <c r="I393" t="s">
        <v>49</v>
      </c>
      <c r="J393" t="s">
        <v>1209</v>
      </c>
      <c r="K393" t="s">
        <v>1363</v>
      </c>
      <c r="L393" t="s">
        <v>52</v>
      </c>
      <c r="M393" t="s">
        <v>834</v>
      </c>
      <c r="N393" t="s">
        <v>391</v>
      </c>
      <c r="O393" t="s">
        <v>52</v>
      </c>
      <c r="P393" t="s">
        <v>110</v>
      </c>
      <c r="Q393" t="s">
        <v>40</v>
      </c>
      <c r="R393">
        <v>171</v>
      </c>
      <c r="S393">
        <v>0</v>
      </c>
      <c r="T393" t="s">
        <v>137</v>
      </c>
      <c r="U393" t="s">
        <v>57</v>
      </c>
      <c r="V393">
        <v>1.56</v>
      </c>
      <c r="W393">
        <v>2.78</v>
      </c>
      <c r="X393">
        <v>6.6</v>
      </c>
      <c r="Y393">
        <v>14.8</v>
      </c>
      <c r="Z393">
        <v>9.8000000000000007</v>
      </c>
      <c r="AA393">
        <f>VALUE(SUBSTITUTE(DACS19___Pfizer’s_Personalised_Medicine_in[[#This Row],[Dose]],"mg",""))</f>
        <v>100</v>
      </c>
      <c r="AB393">
        <f t="shared" si="42"/>
        <v>100</v>
      </c>
      <c r="AC393" t="s">
        <v>40</v>
      </c>
      <c r="AD393">
        <f t="shared" si="43"/>
        <v>3</v>
      </c>
      <c r="AE393">
        <f t="shared" si="44"/>
        <v>1</v>
      </c>
      <c r="AF393" t="e">
        <f t="shared" si="45"/>
        <v>#N/A</v>
      </c>
      <c r="AG393" t="e">
        <f t="shared" si="46"/>
        <v>#N/A</v>
      </c>
      <c r="AH393">
        <f t="shared" si="47"/>
        <v>2.78</v>
      </c>
      <c r="AI393" t="e">
        <f t="shared" si="48"/>
        <v>#N/A</v>
      </c>
    </row>
    <row r="394" spans="1:35" x14ac:dyDescent="0.45">
      <c r="A394" t="s">
        <v>1364</v>
      </c>
      <c r="B394">
        <v>47</v>
      </c>
      <c r="C394" t="s">
        <v>44</v>
      </c>
      <c r="D394" t="s">
        <v>106</v>
      </c>
      <c r="E394" t="s">
        <v>2614</v>
      </c>
      <c r="F394" t="s">
        <v>2614</v>
      </c>
      <c r="G394" t="s">
        <v>246</v>
      </c>
      <c r="H394" t="s">
        <v>81</v>
      </c>
      <c r="I394" t="s">
        <v>72</v>
      </c>
      <c r="J394" t="s">
        <v>1365</v>
      </c>
      <c r="K394" t="s">
        <v>1300</v>
      </c>
      <c r="L394" t="s">
        <v>52</v>
      </c>
      <c r="M394" t="s">
        <v>37</v>
      </c>
      <c r="N394" t="s">
        <v>161</v>
      </c>
      <c r="O394" t="s">
        <v>52</v>
      </c>
      <c r="P394" t="s">
        <v>55</v>
      </c>
      <c r="Q394" t="s">
        <v>40</v>
      </c>
      <c r="R394">
        <v>110</v>
      </c>
      <c r="S394">
        <v>0</v>
      </c>
      <c r="T394" t="s">
        <v>56</v>
      </c>
      <c r="U394" t="s">
        <v>57</v>
      </c>
      <c r="V394">
        <v>4.9800000000000004</v>
      </c>
      <c r="W394">
        <v>4.5199999999999996</v>
      </c>
      <c r="X394">
        <v>6.6</v>
      </c>
      <c r="Y394">
        <v>16.2</v>
      </c>
      <c r="Z394">
        <v>13.6</v>
      </c>
      <c r="AA394">
        <f>VALUE(SUBSTITUTE(DACS19___Pfizer’s_Personalised_Medicine_in[[#This Row],[Dose]],"mg",""))</f>
        <v>100</v>
      </c>
      <c r="AB394">
        <f t="shared" si="42"/>
        <v>100</v>
      </c>
      <c r="AC394" t="s">
        <v>40</v>
      </c>
      <c r="AD394">
        <f t="shared" si="43"/>
        <v>3</v>
      </c>
      <c r="AE394">
        <f t="shared" si="44"/>
        <v>2</v>
      </c>
      <c r="AF394" t="e">
        <f t="shared" si="45"/>
        <v>#N/A</v>
      </c>
      <c r="AG394" t="e">
        <f t="shared" si="46"/>
        <v>#N/A</v>
      </c>
      <c r="AH394" t="e">
        <f t="shared" si="47"/>
        <v>#N/A</v>
      </c>
      <c r="AI394">
        <f t="shared" si="48"/>
        <v>4.5199999999999996</v>
      </c>
    </row>
    <row r="395" spans="1:35" x14ac:dyDescent="0.45">
      <c r="A395" t="s">
        <v>1366</v>
      </c>
      <c r="B395">
        <v>39</v>
      </c>
      <c r="C395" t="s">
        <v>27</v>
      </c>
      <c r="D395" t="s">
        <v>28</v>
      </c>
      <c r="E395" t="s">
        <v>78</v>
      </c>
      <c r="F395" t="s">
        <v>88</v>
      </c>
      <c r="G395" t="s">
        <v>102</v>
      </c>
      <c r="H395" t="s">
        <v>61</v>
      </c>
      <c r="I395" t="s">
        <v>132</v>
      </c>
      <c r="J395" t="s">
        <v>1367</v>
      </c>
      <c r="K395" t="s">
        <v>1368</v>
      </c>
      <c r="L395" t="s">
        <v>64</v>
      </c>
      <c r="M395" t="s">
        <v>75</v>
      </c>
      <c r="N395" t="s">
        <v>176</v>
      </c>
      <c r="O395" t="s">
        <v>64</v>
      </c>
      <c r="P395" t="s">
        <v>39</v>
      </c>
      <c r="Q395" t="s">
        <v>67</v>
      </c>
      <c r="R395">
        <v>32</v>
      </c>
      <c r="S395">
        <v>1</v>
      </c>
      <c r="T395" t="s">
        <v>137</v>
      </c>
      <c r="U395" t="s">
        <v>42</v>
      </c>
      <c r="V395">
        <v>1.81</v>
      </c>
      <c r="W395">
        <v>2.58</v>
      </c>
      <c r="X395">
        <v>1.4</v>
      </c>
      <c r="Y395">
        <v>14.6</v>
      </c>
      <c r="Z395">
        <v>12.2</v>
      </c>
      <c r="AA395">
        <f>VALUE(SUBSTITUTE(DACS19___Pfizer’s_Personalised_Medicine_in[[#This Row],[Dose]],"mg",""))</f>
        <v>150</v>
      </c>
      <c r="AB395">
        <f t="shared" si="42"/>
        <v>150</v>
      </c>
      <c r="AC395" t="s">
        <v>67</v>
      </c>
      <c r="AD395">
        <f t="shared" si="43"/>
        <v>2</v>
      </c>
      <c r="AE395">
        <f t="shared" si="44"/>
        <v>3</v>
      </c>
      <c r="AF395">
        <f t="shared" si="45"/>
        <v>2.58</v>
      </c>
      <c r="AG395" t="e">
        <f t="shared" si="46"/>
        <v>#N/A</v>
      </c>
      <c r="AH395" t="e">
        <f t="shared" si="47"/>
        <v>#N/A</v>
      </c>
      <c r="AI395" t="e">
        <f t="shared" si="48"/>
        <v>#N/A</v>
      </c>
    </row>
    <row r="396" spans="1:35" x14ac:dyDescent="0.45">
      <c r="A396" t="s">
        <v>1369</v>
      </c>
      <c r="B396">
        <v>43</v>
      </c>
      <c r="C396" t="s">
        <v>45</v>
      </c>
      <c r="D396" t="s">
        <v>87</v>
      </c>
      <c r="E396" t="s">
        <v>46</v>
      </c>
      <c r="F396" t="s">
        <v>69</v>
      </c>
      <c r="G396" t="s">
        <v>80</v>
      </c>
      <c r="H396" t="s">
        <v>61</v>
      </c>
      <c r="I396" t="s">
        <v>33</v>
      </c>
      <c r="J396" t="s">
        <v>1370</v>
      </c>
      <c r="K396" t="s">
        <v>1371</v>
      </c>
      <c r="L396" t="s">
        <v>64</v>
      </c>
      <c r="M396" t="s">
        <v>2614</v>
      </c>
      <c r="N396" t="s">
        <v>1235</v>
      </c>
      <c r="O396" t="s">
        <v>64</v>
      </c>
      <c r="P396" t="s">
        <v>55</v>
      </c>
      <c r="Q396" t="s">
        <v>40</v>
      </c>
      <c r="R396">
        <v>158</v>
      </c>
      <c r="S396">
        <v>0</v>
      </c>
      <c r="T396" t="s">
        <v>41</v>
      </c>
      <c r="U396" t="s">
        <v>57</v>
      </c>
      <c r="V396">
        <v>1.91</v>
      </c>
      <c r="W396">
        <v>4.8600000000000003</v>
      </c>
      <c r="X396">
        <v>9.1999999999999993</v>
      </c>
      <c r="Y396">
        <v>19</v>
      </c>
      <c r="Z396">
        <v>12.1</v>
      </c>
      <c r="AA396">
        <f>VALUE(SUBSTITUTE(DACS19___Pfizer’s_Personalised_Medicine_in[[#This Row],[Dose]],"mg",""))</f>
        <v>150</v>
      </c>
      <c r="AB396">
        <f t="shared" si="42"/>
        <v>150</v>
      </c>
      <c r="AC396" t="s">
        <v>40</v>
      </c>
      <c r="AD396">
        <f t="shared" si="43"/>
        <v>3</v>
      </c>
      <c r="AE396">
        <f t="shared" si="44"/>
        <v>2</v>
      </c>
      <c r="AF396">
        <f t="shared" si="45"/>
        <v>4.8600000000000003</v>
      </c>
      <c r="AG396" t="e">
        <f t="shared" si="46"/>
        <v>#N/A</v>
      </c>
      <c r="AH396" t="e">
        <f t="shared" si="47"/>
        <v>#N/A</v>
      </c>
      <c r="AI396" t="e">
        <f t="shared" si="48"/>
        <v>#N/A</v>
      </c>
    </row>
    <row r="397" spans="1:35" x14ac:dyDescent="0.45">
      <c r="A397" t="s">
        <v>1372</v>
      </c>
      <c r="B397">
        <v>68</v>
      </c>
      <c r="C397" t="s">
        <v>45</v>
      </c>
      <c r="D397" t="s">
        <v>28</v>
      </c>
      <c r="E397" t="s">
        <v>46</v>
      </c>
      <c r="F397" t="s">
        <v>2614</v>
      </c>
      <c r="G397" t="s">
        <v>102</v>
      </c>
      <c r="H397" t="s">
        <v>32</v>
      </c>
      <c r="I397" t="s">
        <v>33</v>
      </c>
      <c r="J397" t="s">
        <v>73</v>
      </c>
      <c r="K397" t="s">
        <v>1373</v>
      </c>
      <c r="L397" t="s">
        <v>52</v>
      </c>
      <c r="M397" t="s">
        <v>75</v>
      </c>
      <c r="N397" t="s">
        <v>466</v>
      </c>
      <c r="O397" t="s">
        <v>52</v>
      </c>
      <c r="P397" t="s">
        <v>55</v>
      </c>
      <c r="Q397" t="s">
        <v>75</v>
      </c>
      <c r="R397">
        <v>39</v>
      </c>
      <c r="S397">
        <v>0</v>
      </c>
      <c r="T397" t="s">
        <v>137</v>
      </c>
      <c r="U397" t="s">
        <v>42</v>
      </c>
      <c r="V397">
        <v>4.4800000000000004</v>
      </c>
      <c r="W397">
        <v>1.52</v>
      </c>
      <c r="X397">
        <v>8.1</v>
      </c>
      <c r="Y397">
        <v>8.1999999999999993</v>
      </c>
      <c r="Z397">
        <v>16.5</v>
      </c>
      <c r="AA397">
        <f>VALUE(SUBSTITUTE(DACS19___Pfizer’s_Personalised_Medicine_in[[#This Row],[Dose]],"mg",""))</f>
        <v>100</v>
      </c>
      <c r="AB397">
        <f t="shared" si="42"/>
        <v>100</v>
      </c>
      <c r="AC397" t="s">
        <v>75</v>
      </c>
      <c r="AD397">
        <f t="shared" si="43"/>
        <v>1</v>
      </c>
      <c r="AE397">
        <f t="shared" si="44"/>
        <v>2</v>
      </c>
      <c r="AF397" t="e">
        <f t="shared" si="45"/>
        <v>#N/A</v>
      </c>
      <c r="AG397" t="e">
        <f t="shared" si="46"/>
        <v>#N/A</v>
      </c>
      <c r="AH397">
        <f t="shared" si="47"/>
        <v>1.52</v>
      </c>
      <c r="AI397" t="e">
        <f t="shared" si="48"/>
        <v>#N/A</v>
      </c>
    </row>
    <row r="398" spans="1:35" x14ac:dyDescent="0.45">
      <c r="A398" t="s">
        <v>1374</v>
      </c>
      <c r="B398">
        <v>37</v>
      </c>
      <c r="C398" t="s">
        <v>45</v>
      </c>
      <c r="D398" t="s">
        <v>95</v>
      </c>
      <c r="E398" t="s">
        <v>163</v>
      </c>
      <c r="F398" t="s">
        <v>2614</v>
      </c>
      <c r="G398" t="s">
        <v>125</v>
      </c>
      <c r="H398" t="s">
        <v>71</v>
      </c>
      <c r="I398" t="s">
        <v>72</v>
      </c>
      <c r="J398" t="s">
        <v>1375</v>
      </c>
      <c r="K398" t="s">
        <v>1376</v>
      </c>
      <c r="L398" t="s">
        <v>64</v>
      </c>
      <c r="M398" t="s">
        <v>2618</v>
      </c>
      <c r="N398" t="s">
        <v>198</v>
      </c>
      <c r="O398" t="s">
        <v>64</v>
      </c>
      <c r="P398" t="s">
        <v>55</v>
      </c>
      <c r="Q398" t="s">
        <v>75</v>
      </c>
      <c r="R398">
        <v>140</v>
      </c>
      <c r="S398">
        <v>0</v>
      </c>
      <c r="T398" t="s">
        <v>123</v>
      </c>
      <c r="U398" t="s">
        <v>57</v>
      </c>
      <c r="V398">
        <v>2.1</v>
      </c>
      <c r="W398">
        <v>4.51</v>
      </c>
      <c r="X398">
        <v>9.5</v>
      </c>
      <c r="Y398">
        <v>8.6999999999999993</v>
      </c>
      <c r="Z398">
        <v>10.9</v>
      </c>
      <c r="AA398">
        <f>VALUE(SUBSTITUTE(DACS19___Pfizer’s_Personalised_Medicine_in[[#This Row],[Dose]],"mg",""))</f>
        <v>150</v>
      </c>
      <c r="AB398">
        <f t="shared" si="42"/>
        <v>150</v>
      </c>
      <c r="AC398" t="s">
        <v>75</v>
      </c>
      <c r="AD398">
        <f t="shared" si="43"/>
        <v>1</v>
      </c>
      <c r="AE398">
        <f t="shared" si="44"/>
        <v>2</v>
      </c>
      <c r="AF398" t="e">
        <f t="shared" si="45"/>
        <v>#N/A</v>
      </c>
      <c r="AG398">
        <f t="shared" si="46"/>
        <v>4.51</v>
      </c>
      <c r="AH398" t="e">
        <f t="shared" si="47"/>
        <v>#N/A</v>
      </c>
      <c r="AI398" t="e">
        <f t="shared" si="48"/>
        <v>#N/A</v>
      </c>
    </row>
    <row r="399" spans="1:35" x14ac:dyDescent="0.45">
      <c r="A399" t="s">
        <v>1377</v>
      </c>
      <c r="B399">
        <v>48</v>
      </c>
      <c r="C399" t="s">
        <v>27</v>
      </c>
      <c r="D399" t="s">
        <v>45</v>
      </c>
      <c r="E399" t="s">
        <v>29</v>
      </c>
      <c r="F399" t="s">
        <v>79</v>
      </c>
      <c r="G399" t="s">
        <v>80</v>
      </c>
      <c r="H399" t="s">
        <v>81</v>
      </c>
      <c r="I399" t="s">
        <v>49</v>
      </c>
      <c r="J399" t="s">
        <v>1378</v>
      </c>
      <c r="K399" t="s">
        <v>1379</v>
      </c>
      <c r="L399" t="s">
        <v>92</v>
      </c>
      <c r="M399" t="s">
        <v>135</v>
      </c>
      <c r="N399" t="s">
        <v>521</v>
      </c>
      <c r="O399" t="s">
        <v>92</v>
      </c>
      <c r="P399" t="s">
        <v>39</v>
      </c>
      <c r="Q399" t="s">
        <v>2614</v>
      </c>
      <c r="R399">
        <v>71</v>
      </c>
      <c r="S399">
        <v>1</v>
      </c>
      <c r="T399" t="s">
        <v>123</v>
      </c>
      <c r="U399" t="s">
        <v>57</v>
      </c>
      <c r="V399">
        <v>4.92</v>
      </c>
      <c r="W399">
        <v>2.93</v>
      </c>
      <c r="X399">
        <v>8.8000000000000007</v>
      </c>
      <c r="Y399">
        <v>16.600000000000001</v>
      </c>
      <c r="Z399">
        <v>9.4</v>
      </c>
      <c r="AA399">
        <f>VALUE(SUBSTITUTE(DACS19___Pfizer’s_Personalised_Medicine_in[[#This Row],[Dose]],"mg",""))</f>
        <v>50</v>
      </c>
      <c r="AB399">
        <f t="shared" si="42"/>
        <v>50</v>
      </c>
      <c r="AC399" t="s">
        <v>2614</v>
      </c>
      <c r="AD399">
        <f t="shared" si="43"/>
        <v>0</v>
      </c>
      <c r="AE399">
        <f t="shared" si="44"/>
        <v>3</v>
      </c>
      <c r="AF399" t="e">
        <f t="shared" si="45"/>
        <v>#N/A</v>
      </c>
      <c r="AG399" t="e">
        <f t="shared" si="46"/>
        <v>#N/A</v>
      </c>
      <c r="AH399" t="e">
        <f t="shared" si="47"/>
        <v>#N/A</v>
      </c>
      <c r="AI399">
        <f t="shared" si="48"/>
        <v>2.93</v>
      </c>
    </row>
    <row r="400" spans="1:35" x14ac:dyDescent="0.45">
      <c r="A400" t="s">
        <v>1380</v>
      </c>
      <c r="B400">
        <v>64</v>
      </c>
      <c r="C400" t="s">
        <v>44</v>
      </c>
      <c r="D400" t="s">
        <v>87</v>
      </c>
      <c r="E400" t="s">
        <v>163</v>
      </c>
      <c r="F400" t="s">
        <v>47</v>
      </c>
      <c r="G400" t="s">
        <v>184</v>
      </c>
      <c r="H400" t="s">
        <v>81</v>
      </c>
      <c r="I400" t="s">
        <v>132</v>
      </c>
      <c r="J400" t="s">
        <v>315</v>
      </c>
      <c r="K400" t="s">
        <v>1381</v>
      </c>
      <c r="L400" t="s">
        <v>36</v>
      </c>
      <c r="M400" t="s">
        <v>2614</v>
      </c>
      <c r="N400" t="s">
        <v>1000</v>
      </c>
      <c r="O400" t="s">
        <v>36</v>
      </c>
      <c r="P400" t="s">
        <v>55</v>
      </c>
      <c r="Q400" t="s">
        <v>40</v>
      </c>
      <c r="R400">
        <v>63</v>
      </c>
      <c r="S400">
        <v>0</v>
      </c>
      <c r="T400" t="s">
        <v>56</v>
      </c>
      <c r="U400" t="s">
        <v>57</v>
      </c>
      <c r="V400">
        <v>2.14</v>
      </c>
      <c r="W400">
        <v>1.81</v>
      </c>
      <c r="X400">
        <v>7.9</v>
      </c>
      <c r="Y400">
        <v>13</v>
      </c>
      <c r="Z400">
        <v>11.7</v>
      </c>
      <c r="AA400">
        <f>VALUE(SUBSTITUTE(DACS19___Pfizer’s_Personalised_Medicine_in[[#This Row],[Dose]],"mg",""))</f>
        <v>200</v>
      </c>
      <c r="AB400">
        <f t="shared" si="42"/>
        <v>200</v>
      </c>
      <c r="AC400" t="s">
        <v>40</v>
      </c>
      <c r="AD400">
        <f t="shared" si="43"/>
        <v>3</v>
      </c>
      <c r="AE400">
        <f t="shared" si="44"/>
        <v>2</v>
      </c>
      <c r="AF400" t="e">
        <f t="shared" si="45"/>
        <v>#N/A</v>
      </c>
      <c r="AG400" t="e">
        <f t="shared" si="46"/>
        <v>#N/A</v>
      </c>
      <c r="AH400" t="e">
        <f t="shared" si="47"/>
        <v>#N/A</v>
      </c>
      <c r="AI400">
        <f t="shared" si="48"/>
        <v>1.81</v>
      </c>
    </row>
    <row r="401" spans="1:35" x14ac:dyDescent="0.45">
      <c r="A401" t="s">
        <v>1382</v>
      </c>
      <c r="B401">
        <v>83</v>
      </c>
      <c r="C401" t="s">
        <v>45</v>
      </c>
      <c r="D401" t="s">
        <v>28</v>
      </c>
      <c r="E401" t="s">
        <v>2614</v>
      </c>
      <c r="F401" t="s">
        <v>47</v>
      </c>
      <c r="G401" t="s">
        <v>246</v>
      </c>
      <c r="H401" t="s">
        <v>81</v>
      </c>
      <c r="I401" t="s">
        <v>132</v>
      </c>
      <c r="J401" t="s">
        <v>1120</v>
      </c>
      <c r="K401" t="s">
        <v>1383</v>
      </c>
      <c r="L401" t="s">
        <v>52</v>
      </c>
      <c r="M401" t="s">
        <v>581</v>
      </c>
      <c r="N401" t="s">
        <v>1199</v>
      </c>
      <c r="O401" t="s">
        <v>52</v>
      </c>
      <c r="P401" t="s">
        <v>55</v>
      </c>
      <c r="Q401" t="s">
        <v>40</v>
      </c>
      <c r="R401">
        <v>70</v>
      </c>
      <c r="S401">
        <v>0</v>
      </c>
      <c r="T401" t="s">
        <v>85</v>
      </c>
      <c r="U401" t="s">
        <v>57</v>
      </c>
      <c r="V401">
        <v>2.97</v>
      </c>
      <c r="W401">
        <v>3.31</v>
      </c>
      <c r="X401">
        <v>8.8000000000000007</v>
      </c>
      <c r="Y401">
        <v>23.7</v>
      </c>
      <c r="Z401">
        <v>9.9</v>
      </c>
      <c r="AA401">
        <f>VALUE(SUBSTITUTE(DACS19___Pfizer’s_Personalised_Medicine_in[[#This Row],[Dose]],"mg",""))</f>
        <v>100</v>
      </c>
      <c r="AB401">
        <f t="shared" si="42"/>
        <v>100</v>
      </c>
      <c r="AC401" t="s">
        <v>40</v>
      </c>
      <c r="AD401">
        <f t="shared" si="43"/>
        <v>3</v>
      </c>
      <c r="AE401">
        <f t="shared" si="44"/>
        <v>2</v>
      </c>
      <c r="AF401" t="e">
        <f t="shared" si="45"/>
        <v>#N/A</v>
      </c>
      <c r="AG401" t="e">
        <f t="shared" si="46"/>
        <v>#N/A</v>
      </c>
      <c r="AH401" t="e">
        <f t="shared" si="47"/>
        <v>#N/A</v>
      </c>
      <c r="AI401">
        <f t="shared" si="48"/>
        <v>3.31</v>
      </c>
    </row>
    <row r="402" spans="1:35" x14ac:dyDescent="0.45">
      <c r="A402" t="s">
        <v>1384</v>
      </c>
      <c r="B402">
        <v>27</v>
      </c>
      <c r="C402" t="s">
        <v>27</v>
      </c>
      <c r="D402" t="s">
        <v>95</v>
      </c>
      <c r="E402" t="s">
        <v>78</v>
      </c>
      <c r="F402" t="s">
        <v>2614</v>
      </c>
      <c r="G402" t="s">
        <v>194</v>
      </c>
      <c r="H402" t="s">
        <v>81</v>
      </c>
      <c r="I402" t="s">
        <v>33</v>
      </c>
      <c r="J402" t="s">
        <v>1013</v>
      </c>
      <c r="K402" t="s">
        <v>1385</v>
      </c>
      <c r="L402" t="s">
        <v>52</v>
      </c>
      <c r="M402" t="s">
        <v>723</v>
      </c>
      <c r="N402" t="s">
        <v>379</v>
      </c>
      <c r="O402" t="s">
        <v>52</v>
      </c>
      <c r="P402" t="s">
        <v>55</v>
      </c>
      <c r="Q402" t="s">
        <v>2614</v>
      </c>
      <c r="R402">
        <v>46</v>
      </c>
      <c r="S402">
        <v>0</v>
      </c>
      <c r="T402" t="s">
        <v>137</v>
      </c>
      <c r="U402" t="s">
        <v>57</v>
      </c>
      <c r="V402">
        <v>4.3099999999999996</v>
      </c>
      <c r="W402">
        <v>4.0599999999999996</v>
      </c>
      <c r="X402">
        <v>6.2</v>
      </c>
      <c r="Y402">
        <v>23.2</v>
      </c>
      <c r="Z402">
        <v>6.4</v>
      </c>
      <c r="AA402">
        <f>VALUE(SUBSTITUTE(DACS19___Pfizer’s_Personalised_Medicine_in[[#This Row],[Dose]],"mg",""))</f>
        <v>100</v>
      </c>
      <c r="AB402">
        <f t="shared" si="42"/>
        <v>100</v>
      </c>
      <c r="AC402" t="s">
        <v>2614</v>
      </c>
      <c r="AD402">
        <f t="shared" si="43"/>
        <v>0</v>
      </c>
      <c r="AE402">
        <f t="shared" si="44"/>
        <v>2</v>
      </c>
      <c r="AF402" t="e">
        <f t="shared" si="45"/>
        <v>#N/A</v>
      </c>
      <c r="AG402" t="e">
        <f t="shared" si="46"/>
        <v>#N/A</v>
      </c>
      <c r="AH402" t="e">
        <f t="shared" si="47"/>
        <v>#N/A</v>
      </c>
      <c r="AI402">
        <f t="shared" si="48"/>
        <v>4.0599999999999996</v>
      </c>
    </row>
    <row r="403" spans="1:35" x14ac:dyDescent="0.45">
      <c r="A403" t="s">
        <v>1386</v>
      </c>
      <c r="B403">
        <v>80</v>
      </c>
      <c r="C403" t="s">
        <v>27</v>
      </c>
      <c r="D403" t="s">
        <v>95</v>
      </c>
      <c r="E403" t="s">
        <v>163</v>
      </c>
      <c r="F403" t="s">
        <v>88</v>
      </c>
      <c r="G403" t="s">
        <v>178</v>
      </c>
      <c r="H403" t="s">
        <v>71</v>
      </c>
      <c r="I403" t="s">
        <v>33</v>
      </c>
      <c r="J403" t="s">
        <v>1387</v>
      </c>
      <c r="K403" t="s">
        <v>1388</v>
      </c>
      <c r="L403" t="s">
        <v>92</v>
      </c>
      <c r="M403" t="s">
        <v>908</v>
      </c>
      <c r="N403" t="s">
        <v>946</v>
      </c>
      <c r="O403" t="s">
        <v>92</v>
      </c>
      <c r="P403" t="s">
        <v>55</v>
      </c>
      <c r="Q403" t="s">
        <v>67</v>
      </c>
      <c r="R403">
        <v>43</v>
      </c>
      <c r="S403">
        <v>0</v>
      </c>
      <c r="T403" t="s">
        <v>41</v>
      </c>
      <c r="U403" t="s">
        <v>42</v>
      </c>
      <c r="V403">
        <v>1.44</v>
      </c>
      <c r="W403">
        <v>4.42</v>
      </c>
      <c r="X403">
        <v>5</v>
      </c>
      <c r="Y403">
        <v>21.2</v>
      </c>
      <c r="Z403">
        <v>18.2</v>
      </c>
      <c r="AA403">
        <f>VALUE(SUBSTITUTE(DACS19___Pfizer’s_Personalised_Medicine_in[[#This Row],[Dose]],"mg",""))</f>
        <v>50</v>
      </c>
      <c r="AB403">
        <f t="shared" si="42"/>
        <v>50</v>
      </c>
      <c r="AC403" t="s">
        <v>67</v>
      </c>
      <c r="AD403">
        <f t="shared" si="43"/>
        <v>2</v>
      </c>
      <c r="AE403">
        <f t="shared" si="44"/>
        <v>2</v>
      </c>
      <c r="AF403" t="e">
        <f t="shared" si="45"/>
        <v>#N/A</v>
      </c>
      <c r="AG403">
        <f t="shared" si="46"/>
        <v>4.42</v>
      </c>
      <c r="AH403" t="e">
        <f t="shared" si="47"/>
        <v>#N/A</v>
      </c>
      <c r="AI403" t="e">
        <f t="shared" si="48"/>
        <v>#N/A</v>
      </c>
    </row>
    <row r="404" spans="1:35" x14ac:dyDescent="0.45">
      <c r="A404" t="s">
        <v>1389</v>
      </c>
      <c r="B404">
        <v>72</v>
      </c>
      <c r="C404" t="s">
        <v>44</v>
      </c>
      <c r="D404" t="s">
        <v>28</v>
      </c>
      <c r="E404" t="s">
        <v>46</v>
      </c>
      <c r="F404" t="s">
        <v>88</v>
      </c>
      <c r="G404" t="s">
        <v>184</v>
      </c>
      <c r="H404" t="s">
        <v>81</v>
      </c>
      <c r="I404" t="s">
        <v>49</v>
      </c>
      <c r="J404" t="s">
        <v>1390</v>
      </c>
      <c r="K404" t="s">
        <v>211</v>
      </c>
      <c r="L404" t="s">
        <v>52</v>
      </c>
      <c r="M404" t="s">
        <v>2649</v>
      </c>
      <c r="N404" t="s">
        <v>313</v>
      </c>
      <c r="O404" t="s">
        <v>52</v>
      </c>
      <c r="P404" t="s">
        <v>55</v>
      </c>
      <c r="Q404" t="s">
        <v>2614</v>
      </c>
      <c r="R404">
        <v>106</v>
      </c>
      <c r="S404">
        <v>0</v>
      </c>
      <c r="T404" t="s">
        <v>41</v>
      </c>
      <c r="U404" t="s">
        <v>42</v>
      </c>
      <c r="V404">
        <v>1.25</v>
      </c>
      <c r="W404">
        <v>4.53</v>
      </c>
      <c r="X404">
        <v>5</v>
      </c>
      <c r="Y404">
        <v>15.2</v>
      </c>
      <c r="Z404">
        <v>13.7</v>
      </c>
      <c r="AA404">
        <f>VALUE(SUBSTITUTE(DACS19___Pfizer’s_Personalised_Medicine_in[[#This Row],[Dose]],"mg",""))</f>
        <v>100</v>
      </c>
      <c r="AB404">
        <f t="shared" si="42"/>
        <v>100</v>
      </c>
      <c r="AC404" t="s">
        <v>2614</v>
      </c>
      <c r="AD404">
        <f t="shared" si="43"/>
        <v>0</v>
      </c>
      <c r="AE404">
        <f t="shared" si="44"/>
        <v>2</v>
      </c>
      <c r="AF404" t="e">
        <f t="shared" si="45"/>
        <v>#N/A</v>
      </c>
      <c r="AG404" t="e">
        <f t="shared" si="46"/>
        <v>#N/A</v>
      </c>
      <c r="AH404" t="e">
        <f t="shared" si="47"/>
        <v>#N/A</v>
      </c>
      <c r="AI404">
        <f t="shared" si="48"/>
        <v>4.53</v>
      </c>
    </row>
    <row r="405" spans="1:35" x14ac:dyDescent="0.45">
      <c r="A405" t="s">
        <v>1392</v>
      </c>
      <c r="B405">
        <v>62</v>
      </c>
      <c r="C405" t="s">
        <v>44</v>
      </c>
      <c r="D405" t="s">
        <v>95</v>
      </c>
      <c r="E405" t="s">
        <v>78</v>
      </c>
      <c r="F405" t="s">
        <v>2614</v>
      </c>
      <c r="G405" t="s">
        <v>112</v>
      </c>
      <c r="H405" t="s">
        <v>81</v>
      </c>
      <c r="I405" t="s">
        <v>132</v>
      </c>
      <c r="J405" t="s">
        <v>1393</v>
      </c>
      <c r="K405" t="s">
        <v>1093</v>
      </c>
      <c r="L405" t="s">
        <v>52</v>
      </c>
      <c r="M405" t="s">
        <v>75</v>
      </c>
      <c r="N405" t="s">
        <v>66</v>
      </c>
      <c r="O405" t="s">
        <v>52</v>
      </c>
      <c r="P405" t="s">
        <v>39</v>
      </c>
      <c r="Q405" t="s">
        <v>2614</v>
      </c>
      <c r="R405">
        <v>111</v>
      </c>
      <c r="S405">
        <v>1</v>
      </c>
      <c r="T405" t="s">
        <v>123</v>
      </c>
      <c r="U405" t="s">
        <v>42</v>
      </c>
      <c r="V405">
        <v>4.71</v>
      </c>
      <c r="W405">
        <v>1.08</v>
      </c>
      <c r="X405">
        <v>5.3</v>
      </c>
      <c r="Y405">
        <v>18.399999999999999</v>
      </c>
      <c r="Z405">
        <v>15.3</v>
      </c>
      <c r="AA405">
        <f>VALUE(SUBSTITUTE(DACS19___Pfizer’s_Personalised_Medicine_in[[#This Row],[Dose]],"mg",""))</f>
        <v>100</v>
      </c>
      <c r="AB405">
        <f t="shared" si="42"/>
        <v>100</v>
      </c>
      <c r="AC405" t="s">
        <v>2614</v>
      </c>
      <c r="AD405">
        <f t="shared" si="43"/>
        <v>0</v>
      </c>
      <c r="AE405">
        <f t="shared" si="44"/>
        <v>3</v>
      </c>
      <c r="AF405" t="e">
        <f t="shared" si="45"/>
        <v>#N/A</v>
      </c>
      <c r="AG405" t="e">
        <f t="shared" si="46"/>
        <v>#N/A</v>
      </c>
      <c r="AH405" t="e">
        <f t="shared" si="47"/>
        <v>#N/A</v>
      </c>
      <c r="AI405">
        <f t="shared" si="48"/>
        <v>1.08</v>
      </c>
    </row>
    <row r="406" spans="1:35" x14ac:dyDescent="0.45">
      <c r="A406" t="s">
        <v>1394</v>
      </c>
      <c r="B406">
        <v>76</v>
      </c>
      <c r="C406" t="s">
        <v>27</v>
      </c>
      <c r="D406" t="s">
        <v>95</v>
      </c>
      <c r="E406" t="s">
        <v>2614</v>
      </c>
      <c r="F406" t="s">
        <v>47</v>
      </c>
      <c r="G406" t="s">
        <v>184</v>
      </c>
      <c r="H406" t="s">
        <v>61</v>
      </c>
      <c r="I406" t="s">
        <v>33</v>
      </c>
      <c r="J406" t="s">
        <v>1395</v>
      </c>
      <c r="K406" t="s">
        <v>1396</v>
      </c>
      <c r="L406" t="s">
        <v>92</v>
      </c>
      <c r="M406" t="s">
        <v>67</v>
      </c>
      <c r="N406" t="s">
        <v>754</v>
      </c>
      <c r="O406" t="s">
        <v>92</v>
      </c>
      <c r="P406" t="s">
        <v>39</v>
      </c>
      <c r="Q406" t="s">
        <v>40</v>
      </c>
      <c r="R406">
        <v>169</v>
      </c>
      <c r="S406">
        <v>1</v>
      </c>
      <c r="T406" t="s">
        <v>41</v>
      </c>
      <c r="U406" t="s">
        <v>57</v>
      </c>
      <c r="V406">
        <v>3.77</v>
      </c>
      <c r="W406">
        <v>1.54</v>
      </c>
      <c r="X406">
        <v>3.7</v>
      </c>
      <c r="Y406">
        <v>12.5</v>
      </c>
      <c r="Z406">
        <v>16.7</v>
      </c>
      <c r="AA406">
        <f>VALUE(SUBSTITUTE(DACS19___Pfizer’s_Personalised_Medicine_in[[#This Row],[Dose]],"mg",""))</f>
        <v>50</v>
      </c>
      <c r="AB406">
        <f t="shared" si="42"/>
        <v>50</v>
      </c>
      <c r="AC406" t="s">
        <v>40</v>
      </c>
      <c r="AD406">
        <f t="shared" si="43"/>
        <v>3</v>
      </c>
      <c r="AE406">
        <f t="shared" si="44"/>
        <v>3</v>
      </c>
      <c r="AF406">
        <f t="shared" si="45"/>
        <v>1.54</v>
      </c>
      <c r="AG406" t="e">
        <f t="shared" si="46"/>
        <v>#N/A</v>
      </c>
      <c r="AH406" t="e">
        <f t="shared" si="47"/>
        <v>#N/A</v>
      </c>
      <c r="AI406" t="e">
        <f t="shared" si="48"/>
        <v>#N/A</v>
      </c>
    </row>
    <row r="407" spans="1:35" x14ac:dyDescent="0.45">
      <c r="A407" t="s">
        <v>1397</v>
      </c>
      <c r="B407">
        <v>45</v>
      </c>
      <c r="C407" t="s">
        <v>44</v>
      </c>
      <c r="D407" t="s">
        <v>106</v>
      </c>
      <c r="E407" t="s">
        <v>46</v>
      </c>
      <c r="F407" t="s">
        <v>2614</v>
      </c>
      <c r="G407" t="s">
        <v>80</v>
      </c>
      <c r="H407" t="s">
        <v>61</v>
      </c>
      <c r="I407" t="s">
        <v>132</v>
      </c>
      <c r="J407" t="s">
        <v>964</v>
      </c>
      <c r="K407" t="s">
        <v>523</v>
      </c>
      <c r="L407" t="s">
        <v>92</v>
      </c>
      <c r="M407" t="s">
        <v>1398</v>
      </c>
      <c r="N407" t="s">
        <v>562</v>
      </c>
      <c r="O407" t="s">
        <v>92</v>
      </c>
      <c r="P407" t="s">
        <v>55</v>
      </c>
      <c r="Q407" t="s">
        <v>2614</v>
      </c>
      <c r="R407">
        <v>168</v>
      </c>
      <c r="S407">
        <v>0</v>
      </c>
      <c r="T407" t="s">
        <v>56</v>
      </c>
      <c r="U407" t="s">
        <v>57</v>
      </c>
      <c r="V407">
        <v>2.12</v>
      </c>
      <c r="W407">
        <v>1.84</v>
      </c>
      <c r="X407">
        <v>9.6</v>
      </c>
      <c r="Y407">
        <v>6.2</v>
      </c>
      <c r="Z407">
        <v>20</v>
      </c>
      <c r="AA407">
        <f>VALUE(SUBSTITUTE(DACS19___Pfizer’s_Personalised_Medicine_in[[#This Row],[Dose]],"mg",""))</f>
        <v>50</v>
      </c>
      <c r="AB407">
        <f t="shared" si="42"/>
        <v>50</v>
      </c>
      <c r="AC407" t="s">
        <v>2614</v>
      </c>
      <c r="AD407">
        <f t="shared" si="43"/>
        <v>0</v>
      </c>
      <c r="AE407">
        <f t="shared" si="44"/>
        <v>2</v>
      </c>
      <c r="AF407">
        <f t="shared" si="45"/>
        <v>1.84</v>
      </c>
      <c r="AG407" t="e">
        <f t="shared" si="46"/>
        <v>#N/A</v>
      </c>
      <c r="AH407" t="e">
        <f t="shared" si="47"/>
        <v>#N/A</v>
      </c>
      <c r="AI407" t="e">
        <f t="shared" si="48"/>
        <v>#N/A</v>
      </c>
    </row>
    <row r="408" spans="1:35" x14ac:dyDescent="0.45">
      <c r="A408" t="s">
        <v>1399</v>
      </c>
      <c r="B408">
        <v>32</v>
      </c>
      <c r="C408" t="s">
        <v>27</v>
      </c>
      <c r="D408" t="s">
        <v>95</v>
      </c>
      <c r="E408" t="s">
        <v>78</v>
      </c>
      <c r="F408" t="s">
        <v>69</v>
      </c>
      <c r="G408" t="s">
        <v>152</v>
      </c>
      <c r="H408" t="s">
        <v>71</v>
      </c>
      <c r="I408" t="s">
        <v>33</v>
      </c>
      <c r="J408" t="s">
        <v>1400</v>
      </c>
      <c r="K408" t="s">
        <v>1401</v>
      </c>
      <c r="L408" t="s">
        <v>36</v>
      </c>
      <c r="M408" t="s">
        <v>2643</v>
      </c>
      <c r="N408" t="s">
        <v>1199</v>
      </c>
      <c r="O408" t="s">
        <v>36</v>
      </c>
      <c r="P408" t="s">
        <v>39</v>
      </c>
      <c r="Q408" t="s">
        <v>129</v>
      </c>
      <c r="R408">
        <v>135</v>
      </c>
      <c r="S408">
        <v>1</v>
      </c>
      <c r="T408" t="s">
        <v>123</v>
      </c>
      <c r="U408" t="s">
        <v>57</v>
      </c>
      <c r="V408">
        <v>3.71</v>
      </c>
      <c r="W408">
        <v>4.3099999999999996</v>
      </c>
      <c r="X408">
        <v>3.7</v>
      </c>
      <c r="Y408">
        <v>6.3</v>
      </c>
      <c r="Z408">
        <v>15.5</v>
      </c>
      <c r="AA408">
        <f>VALUE(SUBSTITUTE(DACS19___Pfizer’s_Personalised_Medicine_in[[#This Row],[Dose]],"mg",""))</f>
        <v>200</v>
      </c>
      <c r="AB408">
        <f t="shared" si="42"/>
        <v>200</v>
      </c>
      <c r="AC408" t="s">
        <v>129</v>
      </c>
      <c r="AD408">
        <f t="shared" si="43"/>
        <v>4</v>
      </c>
      <c r="AE408">
        <f t="shared" si="44"/>
        <v>3</v>
      </c>
      <c r="AF408" t="e">
        <f t="shared" si="45"/>
        <v>#N/A</v>
      </c>
      <c r="AG408">
        <f t="shared" si="46"/>
        <v>4.3099999999999996</v>
      </c>
      <c r="AH408" t="e">
        <f t="shared" si="47"/>
        <v>#N/A</v>
      </c>
      <c r="AI408" t="e">
        <f t="shared" si="48"/>
        <v>#N/A</v>
      </c>
    </row>
    <row r="409" spans="1:35" x14ac:dyDescent="0.45">
      <c r="A409" t="s">
        <v>1402</v>
      </c>
      <c r="B409">
        <v>30</v>
      </c>
      <c r="C409" t="s">
        <v>45</v>
      </c>
      <c r="D409" t="s">
        <v>95</v>
      </c>
      <c r="E409" t="s">
        <v>29</v>
      </c>
      <c r="F409" t="s">
        <v>2614</v>
      </c>
      <c r="G409" t="s">
        <v>118</v>
      </c>
      <c r="H409" t="s">
        <v>32</v>
      </c>
      <c r="I409" t="s">
        <v>33</v>
      </c>
      <c r="J409" t="s">
        <v>1403</v>
      </c>
      <c r="K409" t="s">
        <v>1404</v>
      </c>
      <c r="L409" t="s">
        <v>36</v>
      </c>
      <c r="M409" t="s">
        <v>67</v>
      </c>
      <c r="N409" t="s">
        <v>650</v>
      </c>
      <c r="O409" t="s">
        <v>36</v>
      </c>
      <c r="P409" t="s">
        <v>39</v>
      </c>
      <c r="Q409" t="s">
        <v>2614</v>
      </c>
      <c r="R409">
        <v>148</v>
      </c>
      <c r="S409">
        <v>1</v>
      </c>
      <c r="T409" t="s">
        <v>56</v>
      </c>
      <c r="U409" t="s">
        <v>57</v>
      </c>
      <c r="V409">
        <v>4.34</v>
      </c>
      <c r="W409">
        <v>3.96</v>
      </c>
      <c r="X409">
        <v>2.2999999999999998</v>
      </c>
      <c r="Y409">
        <v>19.600000000000001</v>
      </c>
      <c r="Z409">
        <v>16.100000000000001</v>
      </c>
      <c r="AA409">
        <f>VALUE(SUBSTITUTE(DACS19___Pfizer’s_Personalised_Medicine_in[[#This Row],[Dose]],"mg",""))</f>
        <v>200</v>
      </c>
      <c r="AB409">
        <f t="shared" si="42"/>
        <v>200</v>
      </c>
      <c r="AC409" t="s">
        <v>2614</v>
      </c>
      <c r="AD409">
        <f t="shared" si="43"/>
        <v>0</v>
      </c>
      <c r="AE409">
        <f t="shared" si="44"/>
        <v>3</v>
      </c>
      <c r="AF409" t="e">
        <f t="shared" si="45"/>
        <v>#N/A</v>
      </c>
      <c r="AG409" t="e">
        <f t="shared" si="46"/>
        <v>#N/A</v>
      </c>
      <c r="AH409">
        <f t="shared" si="47"/>
        <v>3.96</v>
      </c>
      <c r="AI409" t="e">
        <f t="shared" si="48"/>
        <v>#N/A</v>
      </c>
    </row>
    <row r="410" spans="1:35" x14ac:dyDescent="0.45">
      <c r="A410" t="s">
        <v>1405</v>
      </c>
      <c r="B410">
        <v>18</v>
      </c>
      <c r="C410" t="s">
        <v>44</v>
      </c>
      <c r="D410" t="s">
        <v>106</v>
      </c>
      <c r="E410" t="s">
        <v>29</v>
      </c>
      <c r="F410" t="s">
        <v>59</v>
      </c>
      <c r="G410" t="s">
        <v>276</v>
      </c>
      <c r="H410" t="s">
        <v>81</v>
      </c>
      <c r="I410" t="s">
        <v>72</v>
      </c>
      <c r="J410" t="s">
        <v>1406</v>
      </c>
      <c r="K410" t="s">
        <v>1276</v>
      </c>
      <c r="L410" t="s">
        <v>92</v>
      </c>
      <c r="M410" t="s">
        <v>2614</v>
      </c>
      <c r="N410" t="s">
        <v>682</v>
      </c>
      <c r="O410" t="s">
        <v>92</v>
      </c>
      <c r="P410" t="s">
        <v>110</v>
      </c>
      <c r="Q410" t="s">
        <v>75</v>
      </c>
      <c r="R410">
        <v>111</v>
      </c>
      <c r="S410">
        <v>0</v>
      </c>
      <c r="T410" t="s">
        <v>137</v>
      </c>
      <c r="U410" t="s">
        <v>42</v>
      </c>
      <c r="V410">
        <v>3.63</v>
      </c>
      <c r="W410">
        <v>4.0599999999999996</v>
      </c>
      <c r="X410">
        <v>8.6</v>
      </c>
      <c r="Y410">
        <v>17</v>
      </c>
      <c r="Z410">
        <v>4.5</v>
      </c>
      <c r="AA410">
        <f>VALUE(SUBSTITUTE(DACS19___Pfizer’s_Personalised_Medicine_in[[#This Row],[Dose]],"mg",""))</f>
        <v>50</v>
      </c>
      <c r="AB410">
        <f t="shared" si="42"/>
        <v>50</v>
      </c>
      <c r="AC410" t="s">
        <v>75</v>
      </c>
      <c r="AD410">
        <f t="shared" si="43"/>
        <v>1</v>
      </c>
      <c r="AE410">
        <f t="shared" si="44"/>
        <v>1</v>
      </c>
      <c r="AF410" t="e">
        <f t="shared" si="45"/>
        <v>#N/A</v>
      </c>
      <c r="AG410" t="e">
        <f t="shared" si="46"/>
        <v>#N/A</v>
      </c>
      <c r="AH410" t="e">
        <f t="shared" si="47"/>
        <v>#N/A</v>
      </c>
      <c r="AI410">
        <f t="shared" si="48"/>
        <v>4.0599999999999996</v>
      </c>
    </row>
    <row r="411" spans="1:35" x14ac:dyDescent="0.45">
      <c r="A411" t="s">
        <v>1407</v>
      </c>
      <c r="B411">
        <v>73</v>
      </c>
      <c r="C411" t="s">
        <v>27</v>
      </c>
      <c r="D411" t="s">
        <v>45</v>
      </c>
      <c r="E411" t="s">
        <v>78</v>
      </c>
      <c r="F411" t="s">
        <v>47</v>
      </c>
      <c r="G411" t="s">
        <v>118</v>
      </c>
      <c r="H411" t="s">
        <v>81</v>
      </c>
      <c r="I411" t="s">
        <v>72</v>
      </c>
      <c r="J411" t="s">
        <v>390</v>
      </c>
      <c r="K411" t="s">
        <v>1408</v>
      </c>
      <c r="L411" t="s">
        <v>64</v>
      </c>
      <c r="M411" t="s">
        <v>266</v>
      </c>
      <c r="N411" t="s">
        <v>374</v>
      </c>
      <c r="O411" t="s">
        <v>64</v>
      </c>
      <c r="P411" t="s">
        <v>110</v>
      </c>
      <c r="Q411" t="s">
        <v>67</v>
      </c>
      <c r="R411">
        <v>159</v>
      </c>
      <c r="S411">
        <v>0</v>
      </c>
      <c r="T411" t="s">
        <v>123</v>
      </c>
      <c r="U411" t="s">
        <v>57</v>
      </c>
      <c r="V411">
        <v>2.95</v>
      </c>
      <c r="W411">
        <v>1.31</v>
      </c>
      <c r="X411">
        <v>4.7</v>
      </c>
      <c r="Y411">
        <v>13.3</v>
      </c>
      <c r="Z411">
        <v>4.0999999999999996</v>
      </c>
      <c r="AA411">
        <f>VALUE(SUBSTITUTE(DACS19___Pfizer’s_Personalised_Medicine_in[[#This Row],[Dose]],"mg",""))</f>
        <v>150</v>
      </c>
      <c r="AB411">
        <f t="shared" si="42"/>
        <v>150</v>
      </c>
      <c r="AC411" t="s">
        <v>67</v>
      </c>
      <c r="AD411">
        <f t="shared" si="43"/>
        <v>2</v>
      </c>
      <c r="AE411">
        <f t="shared" si="44"/>
        <v>1</v>
      </c>
      <c r="AF411" t="e">
        <f t="shared" si="45"/>
        <v>#N/A</v>
      </c>
      <c r="AG411" t="e">
        <f t="shared" si="46"/>
        <v>#N/A</v>
      </c>
      <c r="AH411" t="e">
        <f t="shared" si="47"/>
        <v>#N/A</v>
      </c>
      <c r="AI411">
        <f t="shared" si="48"/>
        <v>1.31</v>
      </c>
    </row>
    <row r="412" spans="1:35" x14ac:dyDescent="0.45">
      <c r="A412" t="s">
        <v>1409</v>
      </c>
      <c r="B412">
        <v>51</v>
      </c>
      <c r="C412" t="s">
        <v>45</v>
      </c>
      <c r="D412" t="s">
        <v>106</v>
      </c>
      <c r="E412" t="s">
        <v>2614</v>
      </c>
      <c r="F412" t="s">
        <v>88</v>
      </c>
      <c r="G412" t="s">
        <v>164</v>
      </c>
      <c r="H412" t="s">
        <v>81</v>
      </c>
      <c r="I412" t="s">
        <v>49</v>
      </c>
      <c r="J412" t="s">
        <v>1410</v>
      </c>
      <c r="K412" t="s">
        <v>1411</v>
      </c>
      <c r="L412" t="s">
        <v>92</v>
      </c>
      <c r="M412" t="s">
        <v>2650</v>
      </c>
      <c r="N412" t="s">
        <v>1280</v>
      </c>
      <c r="O412" t="s">
        <v>92</v>
      </c>
      <c r="P412" t="s">
        <v>39</v>
      </c>
      <c r="Q412" t="s">
        <v>40</v>
      </c>
      <c r="R412">
        <v>121</v>
      </c>
      <c r="S412">
        <v>1</v>
      </c>
      <c r="T412" t="s">
        <v>41</v>
      </c>
      <c r="U412" t="s">
        <v>42</v>
      </c>
      <c r="V412">
        <v>2.4</v>
      </c>
      <c r="W412">
        <v>1.44</v>
      </c>
      <c r="X412">
        <v>8.3000000000000007</v>
      </c>
      <c r="Y412">
        <v>23.1</v>
      </c>
      <c r="Z412">
        <v>4.2</v>
      </c>
      <c r="AA412">
        <f>VALUE(SUBSTITUTE(DACS19___Pfizer’s_Personalised_Medicine_in[[#This Row],[Dose]],"mg",""))</f>
        <v>50</v>
      </c>
      <c r="AB412">
        <f t="shared" si="42"/>
        <v>50</v>
      </c>
      <c r="AC412" t="s">
        <v>40</v>
      </c>
      <c r="AD412">
        <f t="shared" si="43"/>
        <v>3</v>
      </c>
      <c r="AE412">
        <f t="shared" si="44"/>
        <v>3</v>
      </c>
      <c r="AF412" t="e">
        <f t="shared" si="45"/>
        <v>#N/A</v>
      </c>
      <c r="AG412" t="e">
        <f t="shared" si="46"/>
        <v>#N/A</v>
      </c>
      <c r="AH412" t="e">
        <f t="shared" si="47"/>
        <v>#N/A</v>
      </c>
      <c r="AI412">
        <f t="shared" si="48"/>
        <v>1.44</v>
      </c>
    </row>
    <row r="413" spans="1:35" x14ac:dyDescent="0.45">
      <c r="A413" t="s">
        <v>1413</v>
      </c>
      <c r="B413">
        <v>46</v>
      </c>
      <c r="C413" t="s">
        <v>44</v>
      </c>
      <c r="D413" t="s">
        <v>106</v>
      </c>
      <c r="E413" t="s">
        <v>29</v>
      </c>
      <c r="F413" t="s">
        <v>2614</v>
      </c>
      <c r="G413" t="s">
        <v>131</v>
      </c>
      <c r="H413" t="s">
        <v>32</v>
      </c>
      <c r="I413" t="s">
        <v>49</v>
      </c>
      <c r="J413" t="s">
        <v>1414</v>
      </c>
      <c r="K413" t="s">
        <v>419</v>
      </c>
      <c r="L413" t="s">
        <v>92</v>
      </c>
      <c r="M413" t="s">
        <v>581</v>
      </c>
      <c r="N413" t="s">
        <v>1014</v>
      </c>
      <c r="O413" t="s">
        <v>92</v>
      </c>
      <c r="P413" t="s">
        <v>110</v>
      </c>
      <c r="Q413" t="s">
        <v>129</v>
      </c>
      <c r="R413">
        <v>57</v>
      </c>
      <c r="S413">
        <v>0</v>
      </c>
      <c r="T413" t="s">
        <v>41</v>
      </c>
      <c r="U413" t="s">
        <v>57</v>
      </c>
      <c r="V413">
        <v>4.82</v>
      </c>
      <c r="W413">
        <v>3.09</v>
      </c>
      <c r="X413">
        <v>3.7</v>
      </c>
      <c r="Y413">
        <v>7.4</v>
      </c>
      <c r="Z413">
        <v>11.5</v>
      </c>
      <c r="AA413">
        <f>VALUE(SUBSTITUTE(DACS19___Pfizer’s_Personalised_Medicine_in[[#This Row],[Dose]],"mg",""))</f>
        <v>50</v>
      </c>
      <c r="AB413">
        <f t="shared" si="42"/>
        <v>50</v>
      </c>
      <c r="AC413" t="s">
        <v>129</v>
      </c>
      <c r="AD413">
        <f t="shared" si="43"/>
        <v>4</v>
      </c>
      <c r="AE413">
        <f t="shared" si="44"/>
        <v>1</v>
      </c>
      <c r="AF413" t="e">
        <f t="shared" si="45"/>
        <v>#N/A</v>
      </c>
      <c r="AG413" t="e">
        <f t="shared" si="46"/>
        <v>#N/A</v>
      </c>
      <c r="AH413">
        <f t="shared" si="47"/>
        <v>3.09</v>
      </c>
      <c r="AI413" t="e">
        <f t="shared" si="48"/>
        <v>#N/A</v>
      </c>
    </row>
    <row r="414" spans="1:35" x14ac:dyDescent="0.45">
      <c r="A414" t="s">
        <v>1415</v>
      </c>
      <c r="B414">
        <v>51</v>
      </c>
      <c r="C414" t="s">
        <v>27</v>
      </c>
      <c r="D414" t="s">
        <v>87</v>
      </c>
      <c r="E414" t="s">
        <v>163</v>
      </c>
      <c r="F414" t="s">
        <v>59</v>
      </c>
      <c r="G414" t="s">
        <v>89</v>
      </c>
      <c r="H414" t="s">
        <v>81</v>
      </c>
      <c r="I414" t="s">
        <v>49</v>
      </c>
      <c r="J414" t="s">
        <v>1106</v>
      </c>
      <c r="K414" t="s">
        <v>1416</v>
      </c>
      <c r="L414" t="s">
        <v>36</v>
      </c>
      <c r="M414" t="s">
        <v>2641</v>
      </c>
      <c r="N414" t="s">
        <v>1066</v>
      </c>
      <c r="O414" t="s">
        <v>36</v>
      </c>
      <c r="P414" t="s">
        <v>55</v>
      </c>
      <c r="Q414" t="s">
        <v>2614</v>
      </c>
      <c r="R414">
        <v>145</v>
      </c>
      <c r="S414">
        <v>0</v>
      </c>
      <c r="T414" t="s">
        <v>41</v>
      </c>
      <c r="U414" t="s">
        <v>42</v>
      </c>
      <c r="V414">
        <v>4.18</v>
      </c>
      <c r="W414">
        <v>3.83</v>
      </c>
      <c r="X414">
        <v>1.5</v>
      </c>
      <c r="Y414">
        <v>7.3</v>
      </c>
      <c r="Z414">
        <v>9.8000000000000007</v>
      </c>
      <c r="AA414">
        <f>VALUE(SUBSTITUTE(DACS19___Pfizer’s_Personalised_Medicine_in[[#This Row],[Dose]],"mg",""))</f>
        <v>200</v>
      </c>
      <c r="AB414">
        <f t="shared" si="42"/>
        <v>200</v>
      </c>
      <c r="AC414" t="s">
        <v>2614</v>
      </c>
      <c r="AD414">
        <f t="shared" si="43"/>
        <v>0</v>
      </c>
      <c r="AE414">
        <f t="shared" si="44"/>
        <v>2</v>
      </c>
      <c r="AF414" t="e">
        <f t="shared" si="45"/>
        <v>#N/A</v>
      </c>
      <c r="AG414" t="e">
        <f t="shared" si="46"/>
        <v>#N/A</v>
      </c>
      <c r="AH414" t="e">
        <f t="shared" si="47"/>
        <v>#N/A</v>
      </c>
      <c r="AI414">
        <f t="shared" si="48"/>
        <v>3.83</v>
      </c>
    </row>
    <row r="415" spans="1:35" x14ac:dyDescent="0.45">
      <c r="A415" t="s">
        <v>1417</v>
      </c>
      <c r="B415">
        <v>56</v>
      </c>
      <c r="C415" t="s">
        <v>27</v>
      </c>
      <c r="D415" t="s">
        <v>106</v>
      </c>
      <c r="E415" t="s">
        <v>29</v>
      </c>
      <c r="F415" t="s">
        <v>2614</v>
      </c>
      <c r="G415" t="s">
        <v>118</v>
      </c>
      <c r="H415" t="s">
        <v>61</v>
      </c>
      <c r="I415" t="s">
        <v>132</v>
      </c>
      <c r="J415" t="s">
        <v>224</v>
      </c>
      <c r="K415" t="s">
        <v>1418</v>
      </c>
      <c r="L415" t="s">
        <v>92</v>
      </c>
      <c r="M415" t="s">
        <v>75</v>
      </c>
      <c r="N415" t="s">
        <v>808</v>
      </c>
      <c r="O415" t="s">
        <v>92</v>
      </c>
      <c r="P415" t="s">
        <v>55</v>
      </c>
      <c r="Q415" t="s">
        <v>129</v>
      </c>
      <c r="R415">
        <v>79</v>
      </c>
      <c r="S415">
        <v>0</v>
      </c>
      <c r="T415" t="s">
        <v>85</v>
      </c>
      <c r="U415" t="s">
        <v>42</v>
      </c>
      <c r="V415">
        <v>2.1800000000000002</v>
      </c>
      <c r="W415">
        <v>1.93</v>
      </c>
      <c r="X415">
        <v>3.5</v>
      </c>
      <c r="Y415">
        <v>20.5</v>
      </c>
      <c r="Z415">
        <v>18.8</v>
      </c>
      <c r="AA415">
        <f>VALUE(SUBSTITUTE(DACS19___Pfizer’s_Personalised_Medicine_in[[#This Row],[Dose]],"mg",""))</f>
        <v>50</v>
      </c>
      <c r="AB415">
        <f t="shared" si="42"/>
        <v>50</v>
      </c>
      <c r="AC415" t="s">
        <v>129</v>
      </c>
      <c r="AD415">
        <f t="shared" si="43"/>
        <v>4</v>
      </c>
      <c r="AE415">
        <f t="shared" si="44"/>
        <v>2</v>
      </c>
      <c r="AF415">
        <f t="shared" si="45"/>
        <v>1.93</v>
      </c>
      <c r="AG415" t="e">
        <f t="shared" si="46"/>
        <v>#N/A</v>
      </c>
      <c r="AH415" t="e">
        <f t="shared" si="47"/>
        <v>#N/A</v>
      </c>
      <c r="AI415" t="e">
        <f t="shared" si="48"/>
        <v>#N/A</v>
      </c>
    </row>
    <row r="416" spans="1:35" x14ac:dyDescent="0.45">
      <c r="A416" t="s">
        <v>1419</v>
      </c>
      <c r="B416">
        <v>20</v>
      </c>
      <c r="C416" t="s">
        <v>45</v>
      </c>
      <c r="D416" t="s">
        <v>45</v>
      </c>
      <c r="E416" t="s">
        <v>46</v>
      </c>
      <c r="F416" t="s">
        <v>59</v>
      </c>
      <c r="G416" t="s">
        <v>102</v>
      </c>
      <c r="H416" t="s">
        <v>71</v>
      </c>
      <c r="I416" t="s">
        <v>49</v>
      </c>
      <c r="J416" t="s">
        <v>1195</v>
      </c>
      <c r="K416" t="s">
        <v>921</v>
      </c>
      <c r="L416" t="s">
        <v>52</v>
      </c>
      <c r="M416" t="s">
        <v>2628</v>
      </c>
      <c r="N416" t="s">
        <v>379</v>
      </c>
      <c r="O416" t="s">
        <v>52</v>
      </c>
      <c r="P416" t="s">
        <v>39</v>
      </c>
      <c r="Q416" t="s">
        <v>2614</v>
      </c>
      <c r="R416">
        <v>171</v>
      </c>
      <c r="S416">
        <v>1</v>
      </c>
      <c r="T416" t="s">
        <v>137</v>
      </c>
      <c r="U416" t="s">
        <v>57</v>
      </c>
      <c r="V416">
        <v>2.62</v>
      </c>
      <c r="W416">
        <v>4.62</v>
      </c>
      <c r="X416">
        <v>3.9</v>
      </c>
      <c r="Y416">
        <v>14.6</v>
      </c>
      <c r="Z416">
        <v>6.8</v>
      </c>
      <c r="AA416">
        <f>VALUE(SUBSTITUTE(DACS19___Pfizer’s_Personalised_Medicine_in[[#This Row],[Dose]],"mg",""))</f>
        <v>100</v>
      </c>
      <c r="AB416">
        <f t="shared" si="42"/>
        <v>100</v>
      </c>
      <c r="AC416" t="s">
        <v>2614</v>
      </c>
      <c r="AD416">
        <f t="shared" si="43"/>
        <v>0</v>
      </c>
      <c r="AE416">
        <f t="shared" si="44"/>
        <v>3</v>
      </c>
      <c r="AF416" t="e">
        <f t="shared" si="45"/>
        <v>#N/A</v>
      </c>
      <c r="AG416">
        <f t="shared" si="46"/>
        <v>4.62</v>
      </c>
      <c r="AH416" t="e">
        <f t="shared" si="47"/>
        <v>#N/A</v>
      </c>
      <c r="AI416" t="e">
        <f t="shared" si="48"/>
        <v>#N/A</v>
      </c>
    </row>
    <row r="417" spans="1:35" x14ac:dyDescent="0.45">
      <c r="A417" t="s">
        <v>1420</v>
      </c>
      <c r="B417">
        <v>81</v>
      </c>
      <c r="C417" t="s">
        <v>44</v>
      </c>
      <c r="D417" t="s">
        <v>45</v>
      </c>
      <c r="E417" t="s">
        <v>78</v>
      </c>
      <c r="F417" t="s">
        <v>2614</v>
      </c>
      <c r="G417" t="s">
        <v>184</v>
      </c>
      <c r="H417" t="s">
        <v>71</v>
      </c>
      <c r="I417" t="s">
        <v>72</v>
      </c>
      <c r="J417" t="s">
        <v>1421</v>
      </c>
      <c r="K417" t="s">
        <v>918</v>
      </c>
      <c r="L417" t="s">
        <v>64</v>
      </c>
      <c r="M417" t="s">
        <v>67</v>
      </c>
      <c r="N417" t="s">
        <v>150</v>
      </c>
      <c r="O417" t="s">
        <v>64</v>
      </c>
      <c r="P417" t="s">
        <v>55</v>
      </c>
      <c r="Q417" t="s">
        <v>40</v>
      </c>
      <c r="R417">
        <v>144</v>
      </c>
      <c r="S417">
        <v>0</v>
      </c>
      <c r="T417" t="s">
        <v>56</v>
      </c>
      <c r="U417" t="s">
        <v>57</v>
      </c>
      <c r="V417">
        <v>3.56</v>
      </c>
      <c r="W417">
        <v>4.92</v>
      </c>
      <c r="X417">
        <v>6.4</v>
      </c>
      <c r="Y417">
        <v>12.4</v>
      </c>
      <c r="Z417">
        <v>14</v>
      </c>
      <c r="AA417">
        <f>VALUE(SUBSTITUTE(DACS19___Pfizer’s_Personalised_Medicine_in[[#This Row],[Dose]],"mg",""))</f>
        <v>150</v>
      </c>
      <c r="AB417">
        <f t="shared" si="42"/>
        <v>150</v>
      </c>
      <c r="AC417" t="s">
        <v>40</v>
      </c>
      <c r="AD417">
        <f t="shared" si="43"/>
        <v>3</v>
      </c>
      <c r="AE417">
        <f t="shared" si="44"/>
        <v>2</v>
      </c>
      <c r="AF417" t="e">
        <f t="shared" si="45"/>
        <v>#N/A</v>
      </c>
      <c r="AG417">
        <f t="shared" si="46"/>
        <v>4.92</v>
      </c>
      <c r="AH417" t="e">
        <f t="shared" si="47"/>
        <v>#N/A</v>
      </c>
      <c r="AI417" t="e">
        <f t="shared" si="48"/>
        <v>#N/A</v>
      </c>
    </row>
    <row r="418" spans="1:35" x14ac:dyDescent="0.45">
      <c r="A418" t="s">
        <v>1422</v>
      </c>
      <c r="B418">
        <v>58</v>
      </c>
      <c r="C418" t="s">
        <v>45</v>
      </c>
      <c r="D418" t="s">
        <v>87</v>
      </c>
      <c r="E418" t="s">
        <v>29</v>
      </c>
      <c r="F418" t="s">
        <v>79</v>
      </c>
      <c r="G418" t="s">
        <v>80</v>
      </c>
      <c r="H418" t="s">
        <v>32</v>
      </c>
      <c r="I418" t="s">
        <v>132</v>
      </c>
      <c r="J418" t="s">
        <v>1423</v>
      </c>
      <c r="K418" t="s">
        <v>1424</v>
      </c>
      <c r="L418" t="s">
        <v>64</v>
      </c>
      <c r="M418" t="s">
        <v>2637</v>
      </c>
      <c r="N418" t="s">
        <v>122</v>
      </c>
      <c r="O418" t="s">
        <v>64</v>
      </c>
      <c r="P418" t="s">
        <v>110</v>
      </c>
      <c r="Q418" t="s">
        <v>2614</v>
      </c>
      <c r="R418">
        <v>131</v>
      </c>
      <c r="S418">
        <v>0</v>
      </c>
      <c r="T418" t="s">
        <v>123</v>
      </c>
      <c r="U418" t="s">
        <v>42</v>
      </c>
      <c r="V418">
        <v>1.49</v>
      </c>
      <c r="W418">
        <v>4.55</v>
      </c>
      <c r="X418">
        <v>5.5</v>
      </c>
      <c r="Y418">
        <v>14.1</v>
      </c>
      <c r="Z418">
        <v>13</v>
      </c>
      <c r="AA418">
        <f>VALUE(SUBSTITUTE(DACS19___Pfizer’s_Personalised_Medicine_in[[#This Row],[Dose]],"mg",""))</f>
        <v>150</v>
      </c>
      <c r="AB418">
        <f t="shared" si="42"/>
        <v>150</v>
      </c>
      <c r="AC418" t="s">
        <v>2614</v>
      </c>
      <c r="AD418">
        <f t="shared" si="43"/>
        <v>0</v>
      </c>
      <c r="AE418">
        <f t="shared" si="44"/>
        <v>1</v>
      </c>
      <c r="AF418" t="e">
        <f t="shared" si="45"/>
        <v>#N/A</v>
      </c>
      <c r="AG418" t="e">
        <f t="shared" si="46"/>
        <v>#N/A</v>
      </c>
      <c r="AH418">
        <f t="shared" si="47"/>
        <v>4.55</v>
      </c>
      <c r="AI418" t="e">
        <f t="shared" si="48"/>
        <v>#N/A</v>
      </c>
    </row>
    <row r="419" spans="1:35" x14ac:dyDescent="0.45">
      <c r="A419" t="s">
        <v>1425</v>
      </c>
      <c r="B419">
        <v>41</v>
      </c>
      <c r="C419" t="s">
        <v>44</v>
      </c>
      <c r="D419" t="s">
        <v>95</v>
      </c>
      <c r="E419" t="s">
        <v>46</v>
      </c>
      <c r="F419" t="s">
        <v>88</v>
      </c>
      <c r="G419" t="s">
        <v>89</v>
      </c>
      <c r="H419" t="s">
        <v>32</v>
      </c>
      <c r="I419" t="s">
        <v>132</v>
      </c>
      <c r="J419" t="s">
        <v>1426</v>
      </c>
      <c r="K419" t="s">
        <v>855</v>
      </c>
      <c r="L419" t="s">
        <v>64</v>
      </c>
      <c r="M419" t="s">
        <v>2651</v>
      </c>
      <c r="N419" t="s">
        <v>305</v>
      </c>
      <c r="O419" t="s">
        <v>64</v>
      </c>
      <c r="P419" t="s">
        <v>110</v>
      </c>
      <c r="Q419" t="s">
        <v>2614</v>
      </c>
      <c r="R419">
        <v>89</v>
      </c>
      <c r="S419">
        <v>0</v>
      </c>
      <c r="T419" t="s">
        <v>85</v>
      </c>
      <c r="U419" t="s">
        <v>42</v>
      </c>
      <c r="V419">
        <v>3.5</v>
      </c>
      <c r="W419">
        <v>1.29</v>
      </c>
      <c r="X419">
        <v>7.1</v>
      </c>
      <c r="Y419">
        <v>10.4</v>
      </c>
      <c r="Z419">
        <v>15.1</v>
      </c>
      <c r="AA419">
        <f>VALUE(SUBSTITUTE(DACS19___Pfizer’s_Personalised_Medicine_in[[#This Row],[Dose]],"mg",""))</f>
        <v>150</v>
      </c>
      <c r="AB419">
        <f t="shared" si="42"/>
        <v>150</v>
      </c>
      <c r="AC419" t="s">
        <v>2614</v>
      </c>
      <c r="AD419">
        <f t="shared" si="43"/>
        <v>0</v>
      </c>
      <c r="AE419">
        <f t="shared" si="44"/>
        <v>1</v>
      </c>
      <c r="AF419" t="e">
        <f t="shared" si="45"/>
        <v>#N/A</v>
      </c>
      <c r="AG419" t="e">
        <f t="shared" si="46"/>
        <v>#N/A</v>
      </c>
      <c r="AH419">
        <f t="shared" si="47"/>
        <v>1.29</v>
      </c>
      <c r="AI419" t="e">
        <f t="shared" si="48"/>
        <v>#N/A</v>
      </c>
    </row>
    <row r="420" spans="1:35" x14ac:dyDescent="0.45">
      <c r="A420" t="s">
        <v>1428</v>
      </c>
      <c r="B420">
        <v>67</v>
      </c>
      <c r="C420" t="s">
        <v>44</v>
      </c>
      <c r="D420" t="s">
        <v>45</v>
      </c>
      <c r="E420" t="s">
        <v>46</v>
      </c>
      <c r="F420" t="s">
        <v>2614</v>
      </c>
      <c r="G420" t="s">
        <v>102</v>
      </c>
      <c r="H420" t="s">
        <v>32</v>
      </c>
      <c r="I420" t="s">
        <v>49</v>
      </c>
      <c r="J420" t="s">
        <v>242</v>
      </c>
      <c r="K420" t="s">
        <v>1429</v>
      </c>
      <c r="L420" t="s">
        <v>36</v>
      </c>
      <c r="M420" t="s">
        <v>2615</v>
      </c>
      <c r="N420" t="s">
        <v>997</v>
      </c>
      <c r="O420" t="s">
        <v>36</v>
      </c>
      <c r="P420" t="s">
        <v>39</v>
      </c>
      <c r="Q420" t="s">
        <v>40</v>
      </c>
      <c r="R420">
        <v>157</v>
      </c>
      <c r="S420">
        <v>1</v>
      </c>
      <c r="T420" t="s">
        <v>123</v>
      </c>
      <c r="U420" t="s">
        <v>57</v>
      </c>
      <c r="V420">
        <v>4.29</v>
      </c>
      <c r="W420">
        <v>4.22</v>
      </c>
      <c r="X420">
        <v>6</v>
      </c>
      <c r="Y420">
        <v>15.4</v>
      </c>
      <c r="Z420">
        <v>5.4</v>
      </c>
      <c r="AA420">
        <f>VALUE(SUBSTITUTE(DACS19___Pfizer’s_Personalised_Medicine_in[[#This Row],[Dose]],"mg",""))</f>
        <v>200</v>
      </c>
      <c r="AB420">
        <f t="shared" si="42"/>
        <v>200</v>
      </c>
      <c r="AC420" t="s">
        <v>40</v>
      </c>
      <c r="AD420">
        <f t="shared" si="43"/>
        <v>3</v>
      </c>
      <c r="AE420">
        <f t="shared" si="44"/>
        <v>3</v>
      </c>
      <c r="AF420" t="e">
        <f t="shared" si="45"/>
        <v>#N/A</v>
      </c>
      <c r="AG420" t="e">
        <f t="shared" si="46"/>
        <v>#N/A</v>
      </c>
      <c r="AH420">
        <f t="shared" si="47"/>
        <v>4.22</v>
      </c>
      <c r="AI420" t="e">
        <f t="shared" si="48"/>
        <v>#N/A</v>
      </c>
    </row>
    <row r="421" spans="1:35" x14ac:dyDescent="0.45">
      <c r="A421" t="s">
        <v>1430</v>
      </c>
      <c r="B421">
        <v>71</v>
      </c>
      <c r="C421" t="s">
        <v>27</v>
      </c>
      <c r="D421" t="s">
        <v>87</v>
      </c>
      <c r="E421" t="s">
        <v>78</v>
      </c>
      <c r="F421" t="s">
        <v>59</v>
      </c>
      <c r="G421" t="s">
        <v>80</v>
      </c>
      <c r="H421" t="s">
        <v>81</v>
      </c>
      <c r="I421" t="s">
        <v>72</v>
      </c>
      <c r="J421" t="s">
        <v>1431</v>
      </c>
      <c r="K421" t="s">
        <v>1432</v>
      </c>
      <c r="L421" t="s">
        <v>92</v>
      </c>
      <c r="M421" t="s">
        <v>2615</v>
      </c>
      <c r="N421" t="s">
        <v>217</v>
      </c>
      <c r="O421" t="s">
        <v>92</v>
      </c>
      <c r="P421" t="s">
        <v>39</v>
      </c>
      <c r="Q421" t="s">
        <v>75</v>
      </c>
      <c r="R421">
        <v>165</v>
      </c>
      <c r="S421">
        <v>1</v>
      </c>
      <c r="T421" t="s">
        <v>123</v>
      </c>
      <c r="U421" t="s">
        <v>57</v>
      </c>
      <c r="V421">
        <v>4.0999999999999996</v>
      </c>
      <c r="W421">
        <v>2.09</v>
      </c>
      <c r="X421">
        <v>5.5</v>
      </c>
      <c r="Y421">
        <v>11.1</v>
      </c>
      <c r="Z421">
        <v>5.3</v>
      </c>
      <c r="AA421">
        <f>VALUE(SUBSTITUTE(DACS19___Pfizer’s_Personalised_Medicine_in[[#This Row],[Dose]],"mg",""))</f>
        <v>50</v>
      </c>
      <c r="AB421">
        <f t="shared" si="42"/>
        <v>50</v>
      </c>
      <c r="AC421" t="s">
        <v>75</v>
      </c>
      <c r="AD421">
        <f t="shared" si="43"/>
        <v>1</v>
      </c>
      <c r="AE421">
        <f t="shared" si="44"/>
        <v>3</v>
      </c>
      <c r="AF421" t="e">
        <f t="shared" si="45"/>
        <v>#N/A</v>
      </c>
      <c r="AG421" t="e">
        <f t="shared" si="46"/>
        <v>#N/A</v>
      </c>
      <c r="AH421" t="e">
        <f t="shared" si="47"/>
        <v>#N/A</v>
      </c>
      <c r="AI421">
        <f t="shared" si="48"/>
        <v>2.09</v>
      </c>
    </row>
    <row r="422" spans="1:35" x14ac:dyDescent="0.45">
      <c r="A422" t="s">
        <v>1433</v>
      </c>
      <c r="B422">
        <v>20</v>
      </c>
      <c r="C422" t="s">
        <v>27</v>
      </c>
      <c r="D422" t="s">
        <v>95</v>
      </c>
      <c r="E422" t="s">
        <v>163</v>
      </c>
      <c r="F422" t="s">
        <v>2614</v>
      </c>
      <c r="G422" t="s">
        <v>48</v>
      </c>
      <c r="H422" t="s">
        <v>32</v>
      </c>
      <c r="I422" t="s">
        <v>132</v>
      </c>
      <c r="J422" t="s">
        <v>1068</v>
      </c>
      <c r="K422" t="s">
        <v>1434</v>
      </c>
      <c r="L422" t="s">
        <v>64</v>
      </c>
      <c r="M422" t="s">
        <v>536</v>
      </c>
      <c r="N422" t="s">
        <v>1435</v>
      </c>
      <c r="O422" t="s">
        <v>64</v>
      </c>
      <c r="P422" t="s">
        <v>55</v>
      </c>
      <c r="Q422" t="s">
        <v>40</v>
      </c>
      <c r="R422">
        <v>156</v>
      </c>
      <c r="S422">
        <v>0</v>
      </c>
      <c r="T422" t="s">
        <v>123</v>
      </c>
      <c r="U422" t="s">
        <v>57</v>
      </c>
      <c r="V422">
        <v>3.52</v>
      </c>
      <c r="W422">
        <v>1.22</v>
      </c>
      <c r="X422">
        <v>7.7</v>
      </c>
      <c r="Y422">
        <v>11.7</v>
      </c>
      <c r="Z422">
        <v>3</v>
      </c>
      <c r="AA422">
        <f>VALUE(SUBSTITUTE(DACS19___Pfizer’s_Personalised_Medicine_in[[#This Row],[Dose]],"mg",""))</f>
        <v>150</v>
      </c>
      <c r="AB422">
        <f t="shared" si="42"/>
        <v>150</v>
      </c>
      <c r="AC422" t="s">
        <v>40</v>
      </c>
      <c r="AD422">
        <f t="shared" si="43"/>
        <v>3</v>
      </c>
      <c r="AE422">
        <f t="shared" si="44"/>
        <v>2</v>
      </c>
      <c r="AF422" t="e">
        <f t="shared" si="45"/>
        <v>#N/A</v>
      </c>
      <c r="AG422" t="e">
        <f t="shared" si="46"/>
        <v>#N/A</v>
      </c>
      <c r="AH422">
        <f t="shared" si="47"/>
        <v>1.22</v>
      </c>
      <c r="AI422" t="e">
        <f t="shared" si="48"/>
        <v>#N/A</v>
      </c>
    </row>
    <row r="423" spans="1:35" x14ac:dyDescent="0.45">
      <c r="A423" t="s">
        <v>1436</v>
      </c>
      <c r="B423">
        <v>31</v>
      </c>
      <c r="C423" t="s">
        <v>27</v>
      </c>
      <c r="D423" t="s">
        <v>106</v>
      </c>
      <c r="E423" t="s">
        <v>163</v>
      </c>
      <c r="F423" t="s">
        <v>2614</v>
      </c>
      <c r="G423" t="s">
        <v>96</v>
      </c>
      <c r="H423" t="s">
        <v>61</v>
      </c>
      <c r="I423" t="s">
        <v>132</v>
      </c>
      <c r="J423" t="s">
        <v>1437</v>
      </c>
      <c r="K423" t="s">
        <v>1438</v>
      </c>
      <c r="L423" t="s">
        <v>52</v>
      </c>
      <c r="M423" t="s">
        <v>2630</v>
      </c>
      <c r="N423" t="s">
        <v>804</v>
      </c>
      <c r="O423" t="s">
        <v>52</v>
      </c>
      <c r="P423" t="s">
        <v>55</v>
      </c>
      <c r="Q423" t="s">
        <v>129</v>
      </c>
      <c r="R423">
        <v>58</v>
      </c>
      <c r="S423">
        <v>0</v>
      </c>
      <c r="T423" t="s">
        <v>123</v>
      </c>
      <c r="U423" t="s">
        <v>57</v>
      </c>
      <c r="V423">
        <v>3.04</v>
      </c>
      <c r="W423">
        <v>1.19</v>
      </c>
      <c r="X423">
        <v>3.5</v>
      </c>
      <c r="Y423">
        <v>18.7</v>
      </c>
      <c r="Z423">
        <v>4.0999999999999996</v>
      </c>
      <c r="AA423">
        <f>VALUE(SUBSTITUTE(DACS19___Pfizer’s_Personalised_Medicine_in[[#This Row],[Dose]],"mg",""))</f>
        <v>100</v>
      </c>
      <c r="AB423">
        <f t="shared" si="42"/>
        <v>100</v>
      </c>
      <c r="AC423" t="s">
        <v>129</v>
      </c>
      <c r="AD423">
        <f t="shared" si="43"/>
        <v>4</v>
      </c>
      <c r="AE423">
        <f t="shared" si="44"/>
        <v>2</v>
      </c>
      <c r="AF423">
        <f t="shared" si="45"/>
        <v>1.19</v>
      </c>
      <c r="AG423" t="e">
        <f t="shared" si="46"/>
        <v>#N/A</v>
      </c>
      <c r="AH423" t="e">
        <f t="shared" si="47"/>
        <v>#N/A</v>
      </c>
      <c r="AI423" t="e">
        <f t="shared" si="48"/>
        <v>#N/A</v>
      </c>
    </row>
    <row r="424" spans="1:35" x14ac:dyDescent="0.45">
      <c r="A424" t="s">
        <v>1439</v>
      </c>
      <c r="B424">
        <v>27</v>
      </c>
      <c r="C424" t="s">
        <v>44</v>
      </c>
      <c r="D424" t="s">
        <v>28</v>
      </c>
      <c r="E424" t="s">
        <v>29</v>
      </c>
      <c r="F424" t="s">
        <v>2614</v>
      </c>
      <c r="G424" t="s">
        <v>131</v>
      </c>
      <c r="H424" t="s">
        <v>32</v>
      </c>
      <c r="I424" t="s">
        <v>72</v>
      </c>
      <c r="J424" t="s">
        <v>1440</v>
      </c>
      <c r="K424" t="s">
        <v>1441</v>
      </c>
      <c r="L424" t="s">
        <v>52</v>
      </c>
      <c r="M424" t="s">
        <v>469</v>
      </c>
      <c r="N424" t="s">
        <v>586</v>
      </c>
      <c r="O424" t="s">
        <v>52</v>
      </c>
      <c r="P424" t="s">
        <v>55</v>
      </c>
      <c r="Q424" t="s">
        <v>129</v>
      </c>
      <c r="R424">
        <v>163</v>
      </c>
      <c r="S424">
        <v>0</v>
      </c>
      <c r="T424" t="s">
        <v>85</v>
      </c>
      <c r="U424" t="s">
        <v>42</v>
      </c>
      <c r="V424">
        <v>4.3600000000000003</v>
      </c>
      <c r="W424">
        <v>1.02</v>
      </c>
      <c r="X424">
        <v>3.2</v>
      </c>
      <c r="Y424">
        <v>19.3</v>
      </c>
      <c r="Z424">
        <v>8.4</v>
      </c>
      <c r="AA424">
        <f>VALUE(SUBSTITUTE(DACS19___Pfizer’s_Personalised_Medicine_in[[#This Row],[Dose]],"mg",""))</f>
        <v>100</v>
      </c>
      <c r="AB424">
        <f t="shared" si="42"/>
        <v>100</v>
      </c>
      <c r="AC424" t="s">
        <v>129</v>
      </c>
      <c r="AD424">
        <f t="shared" si="43"/>
        <v>4</v>
      </c>
      <c r="AE424">
        <f t="shared" si="44"/>
        <v>2</v>
      </c>
      <c r="AF424" t="e">
        <f t="shared" si="45"/>
        <v>#N/A</v>
      </c>
      <c r="AG424" t="e">
        <f t="shared" si="46"/>
        <v>#N/A</v>
      </c>
      <c r="AH424">
        <f t="shared" si="47"/>
        <v>1.02</v>
      </c>
      <c r="AI424" t="e">
        <f t="shared" si="48"/>
        <v>#N/A</v>
      </c>
    </row>
    <row r="425" spans="1:35" x14ac:dyDescent="0.45">
      <c r="A425" t="s">
        <v>1442</v>
      </c>
      <c r="B425">
        <v>79</v>
      </c>
      <c r="C425" t="s">
        <v>45</v>
      </c>
      <c r="D425" t="s">
        <v>95</v>
      </c>
      <c r="E425" t="s">
        <v>2614</v>
      </c>
      <c r="F425" t="s">
        <v>47</v>
      </c>
      <c r="G425" t="s">
        <v>60</v>
      </c>
      <c r="H425" t="s">
        <v>61</v>
      </c>
      <c r="I425" t="s">
        <v>132</v>
      </c>
      <c r="J425" t="s">
        <v>1361</v>
      </c>
      <c r="K425" t="s">
        <v>1443</v>
      </c>
      <c r="L425" t="s">
        <v>52</v>
      </c>
      <c r="M425" t="s">
        <v>99</v>
      </c>
      <c r="N425" t="s">
        <v>1444</v>
      </c>
      <c r="O425" t="s">
        <v>52</v>
      </c>
      <c r="P425" t="s">
        <v>39</v>
      </c>
      <c r="Q425" t="s">
        <v>67</v>
      </c>
      <c r="R425">
        <v>33</v>
      </c>
      <c r="S425">
        <v>1</v>
      </c>
      <c r="T425" t="s">
        <v>41</v>
      </c>
      <c r="U425" t="s">
        <v>57</v>
      </c>
      <c r="V425">
        <v>1.41</v>
      </c>
      <c r="W425">
        <v>2.44</v>
      </c>
      <c r="X425">
        <v>3.4</v>
      </c>
      <c r="Y425">
        <v>21.2</v>
      </c>
      <c r="Z425">
        <v>8.3000000000000007</v>
      </c>
      <c r="AA425">
        <f>VALUE(SUBSTITUTE(DACS19___Pfizer’s_Personalised_Medicine_in[[#This Row],[Dose]],"mg",""))</f>
        <v>100</v>
      </c>
      <c r="AB425">
        <f t="shared" si="42"/>
        <v>100</v>
      </c>
      <c r="AC425" t="s">
        <v>67</v>
      </c>
      <c r="AD425">
        <f t="shared" si="43"/>
        <v>2</v>
      </c>
      <c r="AE425">
        <f t="shared" si="44"/>
        <v>3</v>
      </c>
      <c r="AF425">
        <f t="shared" si="45"/>
        <v>2.44</v>
      </c>
      <c r="AG425" t="e">
        <f t="shared" si="46"/>
        <v>#N/A</v>
      </c>
      <c r="AH425" t="e">
        <f t="shared" si="47"/>
        <v>#N/A</v>
      </c>
      <c r="AI425" t="e">
        <f t="shared" si="48"/>
        <v>#N/A</v>
      </c>
    </row>
    <row r="426" spans="1:35" x14ac:dyDescent="0.45">
      <c r="A426" t="s">
        <v>1445</v>
      </c>
      <c r="B426">
        <v>67</v>
      </c>
      <c r="C426" t="s">
        <v>27</v>
      </c>
      <c r="D426" t="s">
        <v>95</v>
      </c>
      <c r="E426" t="s">
        <v>163</v>
      </c>
      <c r="F426" t="s">
        <v>69</v>
      </c>
      <c r="G426" t="s">
        <v>246</v>
      </c>
      <c r="H426" t="s">
        <v>32</v>
      </c>
      <c r="I426" t="s">
        <v>132</v>
      </c>
      <c r="J426" t="s">
        <v>315</v>
      </c>
      <c r="K426" t="s">
        <v>1446</v>
      </c>
      <c r="L426" t="s">
        <v>92</v>
      </c>
      <c r="M426" t="s">
        <v>67</v>
      </c>
      <c r="N426" t="s">
        <v>667</v>
      </c>
      <c r="O426" t="s">
        <v>92</v>
      </c>
      <c r="P426" t="s">
        <v>55</v>
      </c>
      <c r="Q426" t="s">
        <v>40</v>
      </c>
      <c r="R426">
        <v>161</v>
      </c>
      <c r="S426">
        <v>0</v>
      </c>
      <c r="T426" t="s">
        <v>41</v>
      </c>
      <c r="U426" t="s">
        <v>57</v>
      </c>
      <c r="V426">
        <v>4.16</v>
      </c>
      <c r="W426">
        <v>4.57</v>
      </c>
      <c r="X426">
        <v>4.9000000000000004</v>
      </c>
      <c r="Y426">
        <v>22.4</v>
      </c>
      <c r="Z426">
        <v>9.4</v>
      </c>
      <c r="AA426">
        <f>VALUE(SUBSTITUTE(DACS19___Pfizer’s_Personalised_Medicine_in[[#This Row],[Dose]],"mg",""))</f>
        <v>50</v>
      </c>
      <c r="AB426">
        <f t="shared" si="42"/>
        <v>50</v>
      </c>
      <c r="AC426" t="s">
        <v>40</v>
      </c>
      <c r="AD426">
        <f t="shared" si="43"/>
        <v>3</v>
      </c>
      <c r="AE426">
        <f t="shared" si="44"/>
        <v>2</v>
      </c>
      <c r="AF426" t="e">
        <f t="shared" si="45"/>
        <v>#N/A</v>
      </c>
      <c r="AG426" t="e">
        <f t="shared" si="46"/>
        <v>#N/A</v>
      </c>
      <c r="AH426">
        <f t="shared" si="47"/>
        <v>4.57</v>
      </c>
      <c r="AI426" t="e">
        <f t="shared" si="48"/>
        <v>#N/A</v>
      </c>
    </row>
    <row r="427" spans="1:35" x14ac:dyDescent="0.45">
      <c r="A427" t="s">
        <v>1447</v>
      </c>
      <c r="B427">
        <v>42</v>
      </c>
      <c r="C427" t="s">
        <v>27</v>
      </c>
      <c r="D427" t="s">
        <v>28</v>
      </c>
      <c r="E427" t="s">
        <v>78</v>
      </c>
      <c r="F427" t="s">
        <v>59</v>
      </c>
      <c r="G427" t="s">
        <v>80</v>
      </c>
      <c r="H427" t="s">
        <v>61</v>
      </c>
      <c r="I427" t="s">
        <v>72</v>
      </c>
      <c r="J427" t="s">
        <v>653</v>
      </c>
      <c r="K427" t="s">
        <v>905</v>
      </c>
      <c r="L427" t="s">
        <v>52</v>
      </c>
      <c r="M427" t="s">
        <v>40</v>
      </c>
      <c r="N427" t="s">
        <v>383</v>
      </c>
      <c r="O427" t="s">
        <v>52</v>
      </c>
      <c r="P427" t="s">
        <v>55</v>
      </c>
      <c r="Q427" t="s">
        <v>129</v>
      </c>
      <c r="R427">
        <v>151</v>
      </c>
      <c r="S427">
        <v>0</v>
      </c>
      <c r="T427" t="s">
        <v>85</v>
      </c>
      <c r="U427" t="s">
        <v>57</v>
      </c>
      <c r="V427">
        <v>4.8600000000000003</v>
      </c>
      <c r="W427">
        <v>1.36</v>
      </c>
      <c r="X427">
        <v>7.2</v>
      </c>
      <c r="Y427">
        <v>14.9</v>
      </c>
      <c r="Z427">
        <v>9.6</v>
      </c>
      <c r="AA427">
        <f>VALUE(SUBSTITUTE(DACS19___Pfizer’s_Personalised_Medicine_in[[#This Row],[Dose]],"mg",""))</f>
        <v>100</v>
      </c>
      <c r="AB427">
        <f t="shared" si="42"/>
        <v>100</v>
      </c>
      <c r="AC427" t="s">
        <v>129</v>
      </c>
      <c r="AD427">
        <f t="shared" si="43"/>
        <v>4</v>
      </c>
      <c r="AE427">
        <f t="shared" si="44"/>
        <v>2</v>
      </c>
      <c r="AF427">
        <f t="shared" si="45"/>
        <v>1.36</v>
      </c>
      <c r="AG427" t="e">
        <f t="shared" si="46"/>
        <v>#N/A</v>
      </c>
      <c r="AH427" t="e">
        <f t="shared" si="47"/>
        <v>#N/A</v>
      </c>
      <c r="AI427" t="e">
        <f t="shared" si="48"/>
        <v>#N/A</v>
      </c>
    </row>
    <row r="428" spans="1:35" x14ac:dyDescent="0.45">
      <c r="A428" t="s">
        <v>1448</v>
      </c>
      <c r="B428">
        <v>63</v>
      </c>
      <c r="C428" t="s">
        <v>44</v>
      </c>
      <c r="D428" t="s">
        <v>87</v>
      </c>
      <c r="E428" t="s">
        <v>29</v>
      </c>
      <c r="F428" t="s">
        <v>47</v>
      </c>
      <c r="G428" t="s">
        <v>89</v>
      </c>
      <c r="H428" t="s">
        <v>71</v>
      </c>
      <c r="I428" t="s">
        <v>33</v>
      </c>
      <c r="J428" t="s">
        <v>1449</v>
      </c>
      <c r="K428" t="s">
        <v>1450</v>
      </c>
      <c r="L428" t="s">
        <v>92</v>
      </c>
      <c r="M428" t="s">
        <v>2633</v>
      </c>
      <c r="N428" t="s">
        <v>374</v>
      </c>
      <c r="O428" t="s">
        <v>92</v>
      </c>
      <c r="P428" t="s">
        <v>39</v>
      </c>
      <c r="Q428" t="s">
        <v>40</v>
      </c>
      <c r="R428">
        <v>138</v>
      </c>
      <c r="S428">
        <v>1</v>
      </c>
      <c r="T428" t="s">
        <v>41</v>
      </c>
      <c r="U428" t="s">
        <v>57</v>
      </c>
      <c r="V428">
        <v>3.53</v>
      </c>
      <c r="W428">
        <v>3.82</v>
      </c>
      <c r="X428">
        <v>1</v>
      </c>
      <c r="Y428">
        <v>9</v>
      </c>
      <c r="Z428">
        <v>15.1</v>
      </c>
      <c r="AA428">
        <f>VALUE(SUBSTITUTE(DACS19___Pfizer’s_Personalised_Medicine_in[[#This Row],[Dose]],"mg",""))</f>
        <v>50</v>
      </c>
      <c r="AB428">
        <f t="shared" si="42"/>
        <v>50</v>
      </c>
      <c r="AC428" t="s">
        <v>40</v>
      </c>
      <c r="AD428">
        <f t="shared" si="43"/>
        <v>3</v>
      </c>
      <c r="AE428">
        <f t="shared" si="44"/>
        <v>3</v>
      </c>
      <c r="AF428" t="e">
        <f t="shared" si="45"/>
        <v>#N/A</v>
      </c>
      <c r="AG428">
        <f t="shared" si="46"/>
        <v>3.82</v>
      </c>
      <c r="AH428" t="e">
        <f t="shared" si="47"/>
        <v>#N/A</v>
      </c>
      <c r="AI428" t="e">
        <f t="shared" si="48"/>
        <v>#N/A</v>
      </c>
    </row>
    <row r="429" spans="1:35" x14ac:dyDescent="0.45">
      <c r="A429" t="s">
        <v>1451</v>
      </c>
      <c r="B429">
        <v>42</v>
      </c>
      <c r="C429" t="s">
        <v>44</v>
      </c>
      <c r="D429" t="s">
        <v>106</v>
      </c>
      <c r="E429" t="s">
        <v>29</v>
      </c>
      <c r="F429" t="s">
        <v>69</v>
      </c>
      <c r="G429" t="s">
        <v>70</v>
      </c>
      <c r="H429" t="s">
        <v>81</v>
      </c>
      <c r="I429" t="s">
        <v>49</v>
      </c>
      <c r="J429" t="s">
        <v>1452</v>
      </c>
      <c r="K429" t="s">
        <v>425</v>
      </c>
      <c r="L429" t="s">
        <v>52</v>
      </c>
      <c r="M429" t="s">
        <v>129</v>
      </c>
      <c r="N429" t="s">
        <v>300</v>
      </c>
      <c r="O429" t="s">
        <v>52</v>
      </c>
      <c r="P429" t="s">
        <v>110</v>
      </c>
      <c r="Q429" t="s">
        <v>2614</v>
      </c>
      <c r="R429">
        <v>91</v>
      </c>
      <c r="S429">
        <v>0</v>
      </c>
      <c r="T429" t="s">
        <v>123</v>
      </c>
      <c r="U429" t="s">
        <v>42</v>
      </c>
      <c r="V429">
        <v>3.67</v>
      </c>
      <c r="W429">
        <v>4.8600000000000003</v>
      </c>
      <c r="X429">
        <v>7.8</v>
      </c>
      <c r="Y429">
        <v>23.1</v>
      </c>
      <c r="Z429">
        <v>14.9</v>
      </c>
      <c r="AA429">
        <f>VALUE(SUBSTITUTE(DACS19___Pfizer’s_Personalised_Medicine_in[[#This Row],[Dose]],"mg",""))</f>
        <v>100</v>
      </c>
      <c r="AB429">
        <f t="shared" si="42"/>
        <v>100</v>
      </c>
      <c r="AC429" t="s">
        <v>2614</v>
      </c>
      <c r="AD429">
        <f t="shared" si="43"/>
        <v>0</v>
      </c>
      <c r="AE429">
        <f t="shared" si="44"/>
        <v>1</v>
      </c>
      <c r="AF429" t="e">
        <f t="shared" si="45"/>
        <v>#N/A</v>
      </c>
      <c r="AG429" t="e">
        <f t="shared" si="46"/>
        <v>#N/A</v>
      </c>
      <c r="AH429" t="e">
        <f t="shared" si="47"/>
        <v>#N/A</v>
      </c>
      <c r="AI429">
        <f t="shared" si="48"/>
        <v>4.8600000000000003</v>
      </c>
    </row>
    <row r="430" spans="1:35" x14ac:dyDescent="0.45">
      <c r="A430" t="s">
        <v>1453</v>
      </c>
      <c r="B430">
        <v>53</v>
      </c>
      <c r="C430" t="s">
        <v>27</v>
      </c>
      <c r="D430" t="s">
        <v>45</v>
      </c>
      <c r="E430" t="s">
        <v>78</v>
      </c>
      <c r="F430" t="s">
        <v>88</v>
      </c>
      <c r="G430" t="s">
        <v>60</v>
      </c>
      <c r="H430" t="s">
        <v>32</v>
      </c>
      <c r="I430" t="s">
        <v>33</v>
      </c>
      <c r="J430" t="s">
        <v>1454</v>
      </c>
      <c r="K430" t="s">
        <v>1455</v>
      </c>
      <c r="L430" t="s">
        <v>64</v>
      </c>
      <c r="M430" t="s">
        <v>2652</v>
      </c>
      <c r="N430" t="s">
        <v>1356</v>
      </c>
      <c r="O430" t="s">
        <v>64</v>
      </c>
      <c r="P430" t="s">
        <v>39</v>
      </c>
      <c r="Q430" t="s">
        <v>67</v>
      </c>
      <c r="R430">
        <v>158</v>
      </c>
      <c r="S430">
        <v>1</v>
      </c>
      <c r="T430" t="s">
        <v>85</v>
      </c>
      <c r="U430" t="s">
        <v>57</v>
      </c>
      <c r="V430">
        <v>2.19</v>
      </c>
      <c r="W430">
        <v>1.42</v>
      </c>
      <c r="X430">
        <v>8</v>
      </c>
      <c r="Y430">
        <v>17.600000000000001</v>
      </c>
      <c r="Z430">
        <v>3.8</v>
      </c>
      <c r="AA430">
        <f>VALUE(SUBSTITUTE(DACS19___Pfizer’s_Personalised_Medicine_in[[#This Row],[Dose]],"mg",""))</f>
        <v>150</v>
      </c>
      <c r="AB430">
        <f t="shared" si="42"/>
        <v>150</v>
      </c>
      <c r="AC430" t="s">
        <v>67</v>
      </c>
      <c r="AD430">
        <f t="shared" si="43"/>
        <v>2</v>
      </c>
      <c r="AE430">
        <f t="shared" si="44"/>
        <v>3</v>
      </c>
      <c r="AF430" t="e">
        <f t="shared" si="45"/>
        <v>#N/A</v>
      </c>
      <c r="AG430" t="e">
        <f t="shared" si="46"/>
        <v>#N/A</v>
      </c>
      <c r="AH430">
        <f t="shared" si="47"/>
        <v>1.42</v>
      </c>
      <c r="AI430" t="e">
        <f t="shared" si="48"/>
        <v>#N/A</v>
      </c>
    </row>
    <row r="431" spans="1:35" x14ac:dyDescent="0.45">
      <c r="A431" t="s">
        <v>1457</v>
      </c>
      <c r="B431">
        <v>57</v>
      </c>
      <c r="C431" t="s">
        <v>45</v>
      </c>
      <c r="D431" t="s">
        <v>106</v>
      </c>
      <c r="E431" t="s">
        <v>46</v>
      </c>
      <c r="F431" t="s">
        <v>88</v>
      </c>
      <c r="G431" t="s">
        <v>112</v>
      </c>
      <c r="H431" t="s">
        <v>71</v>
      </c>
      <c r="I431" t="s">
        <v>132</v>
      </c>
      <c r="J431" t="s">
        <v>1002</v>
      </c>
      <c r="K431" t="s">
        <v>1458</v>
      </c>
      <c r="L431" t="s">
        <v>36</v>
      </c>
      <c r="M431" t="s">
        <v>2639</v>
      </c>
      <c r="N431" t="s">
        <v>598</v>
      </c>
      <c r="O431" t="s">
        <v>36</v>
      </c>
      <c r="P431" t="s">
        <v>55</v>
      </c>
      <c r="Q431" t="s">
        <v>129</v>
      </c>
      <c r="R431">
        <v>73</v>
      </c>
      <c r="S431">
        <v>0</v>
      </c>
      <c r="T431" t="s">
        <v>123</v>
      </c>
      <c r="U431" t="s">
        <v>57</v>
      </c>
      <c r="V431">
        <v>2.44</v>
      </c>
      <c r="W431">
        <v>4.83</v>
      </c>
      <c r="X431">
        <v>5.5</v>
      </c>
      <c r="Y431">
        <v>13.8</v>
      </c>
      <c r="Z431">
        <v>10.8</v>
      </c>
      <c r="AA431">
        <f>VALUE(SUBSTITUTE(DACS19___Pfizer’s_Personalised_Medicine_in[[#This Row],[Dose]],"mg",""))</f>
        <v>200</v>
      </c>
      <c r="AB431">
        <f t="shared" si="42"/>
        <v>200</v>
      </c>
      <c r="AC431" t="s">
        <v>129</v>
      </c>
      <c r="AD431">
        <f t="shared" si="43"/>
        <v>4</v>
      </c>
      <c r="AE431">
        <f t="shared" si="44"/>
        <v>2</v>
      </c>
      <c r="AF431" t="e">
        <f t="shared" si="45"/>
        <v>#N/A</v>
      </c>
      <c r="AG431">
        <f t="shared" si="46"/>
        <v>4.83</v>
      </c>
      <c r="AH431" t="e">
        <f t="shared" si="47"/>
        <v>#N/A</v>
      </c>
      <c r="AI431" t="e">
        <f t="shared" si="48"/>
        <v>#N/A</v>
      </c>
    </row>
    <row r="432" spans="1:35" x14ac:dyDescent="0.45">
      <c r="A432" t="s">
        <v>1459</v>
      </c>
      <c r="B432">
        <v>78</v>
      </c>
      <c r="C432" t="s">
        <v>45</v>
      </c>
      <c r="D432" t="s">
        <v>87</v>
      </c>
      <c r="E432" t="s">
        <v>78</v>
      </c>
      <c r="F432" t="s">
        <v>2614</v>
      </c>
      <c r="G432" t="s">
        <v>70</v>
      </c>
      <c r="H432" t="s">
        <v>61</v>
      </c>
      <c r="I432" t="s">
        <v>49</v>
      </c>
      <c r="J432" t="s">
        <v>608</v>
      </c>
      <c r="K432" t="s">
        <v>516</v>
      </c>
      <c r="L432" t="s">
        <v>52</v>
      </c>
      <c r="M432" t="s">
        <v>309</v>
      </c>
      <c r="N432" t="s">
        <v>1460</v>
      </c>
      <c r="O432" t="s">
        <v>52</v>
      </c>
      <c r="P432" t="s">
        <v>39</v>
      </c>
      <c r="Q432" t="s">
        <v>129</v>
      </c>
      <c r="R432">
        <v>107</v>
      </c>
      <c r="S432">
        <v>1</v>
      </c>
      <c r="T432" t="s">
        <v>137</v>
      </c>
      <c r="U432" t="s">
        <v>57</v>
      </c>
      <c r="V432">
        <v>1.84</v>
      </c>
      <c r="W432">
        <v>2.4700000000000002</v>
      </c>
      <c r="X432">
        <v>4.3</v>
      </c>
      <c r="Y432">
        <v>6.9</v>
      </c>
      <c r="Z432">
        <v>16</v>
      </c>
      <c r="AA432">
        <f>VALUE(SUBSTITUTE(DACS19___Pfizer’s_Personalised_Medicine_in[[#This Row],[Dose]],"mg",""))</f>
        <v>100</v>
      </c>
      <c r="AB432">
        <f t="shared" si="42"/>
        <v>100</v>
      </c>
      <c r="AC432" t="s">
        <v>129</v>
      </c>
      <c r="AD432">
        <f t="shared" si="43"/>
        <v>4</v>
      </c>
      <c r="AE432">
        <f t="shared" si="44"/>
        <v>3</v>
      </c>
      <c r="AF432">
        <f t="shared" si="45"/>
        <v>2.4700000000000002</v>
      </c>
      <c r="AG432" t="e">
        <f t="shared" si="46"/>
        <v>#N/A</v>
      </c>
      <c r="AH432" t="e">
        <f t="shared" si="47"/>
        <v>#N/A</v>
      </c>
      <c r="AI432" t="e">
        <f t="shared" si="48"/>
        <v>#N/A</v>
      </c>
    </row>
    <row r="433" spans="1:35" x14ac:dyDescent="0.45">
      <c r="A433" t="s">
        <v>1461</v>
      </c>
      <c r="B433">
        <v>80</v>
      </c>
      <c r="C433" t="s">
        <v>45</v>
      </c>
      <c r="D433" t="s">
        <v>28</v>
      </c>
      <c r="E433" t="s">
        <v>29</v>
      </c>
      <c r="F433" t="s">
        <v>47</v>
      </c>
      <c r="G433" t="s">
        <v>184</v>
      </c>
      <c r="H433" t="s">
        <v>32</v>
      </c>
      <c r="I433" t="s">
        <v>33</v>
      </c>
      <c r="J433" t="s">
        <v>1462</v>
      </c>
      <c r="K433" t="s">
        <v>1077</v>
      </c>
      <c r="L433" t="s">
        <v>64</v>
      </c>
      <c r="M433" t="s">
        <v>566</v>
      </c>
      <c r="N433" t="s">
        <v>1463</v>
      </c>
      <c r="O433" t="s">
        <v>64</v>
      </c>
      <c r="P433" t="s">
        <v>110</v>
      </c>
      <c r="Q433" t="s">
        <v>75</v>
      </c>
      <c r="R433">
        <v>35</v>
      </c>
      <c r="S433">
        <v>0</v>
      </c>
      <c r="T433" t="s">
        <v>41</v>
      </c>
      <c r="U433" t="s">
        <v>57</v>
      </c>
      <c r="V433">
        <v>2.67</v>
      </c>
      <c r="W433">
        <v>4.29</v>
      </c>
      <c r="X433">
        <v>8.6999999999999993</v>
      </c>
      <c r="Y433">
        <v>9.8000000000000007</v>
      </c>
      <c r="Z433">
        <v>14.2</v>
      </c>
      <c r="AA433">
        <f>VALUE(SUBSTITUTE(DACS19___Pfizer’s_Personalised_Medicine_in[[#This Row],[Dose]],"mg",""))</f>
        <v>150</v>
      </c>
      <c r="AB433">
        <f t="shared" si="42"/>
        <v>150</v>
      </c>
      <c r="AC433" t="s">
        <v>75</v>
      </c>
      <c r="AD433">
        <f t="shared" si="43"/>
        <v>1</v>
      </c>
      <c r="AE433">
        <f t="shared" si="44"/>
        <v>1</v>
      </c>
      <c r="AF433" t="e">
        <f t="shared" si="45"/>
        <v>#N/A</v>
      </c>
      <c r="AG433" t="e">
        <f t="shared" si="46"/>
        <v>#N/A</v>
      </c>
      <c r="AH433">
        <f t="shared" si="47"/>
        <v>4.29</v>
      </c>
      <c r="AI433" t="e">
        <f t="shared" si="48"/>
        <v>#N/A</v>
      </c>
    </row>
    <row r="434" spans="1:35" x14ac:dyDescent="0.45">
      <c r="A434" t="s">
        <v>1464</v>
      </c>
      <c r="B434">
        <v>46</v>
      </c>
      <c r="C434" t="s">
        <v>45</v>
      </c>
      <c r="D434" t="s">
        <v>106</v>
      </c>
      <c r="E434" t="s">
        <v>2614</v>
      </c>
      <c r="F434" t="s">
        <v>79</v>
      </c>
      <c r="G434" t="s">
        <v>80</v>
      </c>
      <c r="H434" t="s">
        <v>81</v>
      </c>
      <c r="I434" t="s">
        <v>132</v>
      </c>
      <c r="J434" t="s">
        <v>1465</v>
      </c>
      <c r="K434" t="s">
        <v>293</v>
      </c>
      <c r="L434" t="s">
        <v>36</v>
      </c>
      <c r="M434" t="s">
        <v>2622</v>
      </c>
      <c r="N434" t="s">
        <v>327</v>
      </c>
      <c r="O434" t="s">
        <v>36</v>
      </c>
      <c r="P434" t="s">
        <v>110</v>
      </c>
      <c r="Q434" t="s">
        <v>40</v>
      </c>
      <c r="R434">
        <v>164</v>
      </c>
      <c r="S434">
        <v>0</v>
      </c>
      <c r="T434" t="s">
        <v>41</v>
      </c>
      <c r="U434" t="s">
        <v>57</v>
      </c>
      <c r="V434">
        <v>2.89</v>
      </c>
      <c r="W434">
        <v>4.5199999999999996</v>
      </c>
      <c r="X434">
        <v>2.9</v>
      </c>
      <c r="Y434">
        <v>18.2</v>
      </c>
      <c r="Z434">
        <v>13.3</v>
      </c>
      <c r="AA434">
        <f>VALUE(SUBSTITUTE(DACS19___Pfizer’s_Personalised_Medicine_in[[#This Row],[Dose]],"mg",""))</f>
        <v>200</v>
      </c>
      <c r="AB434">
        <f t="shared" si="42"/>
        <v>200</v>
      </c>
      <c r="AC434" t="s">
        <v>40</v>
      </c>
      <c r="AD434">
        <f t="shared" si="43"/>
        <v>3</v>
      </c>
      <c r="AE434">
        <f t="shared" si="44"/>
        <v>1</v>
      </c>
      <c r="AF434" t="e">
        <f t="shared" si="45"/>
        <v>#N/A</v>
      </c>
      <c r="AG434" t="e">
        <f t="shared" si="46"/>
        <v>#N/A</v>
      </c>
      <c r="AH434" t="e">
        <f t="shared" si="47"/>
        <v>#N/A</v>
      </c>
      <c r="AI434">
        <f t="shared" si="48"/>
        <v>4.5199999999999996</v>
      </c>
    </row>
    <row r="435" spans="1:35" x14ac:dyDescent="0.45">
      <c r="A435" t="s">
        <v>1466</v>
      </c>
      <c r="B435">
        <v>62</v>
      </c>
      <c r="C435" t="s">
        <v>44</v>
      </c>
      <c r="D435" t="s">
        <v>95</v>
      </c>
      <c r="E435" t="s">
        <v>29</v>
      </c>
      <c r="F435" t="s">
        <v>59</v>
      </c>
      <c r="G435" t="s">
        <v>276</v>
      </c>
      <c r="H435" t="s">
        <v>71</v>
      </c>
      <c r="I435" t="s">
        <v>49</v>
      </c>
      <c r="J435" t="s">
        <v>1141</v>
      </c>
      <c r="K435" t="s">
        <v>1467</v>
      </c>
      <c r="L435" t="s">
        <v>92</v>
      </c>
      <c r="M435" t="s">
        <v>2627</v>
      </c>
      <c r="N435" t="s">
        <v>1000</v>
      </c>
      <c r="O435" t="s">
        <v>92</v>
      </c>
      <c r="P435" t="s">
        <v>39</v>
      </c>
      <c r="Q435" t="s">
        <v>129</v>
      </c>
      <c r="R435">
        <v>157</v>
      </c>
      <c r="S435">
        <v>1</v>
      </c>
      <c r="T435" t="s">
        <v>41</v>
      </c>
      <c r="U435" t="s">
        <v>57</v>
      </c>
      <c r="V435">
        <v>2.1800000000000002</v>
      </c>
      <c r="W435">
        <v>1.55</v>
      </c>
      <c r="X435">
        <v>6.9</v>
      </c>
      <c r="Y435">
        <v>19.3</v>
      </c>
      <c r="Z435">
        <v>8.4</v>
      </c>
      <c r="AA435">
        <f>VALUE(SUBSTITUTE(DACS19___Pfizer’s_Personalised_Medicine_in[[#This Row],[Dose]],"mg",""))</f>
        <v>50</v>
      </c>
      <c r="AB435">
        <f t="shared" si="42"/>
        <v>50</v>
      </c>
      <c r="AC435" t="s">
        <v>129</v>
      </c>
      <c r="AD435">
        <f t="shared" si="43"/>
        <v>4</v>
      </c>
      <c r="AE435">
        <f t="shared" si="44"/>
        <v>3</v>
      </c>
      <c r="AF435" t="e">
        <f t="shared" si="45"/>
        <v>#N/A</v>
      </c>
      <c r="AG435">
        <f t="shared" si="46"/>
        <v>1.55</v>
      </c>
      <c r="AH435" t="e">
        <f t="shared" si="47"/>
        <v>#N/A</v>
      </c>
      <c r="AI435" t="e">
        <f t="shared" si="48"/>
        <v>#N/A</v>
      </c>
    </row>
    <row r="436" spans="1:35" x14ac:dyDescent="0.45">
      <c r="A436" t="s">
        <v>1468</v>
      </c>
      <c r="B436">
        <v>37</v>
      </c>
      <c r="C436" t="s">
        <v>45</v>
      </c>
      <c r="D436" t="s">
        <v>28</v>
      </c>
      <c r="E436" t="s">
        <v>29</v>
      </c>
      <c r="F436" t="s">
        <v>2614</v>
      </c>
      <c r="G436" t="s">
        <v>112</v>
      </c>
      <c r="H436" t="s">
        <v>32</v>
      </c>
      <c r="I436" t="s">
        <v>33</v>
      </c>
      <c r="J436" t="s">
        <v>1469</v>
      </c>
      <c r="K436" t="s">
        <v>365</v>
      </c>
      <c r="L436" t="s">
        <v>92</v>
      </c>
      <c r="M436" t="s">
        <v>274</v>
      </c>
      <c r="N436" t="s">
        <v>452</v>
      </c>
      <c r="O436" t="s">
        <v>92</v>
      </c>
      <c r="P436" t="s">
        <v>110</v>
      </c>
      <c r="Q436" t="s">
        <v>129</v>
      </c>
      <c r="R436">
        <v>43</v>
      </c>
      <c r="S436">
        <v>0</v>
      </c>
      <c r="T436" t="s">
        <v>56</v>
      </c>
      <c r="U436" t="s">
        <v>57</v>
      </c>
      <c r="V436">
        <v>3.58</v>
      </c>
      <c r="W436">
        <v>2.58</v>
      </c>
      <c r="X436">
        <v>7.4</v>
      </c>
      <c r="Y436">
        <v>9.6</v>
      </c>
      <c r="Z436">
        <v>18.100000000000001</v>
      </c>
      <c r="AA436">
        <f>VALUE(SUBSTITUTE(DACS19___Pfizer’s_Personalised_Medicine_in[[#This Row],[Dose]],"mg",""))</f>
        <v>50</v>
      </c>
      <c r="AB436">
        <f t="shared" si="42"/>
        <v>50</v>
      </c>
      <c r="AC436" t="s">
        <v>129</v>
      </c>
      <c r="AD436">
        <f t="shared" si="43"/>
        <v>4</v>
      </c>
      <c r="AE436">
        <f t="shared" si="44"/>
        <v>1</v>
      </c>
      <c r="AF436" t="e">
        <f t="shared" si="45"/>
        <v>#N/A</v>
      </c>
      <c r="AG436" t="e">
        <f t="shared" si="46"/>
        <v>#N/A</v>
      </c>
      <c r="AH436">
        <f t="shared" si="47"/>
        <v>2.58</v>
      </c>
      <c r="AI436" t="e">
        <f t="shared" si="48"/>
        <v>#N/A</v>
      </c>
    </row>
    <row r="437" spans="1:35" x14ac:dyDescent="0.45">
      <c r="A437" t="s">
        <v>1470</v>
      </c>
      <c r="B437">
        <v>18</v>
      </c>
      <c r="C437" t="s">
        <v>44</v>
      </c>
      <c r="D437" t="s">
        <v>28</v>
      </c>
      <c r="E437" t="s">
        <v>163</v>
      </c>
      <c r="F437" t="s">
        <v>79</v>
      </c>
      <c r="G437" t="s">
        <v>194</v>
      </c>
      <c r="H437" t="s">
        <v>32</v>
      </c>
      <c r="I437" t="s">
        <v>72</v>
      </c>
      <c r="J437" t="s">
        <v>1471</v>
      </c>
      <c r="K437" t="s">
        <v>1472</v>
      </c>
      <c r="L437" t="s">
        <v>52</v>
      </c>
      <c r="M437" t="s">
        <v>536</v>
      </c>
      <c r="N437" t="s">
        <v>198</v>
      </c>
      <c r="O437" t="s">
        <v>52</v>
      </c>
      <c r="P437" t="s">
        <v>39</v>
      </c>
      <c r="Q437" t="s">
        <v>129</v>
      </c>
      <c r="R437">
        <v>151</v>
      </c>
      <c r="S437">
        <v>1</v>
      </c>
      <c r="T437" t="s">
        <v>137</v>
      </c>
      <c r="U437" t="s">
        <v>42</v>
      </c>
      <c r="V437">
        <v>2.15</v>
      </c>
      <c r="W437">
        <v>2.4700000000000002</v>
      </c>
      <c r="X437">
        <v>1.5</v>
      </c>
      <c r="Y437">
        <v>8</v>
      </c>
      <c r="Z437">
        <v>11.8</v>
      </c>
      <c r="AA437">
        <f>VALUE(SUBSTITUTE(DACS19___Pfizer’s_Personalised_Medicine_in[[#This Row],[Dose]],"mg",""))</f>
        <v>100</v>
      </c>
      <c r="AB437">
        <f t="shared" si="42"/>
        <v>100</v>
      </c>
      <c r="AC437" t="s">
        <v>129</v>
      </c>
      <c r="AD437">
        <f t="shared" si="43"/>
        <v>4</v>
      </c>
      <c r="AE437">
        <f t="shared" si="44"/>
        <v>3</v>
      </c>
      <c r="AF437" t="e">
        <f t="shared" si="45"/>
        <v>#N/A</v>
      </c>
      <c r="AG437" t="e">
        <f t="shared" si="46"/>
        <v>#N/A</v>
      </c>
      <c r="AH437">
        <f t="shared" si="47"/>
        <v>2.4700000000000002</v>
      </c>
      <c r="AI437" t="e">
        <f t="shared" si="48"/>
        <v>#N/A</v>
      </c>
    </row>
    <row r="438" spans="1:35" x14ac:dyDescent="0.45">
      <c r="A438" t="s">
        <v>1473</v>
      </c>
      <c r="B438">
        <v>67</v>
      </c>
      <c r="C438" t="s">
        <v>44</v>
      </c>
      <c r="D438" t="s">
        <v>95</v>
      </c>
      <c r="E438" t="s">
        <v>163</v>
      </c>
      <c r="F438" t="s">
        <v>2614</v>
      </c>
      <c r="G438" t="s">
        <v>276</v>
      </c>
      <c r="H438" t="s">
        <v>32</v>
      </c>
      <c r="I438" t="s">
        <v>72</v>
      </c>
      <c r="J438" t="s">
        <v>1474</v>
      </c>
      <c r="K438" t="s">
        <v>1475</v>
      </c>
      <c r="L438" t="s">
        <v>52</v>
      </c>
      <c r="M438" t="s">
        <v>2648</v>
      </c>
      <c r="N438" t="s">
        <v>84</v>
      </c>
      <c r="O438" t="s">
        <v>52</v>
      </c>
      <c r="P438" t="s">
        <v>110</v>
      </c>
      <c r="Q438" t="s">
        <v>67</v>
      </c>
      <c r="R438">
        <v>107</v>
      </c>
      <c r="S438">
        <v>0</v>
      </c>
      <c r="T438" t="s">
        <v>137</v>
      </c>
      <c r="U438" t="s">
        <v>42</v>
      </c>
      <c r="V438">
        <v>2.0699999999999998</v>
      </c>
      <c r="W438">
        <v>4.34</v>
      </c>
      <c r="X438">
        <v>1.1000000000000001</v>
      </c>
      <c r="Y438">
        <v>12.8</v>
      </c>
      <c r="Z438">
        <v>8.6999999999999993</v>
      </c>
      <c r="AA438">
        <f>VALUE(SUBSTITUTE(DACS19___Pfizer’s_Personalised_Medicine_in[[#This Row],[Dose]],"mg",""))</f>
        <v>100</v>
      </c>
      <c r="AB438">
        <f t="shared" si="42"/>
        <v>100</v>
      </c>
      <c r="AC438" t="s">
        <v>67</v>
      </c>
      <c r="AD438">
        <f t="shared" si="43"/>
        <v>2</v>
      </c>
      <c r="AE438">
        <f t="shared" si="44"/>
        <v>1</v>
      </c>
      <c r="AF438" t="e">
        <f t="shared" si="45"/>
        <v>#N/A</v>
      </c>
      <c r="AG438" t="e">
        <f t="shared" si="46"/>
        <v>#N/A</v>
      </c>
      <c r="AH438">
        <f t="shared" si="47"/>
        <v>4.34</v>
      </c>
      <c r="AI438" t="e">
        <f t="shared" si="48"/>
        <v>#N/A</v>
      </c>
    </row>
    <row r="439" spans="1:35" x14ac:dyDescent="0.45">
      <c r="A439" t="s">
        <v>1476</v>
      </c>
      <c r="B439">
        <v>56</v>
      </c>
      <c r="C439" t="s">
        <v>45</v>
      </c>
      <c r="D439" t="s">
        <v>95</v>
      </c>
      <c r="E439" t="s">
        <v>29</v>
      </c>
      <c r="F439" t="s">
        <v>47</v>
      </c>
      <c r="G439" t="s">
        <v>102</v>
      </c>
      <c r="H439" t="s">
        <v>71</v>
      </c>
      <c r="I439" t="s">
        <v>33</v>
      </c>
      <c r="J439" t="s">
        <v>1477</v>
      </c>
      <c r="K439" t="s">
        <v>1478</v>
      </c>
      <c r="L439" t="s">
        <v>64</v>
      </c>
      <c r="M439" t="s">
        <v>2628</v>
      </c>
      <c r="N439" t="s">
        <v>305</v>
      </c>
      <c r="O439" t="s">
        <v>64</v>
      </c>
      <c r="P439" t="s">
        <v>55</v>
      </c>
      <c r="Q439" t="s">
        <v>40</v>
      </c>
      <c r="R439">
        <v>148</v>
      </c>
      <c r="S439">
        <v>0</v>
      </c>
      <c r="T439" t="s">
        <v>123</v>
      </c>
      <c r="U439" t="s">
        <v>42</v>
      </c>
      <c r="V439">
        <v>1.08</v>
      </c>
      <c r="W439">
        <v>1.5</v>
      </c>
      <c r="X439">
        <v>4.7</v>
      </c>
      <c r="Y439">
        <v>14.9</v>
      </c>
      <c r="Z439">
        <v>9.9</v>
      </c>
      <c r="AA439">
        <f>VALUE(SUBSTITUTE(DACS19___Pfizer’s_Personalised_Medicine_in[[#This Row],[Dose]],"mg",""))</f>
        <v>150</v>
      </c>
      <c r="AB439">
        <f t="shared" si="42"/>
        <v>150</v>
      </c>
      <c r="AC439" t="s">
        <v>40</v>
      </c>
      <c r="AD439">
        <f t="shared" si="43"/>
        <v>3</v>
      </c>
      <c r="AE439">
        <f t="shared" si="44"/>
        <v>2</v>
      </c>
      <c r="AF439" t="e">
        <f t="shared" si="45"/>
        <v>#N/A</v>
      </c>
      <c r="AG439">
        <f t="shared" si="46"/>
        <v>1.5</v>
      </c>
      <c r="AH439" t="e">
        <f t="shared" si="47"/>
        <v>#N/A</v>
      </c>
      <c r="AI439" t="e">
        <f t="shared" si="48"/>
        <v>#N/A</v>
      </c>
    </row>
    <row r="440" spans="1:35" x14ac:dyDescent="0.45">
      <c r="A440" t="s">
        <v>1479</v>
      </c>
      <c r="B440">
        <v>71</v>
      </c>
      <c r="C440" t="s">
        <v>27</v>
      </c>
      <c r="D440" t="s">
        <v>106</v>
      </c>
      <c r="E440" t="s">
        <v>29</v>
      </c>
      <c r="F440" t="s">
        <v>2614</v>
      </c>
      <c r="G440" t="s">
        <v>60</v>
      </c>
      <c r="H440" t="s">
        <v>32</v>
      </c>
      <c r="I440" t="s">
        <v>72</v>
      </c>
      <c r="J440" t="s">
        <v>552</v>
      </c>
      <c r="K440" t="s">
        <v>1480</v>
      </c>
      <c r="L440" t="s">
        <v>92</v>
      </c>
      <c r="M440" t="s">
        <v>469</v>
      </c>
      <c r="N440" t="s">
        <v>532</v>
      </c>
      <c r="O440" t="s">
        <v>92</v>
      </c>
      <c r="P440" t="s">
        <v>39</v>
      </c>
      <c r="Q440" t="s">
        <v>40</v>
      </c>
      <c r="R440">
        <v>162</v>
      </c>
      <c r="S440">
        <v>1</v>
      </c>
      <c r="T440" t="s">
        <v>56</v>
      </c>
      <c r="U440" t="s">
        <v>42</v>
      </c>
      <c r="V440">
        <v>3.12</v>
      </c>
      <c r="W440">
        <v>3.38</v>
      </c>
      <c r="X440">
        <v>1.1000000000000001</v>
      </c>
      <c r="Y440">
        <v>14.4</v>
      </c>
      <c r="Z440">
        <v>19.399999999999999</v>
      </c>
      <c r="AA440">
        <f>VALUE(SUBSTITUTE(DACS19___Pfizer’s_Personalised_Medicine_in[[#This Row],[Dose]],"mg",""))</f>
        <v>50</v>
      </c>
      <c r="AB440">
        <f t="shared" si="42"/>
        <v>50</v>
      </c>
      <c r="AC440" t="s">
        <v>40</v>
      </c>
      <c r="AD440">
        <f t="shared" si="43"/>
        <v>3</v>
      </c>
      <c r="AE440">
        <f t="shared" si="44"/>
        <v>3</v>
      </c>
      <c r="AF440" t="e">
        <f t="shared" si="45"/>
        <v>#N/A</v>
      </c>
      <c r="AG440" t="e">
        <f t="shared" si="46"/>
        <v>#N/A</v>
      </c>
      <c r="AH440">
        <f t="shared" si="47"/>
        <v>3.38</v>
      </c>
      <c r="AI440" t="e">
        <f t="shared" si="48"/>
        <v>#N/A</v>
      </c>
    </row>
    <row r="441" spans="1:35" x14ac:dyDescent="0.45">
      <c r="A441" t="s">
        <v>1481</v>
      </c>
      <c r="B441">
        <v>28</v>
      </c>
      <c r="C441" t="s">
        <v>27</v>
      </c>
      <c r="D441" t="s">
        <v>28</v>
      </c>
      <c r="E441" t="s">
        <v>163</v>
      </c>
      <c r="F441" t="s">
        <v>88</v>
      </c>
      <c r="G441" t="s">
        <v>276</v>
      </c>
      <c r="H441" t="s">
        <v>81</v>
      </c>
      <c r="I441" t="s">
        <v>132</v>
      </c>
      <c r="J441" t="s">
        <v>1482</v>
      </c>
      <c r="K441" t="s">
        <v>1483</v>
      </c>
      <c r="L441" t="s">
        <v>92</v>
      </c>
      <c r="M441" t="s">
        <v>2635</v>
      </c>
      <c r="N441" t="s">
        <v>808</v>
      </c>
      <c r="O441" t="s">
        <v>92</v>
      </c>
      <c r="P441" t="s">
        <v>55</v>
      </c>
      <c r="Q441" t="s">
        <v>67</v>
      </c>
      <c r="R441">
        <v>87</v>
      </c>
      <c r="S441">
        <v>0</v>
      </c>
      <c r="T441" t="s">
        <v>41</v>
      </c>
      <c r="U441" t="s">
        <v>57</v>
      </c>
      <c r="V441">
        <v>3.08</v>
      </c>
      <c r="W441">
        <v>3.71</v>
      </c>
      <c r="X441">
        <v>3.8</v>
      </c>
      <c r="Y441">
        <v>19.899999999999999</v>
      </c>
      <c r="Z441">
        <v>16.100000000000001</v>
      </c>
      <c r="AA441">
        <f>VALUE(SUBSTITUTE(DACS19___Pfizer’s_Personalised_Medicine_in[[#This Row],[Dose]],"mg",""))</f>
        <v>50</v>
      </c>
      <c r="AB441">
        <f t="shared" si="42"/>
        <v>50</v>
      </c>
      <c r="AC441" t="s">
        <v>67</v>
      </c>
      <c r="AD441">
        <f t="shared" si="43"/>
        <v>2</v>
      </c>
      <c r="AE441">
        <f t="shared" si="44"/>
        <v>2</v>
      </c>
      <c r="AF441" t="e">
        <f t="shared" si="45"/>
        <v>#N/A</v>
      </c>
      <c r="AG441" t="e">
        <f t="shared" si="46"/>
        <v>#N/A</v>
      </c>
      <c r="AH441" t="e">
        <f t="shared" si="47"/>
        <v>#N/A</v>
      </c>
      <c r="AI441">
        <f t="shared" si="48"/>
        <v>3.71</v>
      </c>
    </row>
    <row r="442" spans="1:35" x14ac:dyDescent="0.45">
      <c r="A442" t="s">
        <v>1484</v>
      </c>
      <c r="B442">
        <v>57</v>
      </c>
      <c r="C442" t="s">
        <v>45</v>
      </c>
      <c r="D442" t="s">
        <v>87</v>
      </c>
      <c r="E442" t="s">
        <v>78</v>
      </c>
      <c r="F442" t="s">
        <v>2614</v>
      </c>
      <c r="G442" t="s">
        <v>89</v>
      </c>
      <c r="H442" t="s">
        <v>61</v>
      </c>
      <c r="I442" t="s">
        <v>49</v>
      </c>
      <c r="J442" t="s">
        <v>1485</v>
      </c>
      <c r="K442" t="s">
        <v>716</v>
      </c>
      <c r="L442" t="s">
        <v>92</v>
      </c>
      <c r="M442" t="s">
        <v>67</v>
      </c>
      <c r="N442" t="s">
        <v>1199</v>
      </c>
      <c r="O442" t="s">
        <v>92</v>
      </c>
      <c r="P442" t="s">
        <v>55</v>
      </c>
      <c r="Q442" t="s">
        <v>129</v>
      </c>
      <c r="R442">
        <v>159</v>
      </c>
      <c r="S442">
        <v>0</v>
      </c>
      <c r="T442" t="s">
        <v>56</v>
      </c>
      <c r="U442" t="s">
        <v>57</v>
      </c>
      <c r="V442">
        <v>3.09</v>
      </c>
      <c r="W442">
        <v>4.9000000000000004</v>
      </c>
      <c r="X442">
        <v>2.1</v>
      </c>
      <c r="Y442">
        <v>6.3</v>
      </c>
      <c r="Z442">
        <v>16.100000000000001</v>
      </c>
      <c r="AA442">
        <f>VALUE(SUBSTITUTE(DACS19___Pfizer’s_Personalised_Medicine_in[[#This Row],[Dose]],"mg",""))</f>
        <v>50</v>
      </c>
      <c r="AB442">
        <f t="shared" si="42"/>
        <v>50</v>
      </c>
      <c r="AC442" t="s">
        <v>129</v>
      </c>
      <c r="AD442">
        <f t="shared" si="43"/>
        <v>4</v>
      </c>
      <c r="AE442">
        <f t="shared" si="44"/>
        <v>2</v>
      </c>
      <c r="AF442">
        <f t="shared" si="45"/>
        <v>4.9000000000000004</v>
      </c>
      <c r="AG442" t="e">
        <f t="shared" si="46"/>
        <v>#N/A</v>
      </c>
      <c r="AH442" t="e">
        <f t="shared" si="47"/>
        <v>#N/A</v>
      </c>
      <c r="AI442" t="e">
        <f t="shared" si="48"/>
        <v>#N/A</v>
      </c>
    </row>
    <row r="443" spans="1:35" x14ac:dyDescent="0.45">
      <c r="A443" t="s">
        <v>1486</v>
      </c>
      <c r="B443">
        <v>25</v>
      </c>
      <c r="C443" t="s">
        <v>27</v>
      </c>
      <c r="D443" t="s">
        <v>28</v>
      </c>
      <c r="E443" t="s">
        <v>78</v>
      </c>
      <c r="F443" t="s">
        <v>79</v>
      </c>
      <c r="G443" t="s">
        <v>60</v>
      </c>
      <c r="H443" t="s">
        <v>32</v>
      </c>
      <c r="I443" t="s">
        <v>33</v>
      </c>
      <c r="J443" t="s">
        <v>1487</v>
      </c>
      <c r="K443" t="s">
        <v>191</v>
      </c>
      <c r="L443" t="s">
        <v>92</v>
      </c>
      <c r="M443" t="s">
        <v>67</v>
      </c>
      <c r="N443" t="s">
        <v>754</v>
      </c>
      <c r="O443" t="s">
        <v>92</v>
      </c>
      <c r="P443" t="s">
        <v>110</v>
      </c>
      <c r="Q443" t="s">
        <v>67</v>
      </c>
      <c r="R443">
        <v>73</v>
      </c>
      <c r="S443">
        <v>0</v>
      </c>
      <c r="T443" t="s">
        <v>85</v>
      </c>
      <c r="U443" t="s">
        <v>42</v>
      </c>
      <c r="V443">
        <v>4.2300000000000004</v>
      </c>
      <c r="W443">
        <v>1.48</v>
      </c>
      <c r="X443">
        <v>3.4</v>
      </c>
      <c r="Y443">
        <v>6.3</v>
      </c>
      <c r="Z443">
        <v>8</v>
      </c>
      <c r="AA443">
        <f>VALUE(SUBSTITUTE(DACS19___Pfizer’s_Personalised_Medicine_in[[#This Row],[Dose]],"mg",""))</f>
        <v>50</v>
      </c>
      <c r="AB443">
        <f t="shared" si="42"/>
        <v>50</v>
      </c>
      <c r="AC443" t="s">
        <v>67</v>
      </c>
      <c r="AD443">
        <f t="shared" si="43"/>
        <v>2</v>
      </c>
      <c r="AE443">
        <f t="shared" si="44"/>
        <v>1</v>
      </c>
      <c r="AF443" t="e">
        <f t="shared" si="45"/>
        <v>#N/A</v>
      </c>
      <c r="AG443" t="e">
        <f t="shared" si="46"/>
        <v>#N/A</v>
      </c>
      <c r="AH443">
        <f t="shared" si="47"/>
        <v>1.48</v>
      </c>
      <c r="AI443" t="e">
        <f t="shared" si="48"/>
        <v>#N/A</v>
      </c>
    </row>
    <row r="444" spans="1:35" x14ac:dyDescent="0.45">
      <c r="A444" t="s">
        <v>1488</v>
      </c>
      <c r="B444">
        <v>78</v>
      </c>
      <c r="C444" t="s">
        <v>44</v>
      </c>
      <c r="D444" t="s">
        <v>28</v>
      </c>
      <c r="E444" t="s">
        <v>2614</v>
      </c>
      <c r="F444" t="s">
        <v>2614</v>
      </c>
      <c r="G444" t="s">
        <v>80</v>
      </c>
      <c r="H444" t="s">
        <v>81</v>
      </c>
      <c r="I444" t="s">
        <v>132</v>
      </c>
      <c r="J444" t="s">
        <v>1489</v>
      </c>
      <c r="K444" t="s">
        <v>1069</v>
      </c>
      <c r="L444" t="s">
        <v>92</v>
      </c>
      <c r="M444" t="s">
        <v>500</v>
      </c>
      <c r="N444" t="s">
        <v>714</v>
      </c>
      <c r="O444" t="s">
        <v>92</v>
      </c>
      <c r="P444" t="s">
        <v>39</v>
      </c>
      <c r="Q444" t="s">
        <v>2614</v>
      </c>
      <c r="R444">
        <v>147</v>
      </c>
      <c r="S444">
        <v>1</v>
      </c>
      <c r="T444" t="s">
        <v>123</v>
      </c>
      <c r="U444" t="s">
        <v>57</v>
      </c>
      <c r="V444">
        <v>4.09</v>
      </c>
      <c r="W444">
        <v>3.07</v>
      </c>
      <c r="X444">
        <v>4.0999999999999996</v>
      </c>
      <c r="Y444">
        <v>12.7</v>
      </c>
      <c r="Z444">
        <v>3</v>
      </c>
      <c r="AA444">
        <f>VALUE(SUBSTITUTE(DACS19___Pfizer’s_Personalised_Medicine_in[[#This Row],[Dose]],"mg",""))</f>
        <v>50</v>
      </c>
      <c r="AB444">
        <f t="shared" si="42"/>
        <v>50</v>
      </c>
      <c r="AC444" t="s">
        <v>2614</v>
      </c>
      <c r="AD444">
        <f t="shared" si="43"/>
        <v>0</v>
      </c>
      <c r="AE444">
        <f t="shared" si="44"/>
        <v>3</v>
      </c>
      <c r="AF444" t="e">
        <f t="shared" si="45"/>
        <v>#N/A</v>
      </c>
      <c r="AG444" t="e">
        <f t="shared" si="46"/>
        <v>#N/A</v>
      </c>
      <c r="AH444" t="e">
        <f t="shared" si="47"/>
        <v>#N/A</v>
      </c>
      <c r="AI444">
        <f t="shared" si="48"/>
        <v>3.07</v>
      </c>
    </row>
    <row r="445" spans="1:35" x14ac:dyDescent="0.45">
      <c r="A445" t="s">
        <v>1490</v>
      </c>
      <c r="B445">
        <v>19</v>
      </c>
      <c r="C445" t="s">
        <v>45</v>
      </c>
      <c r="D445" t="s">
        <v>28</v>
      </c>
      <c r="E445" t="s">
        <v>163</v>
      </c>
      <c r="F445" t="s">
        <v>2614</v>
      </c>
      <c r="G445" t="s">
        <v>152</v>
      </c>
      <c r="H445" t="s">
        <v>81</v>
      </c>
      <c r="I445" t="s">
        <v>49</v>
      </c>
      <c r="J445" t="s">
        <v>1192</v>
      </c>
      <c r="K445" t="s">
        <v>1491</v>
      </c>
      <c r="L445" t="s">
        <v>36</v>
      </c>
      <c r="M445" t="s">
        <v>274</v>
      </c>
      <c r="N445" t="s">
        <v>1144</v>
      </c>
      <c r="O445" t="s">
        <v>36</v>
      </c>
      <c r="P445" t="s">
        <v>110</v>
      </c>
      <c r="Q445" t="s">
        <v>75</v>
      </c>
      <c r="R445">
        <v>83</v>
      </c>
      <c r="S445">
        <v>0</v>
      </c>
      <c r="T445" t="s">
        <v>137</v>
      </c>
      <c r="U445" t="s">
        <v>57</v>
      </c>
      <c r="V445">
        <v>2.2000000000000002</v>
      </c>
      <c r="W445">
        <v>3.59</v>
      </c>
      <c r="X445">
        <v>9.8000000000000007</v>
      </c>
      <c r="Y445">
        <v>21.2</v>
      </c>
      <c r="Z445">
        <v>3.4</v>
      </c>
      <c r="AA445">
        <f>VALUE(SUBSTITUTE(DACS19___Pfizer’s_Personalised_Medicine_in[[#This Row],[Dose]],"mg",""))</f>
        <v>200</v>
      </c>
      <c r="AB445">
        <f t="shared" si="42"/>
        <v>200</v>
      </c>
      <c r="AC445" t="s">
        <v>75</v>
      </c>
      <c r="AD445">
        <f t="shared" si="43"/>
        <v>1</v>
      </c>
      <c r="AE445">
        <f t="shared" si="44"/>
        <v>1</v>
      </c>
      <c r="AF445" t="e">
        <f t="shared" si="45"/>
        <v>#N/A</v>
      </c>
      <c r="AG445" t="e">
        <f t="shared" si="46"/>
        <v>#N/A</v>
      </c>
      <c r="AH445" t="e">
        <f t="shared" si="47"/>
        <v>#N/A</v>
      </c>
      <c r="AI445">
        <f t="shared" si="48"/>
        <v>3.59</v>
      </c>
    </row>
    <row r="446" spans="1:35" x14ac:dyDescent="0.45">
      <c r="A446" t="s">
        <v>1492</v>
      </c>
      <c r="B446">
        <v>83</v>
      </c>
      <c r="C446" t="s">
        <v>27</v>
      </c>
      <c r="D446" t="s">
        <v>106</v>
      </c>
      <c r="E446" t="s">
        <v>46</v>
      </c>
      <c r="F446" t="s">
        <v>69</v>
      </c>
      <c r="G446" t="s">
        <v>31</v>
      </c>
      <c r="H446" t="s">
        <v>81</v>
      </c>
      <c r="I446" t="s">
        <v>72</v>
      </c>
      <c r="J446" t="s">
        <v>523</v>
      </c>
      <c r="K446" t="s">
        <v>1493</v>
      </c>
      <c r="L446" t="s">
        <v>92</v>
      </c>
      <c r="M446" t="s">
        <v>1398</v>
      </c>
      <c r="N446" t="s">
        <v>567</v>
      </c>
      <c r="O446" t="s">
        <v>92</v>
      </c>
      <c r="P446" t="s">
        <v>110</v>
      </c>
      <c r="Q446" t="s">
        <v>67</v>
      </c>
      <c r="R446">
        <v>177</v>
      </c>
      <c r="S446">
        <v>0</v>
      </c>
      <c r="T446" t="s">
        <v>85</v>
      </c>
      <c r="U446" t="s">
        <v>57</v>
      </c>
      <c r="V446">
        <v>4.59</v>
      </c>
      <c r="W446">
        <v>4.13</v>
      </c>
      <c r="X446">
        <v>8</v>
      </c>
      <c r="Y446">
        <v>14.2</v>
      </c>
      <c r="Z446">
        <v>9.8000000000000007</v>
      </c>
      <c r="AA446">
        <f>VALUE(SUBSTITUTE(DACS19___Pfizer’s_Personalised_Medicine_in[[#This Row],[Dose]],"mg",""))</f>
        <v>50</v>
      </c>
      <c r="AB446">
        <f t="shared" si="42"/>
        <v>50</v>
      </c>
      <c r="AC446" t="s">
        <v>67</v>
      </c>
      <c r="AD446">
        <f t="shared" si="43"/>
        <v>2</v>
      </c>
      <c r="AE446">
        <f t="shared" si="44"/>
        <v>1</v>
      </c>
      <c r="AF446" t="e">
        <f t="shared" si="45"/>
        <v>#N/A</v>
      </c>
      <c r="AG446" t="e">
        <f t="shared" si="46"/>
        <v>#N/A</v>
      </c>
      <c r="AH446" t="e">
        <f t="shared" si="47"/>
        <v>#N/A</v>
      </c>
      <c r="AI446">
        <f t="shared" si="48"/>
        <v>4.13</v>
      </c>
    </row>
    <row r="447" spans="1:35" x14ac:dyDescent="0.45">
      <c r="A447" t="s">
        <v>1494</v>
      </c>
      <c r="B447">
        <v>34</v>
      </c>
      <c r="C447" t="s">
        <v>45</v>
      </c>
      <c r="D447" t="s">
        <v>28</v>
      </c>
      <c r="E447" t="s">
        <v>29</v>
      </c>
      <c r="F447" t="s">
        <v>2614</v>
      </c>
      <c r="G447" t="s">
        <v>194</v>
      </c>
      <c r="H447" t="s">
        <v>81</v>
      </c>
      <c r="I447" t="s">
        <v>49</v>
      </c>
      <c r="J447" t="s">
        <v>1495</v>
      </c>
      <c r="K447" t="s">
        <v>1271</v>
      </c>
      <c r="L447" t="s">
        <v>52</v>
      </c>
      <c r="M447" t="s">
        <v>129</v>
      </c>
      <c r="N447" t="s">
        <v>254</v>
      </c>
      <c r="O447" t="s">
        <v>52</v>
      </c>
      <c r="P447" t="s">
        <v>39</v>
      </c>
      <c r="Q447" t="s">
        <v>40</v>
      </c>
      <c r="R447">
        <v>151</v>
      </c>
      <c r="S447">
        <v>1</v>
      </c>
      <c r="T447" t="s">
        <v>137</v>
      </c>
      <c r="U447" t="s">
        <v>42</v>
      </c>
      <c r="V447">
        <v>2.21</v>
      </c>
      <c r="W447">
        <v>1.26</v>
      </c>
      <c r="X447">
        <v>3.1</v>
      </c>
      <c r="Y447">
        <v>10.4</v>
      </c>
      <c r="Z447">
        <v>11.2</v>
      </c>
      <c r="AA447">
        <f>VALUE(SUBSTITUTE(DACS19___Pfizer’s_Personalised_Medicine_in[[#This Row],[Dose]],"mg",""))</f>
        <v>100</v>
      </c>
      <c r="AB447">
        <f t="shared" si="42"/>
        <v>100</v>
      </c>
      <c r="AC447" t="s">
        <v>40</v>
      </c>
      <c r="AD447">
        <f t="shared" si="43"/>
        <v>3</v>
      </c>
      <c r="AE447">
        <f t="shared" si="44"/>
        <v>3</v>
      </c>
      <c r="AF447" t="e">
        <f t="shared" si="45"/>
        <v>#N/A</v>
      </c>
      <c r="AG447" t="e">
        <f t="shared" si="46"/>
        <v>#N/A</v>
      </c>
      <c r="AH447" t="e">
        <f t="shared" si="47"/>
        <v>#N/A</v>
      </c>
      <c r="AI447">
        <f t="shared" si="48"/>
        <v>1.26</v>
      </c>
    </row>
    <row r="448" spans="1:35" x14ac:dyDescent="0.45">
      <c r="A448" t="s">
        <v>1496</v>
      </c>
      <c r="B448">
        <v>48</v>
      </c>
      <c r="C448" t="s">
        <v>27</v>
      </c>
      <c r="D448" t="s">
        <v>106</v>
      </c>
      <c r="E448" t="s">
        <v>78</v>
      </c>
      <c r="F448" t="s">
        <v>2614</v>
      </c>
      <c r="G448" t="s">
        <v>48</v>
      </c>
      <c r="H448" t="s">
        <v>61</v>
      </c>
      <c r="I448" t="s">
        <v>49</v>
      </c>
      <c r="J448" t="s">
        <v>1497</v>
      </c>
      <c r="K448" t="s">
        <v>1498</v>
      </c>
      <c r="L448" t="s">
        <v>92</v>
      </c>
      <c r="M448" t="s">
        <v>2639</v>
      </c>
      <c r="N448" t="s">
        <v>1211</v>
      </c>
      <c r="O448" t="s">
        <v>92</v>
      </c>
      <c r="P448" t="s">
        <v>55</v>
      </c>
      <c r="Q448" t="s">
        <v>129</v>
      </c>
      <c r="R448">
        <v>145</v>
      </c>
      <c r="S448">
        <v>0</v>
      </c>
      <c r="T448" t="s">
        <v>56</v>
      </c>
      <c r="U448" t="s">
        <v>42</v>
      </c>
      <c r="V448">
        <v>3.99</v>
      </c>
      <c r="W448">
        <v>2.9</v>
      </c>
      <c r="X448">
        <v>1.5</v>
      </c>
      <c r="Y448">
        <v>23.2</v>
      </c>
      <c r="Z448">
        <v>19</v>
      </c>
      <c r="AA448">
        <f>VALUE(SUBSTITUTE(DACS19___Pfizer’s_Personalised_Medicine_in[[#This Row],[Dose]],"mg",""))</f>
        <v>50</v>
      </c>
      <c r="AB448">
        <f t="shared" si="42"/>
        <v>50</v>
      </c>
      <c r="AC448" t="s">
        <v>129</v>
      </c>
      <c r="AD448">
        <f t="shared" si="43"/>
        <v>4</v>
      </c>
      <c r="AE448">
        <f t="shared" si="44"/>
        <v>2</v>
      </c>
      <c r="AF448">
        <f t="shared" si="45"/>
        <v>2.9</v>
      </c>
      <c r="AG448" t="e">
        <f t="shared" si="46"/>
        <v>#N/A</v>
      </c>
      <c r="AH448" t="e">
        <f t="shared" si="47"/>
        <v>#N/A</v>
      </c>
      <c r="AI448" t="e">
        <f t="shared" si="48"/>
        <v>#N/A</v>
      </c>
    </row>
    <row r="449" spans="1:35" x14ac:dyDescent="0.45">
      <c r="A449" t="s">
        <v>1499</v>
      </c>
      <c r="B449">
        <v>43</v>
      </c>
      <c r="C449" t="s">
        <v>27</v>
      </c>
      <c r="D449" t="s">
        <v>28</v>
      </c>
      <c r="E449" t="s">
        <v>78</v>
      </c>
      <c r="F449" t="s">
        <v>59</v>
      </c>
      <c r="G449" t="s">
        <v>60</v>
      </c>
      <c r="H449" t="s">
        <v>71</v>
      </c>
      <c r="I449" t="s">
        <v>72</v>
      </c>
      <c r="J449" t="s">
        <v>1500</v>
      </c>
      <c r="K449" t="s">
        <v>1501</v>
      </c>
      <c r="L449" t="s">
        <v>52</v>
      </c>
      <c r="M449" t="s">
        <v>75</v>
      </c>
      <c r="N449" t="s">
        <v>513</v>
      </c>
      <c r="O449" t="s">
        <v>52</v>
      </c>
      <c r="P449" t="s">
        <v>110</v>
      </c>
      <c r="Q449" t="s">
        <v>129</v>
      </c>
      <c r="R449">
        <v>82</v>
      </c>
      <c r="S449">
        <v>0</v>
      </c>
      <c r="T449" t="s">
        <v>123</v>
      </c>
      <c r="U449" t="s">
        <v>42</v>
      </c>
      <c r="V449">
        <v>4.1399999999999997</v>
      </c>
      <c r="W449">
        <v>4.97</v>
      </c>
      <c r="X449">
        <v>5.9</v>
      </c>
      <c r="Y449">
        <v>23.3</v>
      </c>
      <c r="Z449">
        <v>4.3</v>
      </c>
      <c r="AA449">
        <f>VALUE(SUBSTITUTE(DACS19___Pfizer’s_Personalised_Medicine_in[[#This Row],[Dose]],"mg",""))</f>
        <v>100</v>
      </c>
      <c r="AB449">
        <f t="shared" si="42"/>
        <v>100</v>
      </c>
      <c r="AC449" t="s">
        <v>129</v>
      </c>
      <c r="AD449">
        <f t="shared" si="43"/>
        <v>4</v>
      </c>
      <c r="AE449">
        <f t="shared" si="44"/>
        <v>1</v>
      </c>
      <c r="AF449" t="e">
        <f t="shared" si="45"/>
        <v>#N/A</v>
      </c>
      <c r="AG449">
        <f t="shared" si="46"/>
        <v>4.97</v>
      </c>
      <c r="AH449" t="e">
        <f t="shared" si="47"/>
        <v>#N/A</v>
      </c>
      <c r="AI449" t="e">
        <f t="shared" si="48"/>
        <v>#N/A</v>
      </c>
    </row>
    <row r="450" spans="1:35" x14ac:dyDescent="0.45">
      <c r="A450" t="s">
        <v>1502</v>
      </c>
      <c r="B450">
        <v>18</v>
      </c>
      <c r="C450" t="s">
        <v>44</v>
      </c>
      <c r="D450" t="s">
        <v>95</v>
      </c>
      <c r="E450" t="s">
        <v>29</v>
      </c>
      <c r="F450" t="s">
        <v>2614</v>
      </c>
      <c r="G450" t="s">
        <v>125</v>
      </c>
      <c r="H450" t="s">
        <v>32</v>
      </c>
      <c r="I450" t="s">
        <v>72</v>
      </c>
      <c r="J450" t="s">
        <v>454</v>
      </c>
      <c r="K450" t="s">
        <v>1503</v>
      </c>
      <c r="L450" t="s">
        <v>36</v>
      </c>
      <c r="M450" t="s">
        <v>2652</v>
      </c>
      <c r="N450" t="s">
        <v>578</v>
      </c>
      <c r="O450" t="s">
        <v>36</v>
      </c>
      <c r="P450" t="s">
        <v>39</v>
      </c>
      <c r="Q450" t="s">
        <v>129</v>
      </c>
      <c r="R450">
        <v>142</v>
      </c>
      <c r="S450">
        <v>1</v>
      </c>
      <c r="T450" t="s">
        <v>56</v>
      </c>
      <c r="U450" t="s">
        <v>57</v>
      </c>
      <c r="V450">
        <v>2.46</v>
      </c>
      <c r="W450">
        <v>1.9</v>
      </c>
      <c r="X450">
        <v>2.8</v>
      </c>
      <c r="Y450">
        <v>8.5</v>
      </c>
      <c r="Z450">
        <v>13.6</v>
      </c>
      <c r="AA450">
        <f>VALUE(SUBSTITUTE(DACS19___Pfizer’s_Personalised_Medicine_in[[#This Row],[Dose]],"mg",""))</f>
        <v>200</v>
      </c>
      <c r="AB450">
        <f t="shared" ref="AB450:AB513" si="49">VALUE(SUBSTITUTE(O450,"mg",""))</f>
        <v>200</v>
      </c>
      <c r="AC450" t="s">
        <v>129</v>
      </c>
      <c r="AD450">
        <f t="shared" ref="AD450:AD513" si="50">IF(Q450="","",IF(Q450="Dizziness",1,IF(Q450="Fatigue",2,IF(Q450="Headache",3,IF(Q450="Nausea",4,IF(Q450="Not Reported",0,""))))))</f>
        <v>4</v>
      </c>
      <c r="AE450">
        <f t="shared" ref="AE450:AE513" si="51">IF(P450="Deteriorated",1,IF(P450="No Change",2,IF(P450="Improved",3,0)))</f>
        <v>3</v>
      </c>
      <c r="AF450" t="e">
        <f t="shared" ref="AF450:AF513" si="52">IF($H450="DrugA",$W450,NA())</f>
        <v>#N/A</v>
      </c>
      <c r="AG450" t="e">
        <f t="shared" ref="AG450:AG513" si="53">IF($H450="DrugB",$W450,NA())</f>
        <v>#N/A</v>
      </c>
      <c r="AH450">
        <f t="shared" ref="AH450:AH513" si="54">IF($H450="DrugC",$W450,NA())</f>
        <v>1.9</v>
      </c>
      <c r="AI450" t="e">
        <f t="shared" ref="AI450:AI513" si="55">IF($H450="DrugD",$W450,NA())</f>
        <v>#N/A</v>
      </c>
    </row>
    <row r="451" spans="1:35" x14ac:dyDescent="0.45">
      <c r="A451" t="s">
        <v>1504</v>
      </c>
      <c r="B451">
        <v>27</v>
      </c>
      <c r="C451" t="s">
        <v>45</v>
      </c>
      <c r="D451" t="s">
        <v>87</v>
      </c>
      <c r="E451" t="s">
        <v>46</v>
      </c>
      <c r="F451" t="s">
        <v>2614</v>
      </c>
      <c r="G451" t="s">
        <v>276</v>
      </c>
      <c r="H451" t="s">
        <v>61</v>
      </c>
      <c r="I451" t="s">
        <v>49</v>
      </c>
      <c r="J451" t="s">
        <v>1505</v>
      </c>
      <c r="K451" t="s">
        <v>1089</v>
      </c>
      <c r="L451" t="s">
        <v>64</v>
      </c>
      <c r="M451" t="s">
        <v>67</v>
      </c>
      <c r="N451" t="s">
        <v>198</v>
      </c>
      <c r="O451" t="s">
        <v>64</v>
      </c>
      <c r="P451" t="s">
        <v>55</v>
      </c>
      <c r="Q451" t="s">
        <v>40</v>
      </c>
      <c r="R451">
        <v>121</v>
      </c>
      <c r="S451">
        <v>0</v>
      </c>
      <c r="T451" t="s">
        <v>123</v>
      </c>
      <c r="U451" t="s">
        <v>42</v>
      </c>
      <c r="V451">
        <v>4.13</v>
      </c>
      <c r="W451">
        <v>3.31</v>
      </c>
      <c r="X451">
        <v>2.2999999999999998</v>
      </c>
      <c r="Y451">
        <v>20.6</v>
      </c>
      <c r="Z451">
        <v>13.8</v>
      </c>
      <c r="AA451">
        <f>VALUE(SUBSTITUTE(DACS19___Pfizer’s_Personalised_Medicine_in[[#This Row],[Dose]],"mg",""))</f>
        <v>150</v>
      </c>
      <c r="AB451">
        <f t="shared" si="49"/>
        <v>150</v>
      </c>
      <c r="AC451" t="s">
        <v>40</v>
      </c>
      <c r="AD451">
        <f t="shared" si="50"/>
        <v>3</v>
      </c>
      <c r="AE451">
        <f t="shared" si="51"/>
        <v>2</v>
      </c>
      <c r="AF451">
        <f t="shared" si="52"/>
        <v>3.31</v>
      </c>
      <c r="AG451" t="e">
        <f t="shared" si="53"/>
        <v>#N/A</v>
      </c>
      <c r="AH451" t="e">
        <f t="shared" si="54"/>
        <v>#N/A</v>
      </c>
      <c r="AI451" t="e">
        <f t="shared" si="55"/>
        <v>#N/A</v>
      </c>
    </row>
    <row r="452" spans="1:35" x14ac:dyDescent="0.45">
      <c r="A452" t="s">
        <v>1506</v>
      </c>
      <c r="B452">
        <v>54</v>
      </c>
      <c r="C452" t="s">
        <v>27</v>
      </c>
      <c r="D452" t="s">
        <v>45</v>
      </c>
      <c r="E452" t="s">
        <v>29</v>
      </c>
      <c r="F452" t="s">
        <v>69</v>
      </c>
      <c r="G452" t="s">
        <v>152</v>
      </c>
      <c r="H452" t="s">
        <v>32</v>
      </c>
      <c r="I452" t="s">
        <v>33</v>
      </c>
      <c r="J452" t="s">
        <v>1507</v>
      </c>
      <c r="K452" t="s">
        <v>1508</v>
      </c>
      <c r="L452" t="s">
        <v>92</v>
      </c>
      <c r="M452" t="s">
        <v>2637</v>
      </c>
      <c r="N452" t="s">
        <v>769</v>
      </c>
      <c r="O452" t="s">
        <v>92</v>
      </c>
      <c r="P452" t="s">
        <v>39</v>
      </c>
      <c r="Q452" t="s">
        <v>2614</v>
      </c>
      <c r="R452">
        <v>137</v>
      </c>
      <c r="S452">
        <v>1</v>
      </c>
      <c r="T452" t="s">
        <v>137</v>
      </c>
      <c r="U452" t="s">
        <v>42</v>
      </c>
      <c r="V452">
        <v>2.5499999999999998</v>
      </c>
      <c r="W452">
        <v>3.7</v>
      </c>
      <c r="X452">
        <v>3.3</v>
      </c>
      <c r="Y452">
        <v>12.2</v>
      </c>
      <c r="Z452">
        <v>18.600000000000001</v>
      </c>
      <c r="AA452">
        <f>VALUE(SUBSTITUTE(DACS19___Pfizer’s_Personalised_Medicine_in[[#This Row],[Dose]],"mg",""))</f>
        <v>50</v>
      </c>
      <c r="AB452">
        <f t="shared" si="49"/>
        <v>50</v>
      </c>
      <c r="AC452" t="s">
        <v>2614</v>
      </c>
      <c r="AD452">
        <f t="shared" si="50"/>
        <v>0</v>
      </c>
      <c r="AE452">
        <f t="shared" si="51"/>
        <v>3</v>
      </c>
      <c r="AF452" t="e">
        <f t="shared" si="52"/>
        <v>#N/A</v>
      </c>
      <c r="AG452" t="e">
        <f t="shared" si="53"/>
        <v>#N/A</v>
      </c>
      <c r="AH452">
        <f t="shared" si="54"/>
        <v>3.7</v>
      </c>
      <c r="AI452" t="e">
        <f t="shared" si="55"/>
        <v>#N/A</v>
      </c>
    </row>
    <row r="453" spans="1:35" x14ac:dyDescent="0.45">
      <c r="A453" t="s">
        <v>1509</v>
      </c>
      <c r="B453">
        <v>60</v>
      </c>
      <c r="C453" t="s">
        <v>27</v>
      </c>
      <c r="D453" t="s">
        <v>106</v>
      </c>
      <c r="E453" t="s">
        <v>46</v>
      </c>
      <c r="F453" t="s">
        <v>2614</v>
      </c>
      <c r="G453" t="s">
        <v>31</v>
      </c>
      <c r="H453" t="s">
        <v>61</v>
      </c>
      <c r="I453" t="s">
        <v>72</v>
      </c>
      <c r="J453" t="s">
        <v>368</v>
      </c>
      <c r="K453" t="s">
        <v>1151</v>
      </c>
      <c r="L453" t="s">
        <v>92</v>
      </c>
      <c r="M453" t="s">
        <v>135</v>
      </c>
      <c r="N453" t="s">
        <v>1115</v>
      </c>
      <c r="O453" t="s">
        <v>92</v>
      </c>
      <c r="P453" t="s">
        <v>110</v>
      </c>
      <c r="Q453" t="s">
        <v>75</v>
      </c>
      <c r="R453">
        <v>50</v>
      </c>
      <c r="S453">
        <v>0</v>
      </c>
      <c r="T453" t="s">
        <v>85</v>
      </c>
      <c r="U453" t="s">
        <v>57</v>
      </c>
      <c r="V453">
        <v>2.16</v>
      </c>
      <c r="W453">
        <v>2.88</v>
      </c>
      <c r="X453">
        <v>9</v>
      </c>
      <c r="Y453">
        <v>18.7</v>
      </c>
      <c r="Z453">
        <v>4.0999999999999996</v>
      </c>
      <c r="AA453">
        <f>VALUE(SUBSTITUTE(DACS19___Pfizer’s_Personalised_Medicine_in[[#This Row],[Dose]],"mg",""))</f>
        <v>50</v>
      </c>
      <c r="AB453">
        <f t="shared" si="49"/>
        <v>50</v>
      </c>
      <c r="AC453" t="s">
        <v>75</v>
      </c>
      <c r="AD453">
        <f t="shared" si="50"/>
        <v>1</v>
      </c>
      <c r="AE453">
        <f t="shared" si="51"/>
        <v>1</v>
      </c>
      <c r="AF453">
        <f t="shared" si="52"/>
        <v>2.88</v>
      </c>
      <c r="AG453" t="e">
        <f t="shared" si="53"/>
        <v>#N/A</v>
      </c>
      <c r="AH453" t="e">
        <f t="shared" si="54"/>
        <v>#N/A</v>
      </c>
      <c r="AI453" t="e">
        <f t="shared" si="55"/>
        <v>#N/A</v>
      </c>
    </row>
    <row r="454" spans="1:35" x14ac:dyDescent="0.45">
      <c r="A454" t="s">
        <v>1510</v>
      </c>
      <c r="B454">
        <v>34</v>
      </c>
      <c r="C454" t="s">
        <v>44</v>
      </c>
      <c r="D454" t="s">
        <v>87</v>
      </c>
      <c r="E454" t="s">
        <v>163</v>
      </c>
      <c r="F454" t="s">
        <v>69</v>
      </c>
      <c r="G454" t="s">
        <v>60</v>
      </c>
      <c r="H454" t="s">
        <v>32</v>
      </c>
      <c r="I454" t="s">
        <v>33</v>
      </c>
      <c r="J454" t="s">
        <v>1511</v>
      </c>
      <c r="K454" t="s">
        <v>273</v>
      </c>
      <c r="L454" t="s">
        <v>92</v>
      </c>
      <c r="M454" t="s">
        <v>129</v>
      </c>
      <c r="N454" t="s">
        <v>1460</v>
      </c>
      <c r="O454" t="s">
        <v>92</v>
      </c>
      <c r="P454" t="s">
        <v>39</v>
      </c>
      <c r="Q454" t="s">
        <v>75</v>
      </c>
      <c r="R454">
        <v>127</v>
      </c>
      <c r="S454">
        <v>1</v>
      </c>
      <c r="T454" t="s">
        <v>123</v>
      </c>
      <c r="U454" t="s">
        <v>57</v>
      </c>
      <c r="V454">
        <v>1.59</v>
      </c>
      <c r="W454">
        <v>1.03</v>
      </c>
      <c r="X454">
        <v>6.7</v>
      </c>
      <c r="Y454">
        <v>14.1</v>
      </c>
      <c r="Z454">
        <v>5.3</v>
      </c>
      <c r="AA454">
        <f>VALUE(SUBSTITUTE(DACS19___Pfizer’s_Personalised_Medicine_in[[#This Row],[Dose]],"mg",""))</f>
        <v>50</v>
      </c>
      <c r="AB454">
        <f t="shared" si="49"/>
        <v>50</v>
      </c>
      <c r="AC454" t="s">
        <v>75</v>
      </c>
      <c r="AD454">
        <f t="shared" si="50"/>
        <v>1</v>
      </c>
      <c r="AE454">
        <f t="shared" si="51"/>
        <v>3</v>
      </c>
      <c r="AF454" t="e">
        <f t="shared" si="52"/>
        <v>#N/A</v>
      </c>
      <c r="AG454" t="e">
        <f t="shared" si="53"/>
        <v>#N/A</v>
      </c>
      <c r="AH454">
        <f t="shared" si="54"/>
        <v>1.03</v>
      </c>
      <c r="AI454" t="e">
        <f t="shared" si="55"/>
        <v>#N/A</v>
      </c>
    </row>
    <row r="455" spans="1:35" x14ac:dyDescent="0.45">
      <c r="A455" t="s">
        <v>1512</v>
      </c>
      <c r="B455">
        <v>24</v>
      </c>
      <c r="C455" t="s">
        <v>44</v>
      </c>
      <c r="D455" t="s">
        <v>95</v>
      </c>
      <c r="E455" t="s">
        <v>46</v>
      </c>
      <c r="F455" t="s">
        <v>47</v>
      </c>
      <c r="G455" t="s">
        <v>178</v>
      </c>
      <c r="H455" t="s">
        <v>71</v>
      </c>
      <c r="I455" t="s">
        <v>49</v>
      </c>
      <c r="J455" t="s">
        <v>1301</v>
      </c>
      <c r="K455" t="s">
        <v>1513</v>
      </c>
      <c r="L455" t="s">
        <v>64</v>
      </c>
      <c r="M455" t="s">
        <v>2614</v>
      </c>
      <c r="N455" t="s">
        <v>1514</v>
      </c>
      <c r="O455" t="s">
        <v>64</v>
      </c>
      <c r="P455" t="s">
        <v>39</v>
      </c>
      <c r="Q455" t="s">
        <v>67</v>
      </c>
      <c r="R455">
        <v>89</v>
      </c>
      <c r="S455">
        <v>1</v>
      </c>
      <c r="T455" t="s">
        <v>123</v>
      </c>
      <c r="U455" t="s">
        <v>42</v>
      </c>
      <c r="V455">
        <v>4.83</v>
      </c>
      <c r="W455">
        <v>3.12</v>
      </c>
      <c r="X455">
        <v>3.2</v>
      </c>
      <c r="Y455">
        <v>15</v>
      </c>
      <c r="Z455">
        <v>14.6</v>
      </c>
      <c r="AA455">
        <f>VALUE(SUBSTITUTE(DACS19___Pfizer’s_Personalised_Medicine_in[[#This Row],[Dose]],"mg",""))</f>
        <v>150</v>
      </c>
      <c r="AB455">
        <f t="shared" si="49"/>
        <v>150</v>
      </c>
      <c r="AC455" t="s">
        <v>67</v>
      </c>
      <c r="AD455">
        <f t="shared" si="50"/>
        <v>2</v>
      </c>
      <c r="AE455">
        <f t="shared" si="51"/>
        <v>3</v>
      </c>
      <c r="AF455" t="e">
        <f t="shared" si="52"/>
        <v>#N/A</v>
      </c>
      <c r="AG455">
        <f t="shared" si="53"/>
        <v>3.12</v>
      </c>
      <c r="AH455" t="e">
        <f t="shared" si="54"/>
        <v>#N/A</v>
      </c>
      <c r="AI455" t="e">
        <f t="shared" si="55"/>
        <v>#N/A</v>
      </c>
    </row>
    <row r="456" spans="1:35" x14ac:dyDescent="0.45">
      <c r="A456" t="s">
        <v>1515</v>
      </c>
      <c r="B456">
        <v>47</v>
      </c>
      <c r="C456" t="s">
        <v>44</v>
      </c>
      <c r="D456" t="s">
        <v>45</v>
      </c>
      <c r="E456" t="s">
        <v>29</v>
      </c>
      <c r="F456" t="s">
        <v>88</v>
      </c>
      <c r="G456" t="s">
        <v>60</v>
      </c>
      <c r="H456" t="s">
        <v>61</v>
      </c>
      <c r="I456" t="s">
        <v>49</v>
      </c>
      <c r="J456" t="s">
        <v>320</v>
      </c>
      <c r="K456" t="s">
        <v>1516</v>
      </c>
      <c r="L456" t="s">
        <v>64</v>
      </c>
      <c r="M456" t="s">
        <v>2614</v>
      </c>
      <c r="N456" t="s">
        <v>954</v>
      </c>
      <c r="O456" t="s">
        <v>64</v>
      </c>
      <c r="P456" t="s">
        <v>110</v>
      </c>
      <c r="Q456" t="s">
        <v>67</v>
      </c>
      <c r="R456">
        <v>104</v>
      </c>
      <c r="S456">
        <v>0</v>
      </c>
      <c r="T456" t="s">
        <v>41</v>
      </c>
      <c r="U456" t="s">
        <v>57</v>
      </c>
      <c r="V456">
        <v>1.3</v>
      </c>
      <c r="W456">
        <v>2.1</v>
      </c>
      <c r="X456">
        <v>8.3000000000000007</v>
      </c>
      <c r="Y456">
        <v>14.3</v>
      </c>
      <c r="Z456">
        <v>12.3</v>
      </c>
      <c r="AA456">
        <f>VALUE(SUBSTITUTE(DACS19___Pfizer’s_Personalised_Medicine_in[[#This Row],[Dose]],"mg",""))</f>
        <v>150</v>
      </c>
      <c r="AB456">
        <f t="shared" si="49"/>
        <v>150</v>
      </c>
      <c r="AC456" t="s">
        <v>67</v>
      </c>
      <c r="AD456">
        <f t="shared" si="50"/>
        <v>2</v>
      </c>
      <c r="AE456">
        <f t="shared" si="51"/>
        <v>1</v>
      </c>
      <c r="AF456">
        <f t="shared" si="52"/>
        <v>2.1</v>
      </c>
      <c r="AG456" t="e">
        <f t="shared" si="53"/>
        <v>#N/A</v>
      </c>
      <c r="AH456" t="e">
        <f t="shared" si="54"/>
        <v>#N/A</v>
      </c>
      <c r="AI456" t="e">
        <f t="shared" si="55"/>
        <v>#N/A</v>
      </c>
    </row>
    <row r="457" spans="1:35" x14ac:dyDescent="0.45">
      <c r="A457" t="s">
        <v>1517</v>
      </c>
      <c r="B457">
        <v>79</v>
      </c>
      <c r="C457" t="s">
        <v>45</v>
      </c>
      <c r="D457" t="s">
        <v>87</v>
      </c>
      <c r="E457" t="s">
        <v>163</v>
      </c>
      <c r="F457" t="s">
        <v>69</v>
      </c>
      <c r="G457" t="s">
        <v>89</v>
      </c>
      <c r="H457" t="s">
        <v>81</v>
      </c>
      <c r="I457" t="s">
        <v>132</v>
      </c>
      <c r="J457" t="s">
        <v>1518</v>
      </c>
      <c r="K457" t="s">
        <v>1519</v>
      </c>
      <c r="L457" t="s">
        <v>64</v>
      </c>
      <c r="M457" t="s">
        <v>2645</v>
      </c>
      <c r="N457" t="s">
        <v>1025</v>
      </c>
      <c r="O457" t="s">
        <v>64</v>
      </c>
      <c r="P457" t="s">
        <v>55</v>
      </c>
      <c r="Q457" t="s">
        <v>75</v>
      </c>
      <c r="R457">
        <v>158</v>
      </c>
      <c r="S457">
        <v>0</v>
      </c>
      <c r="T457" t="s">
        <v>123</v>
      </c>
      <c r="U457" t="s">
        <v>42</v>
      </c>
      <c r="V457">
        <v>2.73</v>
      </c>
      <c r="W457">
        <v>1.18</v>
      </c>
      <c r="X457">
        <v>2.5</v>
      </c>
      <c r="Y457">
        <v>14</v>
      </c>
      <c r="Z457">
        <v>6.6</v>
      </c>
      <c r="AA457">
        <f>VALUE(SUBSTITUTE(DACS19___Pfizer’s_Personalised_Medicine_in[[#This Row],[Dose]],"mg",""))</f>
        <v>150</v>
      </c>
      <c r="AB457">
        <f t="shared" si="49"/>
        <v>150</v>
      </c>
      <c r="AC457" t="s">
        <v>75</v>
      </c>
      <c r="AD457">
        <f t="shared" si="50"/>
        <v>1</v>
      </c>
      <c r="AE457">
        <f t="shared" si="51"/>
        <v>2</v>
      </c>
      <c r="AF457" t="e">
        <f t="shared" si="52"/>
        <v>#N/A</v>
      </c>
      <c r="AG457" t="e">
        <f t="shared" si="53"/>
        <v>#N/A</v>
      </c>
      <c r="AH457" t="e">
        <f t="shared" si="54"/>
        <v>#N/A</v>
      </c>
      <c r="AI457">
        <f t="shared" si="55"/>
        <v>1.18</v>
      </c>
    </row>
    <row r="458" spans="1:35" x14ac:dyDescent="0.45">
      <c r="A458" t="s">
        <v>1520</v>
      </c>
      <c r="B458">
        <v>62</v>
      </c>
      <c r="C458" t="s">
        <v>44</v>
      </c>
      <c r="D458" t="s">
        <v>45</v>
      </c>
      <c r="E458" t="s">
        <v>78</v>
      </c>
      <c r="F458" t="s">
        <v>79</v>
      </c>
      <c r="G458" t="s">
        <v>96</v>
      </c>
      <c r="H458" t="s">
        <v>71</v>
      </c>
      <c r="I458" t="s">
        <v>132</v>
      </c>
      <c r="J458" t="s">
        <v>278</v>
      </c>
      <c r="K458" t="s">
        <v>1385</v>
      </c>
      <c r="L458" t="s">
        <v>52</v>
      </c>
      <c r="M458" t="s">
        <v>67</v>
      </c>
      <c r="N458" t="s">
        <v>156</v>
      </c>
      <c r="O458" t="s">
        <v>52</v>
      </c>
      <c r="P458" t="s">
        <v>55</v>
      </c>
      <c r="Q458" t="s">
        <v>40</v>
      </c>
      <c r="R458">
        <v>59</v>
      </c>
      <c r="S458">
        <v>0</v>
      </c>
      <c r="T458" t="s">
        <v>123</v>
      </c>
      <c r="U458" t="s">
        <v>57</v>
      </c>
      <c r="V458">
        <v>1.2</v>
      </c>
      <c r="W458">
        <v>4.37</v>
      </c>
      <c r="X458">
        <v>9.8000000000000007</v>
      </c>
      <c r="Y458">
        <v>20.3</v>
      </c>
      <c r="Z458">
        <v>17.5</v>
      </c>
      <c r="AA458">
        <f>VALUE(SUBSTITUTE(DACS19___Pfizer’s_Personalised_Medicine_in[[#This Row],[Dose]],"mg",""))</f>
        <v>100</v>
      </c>
      <c r="AB458">
        <f t="shared" si="49"/>
        <v>100</v>
      </c>
      <c r="AC458" t="s">
        <v>40</v>
      </c>
      <c r="AD458">
        <f t="shared" si="50"/>
        <v>3</v>
      </c>
      <c r="AE458">
        <f t="shared" si="51"/>
        <v>2</v>
      </c>
      <c r="AF458" t="e">
        <f t="shared" si="52"/>
        <v>#N/A</v>
      </c>
      <c r="AG458">
        <f t="shared" si="53"/>
        <v>4.37</v>
      </c>
      <c r="AH458" t="e">
        <f t="shared" si="54"/>
        <v>#N/A</v>
      </c>
      <c r="AI458" t="e">
        <f t="shared" si="55"/>
        <v>#N/A</v>
      </c>
    </row>
    <row r="459" spans="1:35" x14ac:dyDescent="0.45">
      <c r="A459" t="s">
        <v>1521</v>
      </c>
      <c r="B459">
        <v>22</v>
      </c>
      <c r="C459" t="s">
        <v>44</v>
      </c>
      <c r="D459" t="s">
        <v>28</v>
      </c>
      <c r="E459" t="s">
        <v>29</v>
      </c>
      <c r="F459" t="s">
        <v>88</v>
      </c>
      <c r="G459" t="s">
        <v>118</v>
      </c>
      <c r="H459" t="s">
        <v>32</v>
      </c>
      <c r="I459" t="s">
        <v>33</v>
      </c>
      <c r="J459" t="s">
        <v>1522</v>
      </c>
      <c r="K459" t="s">
        <v>1523</v>
      </c>
      <c r="L459" t="s">
        <v>36</v>
      </c>
      <c r="M459" t="s">
        <v>274</v>
      </c>
      <c r="N459" t="s">
        <v>1204</v>
      </c>
      <c r="O459" t="s">
        <v>36</v>
      </c>
      <c r="P459" t="s">
        <v>55</v>
      </c>
      <c r="Q459" t="s">
        <v>67</v>
      </c>
      <c r="R459">
        <v>140</v>
      </c>
      <c r="S459">
        <v>0</v>
      </c>
      <c r="T459" t="s">
        <v>85</v>
      </c>
      <c r="U459" t="s">
        <v>42</v>
      </c>
      <c r="V459">
        <v>1.97</v>
      </c>
      <c r="W459">
        <v>4.84</v>
      </c>
      <c r="X459">
        <v>2.8</v>
      </c>
      <c r="Y459">
        <v>23.1</v>
      </c>
      <c r="Z459">
        <v>19.899999999999999</v>
      </c>
      <c r="AA459">
        <f>VALUE(SUBSTITUTE(DACS19___Pfizer’s_Personalised_Medicine_in[[#This Row],[Dose]],"mg",""))</f>
        <v>200</v>
      </c>
      <c r="AB459">
        <f t="shared" si="49"/>
        <v>200</v>
      </c>
      <c r="AC459" t="s">
        <v>67</v>
      </c>
      <c r="AD459">
        <f t="shared" si="50"/>
        <v>2</v>
      </c>
      <c r="AE459">
        <f t="shared" si="51"/>
        <v>2</v>
      </c>
      <c r="AF459" t="e">
        <f t="shared" si="52"/>
        <v>#N/A</v>
      </c>
      <c r="AG459" t="e">
        <f t="shared" si="53"/>
        <v>#N/A</v>
      </c>
      <c r="AH459">
        <f t="shared" si="54"/>
        <v>4.84</v>
      </c>
      <c r="AI459" t="e">
        <f t="shared" si="55"/>
        <v>#N/A</v>
      </c>
    </row>
    <row r="460" spans="1:35" x14ac:dyDescent="0.45">
      <c r="A460" t="s">
        <v>1524</v>
      </c>
      <c r="B460">
        <v>57</v>
      </c>
      <c r="C460" t="s">
        <v>27</v>
      </c>
      <c r="D460" t="s">
        <v>45</v>
      </c>
      <c r="E460" t="s">
        <v>2614</v>
      </c>
      <c r="F460" t="s">
        <v>2614</v>
      </c>
      <c r="G460" t="s">
        <v>152</v>
      </c>
      <c r="H460" t="s">
        <v>32</v>
      </c>
      <c r="I460" t="s">
        <v>132</v>
      </c>
      <c r="J460" t="s">
        <v>629</v>
      </c>
      <c r="K460" t="s">
        <v>1525</v>
      </c>
      <c r="L460" t="s">
        <v>64</v>
      </c>
      <c r="M460" t="s">
        <v>1526</v>
      </c>
      <c r="N460" t="s">
        <v>1215</v>
      </c>
      <c r="O460" t="s">
        <v>64</v>
      </c>
      <c r="P460" t="s">
        <v>110</v>
      </c>
      <c r="Q460" t="s">
        <v>129</v>
      </c>
      <c r="R460">
        <v>57</v>
      </c>
      <c r="S460">
        <v>0</v>
      </c>
      <c r="T460" t="s">
        <v>85</v>
      </c>
      <c r="U460" t="s">
        <v>57</v>
      </c>
      <c r="V460">
        <v>3.85</v>
      </c>
      <c r="W460">
        <v>4.92</v>
      </c>
      <c r="X460">
        <v>6.1</v>
      </c>
      <c r="Y460">
        <v>10.7</v>
      </c>
      <c r="Z460">
        <v>10.4</v>
      </c>
      <c r="AA460">
        <f>VALUE(SUBSTITUTE(DACS19___Pfizer’s_Personalised_Medicine_in[[#This Row],[Dose]],"mg",""))</f>
        <v>150</v>
      </c>
      <c r="AB460">
        <f t="shared" si="49"/>
        <v>150</v>
      </c>
      <c r="AC460" t="s">
        <v>129</v>
      </c>
      <c r="AD460">
        <f t="shared" si="50"/>
        <v>4</v>
      </c>
      <c r="AE460">
        <f t="shared" si="51"/>
        <v>1</v>
      </c>
      <c r="AF460" t="e">
        <f t="shared" si="52"/>
        <v>#N/A</v>
      </c>
      <c r="AG460" t="e">
        <f t="shared" si="53"/>
        <v>#N/A</v>
      </c>
      <c r="AH460">
        <f t="shared" si="54"/>
        <v>4.92</v>
      </c>
      <c r="AI460" t="e">
        <f t="shared" si="55"/>
        <v>#N/A</v>
      </c>
    </row>
    <row r="461" spans="1:35" x14ac:dyDescent="0.45">
      <c r="A461" t="s">
        <v>1527</v>
      </c>
      <c r="B461">
        <v>54</v>
      </c>
      <c r="C461" t="s">
        <v>45</v>
      </c>
      <c r="D461" t="s">
        <v>95</v>
      </c>
      <c r="E461" t="s">
        <v>78</v>
      </c>
      <c r="F461" t="s">
        <v>2614</v>
      </c>
      <c r="G461" t="s">
        <v>80</v>
      </c>
      <c r="H461" t="s">
        <v>32</v>
      </c>
      <c r="I461" t="s">
        <v>72</v>
      </c>
      <c r="J461" t="s">
        <v>1528</v>
      </c>
      <c r="K461" t="s">
        <v>1529</v>
      </c>
      <c r="L461" t="s">
        <v>52</v>
      </c>
      <c r="M461" t="s">
        <v>2614</v>
      </c>
      <c r="N461" t="s">
        <v>654</v>
      </c>
      <c r="O461" t="s">
        <v>52</v>
      </c>
      <c r="P461" t="s">
        <v>55</v>
      </c>
      <c r="Q461" t="s">
        <v>129</v>
      </c>
      <c r="R461">
        <v>93</v>
      </c>
      <c r="S461">
        <v>0</v>
      </c>
      <c r="T461" t="s">
        <v>85</v>
      </c>
      <c r="U461" t="s">
        <v>57</v>
      </c>
      <c r="V461">
        <v>3.37</v>
      </c>
      <c r="W461">
        <v>1.29</v>
      </c>
      <c r="X461">
        <v>6.6</v>
      </c>
      <c r="Y461">
        <v>23.7</v>
      </c>
      <c r="Z461">
        <v>6.2</v>
      </c>
      <c r="AA461">
        <f>VALUE(SUBSTITUTE(DACS19___Pfizer’s_Personalised_Medicine_in[[#This Row],[Dose]],"mg",""))</f>
        <v>100</v>
      </c>
      <c r="AB461">
        <f t="shared" si="49"/>
        <v>100</v>
      </c>
      <c r="AC461" t="s">
        <v>129</v>
      </c>
      <c r="AD461">
        <f t="shared" si="50"/>
        <v>4</v>
      </c>
      <c r="AE461">
        <f t="shared" si="51"/>
        <v>2</v>
      </c>
      <c r="AF461" t="e">
        <f t="shared" si="52"/>
        <v>#N/A</v>
      </c>
      <c r="AG461" t="e">
        <f t="shared" si="53"/>
        <v>#N/A</v>
      </c>
      <c r="AH461">
        <f t="shared" si="54"/>
        <v>1.29</v>
      </c>
      <c r="AI461" t="e">
        <f t="shared" si="55"/>
        <v>#N/A</v>
      </c>
    </row>
    <row r="462" spans="1:35" x14ac:dyDescent="0.45">
      <c r="A462" t="s">
        <v>1530</v>
      </c>
      <c r="B462">
        <v>61</v>
      </c>
      <c r="C462" t="s">
        <v>45</v>
      </c>
      <c r="D462" t="s">
        <v>95</v>
      </c>
      <c r="E462" t="s">
        <v>163</v>
      </c>
      <c r="F462" t="s">
        <v>2614</v>
      </c>
      <c r="G462" t="s">
        <v>194</v>
      </c>
      <c r="H462" t="s">
        <v>32</v>
      </c>
      <c r="I462" t="s">
        <v>132</v>
      </c>
      <c r="J462" t="s">
        <v>744</v>
      </c>
      <c r="K462" t="s">
        <v>1498</v>
      </c>
      <c r="L462" t="s">
        <v>64</v>
      </c>
      <c r="M462" t="s">
        <v>469</v>
      </c>
      <c r="N462" t="s">
        <v>971</v>
      </c>
      <c r="O462" t="s">
        <v>64</v>
      </c>
      <c r="P462" t="s">
        <v>39</v>
      </c>
      <c r="Q462" t="s">
        <v>40</v>
      </c>
      <c r="R462">
        <v>32</v>
      </c>
      <c r="S462">
        <v>1</v>
      </c>
      <c r="T462" t="s">
        <v>56</v>
      </c>
      <c r="U462" t="s">
        <v>42</v>
      </c>
      <c r="V462">
        <v>4.17</v>
      </c>
      <c r="W462">
        <v>4.63</v>
      </c>
      <c r="X462">
        <v>9.5</v>
      </c>
      <c r="Y462">
        <v>23.3</v>
      </c>
      <c r="Z462">
        <v>11.9</v>
      </c>
      <c r="AA462">
        <f>VALUE(SUBSTITUTE(DACS19___Pfizer’s_Personalised_Medicine_in[[#This Row],[Dose]],"mg",""))</f>
        <v>150</v>
      </c>
      <c r="AB462">
        <f t="shared" si="49"/>
        <v>150</v>
      </c>
      <c r="AC462" t="s">
        <v>40</v>
      </c>
      <c r="AD462">
        <f t="shared" si="50"/>
        <v>3</v>
      </c>
      <c r="AE462">
        <f t="shared" si="51"/>
        <v>3</v>
      </c>
      <c r="AF462" t="e">
        <f t="shared" si="52"/>
        <v>#N/A</v>
      </c>
      <c r="AG462" t="e">
        <f t="shared" si="53"/>
        <v>#N/A</v>
      </c>
      <c r="AH462">
        <f t="shared" si="54"/>
        <v>4.63</v>
      </c>
      <c r="AI462" t="e">
        <f t="shared" si="55"/>
        <v>#N/A</v>
      </c>
    </row>
    <row r="463" spans="1:35" x14ac:dyDescent="0.45">
      <c r="A463" t="s">
        <v>1531</v>
      </c>
      <c r="B463">
        <v>63</v>
      </c>
      <c r="C463" t="s">
        <v>44</v>
      </c>
      <c r="D463" t="s">
        <v>45</v>
      </c>
      <c r="E463" t="s">
        <v>46</v>
      </c>
      <c r="F463" t="s">
        <v>69</v>
      </c>
      <c r="G463" t="s">
        <v>125</v>
      </c>
      <c r="H463" t="s">
        <v>32</v>
      </c>
      <c r="I463" t="s">
        <v>132</v>
      </c>
      <c r="J463" t="s">
        <v>1423</v>
      </c>
      <c r="K463" t="s">
        <v>1532</v>
      </c>
      <c r="L463" t="s">
        <v>64</v>
      </c>
      <c r="M463" t="s">
        <v>1291</v>
      </c>
      <c r="N463" t="s">
        <v>267</v>
      </c>
      <c r="O463" t="s">
        <v>64</v>
      </c>
      <c r="P463" t="s">
        <v>110</v>
      </c>
      <c r="Q463" t="s">
        <v>67</v>
      </c>
      <c r="R463">
        <v>67</v>
      </c>
      <c r="S463">
        <v>0</v>
      </c>
      <c r="T463" t="s">
        <v>85</v>
      </c>
      <c r="U463" t="s">
        <v>42</v>
      </c>
      <c r="V463">
        <v>4.91</v>
      </c>
      <c r="W463">
        <v>4.03</v>
      </c>
      <c r="X463">
        <v>2.5</v>
      </c>
      <c r="Y463">
        <v>14.6</v>
      </c>
      <c r="Z463">
        <v>15.2</v>
      </c>
      <c r="AA463">
        <f>VALUE(SUBSTITUTE(DACS19___Pfizer’s_Personalised_Medicine_in[[#This Row],[Dose]],"mg",""))</f>
        <v>150</v>
      </c>
      <c r="AB463">
        <f t="shared" si="49"/>
        <v>150</v>
      </c>
      <c r="AC463" t="s">
        <v>67</v>
      </c>
      <c r="AD463">
        <f t="shared" si="50"/>
        <v>2</v>
      </c>
      <c r="AE463">
        <f t="shared" si="51"/>
        <v>1</v>
      </c>
      <c r="AF463" t="e">
        <f t="shared" si="52"/>
        <v>#N/A</v>
      </c>
      <c r="AG463" t="e">
        <f t="shared" si="53"/>
        <v>#N/A</v>
      </c>
      <c r="AH463">
        <f t="shared" si="54"/>
        <v>4.03</v>
      </c>
      <c r="AI463" t="e">
        <f t="shared" si="55"/>
        <v>#N/A</v>
      </c>
    </row>
    <row r="464" spans="1:35" x14ac:dyDescent="0.45">
      <c r="A464" t="s">
        <v>1533</v>
      </c>
      <c r="B464">
        <v>47</v>
      </c>
      <c r="C464" t="s">
        <v>27</v>
      </c>
      <c r="D464" t="s">
        <v>87</v>
      </c>
      <c r="E464" t="s">
        <v>46</v>
      </c>
      <c r="F464" t="s">
        <v>2614</v>
      </c>
      <c r="G464" t="s">
        <v>440</v>
      </c>
      <c r="H464" t="s">
        <v>32</v>
      </c>
      <c r="I464" t="s">
        <v>49</v>
      </c>
      <c r="J464" t="s">
        <v>782</v>
      </c>
      <c r="K464" t="s">
        <v>1534</v>
      </c>
      <c r="L464" t="s">
        <v>64</v>
      </c>
      <c r="M464" t="s">
        <v>2629</v>
      </c>
      <c r="N464" t="s">
        <v>1074</v>
      </c>
      <c r="O464" t="s">
        <v>64</v>
      </c>
      <c r="P464" t="s">
        <v>110</v>
      </c>
      <c r="Q464" t="s">
        <v>129</v>
      </c>
      <c r="R464">
        <v>90</v>
      </c>
      <c r="S464">
        <v>0</v>
      </c>
      <c r="T464" t="s">
        <v>137</v>
      </c>
      <c r="U464" t="s">
        <v>42</v>
      </c>
      <c r="V464">
        <v>1.99</v>
      </c>
      <c r="W464">
        <v>3.56</v>
      </c>
      <c r="X464">
        <v>7</v>
      </c>
      <c r="Y464">
        <v>8.9</v>
      </c>
      <c r="Z464">
        <v>12.6</v>
      </c>
      <c r="AA464">
        <f>VALUE(SUBSTITUTE(DACS19___Pfizer’s_Personalised_Medicine_in[[#This Row],[Dose]],"mg",""))</f>
        <v>150</v>
      </c>
      <c r="AB464">
        <f t="shared" si="49"/>
        <v>150</v>
      </c>
      <c r="AC464" t="s">
        <v>129</v>
      </c>
      <c r="AD464">
        <f t="shared" si="50"/>
        <v>4</v>
      </c>
      <c r="AE464">
        <f t="shared" si="51"/>
        <v>1</v>
      </c>
      <c r="AF464" t="e">
        <f t="shared" si="52"/>
        <v>#N/A</v>
      </c>
      <c r="AG464" t="e">
        <f t="shared" si="53"/>
        <v>#N/A</v>
      </c>
      <c r="AH464">
        <f t="shared" si="54"/>
        <v>3.56</v>
      </c>
      <c r="AI464" t="e">
        <f t="shared" si="55"/>
        <v>#N/A</v>
      </c>
    </row>
    <row r="465" spans="1:35" x14ac:dyDescent="0.45">
      <c r="A465" t="s">
        <v>1535</v>
      </c>
      <c r="B465">
        <v>27</v>
      </c>
      <c r="C465" t="s">
        <v>45</v>
      </c>
      <c r="D465" t="s">
        <v>95</v>
      </c>
      <c r="E465" t="s">
        <v>163</v>
      </c>
      <c r="F465" t="s">
        <v>2614</v>
      </c>
      <c r="G465" t="s">
        <v>60</v>
      </c>
      <c r="H465" t="s">
        <v>71</v>
      </c>
      <c r="I465" t="s">
        <v>132</v>
      </c>
      <c r="J465" t="s">
        <v>1536</v>
      </c>
      <c r="K465" t="s">
        <v>1537</v>
      </c>
      <c r="L465" t="s">
        <v>36</v>
      </c>
      <c r="M465" t="s">
        <v>40</v>
      </c>
      <c r="N465" t="s">
        <v>452</v>
      </c>
      <c r="O465" t="s">
        <v>36</v>
      </c>
      <c r="P465" t="s">
        <v>39</v>
      </c>
      <c r="Q465" t="s">
        <v>129</v>
      </c>
      <c r="R465">
        <v>113</v>
      </c>
      <c r="S465">
        <v>1</v>
      </c>
      <c r="T465" t="s">
        <v>85</v>
      </c>
      <c r="U465" t="s">
        <v>57</v>
      </c>
      <c r="V465">
        <v>4.09</v>
      </c>
      <c r="W465">
        <v>3</v>
      </c>
      <c r="X465">
        <v>1.1000000000000001</v>
      </c>
      <c r="Y465">
        <v>6.2</v>
      </c>
      <c r="Z465">
        <v>9.1</v>
      </c>
      <c r="AA465">
        <f>VALUE(SUBSTITUTE(DACS19___Pfizer’s_Personalised_Medicine_in[[#This Row],[Dose]],"mg",""))</f>
        <v>200</v>
      </c>
      <c r="AB465">
        <f t="shared" si="49"/>
        <v>200</v>
      </c>
      <c r="AC465" t="s">
        <v>129</v>
      </c>
      <c r="AD465">
        <f t="shared" si="50"/>
        <v>4</v>
      </c>
      <c r="AE465">
        <f t="shared" si="51"/>
        <v>3</v>
      </c>
      <c r="AF465" t="e">
        <f t="shared" si="52"/>
        <v>#N/A</v>
      </c>
      <c r="AG465">
        <f t="shared" si="53"/>
        <v>3</v>
      </c>
      <c r="AH465" t="e">
        <f t="shared" si="54"/>
        <v>#N/A</v>
      </c>
      <c r="AI465" t="e">
        <f t="shared" si="55"/>
        <v>#N/A</v>
      </c>
    </row>
    <row r="466" spans="1:35" x14ac:dyDescent="0.45">
      <c r="A466" t="s">
        <v>1538</v>
      </c>
      <c r="B466">
        <v>60</v>
      </c>
      <c r="C466" t="s">
        <v>44</v>
      </c>
      <c r="D466" t="s">
        <v>28</v>
      </c>
      <c r="E466" t="s">
        <v>78</v>
      </c>
      <c r="F466" t="s">
        <v>2614</v>
      </c>
      <c r="G466" t="s">
        <v>276</v>
      </c>
      <c r="H466" t="s">
        <v>61</v>
      </c>
      <c r="I466" t="s">
        <v>72</v>
      </c>
      <c r="J466" t="s">
        <v>964</v>
      </c>
      <c r="K466" t="s">
        <v>1337</v>
      </c>
      <c r="L466" t="s">
        <v>92</v>
      </c>
      <c r="M466" t="s">
        <v>75</v>
      </c>
      <c r="N466" t="s">
        <v>335</v>
      </c>
      <c r="O466" t="s">
        <v>92</v>
      </c>
      <c r="P466" t="s">
        <v>55</v>
      </c>
      <c r="Q466" t="s">
        <v>75</v>
      </c>
      <c r="R466">
        <v>160</v>
      </c>
      <c r="S466">
        <v>0</v>
      </c>
      <c r="T466" t="s">
        <v>85</v>
      </c>
      <c r="U466" t="s">
        <v>57</v>
      </c>
      <c r="V466">
        <v>4.7</v>
      </c>
      <c r="W466">
        <v>1.91</v>
      </c>
      <c r="X466">
        <v>6.7</v>
      </c>
      <c r="Y466">
        <v>10</v>
      </c>
      <c r="Z466">
        <v>8.5</v>
      </c>
      <c r="AA466">
        <f>VALUE(SUBSTITUTE(DACS19___Pfizer’s_Personalised_Medicine_in[[#This Row],[Dose]],"mg",""))</f>
        <v>50</v>
      </c>
      <c r="AB466">
        <f t="shared" si="49"/>
        <v>50</v>
      </c>
      <c r="AC466" t="s">
        <v>75</v>
      </c>
      <c r="AD466">
        <f t="shared" si="50"/>
        <v>1</v>
      </c>
      <c r="AE466">
        <f t="shared" si="51"/>
        <v>2</v>
      </c>
      <c r="AF466">
        <f t="shared" si="52"/>
        <v>1.91</v>
      </c>
      <c r="AG466" t="e">
        <f t="shared" si="53"/>
        <v>#N/A</v>
      </c>
      <c r="AH466" t="e">
        <f t="shared" si="54"/>
        <v>#N/A</v>
      </c>
      <c r="AI466" t="e">
        <f t="shared" si="55"/>
        <v>#N/A</v>
      </c>
    </row>
    <row r="467" spans="1:35" x14ac:dyDescent="0.45">
      <c r="A467" t="s">
        <v>1539</v>
      </c>
      <c r="B467">
        <v>45</v>
      </c>
      <c r="C467" t="s">
        <v>44</v>
      </c>
      <c r="D467" t="s">
        <v>45</v>
      </c>
      <c r="E467" t="s">
        <v>163</v>
      </c>
      <c r="F467" t="s">
        <v>2614</v>
      </c>
      <c r="G467" t="s">
        <v>96</v>
      </c>
      <c r="H467" t="s">
        <v>81</v>
      </c>
      <c r="I467" t="s">
        <v>49</v>
      </c>
      <c r="J467" t="s">
        <v>1540</v>
      </c>
      <c r="K467" t="s">
        <v>1541</v>
      </c>
      <c r="L467" t="s">
        <v>36</v>
      </c>
      <c r="M467" t="s">
        <v>2636</v>
      </c>
      <c r="N467" t="s">
        <v>650</v>
      </c>
      <c r="O467" t="s">
        <v>36</v>
      </c>
      <c r="P467" t="s">
        <v>110</v>
      </c>
      <c r="Q467" t="s">
        <v>75</v>
      </c>
      <c r="R467">
        <v>163</v>
      </c>
      <c r="S467">
        <v>0</v>
      </c>
      <c r="T467" t="s">
        <v>56</v>
      </c>
      <c r="U467" t="s">
        <v>57</v>
      </c>
      <c r="V467">
        <v>4.3899999999999997</v>
      </c>
      <c r="W467">
        <v>3.92</v>
      </c>
      <c r="X467">
        <v>1.9</v>
      </c>
      <c r="Y467">
        <v>13.7</v>
      </c>
      <c r="Z467">
        <v>3.5</v>
      </c>
      <c r="AA467">
        <f>VALUE(SUBSTITUTE(DACS19___Pfizer’s_Personalised_Medicine_in[[#This Row],[Dose]],"mg",""))</f>
        <v>200</v>
      </c>
      <c r="AB467">
        <f t="shared" si="49"/>
        <v>200</v>
      </c>
      <c r="AC467" t="s">
        <v>75</v>
      </c>
      <c r="AD467">
        <f t="shared" si="50"/>
        <v>1</v>
      </c>
      <c r="AE467">
        <f t="shared" si="51"/>
        <v>1</v>
      </c>
      <c r="AF467" t="e">
        <f t="shared" si="52"/>
        <v>#N/A</v>
      </c>
      <c r="AG467" t="e">
        <f t="shared" si="53"/>
        <v>#N/A</v>
      </c>
      <c r="AH467" t="e">
        <f t="shared" si="54"/>
        <v>#N/A</v>
      </c>
      <c r="AI467">
        <f t="shared" si="55"/>
        <v>3.92</v>
      </c>
    </row>
    <row r="468" spans="1:35" x14ac:dyDescent="0.45">
      <c r="A468" t="s">
        <v>1542</v>
      </c>
      <c r="B468">
        <v>52</v>
      </c>
      <c r="C468" t="s">
        <v>27</v>
      </c>
      <c r="D468" t="s">
        <v>45</v>
      </c>
      <c r="E468" t="s">
        <v>2614</v>
      </c>
      <c r="F468" t="s">
        <v>2614</v>
      </c>
      <c r="G468" t="s">
        <v>31</v>
      </c>
      <c r="H468" t="s">
        <v>71</v>
      </c>
      <c r="I468" t="s">
        <v>132</v>
      </c>
      <c r="J468" t="s">
        <v>1543</v>
      </c>
      <c r="K468" t="s">
        <v>356</v>
      </c>
      <c r="L468" t="s">
        <v>92</v>
      </c>
      <c r="M468" t="s">
        <v>2619</v>
      </c>
      <c r="N468" t="s">
        <v>1544</v>
      </c>
      <c r="O468" t="s">
        <v>92</v>
      </c>
      <c r="P468" t="s">
        <v>55</v>
      </c>
      <c r="Q468" t="s">
        <v>129</v>
      </c>
      <c r="R468">
        <v>120</v>
      </c>
      <c r="S468">
        <v>0</v>
      </c>
      <c r="T468" t="s">
        <v>85</v>
      </c>
      <c r="U468" t="s">
        <v>42</v>
      </c>
      <c r="V468">
        <v>2.92</v>
      </c>
      <c r="W468">
        <v>3.65</v>
      </c>
      <c r="X468">
        <v>2.1</v>
      </c>
      <c r="Y468">
        <v>11.2</v>
      </c>
      <c r="Z468">
        <v>9.8000000000000007</v>
      </c>
      <c r="AA468">
        <f>VALUE(SUBSTITUTE(DACS19___Pfizer’s_Personalised_Medicine_in[[#This Row],[Dose]],"mg",""))</f>
        <v>50</v>
      </c>
      <c r="AB468">
        <f t="shared" si="49"/>
        <v>50</v>
      </c>
      <c r="AC468" t="s">
        <v>129</v>
      </c>
      <c r="AD468">
        <f t="shared" si="50"/>
        <v>4</v>
      </c>
      <c r="AE468">
        <f t="shared" si="51"/>
        <v>2</v>
      </c>
      <c r="AF468" t="e">
        <f t="shared" si="52"/>
        <v>#N/A</v>
      </c>
      <c r="AG468">
        <f t="shared" si="53"/>
        <v>3.65</v>
      </c>
      <c r="AH468" t="e">
        <f t="shared" si="54"/>
        <v>#N/A</v>
      </c>
      <c r="AI468" t="e">
        <f t="shared" si="55"/>
        <v>#N/A</v>
      </c>
    </row>
    <row r="469" spans="1:35" x14ac:dyDescent="0.45">
      <c r="A469" t="s">
        <v>1545</v>
      </c>
      <c r="B469">
        <v>64</v>
      </c>
      <c r="C469" t="s">
        <v>45</v>
      </c>
      <c r="D469" t="s">
        <v>95</v>
      </c>
      <c r="E469" t="s">
        <v>29</v>
      </c>
      <c r="F469" t="s">
        <v>47</v>
      </c>
      <c r="G469" t="s">
        <v>60</v>
      </c>
      <c r="H469" t="s">
        <v>71</v>
      </c>
      <c r="I469" t="s">
        <v>72</v>
      </c>
      <c r="J469" t="s">
        <v>486</v>
      </c>
      <c r="K469" t="s">
        <v>1546</v>
      </c>
      <c r="L469" t="s">
        <v>52</v>
      </c>
      <c r="M469" t="s">
        <v>2653</v>
      </c>
      <c r="N469" t="s">
        <v>521</v>
      </c>
      <c r="O469" t="s">
        <v>52</v>
      </c>
      <c r="P469" t="s">
        <v>39</v>
      </c>
      <c r="Q469" t="s">
        <v>129</v>
      </c>
      <c r="R469">
        <v>134</v>
      </c>
      <c r="S469">
        <v>1</v>
      </c>
      <c r="T469" t="s">
        <v>56</v>
      </c>
      <c r="U469" t="s">
        <v>42</v>
      </c>
      <c r="V469">
        <v>4.68</v>
      </c>
      <c r="W469">
        <v>4.97</v>
      </c>
      <c r="X469">
        <v>1.4</v>
      </c>
      <c r="Y469">
        <v>19.7</v>
      </c>
      <c r="Z469">
        <v>9.3000000000000007</v>
      </c>
      <c r="AA469">
        <f>VALUE(SUBSTITUTE(DACS19___Pfizer’s_Personalised_Medicine_in[[#This Row],[Dose]],"mg",""))</f>
        <v>100</v>
      </c>
      <c r="AB469">
        <f t="shared" si="49"/>
        <v>100</v>
      </c>
      <c r="AC469" t="s">
        <v>129</v>
      </c>
      <c r="AD469">
        <f t="shared" si="50"/>
        <v>4</v>
      </c>
      <c r="AE469">
        <f t="shared" si="51"/>
        <v>3</v>
      </c>
      <c r="AF469" t="e">
        <f t="shared" si="52"/>
        <v>#N/A</v>
      </c>
      <c r="AG469">
        <f t="shared" si="53"/>
        <v>4.97</v>
      </c>
      <c r="AH469" t="e">
        <f t="shared" si="54"/>
        <v>#N/A</v>
      </c>
      <c r="AI469" t="e">
        <f t="shared" si="55"/>
        <v>#N/A</v>
      </c>
    </row>
    <row r="470" spans="1:35" x14ac:dyDescent="0.45">
      <c r="A470" t="s">
        <v>1548</v>
      </c>
      <c r="B470">
        <v>81</v>
      </c>
      <c r="C470" t="s">
        <v>45</v>
      </c>
      <c r="D470" t="s">
        <v>106</v>
      </c>
      <c r="E470" t="s">
        <v>46</v>
      </c>
      <c r="F470" t="s">
        <v>2614</v>
      </c>
      <c r="G470" t="s">
        <v>164</v>
      </c>
      <c r="H470" t="s">
        <v>71</v>
      </c>
      <c r="I470" t="s">
        <v>49</v>
      </c>
      <c r="J470" t="s">
        <v>257</v>
      </c>
      <c r="K470" t="s">
        <v>1153</v>
      </c>
      <c r="L470" t="s">
        <v>36</v>
      </c>
      <c r="M470" t="s">
        <v>160</v>
      </c>
      <c r="N470" t="s">
        <v>946</v>
      </c>
      <c r="O470" t="s">
        <v>36</v>
      </c>
      <c r="P470" t="s">
        <v>39</v>
      </c>
      <c r="Q470" t="s">
        <v>67</v>
      </c>
      <c r="R470">
        <v>48</v>
      </c>
      <c r="S470">
        <v>1</v>
      </c>
      <c r="T470" t="s">
        <v>41</v>
      </c>
      <c r="U470" t="s">
        <v>57</v>
      </c>
      <c r="V470">
        <v>2.57</v>
      </c>
      <c r="W470">
        <v>4.0199999999999996</v>
      </c>
      <c r="X470">
        <v>9.3000000000000007</v>
      </c>
      <c r="Y470">
        <v>23.1</v>
      </c>
      <c r="Z470">
        <v>12.8</v>
      </c>
      <c r="AA470">
        <f>VALUE(SUBSTITUTE(DACS19___Pfizer’s_Personalised_Medicine_in[[#This Row],[Dose]],"mg",""))</f>
        <v>200</v>
      </c>
      <c r="AB470">
        <f t="shared" si="49"/>
        <v>200</v>
      </c>
      <c r="AC470" t="s">
        <v>67</v>
      </c>
      <c r="AD470">
        <f t="shared" si="50"/>
        <v>2</v>
      </c>
      <c r="AE470">
        <f t="shared" si="51"/>
        <v>3</v>
      </c>
      <c r="AF470" t="e">
        <f t="shared" si="52"/>
        <v>#N/A</v>
      </c>
      <c r="AG470">
        <f t="shared" si="53"/>
        <v>4.0199999999999996</v>
      </c>
      <c r="AH470" t="e">
        <f t="shared" si="54"/>
        <v>#N/A</v>
      </c>
      <c r="AI470" t="e">
        <f t="shared" si="55"/>
        <v>#N/A</v>
      </c>
    </row>
    <row r="471" spans="1:35" x14ac:dyDescent="0.45">
      <c r="A471" t="s">
        <v>1549</v>
      </c>
      <c r="B471">
        <v>72</v>
      </c>
      <c r="C471" t="s">
        <v>44</v>
      </c>
      <c r="D471" t="s">
        <v>106</v>
      </c>
      <c r="E471" t="s">
        <v>78</v>
      </c>
      <c r="F471" t="s">
        <v>2614</v>
      </c>
      <c r="G471" t="s">
        <v>60</v>
      </c>
      <c r="H471" t="s">
        <v>32</v>
      </c>
      <c r="I471" t="s">
        <v>49</v>
      </c>
      <c r="J471" t="s">
        <v>1550</v>
      </c>
      <c r="K471" t="s">
        <v>1551</v>
      </c>
      <c r="L471" t="s">
        <v>92</v>
      </c>
      <c r="M471" t="s">
        <v>2636</v>
      </c>
      <c r="N471" t="s">
        <v>1552</v>
      </c>
      <c r="O471" t="s">
        <v>92</v>
      </c>
      <c r="P471" t="s">
        <v>55</v>
      </c>
      <c r="Q471" t="s">
        <v>40</v>
      </c>
      <c r="R471">
        <v>145</v>
      </c>
      <c r="S471">
        <v>0</v>
      </c>
      <c r="T471" t="s">
        <v>56</v>
      </c>
      <c r="U471" t="s">
        <v>57</v>
      </c>
      <c r="V471">
        <v>2.4300000000000002</v>
      </c>
      <c r="W471">
        <v>4.1500000000000004</v>
      </c>
      <c r="X471">
        <v>3.3</v>
      </c>
      <c r="Y471">
        <v>16.2</v>
      </c>
      <c r="Z471">
        <v>9.1</v>
      </c>
      <c r="AA471">
        <f>VALUE(SUBSTITUTE(DACS19___Pfizer’s_Personalised_Medicine_in[[#This Row],[Dose]],"mg",""))</f>
        <v>50</v>
      </c>
      <c r="AB471">
        <f t="shared" si="49"/>
        <v>50</v>
      </c>
      <c r="AC471" t="s">
        <v>40</v>
      </c>
      <c r="AD471">
        <f t="shared" si="50"/>
        <v>3</v>
      </c>
      <c r="AE471">
        <f t="shared" si="51"/>
        <v>2</v>
      </c>
      <c r="AF471" t="e">
        <f t="shared" si="52"/>
        <v>#N/A</v>
      </c>
      <c r="AG471" t="e">
        <f t="shared" si="53"/>
        <v>#N/A</v>
      </c>
      <c r="AH471">
        <f t="shared" si="54"/>
        <v>4.1500000000000004</v>
      </c>
      <c r="AI471" t="e">
        <f t="shared" si="55"/>
        <v>#N/A</v>
      </c>
    </row>
    <row r="472" spans="1:35" x14ac:dyDescent="0.45">
      <c r="A472" t="s">
        <v>1553</v>
      </c>
      <c r="B472">
        <v>79</v>
      </c>
      <c r="C472" t="s">
        <v>45</v>
      </c>
      <c r="D472" t="s">
        <v>106</v>
      </c>
      <c r="E472" t="s">
        <v>46</v>
      </c>
      <c r="F472" t="s">
        <v>2614</v>
      </c>
      <c r="G472" t="s">
        <v>80</v>
      </c>
      <c r="H472" t="s">
        <v>61</v>
      </c>
      <c r="I472" t="s">
        <v>72</v>
      </c>
      <c r="J472" t="s">
        <v>1554</v>
      </c>
      <c r="K472" t="s">
        <v>1555</v>
      </c>
      <c r="L472" t="s">
        <v>36</v>
      </c>
      <c r="M472" t="s">
        <v>2628</v>
      </c>
      <c r="N472" t="s">
        <v>598</v>
      </c>
      <c r="O472" t="s">
        <v>36</v>
      </c>
      <c r="P472" t="s">
        <v>110</v>
      </c>
      <c r="Q472" t="s">
        <v>75</v>
      </c>
      <c r="R472">
        <v>101</v>
      </c>
      <c r="S472">
        <v>0</v>
      </c>
      <c r="T472" t="s">
        <v>123</v>
      </c>
      <c r="U472" t="s">
        <v>42</v>
      </c>
      <c r="V472">
        <v>3.63</v>
      </c>
      <c r="W472">
        <v>1.96</v>
      </c>
      <c r="X472">
        <v>2.7</v>
      </c>
      <c r="Y472">
        <v>22.5</v>
      </c>
      <c r="Z472">
        <v>4.7</v>
      </c>
      <c r="AA472">
        <f>VALUE(SUBSTITUTE(DACS19___Pfizer’s_Personalised_Medicine_in[[#This Row],[Dose]],"mg",""))</f>
        <v>200</v>
      </c>
      <c r="AB472">
        <f t="shared" si="49"/>
        <v>200</v>
      </c>
      <c r="AC472" t="s">
        <v>75</v>
      </c>
      <c r="AD472">
        <f t="shared" si="50"/>
        <v>1</v>
      </c>
      <c r="AE472">
        <f t="shared" si="51"/>
        <v>1</v>
      </c>
      <c r="AF472">
        <f t="shared" si="52"/>
        <v>1.96</v>
      </c>
      <c r="AG472" t="e">
        <f t="shared" si="53"/>
        <v>#N/A</v>
      </c>
      <c r="AH472" t="e">
        <f t="shared" si="54"/>
        <v>#N/A</v>
      </c>
      <c r="AI472" t="e">
        <f t="shared" si="55"/>
        <v>#N/A</v>
      </c>
    </row>
    <row r="473" spans="1:35" x14ac:dyDescent="0.45">
      <c r="A473" t="s">
        <v>1556</v>
      </c>
      <c r="B473">
        <v>56</v>
      </c>
      <c r="C473" t="s">
        <v>44</v>
      </c>
      <c r="D473" t="s">
        <v>28</v>
      </c>
      <c r="E473" t="s">
        <v>163</v>
      </c>
      <c r="F473" t="s">
        <v>2614</v>
      </c>
      <c r="G473" t="s">
        <v>246</v>
      </c>
      <c r="H473" t="s">
        <v>81</v>
      </c>
      <c r="I473" t="s">
        <v>132</v>
      </c>
      <c r="J473" t="s">
        <v>1557</v>
      </c>
      <c r="K473" t="s">
        <v>688</v>
      </c>
      <c r="L473" t="s">
        <v>52</v>
      </c>
      <c r="M473" t="s">
        <v>129</v>
      </c>
      <c r="N473" t="s">
        <v>504</v>
      </c>
      <c r="O473" t="s">
        <v>52</v>
      </c>
      <c r="P473" t="s">
        <v>110</v>
      </c>
      <c r="Q473" t="s">
        <v>67</v>
      </c>
      <c r="R473">
        <v>140</v>
      </c>
      <c r="S473">
        <v>0</v>
      </c>
      <c r="T473" t="s">
        <v>85</v>
      </c>
      <c r="U473" t="s">
        <v>57</v>
      </c>
      <c r="V473">
        <v>3.02</v>
      </c>
      <c r="W473">
        <v>1.88</v>
      </c>
      <c r="X473">
        <v>1.4</v>
      </c>
      <c r="Y473">
        <v>6.6</v>
      </c>
      <c r="Z473">
        <v>6</v>
      </c>
      <c r="AA473">
        <f>VALUE(SUBSTITUTE(DACS19___Pfizer’s_Personalised_Medicine_in[[#This Row],[Dose]],"mg",""))</f>
        <v>100</v>
      </c>
      <c r="AB473">
        <f t="shared" si="49"/>
        <v>100</v>
      </c>
      <c r="AC473" t="s">
        <v>67</v>
      </c>
      <c r="AD473">
        <f t="shared" si="50"/>
        <v>2</v>
      </c>
      <c r="AE473">
        <f t="shared" si="51"/>
        <v>1</v>
      </c>
      <c r="AF473" t="e">
        <f t="shared" si="52"/>
        <v>#N/A</v>
      </c>
      <c r="AG473" t="e">
        <f t="shared" si="53"/>
        <v>#N/A</v>
      </c>
      <c r="AH473" t="e">
        <f t="shared" si="54"/>
        <v>#N/A</v>
      </c>
      <c r="AI473">
        <f t="shared" si="55"/>
        <v>1.88</v>
      </c>
    </row>
    <row r="474" spans="1:35" x14ac:dyDescent="0.45">
      <c r="A474" t="s">
        <v>1558</v>
      </c>
      <c r="B474">
        <v>58</v>
      </c>
      <c r="C474" t="s">
        <v>27</v>
      </c>
      <c r="D474" t="s">
        <v>28</v>
      </c>
      <c r="E474" t="s">
        <v>2614</v>
      </c>
      <c r="F474" t="s">
        <v>59</v>
      </c>
      <c r="G474" t="s">
        <v>184</v>
      </c>
      <c r="H474" t="s">
        <v>81</v>
      </c>
      <c r="I474" t="s">
        <v>33</v>
      </c>
      <c r="J474" t="s">
        <v>1559</v>
      </c>
      <c r="K474" t="s">
        <v>964</v>
      </c>
      <c r="L474" t="s">
        <v>92</v>
      </c>
      <c r="M474" t="s">
        <v>2614</v>
      </c>
      <c r="N474" t="s">
        <v>109</v>
      </c>
      <c r="O474" t="s">
        <v>92</v>
      </c>
      <c r="P474" t="s">
        <v>39</v>
      </c>
      <c r="Q474" t="s">
        <v>67</v>
      </c>
      <c r="R474">
        <v>171</v>
      </c>
      <c r="S474">
        <v>1</v>
      </c>
      <c r="T474" t="s">
        <v>85</v>
      </c>
      <c r="U474" t="s">
        <v>42</v>
      </c>
      <c r="V474">
        <v>4.47</v>
      </c>
      <c r="W474">
        <v>2.13</v>
      </c>
      <c r="X474">
        <v>9.6</v>
      </c>
      <c r="Y474">
        <v>16.5</v>
      </c>
      <c r="Z474">
        <v>10.4</v>
      </c>
      <c r="AA474">
        <f>VALUE(SUBSTITUTE(DACS19___Pfizer’s_Personalised_Medicine_in[[#This Row],[Dose]],"mg",""))</f>
        <v>50</v>
      </c>
      <c r="AB474">
        <f t="shared" si="49"/>
        <v>50</v>
      </c>
      <c r="AC474" t="s">
        <v>67</v>
      </c>
      <c r="AD474">
        <f t="shared" si="50"/>
        <v>2</v>
      </c>
      <c r="AE474">
        <f t="shared" si="51"/>
        <v>3</v>
      </c>
      <c r="AF474" t="e">
        <f t="shared" si="52"/>
        <v>#N/A</v>
      </c>
      <c r="AG474" t="e">
        <f t="shared" si="53"/>
        <v>#N/A</v>
      </c>
      <c r="AH474" t="e">
        <f t="shared" si="54"/>
        <v>#N/A</v>
      </c>
      <c r="AI474">
        <f t="shared" si="55"/>
        <v>2.13</v>
      </c>
    </row>
    <row r="475" spans="1:35" x14ac:dyDescent="0.45">
      <c r="A475" t="s">
        <v>1560</v>
      </c>
      <c r="B475">
        <v>21</v>
      </c>
      <c r="C475" t="s">
        <v>45</v>
      </c>
      <c r="D475" t="s">
        <v>87</v>
      </c>
      <c r="E475" t="s">
        <v>29</v>
      </c>
      <c r="F475" t="s">
        <v>2614</v>
      </c>
      <c r="G475" t="s">
        <v>89</v>
      </c>
      <c r="H475" t="s">
        <v>61</v>
      </c>
      <c r="I475" t="s">
        <v>33</v>
      </c>
      <c r="J475" t="s">
        <v>1561</v>
      </c>
      <c r="K475" t="s">
        <v>600</v>
      </c>
      <c r="L475" t="s">
        <v>36</v>
      </c>
      <c r="M475" t="s">
        <v>197</v>
      </c>
      <c r="N475" t="s">
        <v>491</v>
      </c>
      <c r="O475" t="s">
        <v>36</v>
      </c>
      <c r="P475" t="s">
        <v>39</v>
      </c>
      <c r="Q475" t="s">
        <v>129</v>
      </c>
      <c r="R475">
        <v>143</v>
      </c>
      <c r="S475">
        <v>1</v>
      </c>
      <c r="T475" t="s">
        <v>56</v>
      </c>
      <c r="U475" t="s">
        <v>57</v>
      </c>
      <c r="V475">
        <v>3.32</v>
      </c>
      <c r="W475">
        <v>3.07</v>
      </c>
      <c r="X475">
        <v>7.8</v>
      </c>
      <c r="Y475">
        <v>11.1</v>
      </c>
      <c r="Z475">
        <v>9</v>
      </c>
      <c r="AA475">
        <f>VALUE(SUBSTITUTE(DACS19___Pfizer’s_Personalised_Medicine_in[[#This Row],[Dose]],"mg",""))</f>
        <v>200</v>
      </c>
      <c r="AB475">
        <f t="shared" si="49"/>
        <v>200</v>
      </c>
      <c r="AC475" t="s">
        <v>129</v>
      </c>
      <c r="AD475">
        <f t="shared" si="50"/>
        <v>4</v>
      </c>
      <c r="AE475">
        <f t="shared" si="51"/>
        <v>3</v>
      </c>
      <c r="AF475">
        <f t="shared" si="52"/>
        <v>3.07</v>
      </c>
      <c r="AG475" t="e">
        <f t="shared" si="53"/>
        <v>#N/A</v>
      </c>
      <c r="AH475" t="e">
        <f t="shared" si="54"/>
        <v>#N/A</v>
      </c>
      <c r="AI475" t="e">
        <f t="shared" si="55"/>
        <v>#N/A</v>
      </c>
    </row>
    <row r="476" spans="1:35" x14ac:dyDescent="0.45">
      <c r="A476" t="s">
        <v>1562</v>
      </c>
      <c r="B476">
        <v>51</v>
      </c>
      <c r="C476" t="s">
        <v>27</v>
      </c>
      <c r="D476" t="s">
        <v>106</v>
      </c>
      <c r="E476" t="s">
        <v>2614</v>
      </c>
      <c r="F476" t="s">
        <v>2614</v>
      </c>
      <c r="G476" t="s">
        <v>102</v>
      </c>
      <c r="H476" t="s">
        <v>32</v>
      </c>
      <c r="I476" t="s">
        <v>49</v>
      </c>
      <c r="J476" t="s">
        <v>1465</v>
      </c>
      <c r="K476" t="s">
        <v>1095</v>
      </c>
      <c r="L476" t="s">
        <v>52</v>
      </c>
      <c r="M476" t="s">
        <v>2653</v>
      </c>
      <c r="N476" t="s">
        <v>340</v>
      </c>
      <c r="O476" t="s">
        <v>52</v>
      </c>
      <c r="P476" t="s">
        <v>110</v>
      </c>
      <c r="Q476" t="s">
        <v>75</v>
      </c>
      <c r="R476">
        <v>48</v>
      </c>
      <c r="S476">
        <v>0</v>
      </c>
      <c r="T476" t="s">
        <v>137</v>
      </c>
      <c r="U476" t="s">
        <v>42</v>
      </c>
      <c r="V476">
        <v>4.58</v>
      </c>
      <c r="W476">
        <v>4.79</v>
      </c>
      <c r="X476">
        <v>9</v>
      </c>
      <c r="Y476">
        <v>13.6</v>
      </c>
      <c r="Z476">
        <v>16.3</v>
      </c>
      <c r="AA476">
        <f>VALUE(SUBSTITUTE(DACS19___Pfizer’s_Personalised_Medicine_in[[#This Row],[Dose]],"mg",""))</f>
        <v>100</v>
      </c>
      <c r="AB476">
        <f t="shared" si="49"/>
        <v>100</v>
      </c>
      <c r="AC476" t="s">
        <v>75</v>
      </c>
      <c r="AD476">
        <f t="shared" si="50"/>
        <v>1</v>
      </c>
      <c r="AE476">
        <f t="shared" si="51"/>
        <v>1</v>
      </c>
      <c r="AF476" t="e">
        <f t="shared" si="52"/>
        <v>#N/A</v>
      </c>
      <c r="AG476" t="e">
        <f t="shared" si="53"/>
        <v>#N/A</v>
      </c>
      <c r="AH476">
        <f t="shared" si="54"/>
        <v>4.79</v>
      </c>
      <c r="AI476" t="e">
        <f t="shared" si="55"/>
        <v>#N/A</v>
      </c>
    </row>
    <row r="477" spans="1:35" x14ac:dyDescent="0.45">
      <c r="A477" t="s">
        <v>1563</v>
      </c>
      <c r="B477">
        <v>73</v>
      </c>
      <c r="C477" t="s">
        <v>27</v>
      </c>
      <c r="D477" t="s">
        <v>45</v>
      </c>
      <c r="E477" t="s">
        <v>2614</v>
      </c>
      <c r="F477" t="s">
        <v>69</v>
      </c>
      <c r="G477" t="s">
        <v>118</v>
      </c>
      <c r="H477" t="s">
        <v>61</v>
      </c>
      <c r="I477" t="s">
        <v>72</v>
      </c>
      <c r="J477" t="s">
        <v>1564</v>
      </c>
      <c r="K477" t="s">
        <v>1489</v>
      </c>
      <c r="L477" t="s">
        <v>52</v>
      </c>
      <c r="M477" t="s">
        <v>1291</v>
      </c>
      <c r="N477" t="s">
        <v>1565</v>
      </c>
      <c r="O477" t="s">
        <v>52</v>
      </c>
      <c r="P477" t="s">
        <v>39</v>
      </c>
      <c r="Q477" t="s">
        <v>40</v>
      </c>
      <c r="R477">
        <v>102</v>
      </c>
      <c r="S477">
        <v>1</v>
      </c>
      <c r="T477" t="s">
        <v>41</v>
      </c>
      <c r="U477" t="s">
        <v>42</v>
      </c>
      <c r="V477">
        <v>2.91</v>
      </c>
      <c r="W477">
        <v>2.99</v>
      </c>
      <c r="X477">
        <v>2.8</v>
      </c>
      <c r="Y477">
        <v>16.600000000000001</v>
      </c>
      <c r="Z477">
        <v>6.2</v>
      </c>
      <c r="AA477">
        <f>VALUE(SUBSTITUTE(DACS19___Pfizer’s_Personalised_Medicine_in[[#This Row],[Dose]],"mg",""))</f>
        <v>100</v>
      </c>
      <c r="AB477">
        <f t="shared" si="49"/>
        <v>100</v>
      </c>
      <c r="AC477" t="s">
        <v>40</v>
      </c>
      <c r="AD477">
        <f t="shared" si="50"/>
        <v>3</v>
      </c>
      <c r="AE477">
        <f t="shared" si="51"/>
        <v>3</v>
      </c>
      <c r="AF477">
        <f t="shared" si="52"/>
        <v>2.99</v>
      </c>
      <c r="AG477" t="e">
        <f t="shared" si="53"/>
        <v>#N/A</v>
      </c>
      <c r="AH477" t="e">
        <f t="shared" si="54"/>
        <v>#N/A</v>
      </c>
      <c r="AI477" t="e">
        <f t="shared" si="55"/>
        <v>#N/A</v>
      </c>
    </row>
    <row r="478" spans="1:35" x14ac:dyDescent="0.45">
      <c r="A478" t="s">
        <v>1566</v>
      </c>
      <c r="B478">
        <v>29</v>
      </c>
      <c r="C478" t="s">
        <v>45</v>
      </c>
      <c r="D478" t="s">
        <v>106</v>
      </c>
      <c r="E478" t="s">
        <v>163</v>
      </c>
      <c r="F478" t="s">
        <v>47</v>
      </c>
      <c r="G478" t="s">
        <v>178</v>
      </c>
      <c r="H478" t="s">
        <v>71</v>
      </c>
      <c r="I478" t="s">
        <v>72</v>
      </c>
      <c r="J478" t="s">
        <v>1567</v>
      </c>
      <c r="K478" t="s">
        <v>948</v>
      </c>
      <c r="L478" t="s">
        <v>36</v>
      </c>
      <c r="M478" t="s">
        <v>2644</v>
      </c>
      <c r="N478" t="s">
        <v>954</v>
      </c>
      <c r="O478" t="s">
        <v>36</v>
      </c>
      <c r="P478" t="s">
        <v>55</v>
      </c>
      <c r="Q478" t="s">
        <v>75</v>
      </c>
      <c r="R478">
        <v>76</v>
      </c>
      <c r="S478">
        <v>0</v>
      </c>
      <c r="T478" t="s">
        <v>137</v>
      </c>
      <c r="U478" t="s">
        <v>42</v>
      </c>
      <c r="V478">
        <v>2.33</v>
      </c>
      <c r="W478">
        <v>4.42</v>
      </c>
      <c r="X478">
        <v>2.9</v>
      </c>
      <c r="Y478">
        <v>7.3</v>
      </c>
      <c r="Z478">
        <v>4.2</v>
      </c>
      <c r="AA478">
        <f>VALUE(SUBSTITUTE(DACS19___Pfizer’s_Personalised_Medicine_in[[#This Row],[Dose]],"mg",""))</f>
        <v>200</v>
      </c>
      <c r="AB478">
        <f t="shared" si="49"/>
        <v>200</v>
      </c>
      <c r="AC478" t="s">
        <v>75</v>
      </c>
      <c r="AD478">
        <f t="shared" si="50"/>
        <v>1</v>
      </c>
      <c r="AE478">
        <f t="shared" si="51"/>
        <v>2</v>
      </c>
      <c r="AF478" t="e">
        <f t="shared" si="52"/>
        <v>#N/A</v>
      </c>
      <c r="AG478">
        <f t="shared" si="53"/>
        <v>4.42</v>
      </c>
      <c r="AH478" t="e">
        <f t="shared" si="54"/>
        <v>#N/A</v>
      </c>
      <c r="AI478" t="e">
        <f t="shared" si="55"/>
        <v>#N/A</v>
      </c>
    </row>
    <row r="479" spans="1:35" x14ac:dyDescent="0.45">
      <c r="A479" t="s">
        <v>1568</v>
      </c>
      <c r="B479">
        <v>55</v>
      </c>
      <c r="C479" t="s">
        <v>45</v>
      </c>
      <c r="D479" t="s">
        <v>95</v>
      </c>
      <c r="E479" t="s">
        <v>78</v>
      </c>
      <c r="F479" t="s">
        <v>2614</v>
      </c>
      <c r="G479" t="s">
        <v>131</v>
      </c>
      <c r="H479" t="s">
        <v>32</v>
      </c>
      <c r="I479" t="s">
        <v>33</v>
      </c>
      <c r="J479" t="s">
        <v>1569</v>
      </c>
      <c r="K479" t="s">
        <v>1570</v>
      </c>
      <c r="L479" t="s">
        <v>64</v>
      </c>
      <c r="M479" t="s">
        <v>2627</v>
      </c>
      <c r="N479" t="s">
        <v>1571</v>
      </c>
      <c r="O479" t="s">
        <v>64</v>
      </c>
      <c r="P479" t="s">
        <v>110</v>
      </c>
      <c r="Q479" t="s">
        <v>40</v>
      </c>
      <c r="R479">
        <v>59</v>
      </c>
      <c r="S479">
        <v>0</v>
      </c>
      <c r="T479" t="s">
        <v>41</v>
      </c>
      <c r="U479" t="s">
        <v>57</v>
      </c>
      <c r="V479">
        <v>4.76</v>
      </c>
      <c r="W479">
        <v>3.03</v>
      </c>
      <c r="X479">
        <v>4.7</v>
      </c>
      <c r="Y479">
        <v>20.6</v>
      </c>
      <c r="Z479">
        <v>17.2</v>
      </c>
      <c r="AA479">
        <f>VALUE(SUBSTITUTE(DACS19___Pfizer’s_Personalised_Medicine_in[[#This Row],[Dose]],"mg",""))</f>
        <v>150</v>
      </c>
      <c r="AB479">
        <f t="shared" si="49"/>
        <v>150</v>
      </c>
      <c r="AC479" t="s">
        <v>40</v>
      </c>
      <c r="AD479">
        <f t="shared" si="50"/>
        <v>3</v>
      </c>
      <c r="AE479">
        <f t="shared" si="51"/>
        <v>1</v>
      </c>
      <c r="AF479" t="e">
        <f t="shared" si="52"/>
        <v>#N/A</v>
      </c>
      <c r="AG479" t="e">
        <f t="shared" si="53"/>
        <v>#N/A</v>
      </c>
      <c r="AH479">
        <f t="shared" si="54"/>
        <v>3.03</v>
      </c>
      <c r="AI479" t="e">
        <f t="shared" si="55"/>
        <v>#N/A</v>
      </c>
    </row>
    <row r="480" spans="1:35" x14ac:dyDescent="0.45">
      <c r="A480" t="s">
        <v>1572</v>
      </c>
      <c r="B480">
        <v>58</v>
      </c>
      <c r="C480" t="s">
        <v>45</v>
      </c>
      <c r="D480" t="s">
        <v>87</v>
      </c>
      <c r="E480" t="s">
        <v>2614</v>
      </c>
      <c r="F480" t="s">
        <v>2614</v>
      </c>
      <c r="G480" t="s">
        <v>96</v>
      </c>
      <c r="H480" t="s">
        <v>81</v>
      </c>
      <c r="I480" t="s">
        <v>33</v>
      </c>
      <c r="J480" t="s">
        <v>1474</v>
      </c>
      <c r="K480" t="s">
        <v>1223</v>
      </c>
      <c r="L480" t="s">
        <v>92</v>
      </c>
      <c r="M480" t="s">
        <v>2615</v>
      </c>
      <c r="N480" t="s">
        <v>1544</v>
      </c>
      <c r="O480" t="s">
        <v>92</v>
      </c>
      <c r="P480" t="s">
        <v>39</v>
      </c>
      <c r="Q480" t="s">
        <v>75</v>
      </c>
      <c r="R480">
        <v>112</v>
      </c>
      <c r="S480">
        <v>1</v>
      </c>
      <c r="T480" t="s">
        <v>137</v>
      </c>
      <c r="U480" t="s">
        <v>57</v>
      </c>
      <c r="V480">
        <v>2.33</v>
      </c>
      <c r="W480">
        <v>3.77</v>
      </c>
      <c r="X480">
        <v>7.9</v>
      </c>
      <c r="Y480">
        <v>17.8</v>
      </c>
      <c r="Z480">
        <v>5.6</v>
      </c>
      <c r="AA480">
        <f>VALUE(SUBSTITUTE(DACS19___Pfizer’s_Personalised_Medicine_in[[#This Row],[Dose]],"mg",""))</f>
        <v>50</v>
      </c>
      <c r="AB480">
        <f t="shared" si="49"/>
        <v>50</v>
      </c>
      <c r="AC480" t="s">
        <v>75</v>
      </c>
      <c r="AD480">
        <f t="shared" si="50"/>
        <v>1</v>
      </c>
      <c r="AE480">
        <f t="shared" si="51"/>
        <v>3</v>
      </c>
      <c r="AF480" t="e">
        <f t="shared" si="52"/>
        <v>#N/A</v>
      </c>
      <c r="AG480" t="e">
        <f t="shared" si="53"/>
        <v>#N/A</v>
      </c>
      <c r="AH480" t="e">
        <f t="shared" si="54"/>
        <v>#N/A</v>
      </c>
      <c r="AI480">
        <f t="shared" si="55"/>
        <v>3.77</v>
      </c>
    </row>
    <row r="481" spans="1:35" x14ac:dyDescent="0.45">
      <c r="A481" t="s">
        <v>1573</v>
      </c>
      <c r="B481">
        <v>70</v>
      </c>
      <c r="C481" t="s">
        <v>44</v>
      </c>
      <c r="D481" t="s">
        <v>95</v>
      </c>
      <c r="E481" t="s">
        <v>78</v>
      </c>
      <c r="F481" t="s">
        <v>88</v>
      </c>
      <c r="G481" t="s">
        <v>184</v>
      </c>
      <c r="H481" t="s">
        <v>81</v>
      </c>
      <c r="I481" t="s">
        <v>72</v>
      </c>
      <c r="J481" t="s">
        <v>1574</v>
      </c>
      <c r="K481" t="s">
        <v>1575</v>
      </c>
      <c r="L481" t="s">
        <v>64</v>
      </c>
      <c r="M481" t="s">
        <v>1291</v>
      </c>
      <c r="N481" t="s">
        <v>507</v>
      </c>
      <c r="O481" t="s">
        <v>64</v>
      </c>
      <c r="P481" t="s">
        <v>39</v>
      </c>
      <c r="Q481" t="s">
        <v>75</v>
      </c>
      <c r="R481">
        <v>82</v>
      </c>
      <c r="S481">
        <v>1</v>
      </c>
      <c r="T481" t="s">
        <v>123</v>
      </c>
      <c r="U481" t="s">
        <v>57</v>
      </c>
      <c r="V481">
        <v>4.5</v>
      </c>
      <c r="W481">
        <v>3.16</v>
      </c>
      <c r="X481">
        <v>3.5</v>
      </c>
      <c r="Y481">
        <v>13.7</v>
      </c>
      <c r="Z481">
        <v>3.6</v>
      </c>
      <c r="AA481">
        <f>VALUE(SUBSTITUTE(DACS19___Pfizer’s_Personalised_Medicine_in[[#This Row],[Dose]],"mg",""))</f>
        <v>150</v>
      </c>
      <c r="AB481">
        <f t="shared" si="49"/>
        <v>150</v>
      </c>
      <c r="AC481" t="s">
        <v>75</v>
      </c>
      <c r="AD481">
        <f t="shared" si="50"/>
        <v>1</v>
      </c>
      <c r="AE481">
        <f t="shared" si="51"/>
        <v>3</v>
      </c>
      <c r="AF481" t="e">
        <f t="shared" si="52"/>
        <v>#N/A</v>
      </c>
      <c r="AG481" t="e">
        <f t="shared" si="53"/>
        <v>#N/A</v>
      </c>
      <c r="AH481" t="e">
        <f t="shared" si="54"/>
        <v>#N/A</v>
      </c>
      <c r="AI481">
        <f t="shared" si="55"/>
        <v>3.16</v>
      </c>
    </row>
    <row r="482" spans="1:35" x14ac:dyDescent="0.45">
      <c r="A482" t="s">
        <v>1576</v>
      </c>
      <c r="B482">
        <v>34</v>
      </c>
      <c r="C482" t="s">
        <v>45</v>
      </c>
      <c r="D482" t="s">
        <v>45</v>
      </c>
      <c r="E482" t="s">
        <v>163</v>
      </c>
      <c r="F482" t="s">
        <v>2614</v>
      </c>
      <c r="G482" t="s">
        <v>164</v>
      </c>
      <c r="H482" t="s">
        <v>81</v>
      </c>
      <c r="I482" t="s">
        <v>49</v>
      </c>
      <c r="J482" t="s">
        <v>1577</v>
      </c>
      <c r="K482" t="s">
        <v>814</v>
      </c>
      <c r="L482" t="s">
        <v>92</v>
      </c>
      <c r="M482" t="s">
        <v>221</v>
      </c>
      <c r="N482" t="s">
        <v>203</v>
      </c>
      <c r="O482" t="s">
        <v>92</v>
      </c>
      <c r="P482" t="s">
        <v>39</v>
      </c>
      <c r="Q482" t="s">
        <v>67</v>
      </c>
      <c r="R482">
        <v>167</v>
      </c>
      <c r="S482">
        <v>1</v>
      </c>
      <c r="T482" t="s">
        <v>56</v>
      </c>
      <c r="U482" t="s">
        <v>42</v>
      </c>
      <c r="V482">
        <v>1.51</v>
      </c>
      <c r="W482">
        <v>4.0599999999999996</v>
      </c>
      <c r="X482">
        <v>1</v>
      </c>
      <c r="Y482">
        <v>13.5</v>
      </c>
      <c r="Z482">
        <v>11.9</v>
      </c>
      <c r="AA482">
        <f>VALUE(SUBSTITUTE(DACS19___Pfizer’s_Personalised_Medicine_in[[#This Row],[Dose]],"mg",""))</f>
        <v>50</v>
      </c>
      <c r="AB482">
        <f t="shared" si="49"/>
        <v>50</v>
      </c>
      <c r="AC482" t="s">
        <v>67</v>
      </c>
      <c r="AD482">
        <f t="shared" si="50"/>
        <v>2</v>
      </c>
      <c r="AE482">
        <f t="shared" si="51"/>
        <v>3</v>
      </c>
      <c r="AF482" t="e">
        <f t="shared" si="52"/>
        <v>#N/A</v>
      </c>
      <c r="AG482" t="e">
        <f t="shared" si="53"/>
        <v>#N/A</v>
      </c>
      <c r="AH482" t="e">
        <f t="shared" si="54"/>
        <v>#N/A</v>
      </c>
      <c r="AI482">
        <f t="shared" si="55"/>
        <v>4.0599999999999996</v>
      </c>
    </row>
    <row r="483" spans="1:35" x14ac:dyDescent="0.45">
      <c r="A483" t="s">
        <v>1578</v>
      </c>
      <c r="B483">
        <v>55</v>
      </c>
      <c r="C483" t="s">
        <v>27</v>
      </c>
      <c r="D483" t="s">
        <v>28</v>
      </c>
      <c r="E483" t="s">
        <v>2614</v>
      </c>
      <c r="F483" t="s">
        <v>69</v>
      </c>
      <c r="G483" t="s">
        <v>60</v>
      </c>
      <c r="H483" t="s">
        <v>61</v>
      </c>
      <c r="I483" t="s">
        <v>49</v>
      </c>
      <c r="J483" t="s">
        <v>854</v>
      </c>
      <c r="K483" t="s">
        <v>1030</v>
      </c>
      <c r="L483" t="s">
        <v>36</v>
      </c>
      <c r="M483" t="s">
        <v>274</v>
      </c>
      <c r="N483" t="s">
        <v>452</v>
      </c>
      <c r="O483" t="s">
        <v>36</v>
      </c>
      <c r="P483" t="s">
        <v>55</v>
      </c>
      <c r="Q483" t="s">
        <v>129</v>
      </c>
      <c r="R483">
        <v>88</v>
      </c>
      <c r="S483">
        <v>0</v>
      </c>
      <c r="T483" t="s">
        <v>41</v>
      </c>
      <c r="U483" t="s">
        <v>42</v>
      </c>
      <c r="V483">
        <v>1.22</v>
      </c>
      <c r="W483">
        <v>4.8899999999999997</v>
      </c>
      <c r="X483">
        <v>3</v>
      </c>
      <c r="Y483">
        <v>11.5</v>
      </c>
      <c r="Z483">
        <v>8.1999999999999993</v>
      </c>
      <c r="AA483">
        <f>VALUE(SUBSTITUTE(DACS19___Pfizer’s_Personalised_Medicine_in[[#This Row],[Dose]],"mg",""))</f>
        <v>200</v>
      </c>
      <c r="AB483">
        <f t="shared" si="49"/>
        <v>200</v>
      </c>
      <c r="AC483" t="s">
        <v>129</v>
      </c>
      <c r="AD483">
        <f t="shared" si="50"/>
        <v>4</v>
      </c>
      <c r="AE483">
        <f t="shared" si="51"/>
        <v>2</v>
      </c>
      <c r="AF483">
        <f t="shared" si="52"/>
        <v>4.8899999999999997</v>
      </c>
      <c r="AG483" t="e">
        <f t="shared" si="53"/>
        <v>#N/A</v>
      </c>
      <c r="AH483" t="e">
        <f t="shared" si="54"/>
        <v>#N/A</v>
      </c>
      <c r="AI483" t="e">
        <f t="shared" si="55"/>
        <v>#N/A</v>
      </c>
    </row>
    <row r="484" spans="1:35" x14ac:dyDescent="0.45">
      <c r="A484" t="s">
        <v>1579</v>
      </c>
      <c r="B484">
        <v>52</v>
      </c>
      <c r="C484" t="s">
        <v>45</v>
      </c>
      <c r="D484" t="s">
        <v>87</v>
      </c>
      <c r="E484" t="s">
        <v>78</v>
      </c>
      <c r="F484" t="s">
        <v>2614</v>
      </c>
      <c r="G484" t="s">
        <v>96</v>
      </c>
      <c r="H484" t="s">
        <v>32</v>
      </c>
      <c r="I484" t="s">
        <v>49</v>
      </c>
      <c r="J484" t="s">
        <v>669</v>
      </c>
      <c r="K484" t="s">
        <v>1580</v>
      </c>
      <c r="L484" t="s">
        <v>36</v>
      </c>
      <c r="M484" t="s">
        <v>129</v>
      </c>
      <c r="N484" t="s">
        <v>754</v>
      </c>
      <c r="O484" t="s">
        <v>36</v>
      </c>
      <c r="P484" t="s">
        <v>110</v>
      </c>
      <c r="Q484" t="s">
        <v>75</v>
      </c>
      <c r="R484">
        <v>68</v>
      </c>
      <c r="S484">
        <v>0</v>
      </c>
      <c r="T484" t="s">
        <v>123</v>
      </c>
      <c r="U484" t="s">
        <v>57</v>
      </c>
      <c r="V484">
        <v>1.92</v>
      </c>
      <c r="W484">
        <v>1.01</v>
      </c>
      <c r="X484">
        <v>7.6</v>
      </c>
      <c r="Y484">
        <v>23.4</v>
      </c>
      <c r="Z484">
        <v>6.8</v>
      </c>
      <c r="AA484">
        <f>VALUE(SUBSTITUTE(DACS19___Pfizer’s_Personalised_Medicine_in[[#This Row],[Dose]],"mg",""))</f>
        <v>200</v>
      </c>
      <c r="AB484">
        <f t="shared" si="49"/>
        <v>200</v>
      </c>
      <c r="AC484" t="s">
        <v>75</v>
      </c>
      <c r="AD484">
        <f t="shared" si="50"/>
        <v>1</v>
      </c>
      <c r="AE484">
        <f t="shared" si="51"/>
        <v>1</v>
      </c>
      <c r="AF484" t="e">
        <f t="shared" si="52"/>
        <v>#N/A</v>
      </c>
      <c r="AG484" t="e">
        <f t="shared" si="53"/>
        <v>#N/A</v>
      </c>
      <c r="AH484">
        <f t="shared" si="54"/>
        <v>1.01</v>
      </c>
      <c r="AI484" t="e">
        <f t="shared" si="55"/>
        <v>#N/A</v>
      </c>
    </row>
    <row r="485" spans="1:35" x14ac:dyDescent="0.45">
      <c r="A485" t="s">
        <v>1581</v>
      </c>
      <c r="B485">
        <v>42</v>
      </c>
      <c r="C485" t="s">
        <v>45</v>
      </c>
      <c r="D485" t="s">
        <v>28</v>
      </c>
      <c r="E485" t="s">
        <v>2614</v>
      </c>
      <c r="F485" t="s">
        <v>88</v>
      </c>
      <c r="G485" t="s">
        <v>276</v>
      </c>
      <c r="H485" t="s">
        <v>32</v>
      </c>
      <c r="I485" t="s">
        <v>33</v>
      </c>
      <c r="J485" t="s">
        <v>338</v>
      </c>
      <c r="K485" t="s">
        <v>858</v>
      </c>
      <c r="L485" t="s">
        <v>36</v>
      </c>
      <c r="M485" t="s">
        <v>2628</v>
      </c>
      <c r="N485" t="s">
        <v>313</v>
      </c>
      <c r="O485" t="s">
        <v>36</v>
      </c>
      <c r="P485" t="s">
        <v>39</v>
      </c>
      <c r="Q485" t="s">
        <v>40</v>
      </c>
      <c r="R485">
        <v>173</v>
      </c>
      <c r="S485">
        <v>1</v>
      </c>
      <c r="T485" t="s">
        <v>137</v>
      </c>
      <c r="U485" t="s">
        <v>57</v>
      </c>
      <c r="V485">
        <v>3.65</v>
      </c>
      <c r="W485">
        <v>3.97</v>
      </c>
      <c r="X485">
        <v>8.6</v>
      </c>
      <c r="Y485">
        <v>13.6</v>
      </c>
      <c r="Z485">
        <v>8.1</v>
      </c>
      <c r="AA485">
        <f>VALUE(SUBSTITUTE(DACS19___Pfizer’s_Personalised_Medicine_in[[#This Row],[Dose]],"mg",""))</f>
        <v>200</v>
      </c>
      <c r="AB485">
        <f t="shared" si="49"/>
        <v>200</v>
      </c>
      <c r="AC485" t="s">
        <v>40</v>
      </c>
      <c r="AD485">
        <f t="shared" si="50"/>
        <v>3</v>
      </c>
      <c r="AE485">
        <f t="shared" si="51"/>
        <v>3</v>
      </c>
      <c r="AF485" t="e">
        <f t="shared" si="52"/>
        <v>#N/A</v>
      </c>
      <c r="AG485" t="e">
        <f t="shared" si="53"/>
        <v>#N/A</v>
      </c>
      <c r="AH485">
        <f t="shared" si="54"/>
        <v>3.97</v>
      </c>
      <c r="AI485" t="e">
        <f t="shared" si="55"/>
        <v>#N/A</v>
      </c>
    </row>
    <row r="486" spans="1:35" x14ac:dyDescent="0.45">
      <c r="A486" t="s">
        <v>1582</v>
      </c>
      <c r="B486">
        <v>54</v>
      </c>
      <c r="C486" t="s">
        <v>45</v>
      </c>
      <c r="D486" t="s">
        <v>45</v>
      </c>
      <c r="E486" t="s">
        <v>29</v>
      </c>
      <c r="F486" t="s">
        <v>88</v>
      </c>
      <c r="G486" t="s">
        <v>70</v>
      </c>
      <c r="H486" t="s">
        <v>81</v>
      </c>
      <c r="I486" t="s">
        <v>132</v>
      </c>
      <c r="J486" t="s">
        <v>1583</v>
      </c>
      <c r="K486" t="s">
        <v>1584</v>
      </c>
      <c r="L486" t="s">
        <v>52</v>
      </c>
      <c r="M486" t="s">
        <v>304</v>
      </c>
      <c r="N486" t="s">
        <v>711</v>
      </c>
      <c r="O486" t="s">
        <v>52</v>
      </c>
      <c r="P486" t="s">
        <v>55</v>
      </c>
      <c r="Q486" t="s">
        <v>40</v>
      </c>
      <c r="R486">
        <v>174</v>
      </c>
      <c r="S486">
        <v>0</v>
      </c>
      <c r="T486" t="s">
        <v>123</v>
      </c>
      <c r="U486" t="s">
        <v>57</v>
      </c>
      <c r="V486">
        <v>2.2999999999999998</v>
      </c>
      <c r="W486">
        <v>3.85</v>
      </c>
      <c r="X486">
        <v>8.4</v>
      </c>
      <c r="Y486">
        <v>9.3000000000000007</v>
      </c>
      <c r="Z486">
        <v>9.3000000000000007</v>
      </c>
      <c r="AA486">
        <f>VALUE(SUBSTITUTE(DACS19___Pfizer’s_Personalised_Medicine_in[[#This Row],[Dose]],"mg",""))</f>
        <v>100</v>
      </c>
      <c r="AB486">
        <f t="shared" si="49"/>
        <v>100</v>
      </c>
      <c r="AC486" t="s">
        <v>40</v>
      </c>
      <c r="AD486">
        <f t="shared" si="50"/>
        <v>3</v>
      </c>
      <c r="AE486">
        <f t="shared" si="51"/>
        <v>2</v>
      </c>
      <c r="AF486" t="e">
        <f t="shared" si="52"/>
        <v>#N/A</v>
      </c>
      <c r="AG486" t="e">
        <f t="shared" si="53"/>
        <v>#N/A</v>
      </c>
      <c r="AH486" t="e">
        <f t="shared" si="54"/>
        <v>#N/A</v>
      </c>
      <c r="AI486">
        <f t="shared" si="55"/>
        <v>3.85</v>
      </c>
    </row>
    <row r="487" spans="1:35" x14ac:dyDescent="0.45">
      <c r="A487" t="s">
        <v>1585</v>
      </c>
      <c r="B487">
        <v>60</v>
      </c>
      <c r="C487" t="s">
        <v>27</v>
      </c>
      <c r="D487" t="s">
        <v>87</v>
      </c>
      <c r="E487" t="s">
        <v>163</v>
      </c>
      <c r="F487" t="s">
        <v>2614</v>
      </c>
      <c r="G487" t="s">
        <v>89</v>
      </c>
      <c r="H487" t="s">
        <v>81</v>
      </c>
      <c r="I487" t="s">
        <v>72</v>
      </c>
      <c r="J487" t="s">
        <v>1586</v>
      </c>
      <c r="K487" t="s">
        <v>1587</v>
      </c>
      <c r="L487" t="s">
        <v>36</v>
      </c>
      <c r="M487" t="s">
        <v>309</v>
      </c>
      <c r="N487" t="s">
        <v>571</v>
      </c>
      <c r="O487" t="s">
        <v>36</v>
      </c>
      <c r="P487" t="s">
        <v>55</v>
      </c>
      <c r="Q487" t="s">
        <v>2614</v>
      </c>
      <c r="R487">
        <v>135</v>
      </c>
      <c r="S487">
        <v>0</v>
      </c>
      <c r="T487" t="s">
        <v>137</v>
      </c>
      <c r="U487" t="s">
        <v>57</v>
      </c>
      <c r="V487">
        <v>4.6100000000000003</v>
      </c>
      <c r="W487">
        <v>4.2300000000000004</v>
      </c>
      <c r="X487">
        <v>9.9</v>
      </c>
      <c r="Y487">
        <v>19.600000000000001</v>
      </c>
      <c r="Z487">
        <v>9.6999999999999993</v>
      </c>
      <c r="AA487">
        <f>VALUE(SUBSTITUTE(DACS19___Pfizer’s_Personalised_Medicine_in[[#This Row],[Dose]],"mg",""))</f>
        <v>200</v>
      </c>
      <c r="AB487">
        <f t="shared" si="49"/>
        <v>200</v>
      </c>
      <c r="AC487" t="s">
        <v>2614</v>
      </c>
      <c r="AD487">
        <f t="shared" si="50"/>
        <v>0</v>
      </c>
      <c r="AE487">
        <f t="shared" si="51"/>
        <v>2</v>
      </c>
      <c r="AF487" t="e">
        <f t="shared" si="52"/>
        <v>#N/A</v>
      </c>
      <c r="AG487" t="e">
        <f t="shared" si="53"/>
        <v>#N/A</v>
      </c>
      <c r="AH487" t="e">
        <f t="shared" si="54"/>
        <v>#N/A</v>
      </c>
      <c r="AI487">
        <f t="shared" si="55"/>
        <v>4.2300000000000004</v>
      </c>
    </row>
    <row r="488" spans="1:35" x14ac:dyDescent="0.45">
      <c r="A488" t="s">
        <v>1588</v>
      </c>
      <c r="B488">
        <v>37</v>
      </c>
      <c r="C488" t="s">
        <v>27</v>
      </c>
      <c r="D488" t="s">
        <v>28</v>
      </c>
      <c r="E488" t="s">
        <v>29</v>
      </c>
      <c r="F488" t="s">
        <v>2614</v>
      </c>
      <c r="G488" t="s">
        <v>164</v>
      </c>
      <c r="H488" t="s">
        <v>32</v>
      </c>
      <c r="I488" t="s">
        <v>72</v>
      </c>
      <c r="J488" t="s">
        <v>1589</v>
      </c>
      <c r="K488" t="s">
        <v>1590</v>
      </c>
      <c r="L488" t="s">
        <v>64</v>
      </c>
      <c r="M488" t="s">
        <v>2642</v>
      </c>
      <c r="N488" t="s">
        <v>1326</v>
      </c>
      <c r="O488" t="s">
        <v>64</v>
      </c>
      <c r="P488" t="s">
        <v>55</v>
      </c>
      <c r="Q488" t="s">
        <v>75</v>
      </c>
      <c r="R488">
        <v>172</v>
      </c>
      <c r="S488">
        <v>0</v>
      </c>
      <c r="T488" t="s">
        <v>123</v>
      </c>
      <c r="U488" t="s">
        <v>42</v>
      </c>
      <c r="V488">
        <v>3.36</v>
      </c>
      <c r="W488">
        <v>3.64</v>
      </c>
      <c r="X488">
        <v>1.7</v>
      </c>
      <c r="Y488">
        <v>15.8</v>
      </c>
      <c r="Z488">
        <v>15.1</v>
      </c>
      <c r="AA488">
        <f>VALUE(SUBSTITUTE(DACS19___Pfizer’s_Personalised_Medicine_in[[#This Row],[Dose]],"mg",""))</f>
        <v>150</v>
      </c>
      <c r="AB488">
        <f t="shared" si="49"/>
        <v>150</v>
      </c>
      <c r="AC488" t="s">
        <v>75</v>
      </c>
      <c r="AD488">
        <f t="shared" si="50"/>
        <v>1</v>
      </c>
      <c r="AE488">
        <f t="shared" si="51"/>
        <v>2</v>
      </c>
      <c r="AF488" t="e">
        <f t="shared" si="52"/>
        <v>#N/A</v>
      </c>
      <c r="AG488" t="e">
        <f t="shared" si="53"/>
        <v>#N/A</v>
      </c>
      <c r="AH488">
        <f t="shared" si="54"/>
        <v>3.64</v>
      </c>
      <c r="AI488" t="e">
        <f t="shared" si="55"/>
        <v>#N/A</v>
      </c>
    </row>
    <row r="489" spans="1:35" x14ac:dyDescent="0.45">
      <c r="A489" t="s">
        <v>1591</v>
      </c>
      <c r="B489">
        <v>72</v>
      </c>
      <c r="C489" t="s">
        <v>45</v>
      </c>
      <c r="D489" t="s">
        <v>87</v>
      </c>
      <c r="E489" t="s">
        <v>78</v>
      </c>
      <c r="F489" t="s">
        <v>88</v>
      </c>
      <c r="G489" t="s">
        <v>112</v>
      </c>
      <c r="H489" t="s">
        <v>61</v>
      </c>
      <c r="I489" t="s">
        <v>72</v>
      </c>
      <c r="J489" t="s">
        <v>1592</v>
      </c>
      <c r="K489" t="s">
        <v>1593</v>
      </c>
      <c r="L489" t="s">
        <v>92</v>
      </c>
      <c r="M489" t="s">
        <v>1291</v>
      </c>
      <c r="N489" t="s">
        <v>262</v>
      </c>
      <c r="O489" t="s">
        <v>92</v>
      </c>
      <c r="P489" t="s">
        <v>110</v>
      </c>
      <c r="Q489" t="s">
        <v>40</v>
      </c>
      <c r="R489">
        <v>65</v>
      </c>
      <c r="S489">
        <v>0</v>
      </c>
      <c r="T489" t="s">
        <v>85</v>
      </c>
      <c r="U489" t="s">
        <v>57</v>
      </c>
      <c r="V489">
        <v>1.67</v>
      </c>
      <c r="W489">
        <v>4.12</v>
      </c>
      <c r="X489">
        <v>6.3</v>
      </c>
      <c r="Y489">
        <v>23.1</v>
      </c>
      <c r="Z489">
        <v>3.7</v>
      </c>
      <c r="AA489">
        <f>VALUE(SUBSTITUTE(DACS19___Pfizer’s_Personalised_Medicine_in[[#This Row],[Dose]],"mg",""))</f>
        <v>50</v>
      </c>
      <c r="AB489">
        <f t="shared" si="49"/>
        <v>50</v>
      </c>
      <c r="AC489" t="s">
        <v>40</v>
      </c>
      <c r="AD489">
        <f t="shared" si="50"/>
        <v>3</v>
      </c>
      <c r="AE489">
        <f t="shared" si="51"/>
        <v>1</v>
      </c>
      <c r="AF489">
        <f t="shared" si="52"/>
        <v>4.12</v>
      </c>
      <c r="AG489" t="e">
        <f t="shared" si="53"/>
        <v>#N/A</v>
      </c>
      <c r="AH489" t="e">
        <f t="shared" si="54"/>
        <v>#N/A</v>
      </c>
      <c r="AI489" t="e">
        <f t="shared" si="55"/>
        <v>#N/A</v>
      </c>
    </row>
    <row r="490" spans="1:35" x14ac:dyDescent="0.45">
      <c r="A490" t="s">
        <v>1594</v>
      </c>
      <c r="B490">
        <v>69</v>
      </c>
      <c r="C490" t="s">
        <v>27</v>
      </c>
      <c r="D490" t="s">
        <v>28</v>
      </c>
      <c r="E490" t="s">
        <v>163</v>
      </c>
      <c r="F490" t="s">
        <v>59</v>
      </c>
      <c r="G490" t="s">
        <v>184</v>
      </c>
      <c r="H490" t="s">
        <v>32</v>
      </c>
      <c r="I490" t="s">
        <v>132</v>
      </c>
      <c r="J490" t="s">
        <v>1595</v>
      </c>
      <c r="K490" t="s">
        <v>1596</v>
      </c>
      <c r="L490" t="s">
        <v>64</v>
      </c>
      <c r="M490" t="s">
        <v>2654</v>
      </c>
      <c r="N490" t="s">
        <v>926</v>
      </c>
      <c r="O490" t="s">
        <v>64</v>
      </c>
      <c r="P490" t="s">
        <v>55</v>
      </c>
      <c r="Q490" t="s">
        <v>40</v>
      </c>
      <c r="R490">
        <v>148</v>
      </c>
      <c r="S490">
        <v>0</v>
      </c>
      <c r="T490" t="s">
        <v>41</v>
      </c>
      <c r="U490" t="s">
        <v>57</v>
      </c>
      <c r="V490">
        <v>2.06</v>
      </c>
      <c r="W490">
        <v>3.41</v>
      </c>
      <c r="X490">
        <v>3.7</v>
      </c>
      <c r="Y490">
        <v>18.899999999999999</v>
      </c>
      <c r="Z490">
        <v>15.9</v>
      </c>
      <c r="AA490">
        <f>VALUE(SUBSTITUTE(DACS19___Pfizer’s_Personalised_Medicine_in[[#This Row],[Dose]],"mg",""))</f>
        <v>150</v>
      </c>
      <c r="AB490">
        <f t="shared" si="49"/>
        <v>150</v>
      </c>
      <c r="AC490" t="s">
        <v>40</v>
      </c>
      <c r="AD490">
        <f t="shared" si="50"/>
        <v>3</v>
      </c>
      <c r="AE490">
        <f t="shared" si="51"/>
        <v>2</v>
      </c>
      <c r="AF490" t="e">
        <f t="shared" si="52"/>
        <v>#N/A</v>
      </c>
      <c r="AG490" t="e">
        <f t="shared" si="53"/>
        <v>#N/A</v>
      </c>
      <c r="AH490">
        <f t="shared" si="54"/>
        <v>3.41</v>
      </c>
      <c r="AI490" t="e">
        <f t="shared" si="55"/>
        <v>#N/A</v>
      </c>
    </row>
    <row r="491" spans="1:35" x14ac:dyDescent="0.45">
      <c r="A491" t="s">
        <v>1598</v>
      </c>
      <c r="B491">
        <v>35</v>
      </c>
      <c r="C491" t="s">
        <v>27</v>
      </c>
      <c r="D491" t="s">
        <v>45</v>
      </c>
      <c r="E491" t="s">
        <v>78</v>
      </c>
      <c r="F491" t="s">
        <v>47</v>
      </c>
      <c r="G491" t="s">
        <v>112</v>
      </c>
      <c r="H491" t="s">
        <v>71</v>
      </c>
      <c r="I491" t="s">
        <v>33</v>
      </c>
      <c r="J491" t="s">
        <v>1599</v>
      </c>
      <c r="K491" t="s">
        <v>1600</v>
      </c>
      <c r="L491" t="s">
        <v>52</v>
      </c>
      <c r="M491" t="s">
        <v>129</v>
      </c>
      <c r="N491" t="s">
        <v>203</v>
      </c>
      <c r="O491" t="s">
        <v>52</v>
      </c>
      <c r="P491" t="s">
        <v>55</v>
      </c>
      <c r="Q491" t="s">
        <v>2614</v>
      </c>
      <c r="R491">
        <v>54</v>
      </c>
      <c r="S491">
        <v>0</v>
      </c>
      <c r="T491" t="s">
        <v>123</v>
      </c>
      <c r="U491" t="s">
        <v>57</v>
      </c>
      <c r="V491">
        <v>1.41</v>
      </c>
      <c r="W491">
        <v>3.06</v>
      </c>
      <c r="X491">
        <v>5.6</v>
      </c>
      <c r="Y491">
        <v>12.6</v>
      </c>
      <c r="Z491">
        <v>18.899999999999999</v>
      </c>
      <c r="AA491">
        <f>VALUE(SUBSTITUTE(DACS19___Pfizer’s_Personalised_Medicine_in[[#This Row],[Dose]],"mg",""))</f>
        <v>100</v>
      </c>
      <c r="AB491">
        <f t="shared" si="49"/>
        <v>100</v>
      </c>
      <c r="AC491" t="s">
        <v>2614</v>
      </c>
      <c r="AD491">
        <f t="shared" si="50"/>
        <v>0</v>
      </c>
      <c r="AE491">
        <f t="shared" si="51"/>
        <v>2</v>
      </c>
      <c r="AF491" t="e">
        <f t="shared" si="52"/>
        <v>#N/A</v>
      </c>
      <c r="AG491">
        <f t="shared" si="53"/>
        <v>3.06</v>
      </c>
      <c r="AH491" t="e">
        <f t="shared" si="54"/>
        <v>#N/A</v>
      </c>
      <c r="AI491" t="e">
        <f t="shared" si="55"/>
        <v>#N/A</v>
      </c>
    </row>
    <row r="492" spans="1:35" x14ac:dyDescent="0.45">
      <c r="A492" t="s">
        <v>1601</v>
      </c>
      <c r="B492">
        <v>38</v>
      </c>
      <c r="C492" t="s">
        <v>27</v>
      </c>
      <c r="D492" t="s">
        <v>28</v>
      </c>
      <c r="E492" t="s">
        <v>29</v>
      </c>
      <c r="F492" t="s">
        <v>2614</v>
      </c>
      <c r="G492" t="s">
        <v>194</v>
      </c>
      <c r="H492" t="s">
        <v>61</v>
      </c>
      <c r="I492" t="s">
        <v>72</v>
      </c>
      <c r="J492" t="s">
        <v>1602</v>
      </c>
      <c r="K492" t="s">
        <v>1575</v>
      </c>
      <c r="L492" t="s">
        <v>64</v>
      </c>
      <c r="M492" t="s">
        <v>378</v>
      </c>
      <c r="N492" t="s">
        <v>818</v>
      </c>
      <c r="O492" t="s">
        <v>64</v>
      </c>
      <c r="P492" t="s">
        <v>110</v>
      </c>
      <c r="Q492" t="s">
        <v>75</v>
      </c>
      <c r="R492">
        <v>81</v>
      </c>
      <c r="S492">
        <v>0</v>
      </c>
      <c r="T492" t="s">
        <v>123</v>
      </c>
      <c r="U492" t="s">
        <v>42</v>
      </c>
      <c r="V492">
        <v>4.3099999999999996</v>
      </c>
      <c r="W492">
        <v>3.79</v>
      </c>
      <c r="X492">
        <v>7.4</v>
      </c>
      <c r="Y492">
        <v>14.3</v>
      </c>
      <c r="Z492">
        <v>18.7</v>
      </c>
      <c r="AA492">
        <f>VALUE(SUBSTITUTE(DACS19___Pfizer’s_Personalised_Medicine_in[[#This Row],[Dose]],"mg",""))</f>
        <v>150</v>
      </c>
      <c r="AB492">
        <f t="shared" si="49"/>
        <v>150</v>
      </c>
      <c r="AC492" t="s">
        <v>75</v>
      </c>
      <c r="AD492">
        <f t="shared" si="50"/>
        <v>1</v>
      </c>
      <c r="AE492">
        <f t="shared" si="51"/>
        <v>1</v>
      </c>
      <c r="AF492">
        <f t="shared" si="52"/>
        <v>3.79</v>
      </c>
      <c r="AG492" t="e">
        <f t="shared" si="53"/>
        <v>#N/A</v>
      </c>
      <c r="AH492" t="e">
        <f t="shared" si="54"/>
        <v>#N/A</v>
      </c>
      <c r="AI492" t="e">
        <f t="shared" si="55"/>
        <v>#N/A</v>
      </c>
    </row>
    <row r="493" spans="1:35" x14ac:dyDescent="0.45">
      <c r="A493" t="s">
        <v>1603</v>
      </c>
      <c r="B493">
        <v>31</v>
      </c>
      <c r="C493" t="s">
        <v>45</v>
      </c>
      <c r="D493" t="s">
        <v>106</v>
      </c>
      <c r="E493" t="s">
        <v>2614</v>
      </c>
      <c r="F493" t="s">
        <v>69</v>
      </c>
      <c r="G493" t="s">
        <v>102</v>
      </c>
      <c r="H493" t="s">
        <v>71</v>
      </c>
      <c r="I493" t="s">
        <v>33</v>
      </c>
      <c r="J493" t="s">
        <v>220</v>
      </c>
      <c r="K493" t="s">
        <v>1604</v>
      </c>
      <c r="L493" t="s">
        <v>64</v>
      </c>
      <c r="M493" t="s">
        <v>566</v>
      </c>
      <c r="N493" t="s">
        <v>958</v>
      </c>
      <c r="O493" t="s">
        <v>64</v>
      </c>
      <c r="P493" t="s">
        <v>39</v>
      </c>
      <c r="Q493" t="s">
        <v>67</v>
      </c>
      <c r="R493">
        <v>85</v>
      </c>
      <c r="S493">
        <v>1</v>
      </c>
      <c r="T493" t="s">
        <v>123</v>
      </c>
      <c r="U493" t="s">
        <v>42</v>
      </c>
      <c r="V493">
        <v>3.78</v>
      </c>
      <c r="W493">
        <v>3.92</v>
      </c>
      <c r="X493">
        <v>8.8000000000000007</v>
      </c>
      <c r="Y493">
        <v>10.9</v>
      </c>
      <c r="Z493">
        <v>16.7</v>
      </c>
      <c r="AA493">
        <f>VALUE(SUBSTITUTE(DACS19___Pfizer’s_Personalised_Medicine_in[[#This Row],[Dose]],"mg",""))</f>
        <v>150</v>
      </c>
      <c r="AB493">
        <f t="shared" si="49"/>
        <v>150</v>
      </c>
      <c r="AC493" t="s">
        <v>67</v>
      </c>
      <c r="AD493">
        <f t="shared" si="50"/>
        <v>2</v>
      </c>
      <c r="AE493">
        <f t="shared" si="51"/>
        <v>3</v>
      </c>
      <c r="AF493" t="e">
        <f t="shared" si="52"/>
        <v>#N/A</v>
      </c>
      <c r="AG493">
        <f t="shared" si="53"/>
        <v>3.92</v>
      </c>
      <c r="AH493" t="e">
        <f t="shared" si="54"/>
        <v>#N/A</v>
      </c>
      <c r="AI493" t="e">
        <f t="shared" si="55"/>
        <v>#N/A</v>
      </c>
    </row>
    <row r="494" spans="1:35" x14ac:dyDescent="0.45">
      <c r="A494" t="s">
        <v>1605</v>
      </c>
      <c r="B494">
        <v>36</v>
      </c>
      <c r="C494" t="s">
        <v>27</v>
      </c>
      <c r="D494" t="s">
        <v>95</v>
      </c>
      <c r="E494" t="s">
        <v>163</v>
      </c>
      <c r="F494" t="s">
        <v>88</v>
      </c>
      <c r="G494" t="s">
        <v>96</v>
      </c>
      <c r="H494" t="s">
        <v>81</v>
      </c>
      <c r="I494" t="s">
        <v>33</v>
      </c>
      <c r="J494" t="s">
        <v>1606</v>
      </c>
      <c r="K494" t="s">
        <v>1607</v>
      </c>
      <c r="L494" t="s">
        <v>92</v>
      </c>
      <c r="M494" t="s">
        <v>75</v>
      </c>
      <c r="N494" t="s">
        <v>1435</v>
      </c>
      <c r="O494" t="s">
        <v>92</v>
      </c>
      <c r="P494" t="s">
        <v>55</v>
      </c>
      <c r="Q494" t="s">
        <v>40</v>
      </c>
      <c r="R494">
        <v>151</v>
      </c>
      <c r="S494">
        <v>0</v>
      </c>
      <c r="T494" t="s">
        <v>137</v>
      </c>
      <c r="U494" t="s">
        <v>57</v>
      </c>
      <c r="V494">
        <v>1.78</v>
      </c>
      <c r="W494">
        <v>2.38</v>
      </c>
      <c r="X494">
        <v>4</v>
      </c>
      <c r="Y494">
        <v>23.6</v>
      </c>
      <c r="Z494">
        <v>17.600000000000001</v>
      </c>
      <c r="AA494">
        <f>VALUE(SUBSTITUTE(DACS19___Pfizer’s_Personalised_Medicine_in[[#This Row],[Dose]],"mg",""))</f>
        <v>50</v>
      </c>
      <c r="AB494">
        <f t="shared" si="49"/>
        <v>50</v>
      </c>
      <c r="AC494" t="s">
        <v>40</v>
      </c>
      <c r="AD494">
        <f t="shared" si="50"/>
        <v>3</v>
      </c>
      <c r="AE494">
        <f t="shared" si="51"/>
        <v>2</v>
      </c>
      <c r="AF494" t="e">
        <f t="shared" si="52"/>
        <v>#N/A</v>
      </c>
      <c r="AG494" t="e">
        <f t="shared" si="53"/>
        <v>#N/A</v>
      </c>
      <c r="AH494" t="e">
        <f t="shared" si="54"/>
        <v>#N/A</v>
      </c>
      <c r="AI494">
        <f t="shared" si="55"/>
        <v>2.38</v>
      </c>
    </row>
    <row r="495" spans="1:35" x14ac:dyDescent="0.45">
      <c r="A495" t="s">
        <v>1608</v>
      </c>
      <c r="B495">
        <v>84</v>
      </c>
      <c r="C495" t="s">
        <v>44</v>
      </c>
      <c r="D495" t="s">
        <v>45</v>
      </c>
      <c r="E495" t="s">
        <v>163</v>
      </c>
      <c r="F495" t="s">
        <v>2614</v>
      </c>
      <c r="G495" t="s">
        <v>89</v>
      </c>
      <c r="H495" t="s">
        <v>71</v>
      </c>
      <c r="I495" t="s">
        <v>132</v>
      </c>
      <c r="J495" t="s">
        <v>1073</v>
      </c>
      <c r="K495" t="s">
        <v>1609</v>
      </c>
      <c r="L495" t="s">
        <v>36</v>
      </c>
      <c r="M495" t="s">
        <v>2630</v>
      </c>
      <c r="N495" t="s">
        <v>1514</v>
      </c>
      <c r="O495" t="s">
        <v>36</v>
      </c>
      <c r="P495" t="s">
        <v>110</v>
      </c>
      <c r="Q495" t="s">
        <v>2614</v>
      </c>
      <c r="R495">
        <v>75</v>
      </c>
      <c r="S495">
        <v>0</v>
      </c>
      <c r="T495" t="s">
        <v>123</v>
      </c>
      <c r="U495" t="s">
        <v>57</v>
      </c>
      <c r="V495">
        <v>3.8</v>
      </c>
      <c r="W495">
        <v>3.91</v>
      </c>
      <c r="X495">
        <v>6.1</v>
      </c>
      <c r="Y495">
        <v>23</v>
      </c>
      <c r="Z495">
        <v>11.4</v>
      </c>
      <c r="AA495">
        <f>VALUE(SUBSTITUTE(DACS19___Pfizer’s_Personalised_Medicine_in[[#This Row],[Dose]],"mg",""))</f>
        <v>200</v>
      </c>
      <c r="AB495">
        <f t="shared" si="49"/>
        <v>200</v>
      </c>
      <c r="AC495" t="s">
        <v>2614</v>
      </c>
      <c r="AD495">
        <f t="shared" si="50"/>
        <v>0</v>
      </c>
      <c r="AE495">
        <f t="shared" si="51"/>
        <v>1</v>
      </c>
      <c r="AF495" t="e">
        <f t="shared" si="52"/>
        <v>#N/A</v>
      </c>
      <c r="AG495">
        <f t="shared" si="53"/>
        <v>3.91</v>
      </c>
      <c r="AH495" t="e">
        <f t="shared" si="54"/>
        <v>#N/A</v>
      </c>
      <c r="AI495" t="e">
        <f t="shared" si="55"/>
        <v>#N/A</v>
      </c>
    </row>
    <row r="496" spans="1:35" x14ac:dyDescent="0.45">
      <c r="A496" t="s">
        <v>1610</v>
      </c>
      <c r="B496">
        <v>77</v>
      </c>
      <c r="C496" t="s">
        <v>45</v>
      </c>
      <c r="D496" t="s">
        <v>28</v>
      </c>
      <c r="E496" t="s">
        <v>78</v>
      </c>
      <c r="F496" t="s">
        <v>69</v>
      </c>
      <c r="G496" t="s">
        <v>89</v>
      </c>
      <c r="H496" t="s">
        <v>81</v>
      </c>
      <c r="I496" t="s">
        <v>132</v>
      </c>
      <c r="J496" t="s">
        <v>1611</v>
      </c>
      <c r="K496" t="s">
        <v>1612</v>
      </c>
      <c r="L496" t="s">
        <v>36</v>
      </c>
      <c r="M496" t="s">
        <v>155</v>
      </c>
      <c r="N496" t="s">
        <v>54</v>
      </c>
      <c r="O496" t="s">
        <v>36</v>
      </c>
      <c r="P496" t="s">
        <v>110</v>
      </c>
      <c r="Q496" t="s">
        <v>2614</v>
      </c>
      <c r="R496">
        <v>114</v>
      </c>
      <c r="S496">
        <v>0</v>
      </c>
      <c r="T496" t="s">
        <v>123</v>
      </c>
      <c r="U496" t="s">
        <v>57</v>
      </c>
      <c r="V496">
        <v>2.52</v>
      </c>
      <c r="W496">
        <v>1.65</v>
      </c>
      <c r="X496">
        <v>8.1</v>
      </c>
      <c r="Y496">
        <v>19.2</v>
      </c>
      <c r="Z496">
        <v>9.5</v>
      </c>
      <c r="AA496">
        <f>VALUE(SUBSTITUTE(DACS19___Pfizer’s_Personalised_Medicine_in[[#This Row],[Dose]],"mg",""))</f>
        <v>200</v>
      </c>
      <c r="AB496">
        <f t="shared" si="49"/>
        <v>200</v>
      </c>
      <c r="AC496" t="s">
        <v>2614</v>
      </c>
      <c r="AD496">
        <f t="shared" si="50"/>
        <v>0</v>
      </c>
      <c r="AE496">
        <f t="shared" si="51"/>
        <v>1</v>
      </c>
      <c r="AF496" t="e">
        <f t="shared" si="52"/>
        <v>#N/A</v>
      </c>
      <c r="AG496" t="e">
        <f t="shared" si="53"/>
        <v>#N/A</v>
      </c>
      <c r="AH496" t="e">
        <f t="shared" si="54"/>
        <v>#N/A</v>
      </c>
      <c r="AI496">
        <f t="shared" si="55"/>
        <v>1.65</v>
      </c>
    </row>
    <row r="497" spans="1:35" x14ac:dyDescent="0.45">
      <c r="A497" t="s">
        <v>1613</v>
      </c>
      <c r="B497">
        <v>50</v>
      </c>
      <c r="C497" t="s">
        <v>45</v>
      </c>
      <c r="D497" t="s">
        <v>87</v>
      </c>
      <c r="E497" t="s">
        <v>29</v>
      </c>
      <c r="F497" t="s">
        <v>59</v>
      </c>
      <c r="G497" t="s">
        <v>70</v>
      </c>
      <c r="H497" t="s">
        <v>81</v>
      </c>
      <c r="I497" t="s">
        <v>49</v>
      </c>
      <c r="J497" t="s">
        <v>1614</v>
      </c>
      <c r="K497" t="s">
        <v>1615</v>
      </c>
      <c r="L497" t="s">
        <v>92</v>
      </c>
      <c r="M497" t="s">
        <v>1398</v>
      </c>
      <c r="N497" t="s">
        <v>1211</v>
      </c>
      <c r="O497" t="s">
        <v>92</v>
      </c>
      <c r="P497" t="s">
        <v>55</v>
      </c>
      <c r="Q497" t="s">
        <v>75</v>
      </c>
      <c r="R497">
        <v>56</v>
      </c>
      <c r="S497">
        <v>0</v>
      </c>
      <c r="T497" t="s">
        <v>123</v>
      </c>
      <c r="U497" t="s">
        <v>57</v>
      </c>
      <c r="V497">
        <v>1.1000000000000001</v>
      </c>
      <c r="W497">
        <v>4.3600000000000003</v>
      </c>
      <c r="X497">
        <v>1.1000000000000001</v>
      </c>
      <c r="Y497">
        <v>18.7</v>
      </c>
      <c r="Z497">
        <v>19.5</v>
      </c>
      <c r="AA497">
        <f>VALUE(SUBSTITUTE(DACS19___Pfizer’s_Personalised_Medicine_in[[#This Row],[Dose]],"mg",""))</f>
        <v>50</v>
      </c>
      <c r="AB497">
        <f t="shared" si="49"/>
        <v>50</v>
      </c>
      <c r="AC497" t="s">
        <v>75</v>
      </c>
      <c r="AD497">
        <f t="shared" si="50"/>
        <v>1</v>
      </c>
      <c r="AE497">
        <f t="shared" si="51"/>
        <v>2</v>
      </c>
      <c r="AF497" t="e">
        <f t="shared" si="52"/>
        <v>#N/A</v>
      </c>
      <c r="AG497" t="e">
        <f t="shared" si="53"/>
        <v>#N/A</v>
      </c>
      <c r="AH497" t="e">
        <f t="shared" si="54"/>
        <v>#N/A</v>
      </c>
      <c r="AI497">
        <f t="shared" si="55"/>
        <v>4.3600000000000003</v>
      </c>
    </row>
    <row r="498" spans="1:35" x14ac:dyDescent="0.45">
      <c r="A498" t="s">
        <v>1616</v>
      </c>
      <c r="B498">
        <v>21</v>
      </c>
      <c r="C498" t="s">
        <v>45</v>
      </c>
      <c r="D498" t="s">
        <v>106</v>
      </c>
      <c r="E498" t="s">
        <v>46</v>
      </c>
      <c r="F498" t="s">
        <v>2614</v>
      </c>
      <c r="G498" t="s">
        <v>96</v>
      </c>
      <c r="H498" t="s">
        <v>61</v>
      </c>
      <c r="I498" t="s">
        <v>33</v>
      </c>
      <c r="J498" t="s">
        <v>1617</v>
      </c>
      <c r="K498" t="s">
        <v>1618</v>
      </c>
      <c r="L498" t="s">
        <v>92</v>
      </c>
      <c r="M498" t="s">
        <v>2629</v>
      </c>
      <c r="N498" t="s">
        <v>537</v>
      </c>
      <c r="O498" t="s">
        <v>92</v>
      </c>
      <c r="P498" t="s">
        <v>110</v>
      </c>
      <c r="Q498" t="s">
        <v>75</v>
      </c>
      <c r="R498">
        <v>34</v>
      </c>
      <c r="S498">
        <v>0</v>
      </c>
      <c r="T498" t="s">
        <v>137</v>
      </c>
      <c r="U498" t="s">
        <v>57</v>
      </c>
      <c r="V498">
        <v>2.75</v>
      </c>
      <c r="W498">
        <v>1.94</v>
      </c>
      <c r="X498">
        <v>7.3</v>
      </c>
      <c r="Y498">
        <v>20.7</v>
      </c>
      <c r="Z498">
        <v>12.3</v>
      </c>
      <c r="AA498">
        <f>VALUE(SUBSTITUTE(DACS19___Pfizer’s_Personalised_Medicine_in[[#This Row],[Dose]],"mg",""))</f>
        <v>50</v>
      </c>
      <c r="AB498">
        <f t="shared" si="49"/>
        <v>50</v>
      </c>
      <c r="AC498" t="s">
        <v>75</v>
      </c>
      <c r="AD498">
        <f t="shared" si="50"/>
        <v>1</v>
      </c>
      <c r="AE498">
        <f t="shared" si="51"/>
        <v>1</v>
      </c>
      <c r="AF498">
        <f t="shared" si="52"/>
        <v>1.94</v>
      </c>
      <c r="AG498" t="e">
        <f t="shared" si="53"/>
        <v>#N/A</v>
      </c>
      <c r="AH498" t="e">
        <f t="shared" si="54"/>
        <v>#N/A</v>
      </c>
      <c r="AI498" t="e">
        <f t="shared" si="55"/>
        <v>#N/A</v>
      </c>
    </row>
    <row r="499" spans="1:35" x14ac:dyDescent="0.45">
      <c r="A499" t="s">
        <v>1619</v>
      </c>
      <c r="B499">
        <v>39</v>
      </c>
      <c r="C499" t="s">
        <v>45</v>
      </c>
      <c r="D499" t="s">
        <v>28</v>
      </c>
      <c r="E499" t="s">
        <v>29</v>
      </c>
      <c r="F499" t="s">
        <v>47</v>
      </c>
      <c r="G499" t="s">
        <v>48</v>
      </c>
      <c r="H499" t="s">
        <v>61</v>
      </c>
      <c r="I499" t="s">
        <v>49</v>
      </c>
      <c r="J499" t="s">
        <v>1329</v>
      </c>
      <c r="K499" t="s">
        <v>1620</v>
      </c>
      <c r="L499" t="s">
        <v>64</v>
      </c>
      <c r="M499" t="s">
        <v>67</v>
      </c>
      <c r="N499" t="s">
        <v>1621</v>
      </c>
      <c r="O499" t="s">
        <v>64</v>
      </c>
      <c r="P499" t="s">
        <v>39</v>
      </c>
      <c r="Q499" t="s">
        <v>2614</v>
      </c>
      <c r="R499">
        <v>80</v>
      </c>
      <c r="S499">
        <v>1</v>
      </c>
      <c r="T499" t="s">
        <v>85</v>
      </c>
      <c r="U499" t="s">
        <v>57</v>
      </c>
      <c r="V499">
        <v>4.87</v>
      </c>
      <c r="W499">
        <v>1.21</v>
      </c>
      <c r="X499">
        <v>5.5</v>
      </c>
      <c r="Y499">
        <v>18.899999999999999</v>
      </c>
      <c r="Z499">
        <v>17.7</v>
      </c>
      <c r="AA499">
        <f>VALUE(SUBSTITUTE(DACS19___Pfizer’s_Personalised_Medicine_in[[#This Row],[Dose]],"mg",""))</f>
        <v>150</v>
      </c>
      <c r="AB499">
        <f t="shared" si="49"/>
        <v>150</v>
      </c>
      <c r="AC499" t="s">
        <v>2614</v>
      </c>
      <c r="AD499">
        <f t="shared" si="50"/>
        <v>0</v>
      </c>
      <c r="AE499">
        <f t="shared" si="51"/>
        <v>3</v>
      </c>
      <c r="AF499">
        <f t="shared" si="52"/>
        <v>1.21</v>
      </c>
      <c r="AG499" t="e">
        <f t="shared" si="53"/>
        <v>#N/A</v>
      </c>
      <c r="AH499" t="e">
        <f t="shared" si="54"/>
        <v>#N/A</v>
      </c>
      <c r="AI499" t="e">
        <f t="shared" si="55"/>
        <v>#N/A</v>
      </c>
    </row>
    <row r="500" spans="1:35" x14ac:dyDescent="0.45">
      <c r="A500" t="s">
        <v>1622</v>
      </c>
      <c r="B500">
        <v>40</v>
      </c>
      <c r="C500" t="s">
        <v>45</v>
      </c>
      <c r="D500" t="s">
        <v>87</v>
      </c>
      <c r="E500" t="s">
        <v>2614</v>
      </c>
      <c r="F500" t="s">
        <v>59</v>
      </c>
      <c r="G500" t="s">
        <v>102</v>
      </c>
      <c r="H500" t="s">
        <v>32</v>
      </c>
      <c r="I500" t="s">
        <v>33</v>
      </c>
      <c r="J500" t="s">
        <v>1623</v>
      </c>
      <c r="K500" t="s">
        <v>1624</v>
      </c>
      <c r="L500" t="s">
        <v>36</v>
      </c>
      <c r="M500" t="s">
        <v>129</v>
      </c>
      <c r="N500" t="s">
        <v>313</v>
      </c>
      <c r="O500" t="s">
        <v>36</v>
      </c>
      <c r="P500" t="s">
        <v>39</v>
      </c>
      <c r="Q500" t="s">
        <v>129</v>
      </c>
      <c r="R500">
        <v>77</v>
      </c>
      <c r="S500">
        <v>1</v>
      </c>
      <c r="T500" t="s">
        <v>137</v>
      </c>
      <c r="U500" t="s">
        <v>42</v>
      </c>
      <c r="V500">
        <v>1.72</v>
      </c>
      <c r="W500">
        <v>4.2</v>
      </c>
      <c r="X500">
        <v>6</v>
      </c>
      <c r="Y500">
        <v>13.1</v>
      </c>
      <c r="Z500">
        <v>5.2</v>
      </c>
      <c r="AA500">
        <f>VALUE(SUBSTITUTE(DACS19___Pfizer’s_Personalised_Medicine_in[[#This Row],[Dose]],"mg",""))</f>
        <v>200</v>
      </c>
      <c r="AB500">
        <f t="shared" si="49"/>
        <v>200</v>
      </c>
      <c r="AC500" t="s">
        <v>129</v>
      </c>
      <c r="AD500">
        <f t="shared" si="50"/>
        <v>4</v>
      </c>
      <c r="AE500">
        <f t="shared" si="51"/>
        <v>3</v>
      </c>
      <c r="AF500" t="e">
        <f t="shared" si="52"/>
        <v>#N/A</v>
      </c>
      <c r="AG500" t="e">
        <f t="shared" si="53"/>
        <v>#N/A</v>
      </c>
      <c r="AH500">
        <f t="shared" si="54"/>
        <v>4.2</v>
      </c>
      <c r="AI500" t="e">
        <f t="shared" si="55"/>
        <v>#N/A</v>
      </c>
    </row>
    <row r="501" spans="1:35" x14ac:dyDescent="0.45">
      <c r="A501" t="s">
        <v>1625</v>
      </c>
      <c r="B501">
        <v>39</v>
      </c>
      <c r="C501" t="s">
        <v>27</v>
      </c>
      <c r="D501" t="s">
        <v>106</v>
      </c>
      <c r="E501" t="s">
        <v>2614</v>
      </c>
      <c r="F501" t="s">
        <v>79</v>
      </c>
      <c r="G501" t="s">
        <v>276</v>
      </c>
      <c r="H501" t="s">
        <v>71</v>
      </c>
      <c r="I501" t="s">
        <v>72</v>
      </c>
      <c r="J501" t="s">
        <v>1626</v>
      </c>
      <c r="K501" t="s">
        <v>1627</v>
      </c>
      <c r="L501" t="s">
        <v>64</v>
      </c>
      <c r="M501" t="s">
        <v>2614</v>
      </c>
      <c r="N501" t="s">
        <v>146</v>
      </c>
      <c r="O501" t="s">
        <v>64</v>
      </c>
      <c r="P501" t="s">
        <v>110</v>
      </c>
      <c r="Q501" t="s">
        <v>2614</v>
      </c>
      <c r="R501">
        <v>135</v>
      </c>
      <c r="S501">
        <v>0</v>
      </c>
      <c r="T501" t="s">
        <v>41</v>
      </c>
      <c r="U501" t="s">
        <v>42</v>
      </c>
      <c r="V501">
        <v>4.46</v>
      </c>
      <c r="W501">
        <v>1.63</v>
      </c>
      <c r="X501">
        <v>3.8</v>
      </c>
      <c r="Y501">
        <v>11.2</v>
      </c>
      <c r="Z501">
        <v>17.8</v>
      </c>
      <c r="AA501">
        <f>VALUE(SUBSTITUTE(DACS19___Pfizer’s_Personalised_Medicine_in[[#This Row],[Dose]],"mg",""))</f>
        <v>150</v>
      </c>
      <c r="AB501">
        <f t="shared" si="49"/>
        <v>150</v>
      </c>
      <c r="AC501" t="s">
        <v>2614</v>
      </c>
      <c r="AD501">
        <f t="shared" si="50"/>
        <v>0</v>
      </c>
      <c r="AE501">
        <f t="shared" si="51"/>
        <v>1</v>
      </c>
      <c r="AF501" t="e">
        <f t="shared" si="52"/>
        <v>#N/A</v>
      </c>
      <c r="AG501">
        <f t="shared" si="53"/>
        <v>1.63</v>
      </c>
      <c r="AH501" t="e">
        <f t="shared" si="54"/>
        <v>#N/A</v>
      </c>
      <c r="AI501" t="e">
        <f t="shared" si="55"/>
        <v>#N/A</v>
      </c>
    </row>
    <row r="502" spans="1:35" x14ac:dyDescent="0.45">
      <c r="A502" t="s">
        <v>1628</v>
      </c>
      <c r="B502">
        <v>52</v>
      </c>
      <c r="C502" t="s">
        <v>27</v>
      </c>
      <c r="D502" t="s">
        <v>106</v>
      </c>
      <c r="E502" t="s">
        <v>2614</v>
      </c>
      <c r="F502" t="s">
        <v>47</v>
      </c>
      <c r="G502" t="s">
        <v>184</v>
      </c>
      <c r="H502" t="s">
        <v>61</v>
      </c>
      <c r="I502" t="s">
        <v>33</v>
      </c>
      <c r="J502" t="s">
        <v>1629</v>
      </c>
      <c r="K502" t="s">
        <v>1630</v>
      </c>
      <c r="L502" t="s">
        <v>36</v>
      </c>
      <c r="M502" t="s">
        <v>2647</v>
      </c>
      <c r="N502" t="s">
        <v>1631</v>
      </c>
      <c r="O502" t="s">
        <v>36</v>
      </c>
      <c r="P502" t="s">
        <v>39</v>
      </c>
      <c r="Q502" t="s">
        <v>75</v>
      </c>
      <c r="R502">
        <v>175</v>
      </c>
      <c r="S502">
        <v>1</v>
      </c>
      <c r="T502" t="s">
        <v>41</v>
      </c>
      <c r="U502" t="s">
        <v>57</v>
      </c>
      <c r="V502">
        <v>3.69</v>
      </c>
      <c r="W502">
        <v>4.1900000000000004</v>
      </c>
      <c r="X502">
        <v>3.3</v>
      </c>
      <c r="Y502">
        <v>17.2</v>
      </c>
      <c r="Z502">
        <v>12.7</v>
      </c>
      <c r="AA502">
        <f>VALUE(SUBSTITUTE(DACS19___Pfizer’s_Personalised_Medicine_in[[#This Row],[Dose]],"mg",""))</f>
        <v>200</v>
      </c>
      <c r="AB502">
        <f t="shared" si="49"/>
        <v>200</v>
      </c>
      <c r="AC502" t="s">
        <v>75</v>
      </c>
      <c r="AD502">
        <f t="shared" si="50"/>
        <v>1</v>
      </c>
      <c r="AE502">
        <f t="shared" si="51"/>
        <v>3</v>
      </c>
      <c r="AF502">
        <f t="shared" si="52"/>
        <v>4.1900000000000004</v>
      </c>
      <c r="AG502" t="e">
        <f t="shared" si="53"/>
        <v>#N/A</v>
      </c>
      <c r="AH502" t="e">
        <f t="shared" si="54"/>
        <v>#N/A</v>
      </c>
      <c r="AI502" t="e">
        <f t="shared" si="55"/>
        <v>#N/A</v>
      </c>
    </row>
    <row r="503" spans="1:35" x14ac:dyDescent="0.45">
      <c r="A503" t="s">
        <v>1632</v>
      </c>
      <c r="B503">
        <v>62</v>
      </c>
      <c r="C503" t="s">
        <v>45</v>
      </c>
      <c r="D503" t="s">
        <v>28</v>
      </c>
      <c r="E503" t="s">
        <v>46</v>
      </c>
      <c r="F503" t="s">
        <v>69</v>
      </c>
      <c r="G503" t="s">
        <v>178</v>
      </c>
      <c r="H503" t="s">
        <v>32</v>
      </c>
      <c r="I503" t="s">
        <v>49</v>
      </c>
      <c r="J503" t="s">
        <v>519</v>
      </c>
      <c r="K503" t="s">
        <v>1633</v>
      </c>
      <c r="L503" t="s">
        <v>36</v>
      </c>
      <c r="M503" t="s">
        <v>451</v>
      </c>
      <c r="N503" t="s">
        <v>682</v>
      </c>
      <c r="O503" t="s">
        <v>36</v>
      </c>
      <c r="P503" t="s">
        <v>110</v>
      </c>
      <c r="Q503" t="s">
        <v>67</v>
      </c>
      <c r="R503">
        <v>151</v>
      </c>
      <c r="S503">
        <v>0</v>
      </c>
      <c r="T503" t="s">
        <v>41</v>
      </c>
      <c r="U503" t="s">
        <v>57</v>
      </c>
      <c r="V503">
        <v>4.33</v>
      </c>
      <c r="W503">
        <v>4.62</v>
      </c>
      <c r="X503">
        <v>1.1000000000000001</v>
      </c>
      <c r="Y503">
        <v>18.100000000000001</v>
      </c>
      <c r="Z503">
        <v>3.9</v>
      </c>
      <c r="AA503">
        <f>VALUE(SUBSTITUTE(DACS19___Pfizer’s_Personalised_Medicine_in[[#This Row],[Dose]],"mg",""))</f>
        <v>200</v>
      </c>
      <c r="AB503">
        <f t="shared" si="49"/>
        <v>200</v>
      </c>
      <c r="AC503" t="s">
        <v>67</v>
      </c>
      <c r="AD503">
        <f t="shared" si="50"/>
        <v>2</v>
      </c>
      <c r="AE503">
        <f t="shared" si="51"/>
        <v>1</v>
      </c>
      <c r="AF503" t="e">
        <f t="shared" si="52"/>
        <v>#N/A</v>
      </c>
      <c r="AG503" t="e">
        <f t="shared" si="53"/>
        <v>#N/A</v>
      </c>
      <c r="AH503">
        <f t="shared" si="54"/>
        <v>4.62</v>
      </c>
      <c r="AI503" t="e">
        <f t="shared" si="55"/>
        <v>#N/A</v>
      </c>
    </row>
    <row r="504" spans="1:35" x14ac:dyDescent="0.45">
      <c r="A504" t="s">
        <v>1634</v>
      </c>
      <c r="B504">
        <v>59</v>
      </c>
      <c r="C504" t="s">
        <v>44</v>
      </c>
      <c r="D504" t="s">
        <v>45</v>
      </c>
      <c r="E504" t="s">
        <v>78</v>
      </c>
      <c r="F504" t="s">
        <v>2614</v>
      </c>
      <c r="G504" t="s">
        <v>118</v>
      </c>
      <c r="H504" t="s">
        <v>32</v>
      </c>
      <c r="I504" t="s">
        <v>49</v>
      </c>
      <c r="J504" t="s">
        <v>1635</v>
      </c>
      <c r="K504" t="s">
        <v>1636</v>
      </c>
      <c r="L504" t="s">
        <v>36</v>
      </c>
      <c r="M504" t="s">
        <v>2639</v>
      </c>
      <c r="N504" t="s">
        <v>383</v>
      </c>
      <c r="O504" t="s">
        <v>36</v>
      </c>
      <c r="P504" t="s">
        <v>55</v>
      </c>
      <c r="Q504" t="s">
        <v>2614</v>
      </c>
      <c r="R504">
        <v>71</v>
      </c>
      <c r="S504">
        <v>0</v>
      </c>
      <c r="T504" t="s">
        <v>56</v>
      </c>
      <c r="U504" t="s">
        <v>42</v>
      </c>
      <c r="V504">
        <v>3.2</v>
      </c>
      <c r="W504">
        <v>2.15</v>
      </c>
      <c r="X504">
        <v>3.8</v>
      </c>
      <c r="Y504">
        <v>12.4</v>
      </c>
      <c r="Z504">
        <v>13.6</v>
      </c>
      <c r="AA504">
        <f>VALUE(SUBSTITUTE(DACS19___Pfizer’s_Personalised_Medicine_in[[#This Row],[Dose]],"mg",""))</f>
        <v>200</v>
      </c>
      <c r="AB504">
        <f t="shared" si="49"/>
        <v>200</v>
      </c>
      <c r="AC504" t="s">
        <v>2614</v>
      </c>
      <c r="AD504">
        <f t="shared" si="50"/>
        <v>0</v>
      </c>
      <c r="AE504">
        <f t="shared" si="51"/>
        <v>2</v>
      </c>
      <c r="AF504" t="e">
        <f t="shared" si="52"/>
        <v>#N/A</v>
      </c>
      <c r="AG504" t="e">
        <f t="shared" si="53"/>
        <v>#N/A</v>
      </c>
      <c r="AH504">
        <f t="shared" si="54"/>
        <v>2.15</v>
      </c>
      <c r="AI504" t="e">
        <f t="shared" si="55"/>
        <v>#N/A</v>
      </c>
    </row>
    <row r="505" spans="1:35" x14ac:dyDescent="0.45">
      <c r="A505" t="s">
        <v>1637</v>
      </c>
      <c r="B505">
        <v>20</v>
      </c>
      <c r="C505" t="s">
        <v>44</v>
      </c>
      <c r="D505" t="s">
        <v>45</v>
      </c>
      <c r="E505" t="s">
        <v>78</v>
      </c>
      <c r="F505" t="s">
        <v>2614</v>
      </c>
      <c r="G505" t="s">
        <v>48</v>
      </c>
      <c r="H505" t="s">
        <v>81</v>
      </c>
      <c r="I505" t="s">
        <v>33</v>
      </c>
      <c r="J505" t="s">
        <v>1483</v>
      </c>
      <c r="K505" t="s">
        <v>1638</v>
      </c>
      <c r="L505" t="s">
        <v>64</v>
      </c>
      <c r="M505" t="s">
        <v>2627</v>
      </c>
      <c r="N505" t="s">
        <v>459</v>
      </c>
      <c r="O505" t="s">
        <v>64</v>
      </c>
      <c r="P505" t="s">
        <v>39</v>
      </c>
      <c r="Q505" t="s">
        <v>75</v>
      </c>
      <c r="R505">
        <v>57</v>
      </c>
      <c r="S505">
        <v>1</v>
      </c>
      <c r="T505" t="s">
        <v>56</v>
      </c>
      <c r="U505" t="s">
        <v>57</v>
      </c>
      <c r="V505">
        <v>2.34</v>
      </c>
      <c r="W505">
        <v>3.93</v>
      </c>
      <c r="X505">
        <v>4.5999999999999996</v>
      </c>
      <c r="Y505">
        <v>7.2</v>
      </c>
      <c r="Z505">
        <v>16.3</v>
      </c>
      <c r="AA505">
        <f>VALUE(SUBSTITUTE(DACS19___Pfizer’s_Personalised_Medicine_in[[#This Row],[Dose]],"mg",""))</f>
        <v>150</v>
      </c>
      <c r="AB505">
        <f t="shared" si="49"/>
        <v>150</v>
      </c>
      <c r="AC505" t="s">
        <v>75</v>
      </c>
      <c r="AD505">
        <f t="shared" si="50"/>
        <v>1</v>
      </c>
      <c r="AE505">
        <f t="shared" si="51"/>
        <v>3</v>
      </c>
      <c r="AF505" t="e">
        <f t="shared" si="52"/>
        <v>#N/A</v>
      </c>
      <c r="AG505" t="e">
        <f t="shared" si="53"/>
        <v>#N/A</v>
      </c>
      <c r="AH505" t="e">
        <f t="shared" si="54"/>
        <v>#N/A</v>
      </c>
      <c r="AI505">
        <f t="shared" si="55"/>
        <v>3.93</v>
      </c>
    </row>
    <row r="506" spans="1:35" x14ac:dyDescent="0.45">
      <c r="A506" t="s">
        <v>1639</v>
      </c>
      <c r="B506">
        <v>52</v>
      </c>
      <c r="C506" t="s">
        <v>45</v>
      </c>
      <c r="D506" t="s">
        <v>95</v>
      </c>
      <c r="E506" t="s">
        <v>29</v>
      </c>
      <c r="F506" t="s">
        <v>69</v>
      </c>
      <c r="G506" t="s">
        <v>112</v>
      </c>
      <c r="H506" t="s">
        <v>32</v>
      </c>
      <c r="I506" t="s">
        <v>72</v>
      </c>
      <c r="J506" t="s">
        <v>1640</v>
      </c>
      <c r="K506" t="s">
        <v>1641</v>
      </c>
      <c r="L506" t="s">
        <v>64</v>
      </c>
      <c r="M506" t="s">
        <v>129</v>
      </c>
      <c r="N506" t="s">
        <v>763</v>
      </c>
      <c r="O506" t="s">
        <v>64</v>
      </c>
      <c r="P506" t="s">
        <v>39</v>
      </c>
      <c r="Q506" t="s">
        <v>2614</v>
      </c>
      <c r="R506">
        <v>147</v>
      </c>
      <c r="S506">
        <v>1</v>
      </c>
      <c r="T506" t="s">
        <v>56</v>
      </c>
      <c r="U506" t="s">
        <v>42</v>
      </c>
      <c r="V506">
        <v>2.14</v>
      </c>
      <c r="W506">
        <v>2.73</v>
      </c>
      <c r="X506">
        <v>7.2</v>
      </c>
      <c r="Y506">
        <v>12</v>
      </c>
      <c r="Z506">
        <v>4</v>
      </c>
      <c r="AA506">
        <f>VALUE(SUBSTITUTE(DACS19___Pfizer’s_Personalised_Medicine_in[[#This Row],[Dose]],"mg",""))</f>
        <v>150</v>
      </c>
      <c r="AB506">
        <f t="shared" si="49"/>
        <v>150</v>
      </c>
      <c r="AC506" t="s">
        <v>2614</v>
      </c>
      <c r="AD506">
        <f t="shared" si="50"/>
        <v>0</v>
      </c>
      <c r="AE506">
        <f t="shared" si="51"/>
        <v>3</v>
      </c>
      <c r="AF506" t="e">
        <f t="shared" si="52"/>
        <v>#N/A</v>
      </c>
      <c r="AG506" t="e">
        <f t="shared" si="53"/>
        <v>#N/A</v>
      </c>
      <c r="AH506">
        <f t="shared" si="54"/>
        <v>2.73</v>
      </c>
      <c r="AI506" t="e">
        <f t="shared" si="55"/>
        <v>#N/A</v>
      </c>
    </row>
    <row r="507" spans="1:35" x14ac:dyDescent="0.45">
      <c r="A507" t="s">
        <v>1642</v>
      </c>
      <c r="B507">
        <v>76</v>
      </c>
      <c r="C507" t="s">
        <v>27</v>
      </c>
      <c r="D507" t="s">
        <v>106</v>
      </c>
      <c r="E507" t="s">
        <v>46</v>
      </c>
      <c r="F507" t="s">
        <v>2614</v>
      </c>
      <c r="G507" t="s">
        <v>276</v>
      </c>
      <c r="H507" t="s">
        <v>32</v>
      </c>
      <c r="I507" t="s">
        <v>49</v>
      </c>
      <c r="J507" t="s">
        <v>1643</v>
      </c>
      <c r="K507" t="s">
        <v>1644</v>
      </c>
      <c r="L507" t="s">
        <v>36</v>
      </c>
      <c r="M507" t="s">
        <v>67</v>
      </c>
      <c r="N507" t="s">
        <v>690</v>
      </c>
      <c r="O507" t="s">
        <v>36</v>
      </c>
      <c r="P507" t="s">
        <v>110</v>
      </c>
      <c r="Q507" t="s">
        <v>75</v>
      </c>
      <c r="R507">
        <v>125</v>
      </c>
      <c r="S507">
        <v>0</v>
      </c>
      <c r="T507" t="s">
        <v>123</v>
      </c>
      <c r="U507" t="s">
        <v>57</v>
      </c>
      <c r="V507">
        <v>2.5</v>
      </c>
      <c r="W507">
        <v>4.78</v>
      </c>
      <c r="X507">
        <v>6.8</v>
      </c>
      <c r="Y507">
        <v>18.100000000000001</v>
      </c>
      <c r="Z507">
        <v>13.7</v>
      </c>
      <c r="AA507">
        <f>VALUE(SUBSTITUTE(DACS19___Pfizer’s_Personalised_Medicine_in[[#This Row],[Dose]],"mg",""))</f>
        <v>200</v>
      </c>
      <c r="AB507">
        <f t="shared" si="49"/>
        <v>200</v>
      </c>
      <c r="AC507" t="s">
        <v>75</v>
      </c>
      <c r="AD507">
        <f t="shared" si="50"/>
        <v>1</v>
      </c>
      <c r="AE507">
        <f t="shared" si="51"/>
        <v>1</v>
      </c>
      <c r="AF507" t="e">
        <f t="shared" si="52"/>
        <v>#N/A</v>
      </c>
      <c r="AG507" t="e">
        <f t="shared" si="53"/>
        <v>#N/A</v>
      </c>
      <c r="AH507">
        <f t="shared" si="54"/>
        <v>4.78</v>
      </c>
      <c r="AI507" t="e">
        <f t="shared" si="55"/>
        <v>#N/A</v>
      </c>
    </row>
    <row r="508" spans="1:35" x14ac:dyDescent="0.45">
      <c r="A508" t="s">
        <v>1645</v>
      </c>
      <c r="B508">
        <v>38</v>
      </c>
      <c r="C508" t="s">
        <v>44</v>
      </c>
      <c r="D508" t="s">
        <v>87</v>
      </c>
      <c r="E508" t="s">
        <v>78</v>
      </c>
      <c r="F508" t="s">
        <v>2614</v>
      </c>
      <c r="G508" t="s">
        <v>131</v>
      </c>
      <c r="H508" t="s">
        <v>71</v>
      </c>
      <c r="I508" t="s">
        <v>33</v>
      </c>
      <c r="J508" t="s">
        <v>1646</v>
      </c>
      <c r="K508" t="s">
        <v>1239</v>
      </c>
      <c r="L508" t="s">
        <v>92</v>
      </c>
      <c r="M508" t="s">
        <v>2618</v>
      </c>
      <c r="N508" t="s">
        <v>930</v>
      </c>
      <c r="O508" t="s">
        <v>92</v>
      </c>
      <c r="P508" t="s">
        <v>39</v>
      </c>
      <c r="Q508" t="s">
        <v>40</v>
      </c>
      <c r="R508">
        <v>113</v>
      </c>
      <c r="S508">
        <v>1</v>
      </c>
      <c r="T508" t="s">
        <v>137</v>
      </c>
      <c r="U508" t="s">
        <v>57</v>
      </c>
      <c r="V508">
        <v>1.8</v>
      </c>
      <c r="W508">
        <v>2.67</v>
      </c>
      <c r="X508">
        <v>7.8</v>
      </c>
      <c r="Y508">
        <v>7.8</v>
      </c>
      <c r="Z508">
        <v>7.7</v>
      </c>
      <c r="AA508">
        <f>VALUE(SUBSTITUTE(DACS19___Pfizer’s_Personalised_Medicine_in[[#This Row],[Dose]],"mg",""))</f>
        <v>50</v>
      </c>
      <c r="AB508">
        <f t="shared" si="49"/>
        <v>50</v>
      </c>
      <c r="AC508" t="s">
        <v>40</v>
      </c>
      <c r="AD508">
        <f t="shared" si="50"/>
        <v>3</v>
      </c>
      <c r="AE508">
        <f t="shared" si="51"/>
        <v>3</v>
      </c>
      <c r="AF508" t="e">
        <f t="shared" si="52"/>
        <v>#N/A</v>
      </c>
      <c r="AG508">
        <f t="shared" si="53"/>
        <v>2.67</v>
      </c>
      <c r="AH508" t="e">
        <f t="shared" si="54"/>
        <v>#N/A</v>
      </c>
      <c r="AI508" t="e">
        <f t="shared" si="55"/>
        <v>#N/A</v>
      </c>
    </row>
    <row r="509" spans="1:35" x14ac:dyDescent="0.45">
      <c r="A509" t="s">
        <v>1647</v>
      </c>
      <c r="B509">
        <v>68</v>
      </c>
      <c r="C509" t="s">
        <v>45</v>
      </c>
      <c r="D509" t="s">
        <v>87</v>
      </c>
      <c r="E509" t="s">
        <v>2614</v>
      </c>
      <c r="F509" t="s">
        <v>69</v>
      </c>
      <c r="G509" t="s">
        <v>164</v>
      </c>
      <c r="H509" t="s">
        <v>71</v>
      </c>
      <c r="I509" t="s">
        <v>72</v>
      </c>
      <c r="J509" t="s">
        <v>1648</v>
      </c>
      <c r="K509" t="s">
        <v>133</v>
      </c>
      <c r="L509" t="s">
        <v>92</v>
      </c>
      <c r="M509" t="s">
        <v>566</v>
      </c>
      <c r="N509" t="s">
        <v>122</v>
      </c>
      <c r="O509" t="s">
        <v>92</v>
      </c>
      <c r="P509" t="s">
        <v>39</v>
      </c>
      <c r="Q509" t="s">
        <v>67</v>
      </c>
      <c r="R509">
        <v>157</v>
      </c>
      <c r="S509">
        <v>1</v>
      </c>
      <c r="T509" t="s">
        <v>41</v>
      </c>
      <c r="U509" t="s">
        <v>42</v>
      </c>
      <c r="V509">
        <v>2.11</v>
      </c>
      <c r="W509">
        <v>2.73</v>
      </c>
      <c r="X509">
        <v>9.8000000000000007</v>
      </c>
      <c r="Y509">
        <v>7.2</v>
      </c>
      <c r="Z509">
        <v>11.8</v>
      </c>
      <c r="AA509">
        <f>VALUE(SUBSTITUTE(DACS19___Pfizer’s_Personalised_Medicine_in[[#This Row],[Dose]],"mg",""))</f>
        <v>50</v>
      </c>
      <c r="AB509">
        <f t="shared" si="49"/>
        <v>50</v>
      </c>
      <c r="AC509" t="s">
        <v>67</v>
      </c>
      <c r="AD509">
        <f t="shared" si="50"/>
        <v>2</v>
      </c>
      <c r="AE509">
        <f t="shared" si="51"/>
        <v>3</v>
      </c>
      <c r="AF509" t="e">
        <f t="shared" si="52"/>
        <v>#N/A</v>
      </c>
      <c r="AG509">
        <f t="shared" si="53"/>
        <v>2.73</v>
      </c>
      <c r="AH509" t="e">
        <f t="shared" si="54"/>
        <v>#N/A</v>
      </c>
      <c r="AI509" t="e">
        <f t="shared" si="55"/>
        <v>#N/A</v>
      </c>
    </row>
    <row r="510" spans="1:35" x14ac:dyDescent="0.45">
      <c r="A510" t="s">
        <v>1649</v>
      </c>
      <c r="B510">
        <v>45</v>
      </c>
      <c r="C510" t="s">
        <v>44</v>
      </c>
      <c r="D510" t="s">
        <v>95</v>
      </c>
      <c r="E510" t="s">
        <v>163</v>
      </c>
      <c r="F510" t="s">
        <v>79</v>
      </c>
      <c r="G510" t="s">
        <v>48</v>
      </c>
      <c r="H510" t="s">
        <v>71</v>
      </c>
      <c r="I510" t="s">
        <v>132</v>
      </c>
      <c r="J510" t="s">
        <v>1257</v>
      </c>
      <c r="K510" t="s">
        <v>1242</v>
      </c>
      <c r="L510" t="s">
        <v>92</v>
      </c>
      <c r="M510" t="s">
        <v>1291</v>
      </c>
      <c r="N510" t="s">
        <v>1083</v>
      </c>
      <c r="O510" t="s">
        <v>92</v>
      </c>
      <c r="P510" t="s">
        <v>55</v>
      </c>
      <c r="Q510" t="s">
        <v>75</v>
      </c>
      <c r="R510">
        <v>57</v>
      </c>
      <c r="S510">
        <v>0</v>
      </c>
      <c r="T510" t="s">
        <v>56</v>
      </c>
      <c r="U510" t="s">
        <v>42</v>
      </c>
      <c r="V510">
        <v>1.72</v>
      </c>
      <c r="W510">
        <v>4.88</v>
      </c>
      <c r="X510">
        <v>2</v>
      </c>
      <c r="Y510">
        <v>13.3</v>
      </c>
      <c r="Z510">
        <v>15.5</v>
      </c>
      <c r="AA510">
        <f>VALUE(SUBSTITUTE(DACS19___Pfizer’s_Personalised_Medicine_in[[#This Row],[Dose]],"mg",""))</f>
        <v>50</v>
      </c>
      <c r="AB510">
        <f t="shared" si="49"/>
        <v>50</v>
      </c>
      <c r="AC510" t="s">
        <v>75</v>
      </c>
      <c r="AD510">
        <f t="shared" si="50"/>
        <v>1</v>
      </c>
      <c r="AE510">
        <f t="shared" si="51"/>
        <v>2</v>
      </c>
      <c r="AF510" t="e">
        <f t="shared" si="52"/>
        <v>#N/A</v>
      </c>
      <c r="AG510">
        <f t="shared" si="53"/>
        <v>4.88</v>
      </c>
      <c r="AH510" t="e">
        <f t="shared" si="54"/>
        <v>#N/A</v>
      </c>
      <c r="AI510" t="e">
        <f t="shared" si="55"/>
        <v>#N/A</v>
      </c>
    </row>
    <row r="511" spans="1:35" x14ac:dyDescent="0.45">
      <c r="A511" t="s">
        <v>1650</v>
      </c>
      <c r="B511">
        <v>62</v>
      </c>
      <c r="C511" t="s">
        <v>45</v>
      </c>
      <c r="D511" t="s">
        <v>87</v>
      </c>
      <c r="E511" t="s">
        <v>78</v>
      </c>
      <c r="F511" t="s">
        <v>2614</v>
      </c>
      <c r="G511" t="s">
        <v>164</v>
      </c>
      <c r="H511" t="s">
        <v>71</v>
      </c>
      <c r="I511" t="s">
        <v>132</v>
      </c>
      <c r="J511" t="s">
        <v>1651</v>
      </c>
      <c r="K511" t="s">
        <v>1652</v>
      </c>
      <c r="L511" t="s">
        <v>36</v>
      </c>
      <c r="M511" t="s">
        <v>40</v>
      </c>
      <c r="N511" t="s">
        <v>142</v>
      </c>
      <c r="O511" t="s">
        <v>36</v>
      </c>
      <c r="P511" t="s">
        <v>110</v>
      </c>
      <c r="Q511" t="s">
        <v>40</v>
      </c>
      <c r="R511">
        <v>138</v>
      </c>
      <c r="S511">
        <v>0</v>
      </c>
      <c r="T511" t="s">
        <v>123</v>
      </c>
      <c r="U511" t="s">
        <v>57</v>
      </c>
      <c r="V511">
        <v>3.82</v>
      </c>
      <c r="W511">
        <v>2.69</v>
      </c>
      <c r="X511">
        <v>4.0999999999999996</v>
      </c>
      <c r="Y511">
        <v>13.2</v>
      </c>
      <c r="Z511">
        <v>7.5</v>
      </c>
      <c r="AA511">
        <f>VALUE(SUBSTITUTE(DACS19___Pfizer’s_Personalised_Medicine_in[[#This Row],[Dose]],"mg",""))</f>
        <v>200</v>
      </c>
      <c r="AB511">
        <f t="shared" si="49"/>
        <v>200</v>
      </c>
      <c r="AC511" t="s">
        <v>40</v>
      </c>
      <c r="AD511">
        <f t="shared" si="50"/>
        <v>3</v>
      </c>
      <c r="AE511">
        <f t="shared" si="51"/>
        <v>1</v>
      </c>
      <c r="AF511" t="e">
        <f t="shared" si="52"/>
        <v>#N/A</v>
      </c>
      <c r="AG511">
        <f t="shared" si="53"/>
        <v>2.69</v>
      </c>
      <c r="AH511" t="e">
        <f t="shared" si="54"/>
        <v>#N/A</v>
      </c>
      <c r="AI511" t="e">
        <f t="shared" si="55"/>
        <v>#N/A</v>
      </c>
    </row>
    <row r="512" spans="1:35" x14ac:dyDescent="0.45">
      <c r="A512" t="s">
        <v>1653</v>
      </c>
      <c r="B512">
        <v>72</v>
      </c>
      <c r="C512" t="s">
        <v>44</v>
      </c>
      <c r="D512" t="s">
        <v>87</v>
      </c>
      <c r="E512" t="s">
        <v>29</v>
      </c>
      <c r="F512" t="s">
        <v>2614</v>
      </c>
      <c r="G512" t="s">
        <v>440</v>
      </c>
      <c r="H512" t="s">
        <v>32</v>
      </c>
      <c r="I512" t="s">
        <v>33</v>
      </c>
      <c r="J512" t="s">
        <v>1654</v>
      </c>
      <c r="K512" t="s">
        <v>1655</v>
      </c>
      <c r="L512" t="s">
        <v>52</v>
      </c>
      <c r="M512" t="s">
        <v>378</v>
      </c>
      <c r="N512" t="s">
        <v>950</v>
      </c>
      <c r="O512" t="s">
        <v>52</v>
      </c>
      <c r="P512" t="s">
        <v>39</v>
      </c>
      <c r="Q512" t="s">
        <v>67</v>
      </c>
      <c r="R512">
        <v>31</v>
      </c>
      <c r="S512">
        <v>1</v>
      </c>
      <c r="T512" t="s">
        <v>137</v>
      </c>
      <c r="U512" t="s">
        <v>57</v>
      </c>
      <c r="V512">
        <v>1.82</v>
      </c>
      <c r="W512">
        <v>2.93</v>
      </c>
      <c r="X512">
        <v>3.4</v>
      </c>
      <c r="Y512">
        <v>11.2</v>
      </c>
      <c r="Z512">
        <v>14.2</v>
      </c>
      <c r="AA512">
        <f>VALUE(SUBSTITUTE(DACS19___Pfizer’s_Personalised_Medicine_in[[#This Row],[Dose]],"mg",""))</f>
        <v>100</v>
      </c>
      <c r="AB512">
        <f t="shared" si="49"/>
        <v>100</v>
      </c>
      <c r="AC512" t="s">
        <v>67</v>
      </c>
      <c r="AD512">
        <f t="shared" si="50"/>
        <v>2</v>
      </c>
      <c r="AE512">
        <f t="shared" si="51"/>
        <v>3</v>
      </c>
      <c r="AF512" t="e">
        <f t="shared" si="52"/>
        <v>#N/A</v>
      </c>
      <c r="AG512" t="e">
        <f t="shared" si="53"/>
        <v>#N/A</v>
      </c>
      <c r="AH512">
        <f t="shared" si="54"/>
        <v>2.93</v>
      </c>
      <c r="AI512" t="e">
        <f t="shared" si="55"/>
        <v>#N/A</v>
      </c>
    </row>
    <row r="513" spans="1:35" x14ac:dyDescent="0.45">
      <c r="A513" t="s">
        <v>1656</v>
      </c>
      <c r="B513">
        <v>43</v>
      </c>
      <c r="C513" t="s">
        <v>45</v>
      </c>
      <c r="D513" t="s">
        <v>45</v>
      </c>
      <c r="E513" t="s">
        <v>78</v>
      </c>
      <c r="F513" t="s">
        <v>47</v>
      </c>
      <c r="G513" t="s">
        <v>276</v>
      </c>
      <c r="H513" t="s">
        <v>61</v>
      </c>
      <c r="I513" t="s">
        <v>49</v>
      </c>
      <c r="J513" t="s">
        <v>618</v>
      </c>
      <c r="K513" t="s">
        <v>1657</v>
      </c>
      <c r="L513" t="s">
        <v>64</v>
      </c>
      <c r="M513" t="s">
        <v>2627</v>
      </c>
      <c r="N513" t="s">
        <v>950</v>
      </c>
      <c r="O513" t="s">
        <v>64</v>
      </c>
      <c r="P513" t="s">
        <v>55</v>
      </c>
      <c r="Q513" t="s">
        <v>129</v>
      </c>
      <c r="R513">
        <v>168</v>
      </c>
      <c r="S513">
        <v>0</v>
      </c>
      <c r="T513" t="s">
        <v>137</v>
      </c>
      <c r="U513" t="s">
        <v>42</v>
      </c>
      <c r="V513">
        <v>4.87</v>
      </c>
      <c r="W513">
        <v>3.41</v>
      </c>
      <c r="X513">
        <v>1.7</v>
      </c>
      <c r="Y513">
        <v>7.4</v>
      </c>
      <c r="Z513">
        <v>19.2</v>
      </c>
      <c r="AA513">
        <f>VALUE(SUBSTITUTE(DACS19___Pfizer’s_Personalised_Medicine_in[[#This Row],[Dose]],"mg",""))</f>
        <v>150</v>
      </c>
      <c r="AB513">
        <f t="shared" si="49"/>
        <v>150</v>
      </c>
      <c r="AC513" t="s">
        <v>129</v>
      </c>
      <c r="AD513">
        <f t="shared" si="50"/>
        <v>4</v>
      </c>
      <c r="AE513">
        <f t="shared" si="51"/>
        <v>2</v>
      </c>
      <c r="AF513">
        <f t="shared" si="52"/>
        <v>3.41</v>
      </c>
      <c r="AG513" t="e">
        <f t="shared" si="53"/>
        <v>#N/A</v>
      </c>
      <c r="AH513" t="e">
        <f t="shared" si="54"/>
        <v>#N/A</v>
      </c>
      <c r="AI513" t="e">
        <f t="shared" si="55"/>
        <v>#N/A</v>
      </c>
    </row>
    <row r="514" spans="1:35" x14ac:dyDescent="0.45">
      <c r="A514" t="s">
        <v>1658</v>
      </c>
      <c r="B514">
        <v>55</v>
      </c>
      <c r="C514" t="s">
        <v>44</v>
      </c>
      <c r="D514" t="s">
        <v>95</v>
      </c>
      <c r="E514" t="s">
        <v>163</v>
      </c>
      <c r="F514" t="s">
        <v>59</v>
      </c>
      <c r="G514" t="s">
        <v>118</v>
      </c>
      <c r="H514" t="s">
        <v>61</v>
      </c>
      <c r="I514" t="s">
        <v>132</v>
      </c>
      <c r="J514" t="s">
        <v>1659</v>
      </c>
      <c r="K514" t="s">
        <v>1284</v>
      </c>
      <c r="L514" t="s">
        <v>52</v>
      </c>
      <c r="M514" t="s">
        <v>129</v>
      </c>
      <c r="N514" t="s">
        <v>1660</v>
      </c>
      <c r="O514" t="s">
        <v>52</v>
      </c>
      <c r="P514" t="s">
        <v>39</v>
      </c>
      <c r="Q514" t="s">
        <v>67</v>
      </c>
      <c r="R514">
        <v>67</v>
      </c>
      <c r="S514">
        <v>1</v>
      </c>
      <c r="T514" t="s">
        <v>56</v>
      </c>
      <c r="U514" t="s">
        <v>57</v>
      </c>
      <c r="V514">
        <v>2.19</v>
      </c>
      <c r="W514">
        <v>1.37</v>
      </c>
      <c r="X514">
        <v>6.4</v>
      </c>
      <c r="Y514">
        <v>17.2</v>
      </c>
      <c r="Z514">
        <v>14</v>
      </c>
      <c r="AA514">
        <f>VALUE(SUBSTITUTE(DACS19___Pfizer’s_Personalised_Medicine_in[[#This Row],[Dose]],"mg",""))</f>
        <v>100</v>
      </c>
      <c r="AB514">
        <f t="shared" ref="AB514:AB577" si="56">VALUE(SUBSTITUTE(O514,"mg",""))</f>
        <v>100</v>
      </c>
      <c r="AC514" t="s">
        <v>67</v>
      </c>
      <c r="AD514">
        <f t="shared" ref="AD514:AD577" si="57">IF(Q514="","",IF(Q514="Dizziness",1,IF(Q514="Fatigue",2,IF(Q514="Headache",3,IF(Q514="Nausea",4,IF(Q514="Not Reported",0,""))))))</f>
        <v>2</v>
      </c>
      <c r="AE514">
        <f t="shared" ref="AE514:AE577" si="58">IF(P514="Deteriorated",1,IF(P514="No Change",2,IF(P514="Improved",3,0)))</f>
        <v>3</v>
      </c>
      <c r="AF514">
        <f t="shared" ref="AF514:AF577" si="59">IF($H514="DrugA",$W514,NA())</f>
        <v>1.37</v>
      </c>
      <c r="AG514" t="e">
        <f t="shared" ref="AG514:AG577" si="60">IF($H514="DrugB",$W514,NA())</f>
        <v>#N/A</v>
      </c>
      <c r="AH514" t="e">
        <f t="shared" ref="AH514:AH577" si="61">IF($H514="DrugC",$W514,NA())</f>
        <v>#N/A</v>
      </c>
      <c r="AI514" t="e">
        <f t="shared" ref="AI514:AI577" si="62">IF($H514="DrugD",$W514,NA())</f>
        <v>#N/A</v>
      </c>
    </row>
    <row r="515" spans="1:35" x14ac:dyDescent="0.45">
      <c r="A515" t="s">
        <v>1661</v>
      </c>
      <c r="B515">
        <v>53</v>
      </c>
      <c r="C515" t="s">
        <v>44</v>
      </c>
      <c r="D515" t="s">
        <v>95</v>
      </c>
      <c r="E515" t="s">
        <v>29</v>
      </c>
      <c r="F515" t="s">
        <v>69</v>
      </c>
      <c r="G515" t="s">
        <v>80</v>
      </c>
      <c r="H515" t="s">
        <v>81</v>
      </c>
      <c r="I515" t="s">
        <v>49</v>
      </c>
      <c r="J515" t="s">
        <v>1662</v>
      </c>
      <c r="K515" t="s">
        <v>1663</v>
      </c>
      <c r="L515" t="s">
        <v>52</v>
      </c>
      <c r="M515" t="s">
        <v>2624</v>
      </c>
      <c r="N515" t="s">
        <v>812</v>
      </c>
      <c r="O515" t="s">
        <v>52</v>
      </c>
      <c r="P515" t="s">
        <v>39</v>
      </c>
      <c r="Q515" t="s">
        <v>2614</v>
      </c>
      <c r="R515">
        <v>107</v>
      </c>
      <c r="S515">
        <v>1</v>
      </c>
      <c r="T515" t="s">
        <v>56</v>
      </c>
      <c r="U515" t="s">
        <v>57</v>
      </c>
      <c r="V515">
        <v>2.0699999999999998</v>
      </c>
      <c r="W515">
        <v>1.06</v>
      </c>
      <c r="X515">
        <v>9.6999999999999993</v>
      </c>
      <c r="Y515">
        <v>10.5</v>
      </c>
      <c r="Z515">
        <v>14.5</v>
      </c>
      <c r="AA515">
        <f>VALUE(SUBSTITUTE(DACS19___Pfizer’s_Personalised_Medicine_in[[#This Row],[Dose]],"mg",""))</f>
        <v>100</v>
      </c>
      <c r="AB515">
        <f t="shared" si="56"/>
        <v>100</v>
      </c>
      <c r="AC515" t="s">
        <v>2614</v>
      </c>
      <c r="AD515">
        <f t="shared" si="57"/>
        <v>0</v>
      </c>
      <c r="AE515">
        <f t="shared" si="58"/>
        <v>3</v>
      </c>
      <c r="AF515" t="e">
        <f t="shared" si="59"/>
        <v>#N/A</v>
      </c>
      <c r="AG515" t="e">
        <f t="shared" si="60"/>
        <v>#N/A</v>
      </c>
      <c r="AH515" t="e">
        <f t="shared" si="61"/>
        <v>#N/A</v>
      </c>
      <c r="AI515">
        <f t="shared" si="62"/>
        <v>1.06</v>
      </c>
    </row>
    <row r="516" spans="1:35" x14ac:dyDescent="0.45">
      <c r="A516" t="s">
        <v>1664</v>
      </c>
      <c r="B516">
        <v>20</v>
      </c>
      <c r="C516" t="s">
        <v>27</v>
      </c>
      <c r="D516" t="s">
        <v>28</v>
      </c>
      <c r="E516" t="s">
        <v>163</v>
      </c>
      <c r="F516" t="s">
        <v>2614</v>
      </c>
      <c r="G516" t="s">
        <v>48</v>
      </c>
      <c r="H516" t="s">
        <v>61</v>
      </c>
      <c r="I516" t="s">
        <v>72</v>
      </c>
      <c r="J516" t="s">
        <v>1665</v>
      </c>
      <c r="K516" t="s">
        <v>1666</v>
      </c>
      <c r="L516" t="s">
        <v>52</v>
      </c>
      <c r="M516" t="s">
        <v>2622</v>
      </c>
      <c r="N516" t="s">
        <v>1667</v>
      </c>
      <c r="O516" t="s">
        <v>52</v>
      </c>
      <c r="P516" t="s">
        <v>39</v>
      </c>
      <c r="Q516" t="s">
        <v>40</v>
      </c>
      <c r="R516">
        <v>100</v>
      </c>
      <c r="S516">
        <v>1</v>
      </c>
      <c r="T516" t="s">
        <v>41</v>
      </c>
      <c r="U516" t="s">
        <v>57</v>
      </c>
      <c r="V516">
        <v>3.83</v>
      </c>
      <c r="W516">
        <v>3.44</v>
      </c>
      <c r="X516">
        <v>3.8</v>
      </c>
      <c r="Y516">
        <v>10.9</v>
      </c>
      <c r="Z516">
        <v>13.2</v>
      </c>
      <c r="AA516">
        <f>VALUE(SUBSTITUTE(DACS19___Pfizer’s_Personalised_Medicine_in[[#This Row],[Dose]],"mg",""))</f>
        <v>100</v>
      </c>
      <c r="AB516">
        <f t="shared" si="56"/>
        <v>100</v>
      </c>
      <c r="AC516" t="s">
        <v>40</v>
      </c>
      <c r="AD516">
        <f t="shared" si="57"/>
        <v>3</v>
      </c>
      <c r="AE516">
        <f t="shared" si="58"/>
        <v>3</v>
      </c>
      <c r="AF516">
        <f t="shared" si="59"/>
        <v>3.44</v>
      </c>
      <c r="AG516" t="e">
        <f t="shared" si="60"/>
        <v>#N/A</v>
      </c>
      <c r="AH516" t="e">
        <f t="shared" si="61"/>
        <v>#N/A</v>
      </c>
      <c r="AI516" t="e">
        <f t="shared" si="62"/>
        <v>#N/A</v>
      </c>
    </row>
    <row r="517" spans="1:35" x14ac:dyDescent="0.45">
      <c r="A517" t="s">
        <v>1668</v>
      </c>
      <c r="B517">
        <v>82</v>
      </c>
      <c r="C517" t="s">
        <v>45</v>
      </c>
      <c r="D517" t="s">
        <v>87</v>
      </c>
      <c r="E517" t="s">
        <v>29</v>
      </c>
      <c r="F517" t="s">
        <v>79</v>
      </c>
      <c r="G517" t="s">
        <v>276</v>
      </c>
      <c r="H517" t="s">
        <v>32</v>
      </c>
      <c r="I517" t="s">
        <v>49</v>
      </c>
      <c r="J517" t="s">
        <v>1669</v>
      </c>
      <c r="K517" t="s">
        <v>269</v>
      </c>
      <c r="L517" t="s">
        <v>36</v>
      </c>
      <c r="M517" t="s">
        <v>2642</v>
      </c>
      <c r="N517" t="s">
        <v>971</v>
      </c>
      <c r="O517" t="s">
        <v>36</v>
      </c>
      <c r="P517" t="s">
        <v>110</v>
      </c>
      <c r="Q517" t="s">
        <v>2614</v>
      </c>
      <c r="R517">
        <v>54</v>
      </c>
      <c r="S517">
        <v>0</v>
      </c>
      <c r="T517" t="s">
        <v>41</v>
      </c>
      <c r="U517" t="s">
        <v>42</v>
      </c>
      <c r="V517">
        <v>4.46</v>
      </c>
      <c r="W517">
        <v>4.79</v>
      </c>
      <c r="X517">
        <v>2</v>
      </c>
      <c r="Y517">
        <v>8.8000000000000007</v>
      </c>
      <c r="Z517">
        <v>19.100000000000001</v>
      </c>
      <c r="AA517">
        <f>VALUE(SUBSTITUTE(DACS19___Pfizer’s_Personalised_Medicine_in[[#This Row],[Dose]],"mg",""))</f>
        <v>200</v>
      </c>
      <c r="AB517">
        <f t="shared" si="56"/>
        <v>200</v>
      </c>
      <c r="AC517" t="s">
        <v>2614</v>
      </c>
      <c r="AD517">
        <f t="shared" si="57"/>
        <v>0</v>
      </c>
      <c r="AE517">
        <f t="shared" si="58"/>
        <v>1</v>
      </c>
      <c r="AF517" t="e">
        <f t="shared" si="59"/>
        <v>#N/A</v>
      </c>
      <c r="AG517" t="e">
        <f t="shared" si="60"/>
        <v>#N/A</v>
      </c>
      <c r="AH517">
        <f t="shared" si="61"/>
        <v>4.79</v>
      </c>
      <c r="AI517" t="e">
        <f t="shared" si="62"/>
        <v>#N/A</v>
      </c>
    </row>
    <row r="518" spans="1:35" x14ac:dyDescent="0.45">
      <c r="A518" t="s">
        <v>1670</v>
      </c>
      <c r="B518">
        <v>20</v>
      </c>
      <c r="C518" t="s">
        <v>45</v>
      </c>
      <c r="D518" t="s">
        <v>28</v>
      </c>
      <c r="E518" t="s">
        <v>46</v>
      </c>
      <c r="F518" t="s">
        <v>59</v>
      </c>
      <c r="G518" t="s">
        <v>152</v>
      </c>
      <c r="H518" t="s">
        <v>81</v>
      </c>
      <c r="I518" t="s">
        <v>33</v>
      </c>
      <c r="J518" t="s">
        <v>1671</v>
      </c>
      <c r="K518" t="s">
        <v>1508</v>
      </c>
      <c r="L518" t="s">
        <v>36</v>
      </c>
      <c r="M518" t="s">
        <v>2616</v>
      </c>
      <c r="N518" t="s">
        <v>358</v>
      </c>
      <c r="O518" t="s">
        <v>36</v>
      </c>
      <c r="P518" t="s">
        <v>55</v>
      </c>
      <c r="Q518" t="s">
        <v>40</v>
      </c>
      <c r="R518">
        <v>68</v>
      </c>
      <c r="S518">
        <v>0</v>
      </c>
      <c r="T518" t="s">
        <v>56</v>
      </c>
      <c r="U518" t="s">
        <v>57</v>
      </c>
      <c r="V518">
        <v>3.95</v>
      </c>
      <c r="W518">
        <v>4.53</v>
      </c>
      <c r="X518">
        <v>2.8</v>
      </c>
      <c r="Y518">
        <v>16.600000000000001</v>
      </c>
      <c r="Z518">
        <v>14.9</v>
      </c>
      <c r="AA518">
        <f>VALUE(SUBSTITUTE(DACS19___Pfizer’s_Personalised_Medicine_in[[#This Row],[Dose]],"mg",""))</f>
        <v>200</v>
      </c>
      <c r="AB518">
        <f t="shared" si="56"/>
        <v>200</v>
      </c>
      <c r="AC518" t="s">
        <v>40</v>
      </c>
      <c r="AD518">
        <f t="shared" si="57"/>
        <v>3</v>
      </c>
      <c r="AE518">
        <f t="shared" si="58"/>
        <v>2</v>
      </c>
      <c r="AF518" t="e">
        <f t="shared" si="59"/>
        <v>#N/A</v>
      </c>
      <c r="AG518" t="e">
        <f t="shared" si="60"/>
        <v>#N/A</v>
      </c>
      <c r="AH518" t="e">
        <f t="shared" si="61"/>
        <v>#N/A</v>
      </c>
      <c r="AI518">
        <f t="shared" si="62"/>
        <v>4.53</v>
      </c>
    </row>
    <row r="519" spans="1:35" x14ac:dyDescent="0.45">
      <c r="A519" t="s">
        <v>1672</v>
      </c>
      <c r="B519">
        <v>44</v>
      </c>
      <c r="C519" t="s">
        <v>45</v>
      </c>
      <c r="D519" t="s">
        <v>106</v>
      </c>
      <c r="E519" t="s">
        <v>78</v>
      </c>
      <c r="F519" t="s">
        <v>88</v>
      </c>
      <c r="G519" t="s">
        <v>80</v>
      </c>
      <c r="H519" t="s">
        <v>61</v>
      </c>
      <c r="I519" t="s">
        <v>33</v>
      </c>
      <c r="J519" t="s">
        <v>1673</v>
      </c>
      <c r="K519" t="s">
        <v>1674</v>
      </c>
      <c r="L519" t="s">
        <v>64</v>
      </c>
      <c r="M519" t="s">
        <v>2633</v>
      </c>
      <c r="N519" t="s">
        <v>1004</v>
      </c>
      <c r="O519" t="s">
        <v>64</v>
      </c>
      <c r="P519" t="s">
        <v>110</v>
      </c>
      <c r="Q519" t="s">
        <v>40</v>
      </c>
      <c r="R519">
        <v>37</v>
      </c>
      <c r="S519">
        <v>0</v>
      </c>
      <c r="T519" t="s">
        <v>41</v>
      </c>
      <c r="U519" t="s">
        <v>42</v>
      </c>
      <c r="V519">
        <v>3.72</v>
      </c>
      <c r="W519">
        <v>2.63</v>
      </c>
      <c r="X519">
        <v>1.1000000000000001</v>
      </c>
      <c r="Y519">
        <v>16.5</v>
      </c>
      <c r="Z519">
        <v>7.3</v>
      </c>
      <c r="AA519">
        <f>VALUE(SUBSTITUTE(DACS19___Pfizer’s_Personalised_Medicine_in[[#This Row],[Dose]],"mg",""))</f>
        <v>150</v>
      </c>
      <c r="AB519">
        <f t="shared" si="56"/>
        <v>150</v>
      </c>
      <c r="AC519" t="s">
        <v>40</v>
      </c>
      <c r="AD519">
        <f t="shared" si="57"/>
        <v>3</v>
      </c>
      <c r="AE519">
        <f t="shared" si="58"/>
        <v>1</v>
      </c>
      <c r="AF519">
        <f t="shared" si="59"/>
        <v>2.63</v>
      </c>
      <c r="AG519" t="e">
        <f t="shared" si="60"/>
        <v>#N/A</v>
      </c>
      <c r="AH519" t="e">
        <f t="shared" si="61"/>
        <v>#N/A</v>
      </c>
      <c r="AI519" t="e">
        <f t="shared" si="62"/>
        <v>#N/A</v>
      </c>
    </row>
    <row r="520" spans="1:35" x14ac:dyDescent="0.45">
      <c r="A520" t="s">
        <v>1675</v>
      </c>
      <c r="B520">
        <v>63</v>
      </c>
      <c r="C520" t="s">
        <v>45</v>
      </c>
      <c r="D520" t="s">
        <v>95</v>
      </c>
      <c r="E520" t="s">
        <v>78</v>
      </c>
      <c r="F520" t="s">
        <v>2614</v>
      </c>
      <c r="G520" t="s">
        <v>164</v>
      </c>
      <c r="H520" t="s">
        <v>32</v>
      </c>
      <c r="I520" t="s">
        <v>33</v>
      </c>
      <c r="J520" t="s">
        <v>1073</v>
      </c>
      <c r="K520" t="s">
        <v>1676</v>
      </c>
      <c r="L520" t="s">
        <v>36</v>
      </c>
      <c r="M520" t="s">
        <v>872</v>
      </c>
      <c r="N520" t="s">
        <v>240</v>
      </c>
      <c r="O520" t="s">
        <v>36</v>
      </c>
      <c r="P520" t="s">
        <v>39</v>
      </c>
      <c r="Q520" t="s">
        <v>129</v>
      </c>
      <c r="R520">
        <v>176</v>
      </c>
      <c r="S520">
        <v>1</v>
      </c>
      <c r="T520" t="s">
        <v>137</v>
      </c>
      <c r="U520" t="s">
        <v>42</v>
      </c>
      <c r="V520">
        <v>2.8</v>
      </c>
      <c r="W520">
        <v>4.83</v>
      </c>
      <c r="X520">
        <v>4.5999999999999996</v>
      </c>
      <c r="Y520">
        <v>21.1</v>
      </c>
      <c r="Z520">
        <v>6.2</v>
      </c>
      <c r="AA520">
        <f>VALUE(SUBSTITUTE(DACS19___Pfizer’s_Personalised_Medicine_in[[#This Row],[Dose]],"mg",""))</f>
        <v>200</v>
      </c>
      <c r="AB520">
        <f t="shared" si="56"/>
        <v>200</v>
      </c>
      <c r="AC520" t="s">
        <v>129</v>
      </c>
      <c r="AD520">
        <f t="shared" si="57"/>
        <v>4</v>
      </c>
      <c r="AE520">
        <f t="shared" si="58"/>
        <v>3</v>
      </c>
      <c r="AF520" t="e">
        <f t="shared" si="59"/>
        <v>#N/A</v>
      </c>
      <c r="AG520" t="e">
        <f t="shared" si="60"/>
        <v>#N/A</v>
      </c>
      <c r="AH520">
        <f t="shared" si="61"/>
        <v>4.83</v>
      </c>
      <c r="AI520" t="e">
        <f t="shared" si="62"/>
        <v>#N/A</v>
      </c>
    </row>
    <row r="521" spans="1:35" x14ac:dyDescent="0.45">
      <c r="A521" t="s">
        <v>1677</v>
      </c>
      <c r="B521">
        <v>38</v>
      </c>
      <c r="C521" t="s">
        <v>45</v>
      </c>
      <c r="D521" t="s">
        <v>95</v>
      </c>
      <c r="E521" t="s">
        <v>29</v>
      </c>
      <c r="F521" t="s">
        <v>79</v>
      </c>
      <c r="G521" t="s">
        <v>48</v>
      </c>
      <c r="H521" t="s">
        <v>32</v>
      </c>
      <c r="I521" t="s">
        <v>132</v>
      </c>
      <c r="J521" t="s">
        <v>1678</v>
      </c>
      <c r="K521" t="s">
        <v>1679</v>
      </c>
      <c r="L521" t="s">
        <v>64</v>
      </c>
      <c r="M521" t="s">
        <v>566</v>
      </c>
      <c r="N521" t="s">
        <v>217</v>
      </c>
      <c r="O521" t="s">
        <v>64</v>
      </c>
      <c r="P521" t="s">
        <v>55</v>
      </c>
      <c r="Q521" t="s">
        <v>40</v>
      </c>
      <c r="R521">
        <v>103</v>
      </c>
      <c r="S521">
        <v>0</v>
      </c>
      <c r="T521" t="s">
        <v>56</v>
      </c>
      <c r="U521" t="s">
        <v>42</v>
      </c>
      <c r="V521">
        <v>3.69</v>
      </c>
      <c r="W521">
        <v>4.91</v>
      </c>
      <c r="X521">
        <v>1.9</v>
      </c>
      <c r="Y521">
        <v>6.1</v>
      </c>
      <c r="Z521">
        <v>10.4</v>
      </c>
      <c r="AA521">
        <f>VALUE(SUBSTITUTE(DACS19___Pfizer’s_Personalised_Medicine_in[[#This Row],[Dose]],"mg",""))</f>
        <v>150</v>
      </c>
      <c r="AB521">
        <f t="shared" si="56"/>
        <v>150</v>
      </c>
      <c r="AC521" t="s">
        <v>40</v>
      </c>
      <c r="AD521">
        <f t="shared" si="57"/>
        <v>3</v>
      </c>
      <c r="AE521">
        <f t="shared" si="58"/>
        <v>2</v>
      </c>
      <c r="AF521" t="e">
        <f t="shared" si="59"/>
        <v>#N/A</v>
      </c>
      <c r="AG521" t="e">
        <f t="shared" si="60"/>
        <v>#N/A</v>
      </c>
      <c r="AH521">
        <f t="shared" si="61"/>
        <v>4.91</v>
      </c>
      <c r="AI521" t="e">
        <f t="shared" si="62"/>
        <v>#N/A</v>
      </c>
    </row>
    <row r="522" spans="1:35" x14ac:dyDescent="0.45">
      <c r="A522" t="s">
        <v>1680</v>
      </c>
      <c r="B522">
        <v>40</v>
      </c>
      <c r="C522" t="s">
        <v>44</v>
      </c>
      <c r="D522" t="s">
        <v>28</v>
      </c>
      <c r="E522" t="s">
        <v>163</v>
      </c>
      <c r="F522" t="s">
        <v>2614</v>
      </c>
      <c r="G522" t="s">
        <v>31</v>
      </c>
      <c r="H522" t="s">
        <v>81</v>
      </c>
      <c r="I522" t="s">
        <v>72</v>
      </c>
      <c r="J522" t="s">
        <v>702</v>
      </c>
      <c r="K522" t="s">
        <v>703</v>
      </c>
      <c r="L522" t="s">
        <v>36</v>
      </c>
      <c r="M522" t="s">
        <v>1291</v>
      </c>
      <c r="N522" t="s">
        <v>287</v>
      </c>
      <c r="O522" t="s">
        <v>36</v>
      </c>
      <c r="P522" t="s">
        <v>39</v>
      </c>
      <c r="Q522" t="s">
        <v>75</v>
      </c>
      <c r="R522">
        <v>87</v>
      </c>
      <c r="S522">
        <v>1</v>
      </c>
      <c r="T522" t="s">
        <v>41</v>
      </c>
      <c r="U522" t="s">
        <v>42</v>
      </c>
      <c r="V522">
        <v>1.37</v>
      </c>
      <c r="W522">
        <v>3.99</v>
      </c>
      <c r="X522">
        <v>9.1999999999999993</v>
      </c>
      <c r="Y522">
        <v>13.8</v>
      </c>
      <c r="Z522">
        <v>7.4</v>
      </c>
      <c r="AA522">
        <f>VALUE(SUBSTITUTE(DACS19___Pfizer’s_Personalised_Medicine_in[[#This Row],[Dose]],"mg",""))</f>
        <v>200</v>
      </c>
      <c r="AB522">
        <f t="shared" si="56"/>
        <v>200</v>
      </c>
      <c r="AC522" t="s">
        <v>75</v>
      </c>
      <c r="AD522">
        <f t="shared" si="57"/>
        <v>1</v>
      </c>
      <c r="AE522">
        <f t="shared" si="58"/>
        <v>3</v>
      </c>
      <c r="AF522" t="e">
        <f t="shared" si="59"/>
        <v>#N/A</v>
      </c>
      <c r="AG522" t="e">
        <f t="shared" si="60"/>
        <v>#N/A</v>
      </c>
      <c r="AH522" t="e">
        <f t="shared" si="61"/>
        <v>#N/A</v>
      </c>
      <c r="AI522">
        <f t="shared" si="62"/>
        <v>3.99</v>
      </c>
    </row>
    <row r="523" spans="1:35" x14ac:dyDescent="0.45">
      <c r="A523" t="s">
        <v>1681</v>
      </c>
      <c r="B523">
        <v>70</v>
      </c>
      <c r="C523" t="s">
        <v>27</v>
      </c>
      <c r="D523" t="s">
        <v>28</v>
      </c>
      <c r="E523" t="s">
        <v>29</v>
      </c>
      <c r="F523" t="s">
        <v>69</v>
      </c>
      <c r="G523" t="s">
        <v>70</v>
      </c>
      <c r="H523" t="s">
        <v>61</v>
      </c>
      <c r="I523" t="s">
        <v>132</v>
      </c>
      <c r="J523" t="s">
        <v>700</v>
      </c>
      <c r="K523" t="s">
        <v>1682</v>
      </c>
      <c r="L523" t="s">
        <v>36</v>
      </c>
      <c r="M523" t="s">
        <v>309</v>
      </c>
      <c r="N523" t="s">
        <v>1014</v>
      </c>
      <c r="O523" t="s">
        <v>36</v>
      </c>
      <c r="P523" t="s">
        <v>55</v>
      </c>
      <c r="Q523" t="s">
        <v>67</v>
      </c>
      <c r="R523">
        <v>74</v>
      </c>
      <c r="S523">
        <v>0</v>
      </c>
      <c r="T523" t="s">
        <v>56</v>
      </c>
      <c r="U523" t="s">
        <v>42</v>
      </c>
      <c r="V523">
        <v>2.74</v>
      </c>
      <c r="W523">
        <v>3.89</v>
      </c>
      <c r="X523">
        <v>1.1000000000000001</v>
      </c>
      <c r="Y523">
        <v>16.600000000000001</v>
      </c>
      <c r="Z523">
        <v>13.4</v>
      </c>
      <c r="AA523">
        <f>VALUE(SUBSTITUTE(DACS19___Pfizer’s_Personalised_Medicine_in[[#This Row],[Dose]],"mg",""))</f>
        <v>200</v>
      </c>
      <c r="AB523">
        <f t="shared" si="56"/>
        <v>200</v>
      </c>
      <c r="AC523" t="s">
        <v>67</v>
      </c>
      <c r="AD523">
        <f t="shared" si="57"/>
        <v>2</v>
      </c>
      <c r="AE523">
        <f t="shared" si="58"/>
        <v>2</v>
      </c>
      <c r="AF523">
        <f t="shared" si="59"/>
        <v>3.89</v>
      </c>
      <c r="AG523" t="e">
        <f t="shared" si="60"/>
        <v>#N/A</v>
      </c>
      <c r="AH523" t="e">
        <f t="shared" si="61"/>
        <v>#N/A</v>
      </c>
      <c r="AI523" t="e">
        <f t="shared" si="62"/>
        <v>#N/A</v>
      </c>
    </row>
    <row r="524" spans="1:35" x14ac:dyDescent="0.45">
      <c r="A524" t="s">
        <v>1683</v>
      </c>
      <c r="B524">
        <v>59</v>
      </c>
      <c r="C524" t="s">
        <v>27</v>
      </c>
      <c r="D524" t="s">
        <v>28</v>
      </c>
      <c r="E524" t="s">
        <v>163</v>
      </c>
      <c r="F524" t="s">
        <v>2614</v>
      </c>
      <c r="G524" t="s">
        <v>89</v>
      </c>
      <c r="H524" t="s">
        <v>81</v>
      </c>
      <c r="I524" t="s">
        <v>33</v>
      </c>
      <c r="J524" t="s">
        <v>1684</v>
      </c>
      <c r="K524" t="s">
        <v>1685</v>
      </c>
      <c r="L524" t="s">
        <v>52</v>
      </c>
      <c r="M524" t="s">
        <v>40</v>
      </c>
      <c r="N524" t="s">
        <v>546</v>
      </c>
      <c r="O524" t="s">
        <v>52</v>
      </c>
      <c r="P524" t="s">
        <v>110</v>
      </c>
      <c r="Q524" t="s">
        <v>129</v>
      </c>
      <c r="R524">
        <v>114</v>
      </c>
      <c r="S524">
        <v>0</v>
      </c>
      <c r="T524" t="s">
        <v>41</v>
      </c>
      <c r="U524" t="s">
        <v>42</v>
      </c>
      <c r="V524">
        <v>3.55</v>
      </c>
      <c r="W524">
        <v>1.97</v>
      </c>
      <c r="X524">
        <v>7.4</v>
      </c>
      <c r="Y524">
        <v>7.6</v>
      </c>
      <c r="Z524">
        <v>6.4</v>
      </c>
      <c r="AA524">
        <f>VALUE(SUBSTITUTE(DACS19___Pfizer’s_Personalised_Medicine_in[[#This Row],[Dose]],"mg",""))</f>
        <v>100</v>
      </c>
      <c r="AB524">
        <f t="shared" si="56"/>
        <v>100</v>
      </c>
      <c r="AC524" t="s">
        <v>129</v>
      </c>
      <c r="AD524">
        <f t="shared" si="57"/>
        <v>4</v>
      </c>
      <c r="AE524">
        <f t="shared" si="58"/>
        <v>1</v>
      </c>
      <c r="AF524" t="e">
        <f t="shared" si="59"/>
        <v>#N/A</v>
      </c>
      <c r="AG524" t="e">
        <f t="shared" si="60"/>
        <v>#N/A</v>
      </c>
      <c r="AH524" t="e">
        <f t="shared" si="61"/>
        <v>#N/A</v>
      </c>
      <c r="AI524">
        <f t="shared" si="62"/>
        <v>1.97</v>
      </c>
    </row>
    <row r="525" spans="1:35" x14ac:dyDescent="0.45">
      <c r="A525" t="s">
        <v>1686</v>
      </c>
      <c r="B525">
        <v>77</v>
      </c>
      <c r="C525" t="s">
        <v>45</v>
      </c>
      <c r="D525" t="s">
        <v>87</v>
      </c>
      <c r="E525" t="s">
        <v>163</v>
      </c>
      <c r="F525" t="s">
        <v>2614</v>
      </c>
      <c r="G525" t="s">
        <v>48</v>
      </c>
      <c r="H525" t="s">
        <v>81</v>
      </c>
      <c r="I525" t="s">
        <v>33</v>
      </c>
      <c r="J525" t="s">
        <v>986</v>
      </c>
      <c r="K525" t="s">
        <v>989</v>
      </c>
      <c r="L525" t="s">
        <v>92</v>
      </c>
      <c r="M525" t="s">
        <v>362</v>
      </c>
      <c r="N525" t="s">
        <v>694</v>
      </c>
      <c r="O525" t="s">
        <v>92</v>
      </c>
      <c r="P525" t="s">
        <v>110</v>
      </c>
      <c r="Q525" t="s">
        <v>129</v>
      </c>
      <c r="R525">
        <v>104</v>
      </c>
      <c r="S525">
        <v>0</v>
      </c>
      <c r="T525" t="s">
        <v>56</v>
      </c>
      <c r="U525" t="s">
        <v>42</v>
      </c>
      <c r="V525">
        <v>4.51</v>
      </c>
      <c r="W525">
        <v>3.95</v>
      </c>
      <c r="X525">
        <v>1.1000000000000001</v>
      </c>
      <c r="Y525">
        <v>10.5</v>
      </c>
      <c r="Z525">
        <v>6.6</v>
      </c>
      <c r="AA525">
        <f>VALUE(SUBSTITUTE(DACS19___Pfizer’s_Personalised_Medicine_in[[#This Row],[Dose]],"mg",""))</f>
        <v>50</v>
      </c>
      <c r="AB525">
        <f t="shared" si="56"/>
        <v>50</v>
      </c>
      <c r="AC525" t="s">
        <v>129</v>
      </c>
      <c r="AD525">
        <f t="shared" si="57"/>
        <v>4</v>
      </c>
      <c r="AE525">
        <f t="shared" si="58"/>
        <v>1</v>
      </c>
      <c r="AF525" t="e">
        <f t="shared" si="59"/>
        <v>#N/A</v>
      </c>
      <c r="AG525" t="e">
        <f t="shared" si="60"/>
        <v>#N/A</v>
      </c>
      <c r="AH525" t="e">
        <f t="shared" si="61"/>
        <v>#N/A</v>
      </c>
      <c r="AI525">
        <f t="shared" si="62"/>
        <v>3.95</v>
      </c>
    </row>
    <row r="526" spans="1:35" x14ac:dyDescent="0.45">
      <c r="A526" t="s">
        <v>1687</v>
      </c>
      <c r="B526">
        <v>64</v>
      </c>
      <c r="C526" t="s">
        <v>44</v>
      </c>
      <c r="D526" t="s">
        <v>45</v>
      </c>
      <c r="E526" t="s">
        <v>78</v>
      </c>
      <c r="F526" t="s">
        <v>88</v>
      </c>
      <c r="G526" t="s">
        <v>102</v>
      </c>
      <c r="H526" t="s">
        <v>71</v>
      </c>
      <c r="I526" t="s">
        <v>132</v>
      </c>
      <c r="J526" t="s">
        <v>1688</v>
      </c>
      <c r="K526" t="s">
        <v>906</v>
      </c>
      <c r="L526" t="s">
        <v>64</v>
      </c>
      <c r="M526" t="s">
        <v>2615</v>
      </c>
      <c r="N526" t="s">
        <v>843</v>
      </c>
      <c r="O526" t="s">
        <v>64</v>
      </c>
      <c r="P526" t="s">
        <v>55</v>
      </c>
      <c r="Q526" t="s">
        <v>67</v>
      </c>
      <c r="R526">
        <v>97</v>
      </c>
      <c r="S526">
        <v>0</v>
      </c>
      <c r="T526" t="s">
        <v>123</v>
      </c>
      <c r="U526" t="s">
        <v>57</v>
      </c>
      <c r="V526">
        <v>2.08</v>
      </c>
      <c r="W526">
        <v>1.99</v>
      </c>
      <c r="X526">
        <v>1.6</v>
      </c>
      <c r="Y526">
        <v>14.3</v>
      </c>
      <c r="Z526">
        <v>15.5</v>
      </c>
      <c r="AA526">
        <f>VALUE(SUBSTITUTE(DACS19___Pfizer’s_Personalised_Medicine_in[[#This Row],[Dose]],"mg",""))</f>
        <v>150</v>
      </c>
      <c r="AB526">
        <f t="shared" si="56"/>
        <v>150</v>
      </c>
      <c r="AC526" t="s">
        <v>67</v>
      </c>
      <c r="AD526">
        <f t="shared" si="57"/>
        <v>2</v>
      </c>
      <c r="AE526">
        <f t="shared" si="58"/>
        <v>2</v>
      </c>
      <c r="AF526" t="e">
        <f t="shared" si="59"/>
        <v>#N/A</v>
      </c>
      <c r="AG526">
        <f t="shared" si="60"/>
        <v>1.99</v>
      </c>
      <c r="AH526" t="e">
        <f t="shared" si="61"/>
        <v>#N/A</v>
      </c>
      <c r="AI526" t="e">
        <f t="shared" si="62"/>
        <v>#N/A</v>
      </c>
    </row>
    <row r="527" spans="1:35" x14ac:dyDescent="0.45">
      <c r="A527" t="s">
        <v>1689</v>
      </c>
      <c r="B527">
        <v>27</v>
      </c>
      <c r="C527" t="s">
        <v>44</v>
      </c>
      <c r="D527" t="s">
        <v>95</v>
      </c>
      <c r="E527" t="s">
        <v>46</v>
      </c>
      <c r="F527" t="s">
        <v>2614</v>
      </c>
      <c r="G527" t="s">
        <v>31</v>
      </c>
      <c r="H527" t="s">
        <v>32</v>
      </c>
      <c r="I527" t="s">
        <v>33</v>
      </c>
      <c r="J527" t="s">
        <v>1690</v>
      </c>
      <c r="K527" t="s">
        <v>90</v>
      </c>
      <c r="L527" t="s">
        <v>64</v>
      </c>
      <c r="M527" t="s">
        <v>160</v>
      </c>
      <c r="N527" t="s">
        <v>1132</v>
      </c>
      <c r="O527" t="s">
        <v>64</v>
      </c>
      <c r="P527" t="s">
        <v>55</v>
      </c>
      <c r="Q527" t="s">
        <v>129</v>
      </c>
      <c r="R527">
        <v>86</v>
      </c>
      <c r="S527">
        <v>0</v>
      </c>
      <c r="T527" t="s">
        <v>137</v>
      </c>
      <c r="U527" t="s">
        <v>57</v>
      </c>
      <c r="V527">
        <v>3.43</v>
      </c>
      <c r="W527">
        <v>3.69</v>
      </c>
      <c r="X527">
        <v>1.7</v>
      </c>
      <c r="Y527">
        <v>23.1</v>
      </c>
      <c r="Z527">
        <v>17.3</v>
      </c>
      <c r="AA527">
        <f>VALUE(SUBSTITUTE(DACS19___Pfizer’s_Personalised_Medicine_in[[#This Row],[Dose]],"mg",""))</f>
        <v>150</v>
      </c>
      <c r="AB527">
        <f t="shared" si="56"/>
        <v>150</v>
      </c>
      <c r="AC527" t="s">
        <v>129</v>
      </c>
      <c r="AD527">
        <f t="shared" si="57"/>
        <v>4</v>
      </c>
      <c r="AE527">
        <f t="shared" si="58"/>
        <v>2</v>
      </c>
      <c r="AF527" t="e">
        <f t="shared" si="59"/>
        <v>#N/A</v>
      </c>
      <c r="AG527" t="e">
        <f t="shared" si="60"/>
        <v>#N/A</v>
      </c>
      <c r="AH527">
        <f t="shared" si="61"/>
        <v>3.69</v>
      </c>
      <c r="AI527" t="e">
        <f t="shared" si="62"/>
        <v>#N/A</v>
      </c>
    </row>
    <row r="528" spans="1:35" x14ac:dyDescent="0.45">
      <c r="A528" t="s">
        <v>1691</v>
      </c>
      <c r="B528">
        <v>55</v>
      </c>
      <c r="C528" t="s">
        <v>44</v>
      </c>
      <c r="D528" t="s">
        <v>106</v>
      </c>
      <c r="E528" t="s">
        <v>29</v>
      </c>
      <c r="F528" t="s">
        <v>2614</v>
      </c>
      <c r="G528" t="s">
        <v>70</v>
      </c>
      <c r="H528" t="s">
        <v>81</v>
      </c>
      <c r="I528" t="s">
        <v>132</v>
      </c>
      <c r="J528" t="s">
        <v>1455</v>
      </c>
      <c r="K528" t="s">
        <v>1511</v>
      </c>
      <c r="L528" t="s">
        <v>52</v>
      </c>
      <c r="M528" t="s">
        <v>75</v>
      </c>
      <c r="N528" t="s">
        <v>198</v>
      </c>
      <c r="O528" t="s">
        <v>52</v>
      </c>
      <c r="P528" t="s">
        <v>55</v>
      </c>
      <c r="Q528" t="s">
        <v>2614</v>
      </c>
      <c r="R528">
        <v>88</v>
      </c>
      <c r="S528">
        <v>0</v>
      </c>
      <c r="T528" t="s">
        <v>123</v>
      </c>
      <c r="U528" t="s">
        <v>42</v>
      </c>
      <c r="V528">
        <v>4.22</v>
      </c>
      <c r="W528">
        <v>4.29</v>
      </c>
      <c r="X528">
        <v>9.4</v>
      </c>
      <c r="Y528">
        <v>15.8</v>
      </c>
      <c r="Z528">
        <v>6.4</v>
      </c>
      <c r="AA528">
        <f>VALUE(SUBSTITUTE(DACS19___Pfizer’s_Personalised_Medicine_in[[#This Row],[Dose]],"mg",""))</f>
        <v>100</v>
      </c>
      <c r="AB528">
        <f t="shared" si="56"/>
        <v>100</v>
      </c>
      <c r="AC528" t="s">
        <v>2614</v>
      </c>
      <c r="AD528">
        <f t="shared" si="57"/>
        <v>0</v>
      </c>
      <c r="AE528">
        <f t="shared" si="58"/>
        <v>2</v>
      </c>
      <c r="AF528" t="e">
        <f t="shared" si="59"/>
        <v>#N/A</v>
      </c>
      <c r="AG528" t="e">
        <f t="shared" si="60"/>
        <v>#N/A</v>
      </c>
      <c r="AH528" t="e">
        <f t="shared" si="61"/>
        <v>#N/A</v>
      </c>
      <c r="AI528">
        <f t="shared" si="62"/>
        <v>4.29</v>
      </c>
    </row>
    <row r="529" spans="1:35" x14ac:dyDescent="0.45">
      <c r="A529" t="s">
        <v>1692</v>
      </c>
      <c r="B529">
        <v>56</v>
      </c>
      <c r="C529" t="s">
        <v>27</v>
      </c>
      <c r="D529" t="s">
        <v>45</v>
      </c>
      <c r="E529" t="s">
        <v>163</v>
      </c>
      <c r="F529" t="s">
        <v>69</v>
      </c>
      <c r="G529" t="s">
        <v>246</v>
      </c>
      <c r="H529" t="s">
        <v>81</v>
      </c>
      <c r="I529" t="s">
        <v>33</v>
      </c>
      <c r="J529" t="s">
        <v>1693</v>
      </c>
      <c r="K529" t="s">
        <v>1273</v>
      </c>
      <c r="L529" t="s">
        <v>52</v>
      </c>
      <c r="M529" t="s">
        <v>2640</v>
      </c>
      <c r="N529" t="s">
        <v>208</v>
      </c>
      <c r="O529" t="s">
        <v>52</v>
      </c>
      <c r="P529" t="s">
        <v>55</v>
      </c>
      <c r="Q529" t="s">
        <v>40</v>
      </c>
      <c r="R529">
        <v>73</v>
      </c>
      <c r="S529">
        <v>0</v>
      </c>
      <c r="T529" t="s">
        <v>85</v>
      </c>
      <c r="U529" t="s">
        <v>57</v>
      </c>
      <c r="V529">
        <v>3.47</v>
      </c>
      <c r="W529">
        <v>3.97</v>
      </c>
      <c r="X529">
        <v>7.6</v>
      </c>
      <c r="Y529">
        <v>15.4</v>
      </c>
      <c r="Z529">
        <v>4.2</v>
      </c>
      <c r="AA529">
        <f>VALUE(SUBSTITUTE(DACS19___Pfizer’s_Personalised_Medicine_in[[#This Row],[Dose]],"mg",""))</f>
        <v>100</v>
      </c>
      <c r="AB529">
        <f t="shared" si="56"/>
        <v>100</v>
      </c>
      <c r="AC529" t="s">
        <v>40</v>
      </c>
      <c r="AD529">
        <f t="shared" si="57"/>
        <v>3</v>
      </c>
      <c r="AE529">
        <f t="shared" si="58"/>
        <v>2</v>
      </c>
      <c r="AF529" t="e">
        <f t="shared" si="59"/>
        <v>#N/A</v>
      </c>
      <c r="AG529" t="e">
        <f t="shared" si="60"/>
        <v>#N/A</v>
      </c>
      <c r="AH529" t="e">
        <f t="shared" si="61"/>
        <v>#N/A</v>
      </c>
      <c r="AI529">
        <f t="shared" si="62"/>
        <v>3.97</v>
      </c>
    </row>
    <row r="530" spans="1:35" x14ac:dyDescent="0.45">
      <c r="A530" t="s">
        <v>1694</v>
      </c>
      <c r="B530">
        <v>40</v>
      </c>
      <c r="C530" t="s">
        <v>44</v>
      </c>
      <c r="D530" t="s">
        <v>95</v>
      </c>
      <c r="E530" t="s">
        <v>163</v>
      </c>
      <c r="F530" t="s">
        <v>2614</v>
      </c>
      <c r="G530" t="s">
        <v>125</v>
      </c>
      <c r="H530" t="s">
        <v>32</v>
      </c>
      <c r="I530" t="s">
        <v>72</v>
      </c>
      <c r="J530" t="s">
        <v>1097</v>
      </c>
      <c r="K530" t="s">
        <v>1695</v>
      </c>
      <c r="L530" t="s">
        <v>64</v>
      </c>
      <c r="M530" t="s">
        <v>221</v>
      </c>
      <c r="N530" t="s">
        <v>1696</v>
      </c>
      <c r="O530" t="s">
        <v>64</v>
      </c>
      <c r="P530" t="s">
        <v>55</v>
      </c>
      <c r="Q530" t="s">
        <v>75</v>
      </c>
      <c r="R530">
        <v>33</v>
      </c>
      <c r="S530">
        <v>0</v>
      </c>
      <c r="T530" t="s">
        <v>85</v>
      </c>
      <c r="U530" t="s">
        <v>42</v>
      </c>
      <c r="V530">
        <v>2.48</v>
      </c>
      <c r="W530">
        <v>4.68</v>
      </c>
      <c r="X530">
        <v>6.3</v>
      </c>
      <c r="Y530">
        <v>15.7</v>
      </c>
      <c r="Z530">
        <v>7.6</v>
      </c>
      <c r="AA530">
        <f>VALUE(SUBSTITUTE(DACS19___Pfizer’s_Personalised_Medicine_in[[#This Row],[Dose]],"mg",""))</f>
        <v>150</v>
      </c>
      <c r="AB530">
        <f t="shared" si="56"/>
        <v>150</v>
      </c>
      <c r="AC530" t="s">
        <v>75</v>
      </c>
      <c r="AD530">
        <f t="shared" si="57"/>
        <v>1</v>
      </c>
      <c r="AE530">
        <f t="shared" si="58"/>
        <v>2</v>
      </c>
      <c r="AF530" t="e">
        <f t="shared" si="59"/>
        <v>#N/A</v>
      </c>
      <c r="AG530" t="e">
        <f t="shared" si="60"/>
        <v>#N/A</v>
      </c>
      <c r="AH530">
        <f t="shared" si="61"/>
        <v>4.68</v>
      </c>
      <c r="AI530" t="e">
        <f t="shared" si="62"/>
        <v>#N/A</v>
      </c>
    </row>
    <row r="531" spans="1:35" x14ac:dyDescent="0.45">
      <c r="A531" t="s">
        <v>1697</v>
      </c>
      <c r="B531">
        <v>43</v>
      </c>
      <c r="C531" t="s">
        <v>44</v>
      </c>
      <c r="D531" t="s">
        <v>87</v>
      </c>
      <c r="E531" t="s">
        <v>78</v>
      </c>
      <c r="F531" t="s">
        <v>2614</v>
      </c>
      <c r="G531" t="s">
        <v>31</v>
      </c>
      <c r="H531" t="s">
        <v>61</v>
      </c>
      <c r="I531" t="s">
        <v>132</v>
      </c>
      <c r="J531" t="s">
        <v>1401</v>
      </c>
      <c r="K531" t="s">
        <v>1698</v>
      </c>
      <c r="L531" t="s">
        <v>92</v>
      </c>
      <c r="M531" t="s">
        <v>40</v>
      </c>
      <c r="N531" t="s">
        <v>799</v>
      </c>
      <c r="O531" t="s">
        <v>92</v>
      </c>
      <c r="P531" t="s">
        <v>110</v>
      </c>
      <c r="Q531" t="s">
        <v>67</v>
      </c>
      <c r="R531">
        <v>92</v>
      </c>
      <c r="S531">
        <v>0</v>
      </c>
      <c r="T531" t="s">
        <v>137</v>
      </c>
      <c r="U531" t="s">
        <v>42</v>
      </c>
      <c r="V531">
        <v>2.4700000000000002</v>
      </c>
      <c r="W531">
        <v>4.58</v>
      </c>
      <c r="X531">
        <v>7</v>
      </c>
      <c r="Y531">
        <v>20.2</v>
      </c>
      <c r="Z531">
        <v>10.7</v>
      </c>
      <c r="AA531">
        <f>VALUE(SUBSTITUTE(DACS19___Pfizer’s_Personalised_Medicine_in[[#This Row],[Dose]],"mg",""))</f>
        <v>50</v>
      </c>
      <c r="AB531">
        <f t="shared" si="56"/>
        <v>50</v>
      </c>
      <c r="AC531" t="s">
        <v>67</v>
      </c>
      <c r="AD531">
        <f t="shared" si="57"/>
        <v>2</v>
      </c>
      <c r="AE531">
        <f t="shared" si="58"/>
        <v>1</v>
      </c>
      <c r="AF531">
        <f t="shared" si="59"/>
        <v>4.58</v>
      </c>
      <c r="AG531" t="e">
        <f t="shared" si="60"/>
        <v>#N/A</v>
      </c>
      <c r="AH531" t="e">
        <f t="shared" si="61"/>
        <v>#N/A</v>
      </c>
      <c r="AI531" t="e">
        <f t="shared" si="62"/>
        <v>#N/A</v>
      </c>
    </row>
    <row r="532" spans="1:35" x14ac:dyDescent="0.45">
      <c r="A532" t="s">
        <v>1699</v>
      </c>
      <c r="B532">
        <v>49</v>
      </c>
      <c r="C532" t="s">
        <v>27</v>
      </c>
      <c r="D532" t="s">
        <v>95</v>
      </c>
      <c r="E532" t="s">
        <v>46</v>
      </c>
      <c r="F532" t="s">
        <v>69</v>
      </c>
      <c r="G532" t="s">
        <v>184</v>
      </c>
      <c r="H532" t="s">
        <v>32</v>
      </c>
      <c r="I532" t="s">
        <v>49</v>
      </c>
      <c r="J532" t="s">
        <v>1700</v>
      </c>
      <c r="K532" t="s">
        <v>1701</v>
      </c>
      <c r="L532" t="s">
        <v>52</v>
      </c>
      <c r="M532" t="s">
        <v>2643</v>
      </c>
      <c r="N532" t="s">
        <v>267</v>
      </c>
      <c r="O532" t="s">
        <v>52</v>
      </c>
      <c r="P532" t="s">
        <v>39</v>
      </c>
      <c r="Q532" t="s">
        <v>75</v>
      </c>
      <c r="R532">
        <v>178</v>
      </c>
      <c r="S532">
        <v>1</v>
      </c>
      <c r="T532" t="s">
        <v>56</v>
      </c>
      <c r="U532" t="s">
        <v>57</v>
      </c>
      <c r="V532">
        <v>3.52</v>
      </c>
      <c r="W532">
        <v>1.99</v>
      </c>
      <c r="X532">
        <v>7.3</v>
      </c>
      <c r="Y532">
        <v>13.7</v>
      </c>
      <c r="Z532">
        <v>10.5</v>
      </c>
      <c r="AA532">
        <f>VALUE(SUBSTITUTE(DACS19___Pfizer’s_Personalised_Medicine_in[[#This Row],[Dose]],"mg",""))</f>
        <v>100</v>
      </c>
      <c r="AB532">
        <f t="shared" si="56"/>
        <v>100</v>
      </c>
      <c r="AC532" t="s">
        <v>75</v>
      </c>
      <c r="AD532">
        <f t="shared" si="57"/>
        <v>1</v>
      </c>
      <c r="AE532">
        <f t="shared" si="58"/>
        <v>3</v>
      </c>
      <c r="AF532" t="e">
        <f t="shared" si="59"/>
        <v>#N/A</v>
      </c>
      <c r="AG532" t="e">
        <f t="shared" si="60"/>
        <v>#N/A</v>
      </c>
      <c r="AH532">
        <f t="shared" si="61"/>
        <v>1.99</v>
      </c>
      <c r="AI532" t="e">
        <f t="shared" si="62"/>
        <v>#N/A</v>
      </c>
    </row>
    <row r="533" spans="1:35" x14ac:dyDescent="0.45">
      <c r="A533" t="s">
        <v>1702</v>
      </c>
      <c r="B533">
        <v>30</v>
      </c>
      <c r="C533" t="s">
        <v>45</v>
      </c>
      <c r="D533" t="s">
        <v>87</v>
      </c>
      <c r="E533" t="s">
        <v>2614</v>
      </c>
      <c r="F533" t="s">
        <v>2614</v>
      </c>
      <c r="G533" t="s">
        <v>125</v>
      </c>
      <c r="H533" t="s">
        <v>71</v>
      </c>
      <c r="I533" t="s">
        <v>33</v>
      </c>
      <c r="J533" t="s">
        <v>1703</v>
      </c>
      <c r="K533" t="s">
        <v>1704</v>
      </c>
      <c r="L533" t="s">
        <v>52</v>
      </c>
      <c r="M533" t="s">
        <v>75</v>
      </c>
      <c r="N533" t="s">
        <v>595</v>
      </c>
      <c r="O533" t="s">
        <v>52</v>
      </c>
      <c r="P533" t="s">
        <v>39</v>
      </c>
      <c r="Q533" t="s">
        <v>75</v>
      </c>
      <c r="R533">
        <v>154</v>
      </c>
      <c r="S533">
        <v>1</v>
      </c>
      <c r="T533" t="s">
        <v>137</v>
      </c>
      <c r="U533" t="s">
        <v>42</v>
      </c>
      <c r="V533">
        <v>3.6</v>
      </c>
      <c r="W533">
        <v>4.75</v>
      </c>
      <c r="X533">
        <v>1.6</v>
      </c>
      <c r="Y533">
        <v>20.8</v>
      </c>
      <c r="Z533">
        <v>8</v>
      </c>
      <c r="AA533">
        <f>VALUE(SUBSTITUTE(DACS19___Pfizer’s_Personalised_Medicine_in[[#This Row],[Dose]],"mg",""))</f>
        <v>100</v>
      </c>
      <c r="AB533">
        <f t="shared" si="56"/>
        <v>100</v>
      </c>
      <c r="AC533" t="s">
        <v>75</v>
      </c>
      <c r="AD533">
        <f t="shared" si="57"/>
        <v>1</v>
      </c>
      <c r="AE533">
        <f t="shared" si="58"/>
        <v>3</v>
      </c>
      <c r="AF533" t="e">
        <f t="shared" si="59"/>
        <v>#N/A</v>
      </c>
      <c r="AG533">
        <f t="shared" si="60"/>
        <v>4.75</v>
      </c>
      <c r="AH533" t="e">
        <f t="shared" si="61"/>
        <v>#N/A</v>
      </c>
      <c r="AI533" t="e">
        <f t="shared" si="62"/>
        <v>#N/A</v>
      </c>
    </row>
    <row r="534" spans="1:35" x14ac:dyDescent="0.45">
      <c r="A534" t="s">
        <v>1705</v>
      </c>
      <c r="B534">
        <v>73</v>
      </c>
      <c r="C534" t="s">
        <v>27</v>
      </c>
      <c r="D534" t="s">
        <v>95</v>
      </c>
      <c r="E534" t="s">
        <v>46</v>
      </c>
      <c r="F534" t="s">
        <v>2614</v>
      </c>
      <c r="G534" t="s">
        <v>152</v>
      </c>
      <c r="H534" t="s">
        <v>81</v>
      </c>
      <c r="I534" t="s">
        <v>49</v>
      </c>
      <c r="J534" t="s">
        <v>1706</v>
      </c>
      <c r="K534" t="s">
        <v>638</v>
      </c>
      <c r="L534" t="s">
        <v>36</v>
      </c>
      <c r="M534" t="s">
        <v>2654</v>
      </c>
      <c r="N534" t="s">
        <v>694</v>
      </c>
      <c r="O534" t="s">
        <v>36</v>
      </c>
      <c r="P534" t="s">
        <v>110</v>
      </c>
      <c r="Q534" t="s">
        <v>2614</v>
      </c>
      <c r="R534">
        <v>106</v>
      </c>
      <c r="S534">
        <v>0</v>
      </c>
      <c r="T534" t="s">
        <v>137</v>
      </c>
      <c r="U534" t="s">
        <v>42</v>
      </c>
      <c r="V534">
        <v>2.78</v>
      </c>
      <c r="W534">
        <v>1.0900000000000001</v>
      </c>
      <c r="X534">
        <v>3.7</v>
      </c>
      <c r="Y534">
        <v>15</v>
      </c>
      <c r="Z534">
        <v>4</v>
      </c>
      <c r="AA534">
        <f>VALUE(SUBSTITUTE(DACS19___Pfizer’s_Personalised_Medicine_in[[#This Row],[Dose]],"mg",""))</f>
        <v>200</v>
      </c>
      <c r="AB534">
        <f t="shared" si="56"/>
        <v>200</v>
      </c>
      <c r="AC534" t="s">
        <v>2614</v>
      </c>
      <c r="AD534">
        <f t="shared" si="57"/>
        <v>0</v>
      </c>
      <c r="AE534">
        <f t="shared" si="58"/>
        <v>1</v>
      </c>
      <c r="AF534" t="e">
        <f t="shared" si="59"/>
        <v>#N/A</v>
      </c>
      <c r="AG534" t="e">
        <f t="shared" si="60"/>
        <v>#N/A</v>
      </c>
      <c r="AH534" t="e">
        <f t="shared" si="61"/>
        <v>#N/A</v>
      </c>
      <c r="AI534">
        <f t="shared" si="62"/>
        <v>1.0900000000000001</v>
      </c>
    </row>
    <row r="535" spans="1:35" x14ac:dyDescent="0.45">
      <c r="A535" t="s">
        <v>1707</v>
      </c>
      <c r="B535">
        <v>61</v>
      </c>
      <c r="C535" t="s">
        <v>44</v>
      </c>
      <c r="D535" t="s">
        <v>45</v>
      </c>
      <c r="E535" t="s">
        <v>29</v>
      </c>
      <c r="F535" t="s">
        <v>47</v>
      </c>
      <c r="G535" t="s">
        <v>102</v>
      </c>
      <c r="H535" t="s">
        <v>71</v>
      </c>
      <c r="I535" t="s">
        <v>33</v>
      </c>
      <c r="J535" t="s">
        <v>1023</v>
      </c>
      <c r="K535" t="s">
        <v>1580</v>
      </c>
      <c r="L535" t="s">
        <v>36</v>
      </c>
      <c r="M535" t="s">
        <v>67</v>
      </c>
      <c r="N535" t="s">
        <v>776</v>
      </c>
      <c r="O535" t="s">
        <v>36</v>
      </c>
      <c r="P535" t="s">
        <v>55</v>
      </c>
      <c r="Q535" t="s">
        <v>2614</v>
      </c>
      <c r="R535">
        <v>54</v>
      </c>
      <c r="S535">
        <v>0</v>
      </c>
      <c r="T535" t="s">
        <v>56</v>
      </c>
      <c r="U535" t="s">
        <v>57</v>
      </c>
      <c r="V535">
        <v>2.96</v>
      </c>
      <c r="W535">
        <v>4.71</v>
      </c>
      <c r="X535">
        <v>1.9</v>
      </c>
      <c r="Y535">
        <v>19.8</v>
      </c>
      <c r="Z535">
        <v>10</v>
      </c>
      <c r="AA535">
        <f>VALUE(SUBSTITUTE(DACS19___Pfizer’s_Personalised_Medicine_in[[#This Row],[Dose]],"mg",""))</f>
        <v>200</v>
      </c>
      <c r="AB535">
        <f t="shared" si="56"/>
        <v>200</v>
      </c>
      <c r="AC535" t="s">
        <v>2614</v>
      </c>
      <c r="AD535">
        <f t="shared" si="57"/>
        <v>0</v>
      </c>
      <c r="AE535">
        <f t="shared" si="58"/>
        <v>2</v>
      </c>
      <c r="AF535" t="e">
        <f t="shared" si="59"/>
        <v>#N/A</v>
      </c>
      <c r="AG535">
        <f t="shared" si="60"/>
        <v>4.71</v>
      </c>
      <c r="AH535" t="e">
        <f t="shared" si="61"/>
        <v>#N/A</v>
      </c>
      <c r="AI535" t="e">
        <f t="shared" si="62"/>
        <v>#N/A</v>
      </c>
    </row>
    <row r="536" spans="1:35" x14ac:dyDescent="0.45">
      <c r="A536" t="s">
        <v>1708</v>
      </c>
      <c r="B536">
        <v>41</v>
      </c>
      <c r="C536" t="s">
        <v>27</v>
      </c>
      <c r="D536" t="s">
        <v>87</v>
      </c>
      <c r="E536" t="s">
        <v>46</v>
      </c>
      <c r="F536" t="s">
        <v>69</v>
      </c>
      <c r="G536" t="s">
        <v>276</v>
      </c>
      <c r="H536" t="s">
        <v>32</v>
      </c>
      <c r="I536" t="s">
        <v>33</v>
      </c>
      <c r="J536" t="s">
        <v>1709</v>
      </c>
      <c r="K536" t="s">
        <v>1295</v>
      </c>
      <c r="L536" t="s">
        <v>52</v>
      </c>
      <c r="M536" t="s">
        <v>2648</v>
      </c>
      <c r="N536" t="s">
        <v>537</v>
      </c>
      <c r="O536" t="s">
        <v>52</v>
      </c>
      <c r="P536" t="s">
        <v>55</v>
      </c>
      <c r="Q536" t="s">
        <v>67</v>
      </c>
      <c r="R536">
        <v>70</v>
      </c>
      <c r="S536">
        <v>0</v>
      </c>
      <c r="T536" t="s">
        <v>85</v>
      </c>
      <c r="U536" t="s">
        <v>42</v>
      </c>
      <c r="V536">
        <v>3.62</v>
      </c>
      <c r="W536">
        <v>2.04</v>
      </c>
      <c r="X536">
        <v>2.4</v>
      </c>
      <c r="Y536">
        <v>8.9</v>
      </c>
      <c r="Z536">
        <v>4.2</v>
      </c>
      <c r="AA536">
        <f>VALUE(SUBSTITUTE(DACS19___Pfizer’s_Personalised_Medicine_in[[#This Row],[Dose]],"mg",""))</f>
        <v>100</v>
      </c>
      <c r="AB536">
        <f t="shared" si="56"/>
        <v>100</v>
      </c>
      <c r="AC536" t="s">
        <v>67</v>
      </c>
      <c r="AD536">
        <f t="shared" si="57"/>
        <v>2</v>
      </c>
      <c r="AE536">
        <f t="shared" si="58"/>
        <v>2</v>
      </c>
      <c r="AF536" t="e">
        <f t="shared" si="59"/>
        <v>#N/A</v>
      </c>
      <c r="AG536" t="e">
        <f t="shared" si="60"/>
        <v>#N/A</v>
      </c>
      <c r="AH536">
        <f t="shared" si="61"/>
        <v>2.04</v>
      </c>
      <c r="AI536" t="e">
        <f t="shared" si="62"/>
        <v>#N/A</v>
      </c>
    </row>
    <row r="537" spans="1:35" x14ac:dyDescent="0.45">
      <c r="A537" t="s">
        <v>1710</v>
      </c>
      <c r="B537">
        <v>59</v>
      </c>
      <c r="C537" t="s">
        <v>45</v>
      </c>
      <c r="D537" t="s">
        <v>95</v>
      </c>
      <c r="E537" t="s">
        <v>29</v>
      </c>
      <c r="F537" t="s">
        <v>2614</v>
      </c>
      <c r="G537" t="s">
        <v>184</v>
      </c>
      <c r="H537" t="s">
        <v>71</v>
      </c>
      <c r="I537" t="s">
        <v>132</v>
      </c>
      <c r="J537" t="s">
        <v>634</v>
      </c>
      <c r="K537" t="s">
        <v>1711</v>
      </c>
      <c r="L537" t="s">
        <v>64</v>
      </c>
      <c r="M537" t="s">
        <v>2633</v>
      </c>
      <c r="N537" t="s">
        <v>1004</v>
      </c>
      <c r="O537" t="s">
        <v>64</v>
      </c>
      <c r="P537" t="s">
        <v>55</v>
      </c>
      <c r="Q537" t="s">
        <v>40</v>
      </c>
      <c r="R537">
        <v>174</v>
      </c>
      <c r="S537">
        <v>0</v>
      </c>
      <c r="T537" t="s">
        <v>56</v>
      </c>
      <c r="U537" t="s">
        <v>57</v>
      </c>
      <c r="V537">
        <v>1.74</v>
      </c>
      <c r="W537">
        <v>3.66</v>
      </c>
      <c r="X537">
        <v>8.9</v>
      </c>
      <c r="Y537">
        <v>20.7</v>
      </c>
      <c r="Z537">
        <v>14.6</v>
      </c>
      <c r="AA537">
        <f>VALUE(SUBSTITUTE(DACS19___Pfizer’s_Personalised_Medicine_in[[#This Row],[Dose]],"mg",""))</f>
        <v>150</v>
      </c>
      <c r="AB537">
        <f t="shared" si="56"/>
        <v>150</v>
      </c>
      <c r="AC537" t="s">
        <v>40</v>
      </c>
      <c r="AD537">
        <f t="shared" si="57"/>
        <v>3</v>
      </c>
      <c r="AE537">
        <f t="shared" si="58"/>
        <v>2</v>
      </c>
      <c r="AF537" t="e">
        <f t="shared" si="59"/>
        <v>#N/A</v>
      </c>
      <c r="AG537">
        <f t="shared" si="60"/>
        <v>3.66</v>
      </c>
      <c r="AH537" t="e">
        <f t="shared" si="61"/>
        <v>#N/A</v>
      </c>
      <c r="AI537" t="e">
        <f t="shared" si="62"/>
        <v>#N/A</v>
      </c>
    </row>
    <row r="538" spans="1:35" x14ac:dyDescent="0.45">
      <c r="A538" t="s">
        <v>1712</v>
      </c>
      <c r="B538">
        <v>18</v>
      </c>
      <c r="C538" t="s">
        <v>44</v>
      </c>
      <c r="D538" t="s">
        <v>87</v>
      </c>
      <c r="E538" t="s">
        <v>78</v>
      </c>
      <c r="F538" t="s">
        <v>79</v>
      </c>
      <c r="G538" t="s">
        <v>440</v>
      </c>
      <c r="H538" t="s">
        <v>32</v>
      </c>
      <c r="I538" t="s">
        <v>49</v>
      </c>
      <c r="J538" t="s">
        <v>1713</v>
      </c>
      <c r="K538" t="s">
        <v>1477</v>
      </c>
      <c r="L538" t="s">
        <v>64</v>
      </c>
      <c r="M538" t="s">
        <v>2639</v>
      </c>
      <c r="N538" t="s">
        <v>1714</v>
      </c>
      <c r="O538" t="s">
        <v>64</v>
      </c>
      <c r="P538" t="s">
        <v>55</v>
      </c>
      <c r="Q538" t="s">
        <v>40</v>
      </c>
      <c r="R538">
        <v>113</v>
      </c>
      <c r="S538">
        <v>0</v>
      </c>
      <c r="T538" t="s">
        <v>85</v>
      </c>
      <c r="U538" t="s">
        <v>42</v>
      </c>
      <c r="V538">
        <v>1.44</v>
      </c>
      <c r="W538">
        <v>2.16</v>
      </c>
      <c r="X538">
        <v>3.8</v>
      </c>
      <c r="Y538">
        <v>10.5</v>
      </c>
      <c r="Z538">
        <v>11.8</v>
      </c>
      <c r="AA538">
        <f>VALUE(SUBSTITUTE(DACS19___Pfizer’s_Personalised_Medicine_in[[#This Row],[Dose]],"mg",""))</f>
        <v>150</v>
      </c>
      <c r="AB538">
        <f t="shared" si="56"/>
        <v>150</v>
      </c>
      <c r="AC538" t="s">
        <v>40</v>
      </c>
      <c r="AD538">
        <f t="shared" si="57"/>
        <v>3</v>
      </c>
      <c r="AE538">
        <f t="shared" si="58"/>
        <v>2</v>
      </c>
      <c r="AF538" t="e">
        <f t="shared" si="59"/>
        <v>#N/A</v>
      </c>
      <c r="AG538" t="e">
        <f t="shared" si="60"/>
        <v>#N/A</v>
      </c>
      <c r="AH538">
        <f t="shared" si="61"/>
        <v>2.16</v>
      </c>
      <c r="AI538" t="e">
        <f t="shared" si="62"/>
        <v>#N/A</v>
      </c>
    </row>
    <row r="539" spans="1:35" x14ac:dyDescent="0.45">
      <c r="A539" t="s">
        <v>1715</v>
      </c>
      <c r="B539">
        <v>45</v>
      </c>
      <c r="C539" t="s">
        <v>45</v>
      </c>
      <c r="D539" t="s">
        <v>45</v>
      </c>
      <c r="E539" t="s">
        <v>78</v>
      </c>
      <c r="F539" t="s">
        <v>2614</v>
      </c>
      <c r="G539" t="s">
        <v>102</v>
      </c>
      <c r="H539" t="s">
        <v>61</v>
      </c>
      <c r="I539" t="s">
        <v>72</v>
      </c>
      <c r="J539" t="s">
        <v>1716</v>
      </c>
      <c r="K539" t="s">
        <v>1285</v>
      </c>
      <c r="L539" t="s">
        <v>36</v>
      </c>
      <c r="M539" t="s">
        <v>40</v>
      </c>
      <c r="N539" t="s">
        <v>447</v>
      </c>
      <c r="O539" t="s">
        <v>36</v>
      </c>
      <c r="P539" t="s">
        <v>110</v>
      </c>
      <c r="Q539" t="s">
        <v>40</v>
      </c>
      <c r="R539">
        <v>93</v>
      </c>
      <c r="S539">
        <v>0</v>
      </c>
      <c r="T539" t="s">
        <v>137</v>
      </c>
      <c r="U539" t="s">
        <v>57</v>
      </c>
      <c r="V539">
        <v>3.14</v>
      </c>
      <c r="W539">
        <v>2.4300000000000002</v>
      </c>
      <c r="X539">
        <v>4.2</v>
      </c>
      <c r="Y539">
        <v>20.9</v>
      </c>
      <c r="Z539">
        <v>16.399999999999999</v>
      </c>
      <c r="AA539">
        <f>VALUE(SUBSTITUTE(DACS19___Pfizer’s_Personalised_Medicine_in[[#This Row],[Dose]],"mg",""))</f>
        <v>200</v>
      </c>
      <c r="AB539">
        <f t="shared" si="56"/>
        <v>200</v>
      </c>
      <c r="AC539" t="s">
        <v>40</v>
      </c>
      <c r="AD539">
        <f t="shared" si="57"/>
        <v>3</v>
      </c>
      <c r="AE539">
        <f t="shared" si="58"/>
        <v>1</v>
      </c>
      <c r="AF539">
        <f t="shared" si="59"/>
        <v>2.4300000000000002</v>
      </c>
      <c r="AG539" t="e">
        <f t="shared" si="60"/>
        <v>#N/A</v>
      </c>
      <c r="AH539" t="e">
        <f t="shared" si="61"/>
        <v>#N/A</v>
      </c>
      <c r="AI539" t="e">
        <f t="shared" si="62"/>
        <v>#N/A</v>
      </c>
    </row>
    <row r="540" spans="1:35" x14ac:dyDescent="0.45">
      <c r="A540" t="s">
        <v>1717</v>
      </c>
      <c r="B540">
        <v>25</v>
      </c>
      <c r="C540" t="s">
        <v>27</v>
      </c>
      <c r="D540" t="s">
        <v>87</v>
      </c>
      <c r="E540" t="s">
        <v>2614</v>
      </c>
      <c r="F540" t="s">
        <v>59</v>
      </c>
      <c r="G540" t="s">
        <v>440</v>
      </c>
      <c r="H540" t="s">
        <v>32</v>
      </c>
      <c r="I540" t="s">
        <v>49</v>
      </c>
      <c r="J540" t="s">
        <v>1718</v>
      </c>
      <c r="K540" t="s">
        <v>1719</v>
      </c>
      <c r="L540" t="s">
        <v>64</v>
      </c>
      <c r="M540" t="s">
        <v>676</v>
      </c>
      <c r="N540" t="s">
        <v>595</v>
      </c>
      <c r="O540" t="s">
        <v>64</v>
      </c>
      <c r="P540" t="s">
        <v>55</v>
      </c>
      <c r="Q540" t="s">
        <v>75</v>
      </c>
      <c r="R540">
        <v>81</v>
      </c>
      <c r="S540">
        <v>0</v>
      </c>
      <c r="T540" t="s">
        <v>85</v>
      </c>
      <c r="U540" t="s">
        <v>42</v>
      </c>
      <c r="V540">
        <v>2.23</v>
      </c>
      <c r="W540">
        <v>4.66</v>
      </c>
      <c r="X540">
        <v>9.6</v>
      </c>
      <c r="Y540">
        <v>11.9</v>
      </c>
      <c r="Z540">
        <v>9</v>
      </c>
      <c r="AA540">
        <f>VALUE(SUBSTITUTE(DACS19___Pfizer’s_Personalised_Medicine_in[[#This Row],[Dose]],"mg",""))</f>
        <v>150</v>
      </c>
      <c r="AB540">
        <f t="shared" si="56"/>
        <v>150</v>
      </c>
      <c r="AC540" t="s">
        <v>75</v>
      </c>
      <c r="AD540">
        <f t="shared" si="57"/>
        <v>1</v>
      </c>
      <c r="AE540">
        <f t="shared" si="58"/>
        <v>2</v>
      </c>
      <c r="AF540" t="e">
        <f t="shared" si="59"/>
        <v>#N/A</v>
      </c>
      <c r="AG540" t="e">
        <f t="shared" si="60"/>
        <v>#N/A</v>
      </c>
      <c r="AH540">
        <f t="shared" si="61"/>
        <v>4.66</v>
      </c>
      <c r="AI540" t="e">
        <f t="shared" si="62"/>
        <v>#N/A</v>
      </c>
    </row>
    <row r="541" spans="1:35" x14ac:dyDescent="0.45">
      <c r="A541" t="s">
        <v>1720</v>
      </c>
      <c r="B541">
        <v>74</v>
      </c>
      <c r="C541" t="s">
        <v>27</v>
      </c>
      <c r="D541" t="s">
        <v>28</v>
      </c>
      <c r="E541" t="s">
        <v>29</v>
      </c>
      <c r="F541" t="s">
        <v>2614</v>
      </c>
      <c r="G541" t="s">
        <v>184</v>
      </c>
      <c r="H541" t="s">
        <v>32</v>
      </c>
      <c r="I541" t="s">
        <v>49</v>
      </c>
      <c r="J541" t="s">
        <v>1721</v>
      </c>
      <c r="K541" t="s">
        <v>899</v>
      </c>
      <c r="L541" t="s">
        <v>64</v>
      </c>
      <c r="M541" t="s">
        <v>1291</v>
      </c>
      <c r="N541" t="s">
        <v>383</v>
      </c>
      <c r="O541" t="s">
        <v>64</v>
      </c>
      <c r="P541" t="s">
        <v>55</v>
      </c>
      <c r="Q541" t="s">
        <v>40</v>
      </c>
      <c r="R541">
        <v>88</v>
      </c>
      <c r="S541">
        <v>0</v>
      </c>
      <c r="T541" t="s">
        <v>56</v>
      </c>
      <c r="U541" t="s">
        <v>57</v>
      </c>
      <c r="V541">
        <v>3.02</v>
      </c>
      <c r="W541">
        <v>4.76</v>
      </c>
      <c r="X541">
        <v>8.9</v>
      </c>
      <c r="Y541">
        <v>7.8</v>
      </c>
      <c r="Z541">
        <v>9.6999999999999993</v>
      </c>
      <c r="AA541">
        <f>VALUE(SUBSTITUTE(DACS19___Pfizer’s_Personalised_Medicine_in[[#This Row],[Dose]],"mg",""))</f>
        <v>150</v>
      </c>
      <c r="AB541">
        <f t="shared" si="56"/>
        <v>150</v>
      </c>
      <c r="AC541" t="s">
        <v>40</v>
      </c>
      <c r="AD541">
        <f t="shared" si="57"/>
        <v>3</v>
      </c>
      <c r="AE541">
        <f t="shared" si="58"/>
        <v>2</v>
      </c>
      <c r="AF541" t="e">
        <f t="shared" si="59"/>
        <v>#N/A</v>
      </c>
      <c r="AG541" t="e">
        <f t="shared" si="60"/>
        <v>#N/A</v>
      </c>
      <c r="AH541">
        <f t="shared" si="61"/>
        <v>4.76</v>
      </c>
      <c r="AI541" t="e">
        <f t="shared" si="62"/>
        <v>#N/A</v>
      </c>
    </row>
    <row r="542" spans="1:35" x14ac:dyDescent="0.45">
      <c r="A542" t="s">
        <v>1722</v>
      </c>
      <c r="B542">
        <v>60</v>
      </c>
      <c r="C542" t="s">
        <v>27</v>
      </c>
      <c r="D542" t="s">
        <v>28</v>
      </c>
      <c r="E542" t="s">
        <v>2614</v>
      </c>
      <c r="F542" t="s">
        <v>2614</v>
      </c>
      <c r="G542" t="s">
        <v>164</v>
      </c>
      <c r="H542" t="s">
        <v>71</v>
      </c>
      <c r="I542" t="s">
        <v>49</v>
      </c>
      <c r="J542" t="s">
        <v>1723</v>
      </c>
      <c r="K542" t="s">
        <v>407</v>
      </c>
      <c r="L542" t="s">
        <v>36</v>
      </c>
      <c r="M542" t="s">
        <v>75</v>
      </c>
      <c r="N542" t="s">
        <v>244</v>
      </c>
      <c r="O542" t="s">
        <v>36</v>
      </c>
      <c r="P542" t="s">
        <v>110</v>
      </c>
      <c r="Q542" t="s">
        <v>2614</v>
      </c>
      <c r="R542">
        <v>34</v>
      </c>
      <c r="S542">
        <v>0</v>
      </c>
      <c r="T542" t="s">
        <v>85</v>
      </c>
      <c r="U542" t="s">
        <v>57</v>
      </c>
      <c r="V542">
        <v>3.21</v>
      </c>
      <c r="W542">
        <v>3.01</v>
      </c>
      <c r="X542">
        <v>2.7</v>
      </c>
      <c r="Y542">
        <v>21.5</v>
      </c>
      <c r="Z542">
        <v>14.5</v>
      </c>
      <c r="AA542">
        <f>VALUE(SUBSTITUTE(DACS19___Pfizer’s_Personalised_Medicine_in[[#This Row],[Dose]],"mg",""))</f>
        <v>200</v>
      </c>
      <c r="AB542">
        <f t="shared" si="56"/>
        <v>200</v>
      </c>
      <c r="AC542" t="s">
        <v>2614</v>
      </c>
      <c r="AD542">
        <f t="shared" si="57"/>
        <v>0</v>
      </c>
      <c r="AE542">
        <f t="shared" si="58"/>
        <v>1</v>
      </c>
      <c r="AF542" t="e">
        <f t="shared" si="59"/>
        <v>#N/A</v>
      </c>
      <c r="AG542">
        <f t="shared" si="60"/>
        <v>3.01</v>
      </c>
      <c r="AH542" t="e">
        <f t="shared" si="61"/>
        <v>#N/A</v>
      </c>
      <c r="AI542" t="e">
        <f t="shared" si="62"/>
        <v>#N/A</v>
      </c>
    </row>
    <row r="543" spans="1:35" x14ac:dyDescent="0.45">
      <c r="A543" t="s">
        <v>1724</v>
      </c>
      <c r="B543">
        <v>22</v>
      </c>
      <c r="C543" t="s">
        <v>45</v>
      </c>
      <c r="D543" t="s">
        <v>28</v>
      </c>
      <c r="E543" t="s">
        <v>29</v>
      </c>
      <c r="F543" t="s">
        <v>69</v>
      </c>
      <c r="G543" t="s">
        <v>31</v>
      </c>
      <c r="H543" t="s">
        <v>61</v>
      </c>
      <c r="I543" t="s">
        <v>49</v>
      </c>
      <c r="J543" t="s">
        <v>1173</v>
      </c>
      <c r="K543" t="s">
        <v>1725</v>
      </c>
      <c r="L543" t="s">
        <v>92</v>
      </c>
      <c r="M543" t="s">
        <v>2647</v>
      </c>
      <c r="N543" t="s">
        <v>305</v>
      </c>
      <c r="O543" t="s">
        <v>92</v>
      </c>
      <c r="P543" t="s">
        <v>110</v>
      </c>
      <c r="Q543" t="s">
        <v>67</v>
      </c>
      <c r="R543">
        <v>48</v>
      </c>
      <c r="S543">
        <v>0</v>
      </c>
      <c r="T543" t="s">
        <v>56</v>
      </c>
      <c r="U543" t="s">
        <v>57</v>
      </c>
      <c r="V543">
        <v>4.3499999999999996</v>
      </c>
      <c r="W543">
        <v>4.4400000000000004</v>
      </c>
      <c r="X543">
        <v>7.7</v>
      </c>
      <c r="Y543">
        <v>13.9</v>
      </c>
      <c r="Z543">
        <v>13.4</v>
      </c>
      <c r="AA543">
        <f>VALUE(SUBSTITUTE(DACS19___Pfizer’s_Personalised_Medicine_in[[#This Row],[Dose]],"mg",""))</f>
        <v>50</v>
      </c>
      <c r="AB543">
        <f t="shared" si="56"/>
        <v>50</v>
      </c>
      <c r="AC543" t="s">
        <v>67</v>
      </c>
      <c r="AD543">
        <f t="shared" si="57"/>
        <v>2</v>
      </c>
      <c r="AE543">
        <f t="shared" si="58"/>
        <v>1</v>
      </c>
      <c r="AF543">
        <f t="shared" si="59"/>
        <v>4.4400000000000004</v>
      </c>
      <c r="AG543" t="e">
        <f t="shared" si="60"/>
        <v>#N/A</v>
      </c>
      <c r="AH543" t="e">
        <f t="shared" si="61"/>
        <v>#N/A</v>
      </c>
      <c r="AI543" t="e">
        <f t="shared" si="62"/>
        <v>#N/A</v>
      </c>
    </row>
    <row r="544" spans="1:35" x14ac:dyDescent="0.45">
      <c r="A544" t="s">
        <v>1726</v>
      </c>
      <c r="B544">
        <v>77</v>
      </c>
      <c r="C544" t="s">
        <v>44</v>
      </c>
      <c r="D544" t="s">
        <v>106</v>
      </c>
      <c r="E544" t="s">
        <v>2614</v>
      </c>
      <c r="F544" t="s">
        <v>69</v>
      </c>
      <c r="G544" t="s">
        <v>31</v>
      </c>
      <c r="H544" t="s">
        <v>81</v>
      </c>
      <c r="I544" t="s">
        <v>33</v>
      </c>
      <c r="J544" t="s">
        <v>702</v>
      </c>
      <c r="K544" t="s">
        <v>1044</v>
      </c>
      <c r="L544" t="s">
        <v>92</v>
      </c>
      <c r="M544" t="s">
        <v>517</v>
      </c>
      <c r="N544" t="s">
        <v>473</v>
      </c>
      <c r="O544" t="s">
        <v>92</v>
      </c>
      <c r="P544" t="s">
        <v>55</v>
      </c>
      <c r="Q544" t="s">
        <v>40</v>
      </c>
      <c r="R544">
        <v>68</v>
      </c>
      <c r="S544">
        <v>0</v>
      </c>
      <c r="T544" t="s">
        <v>137</v>
      </c>
      <c r="U544" t="s">
        <v>42</v>
      </c>
      <c r="V544">
        <v>1.64</v>
      </c>
      <c r="W544">
        <v>3.69</v>
      </c>
      <c r="X544">
        <v>2.6</v>
      </c>
      <c r="Y544">
        <v>18.5</v>
      </c>
      <c r="Z544">
        <v>6.9</v>
      </c>
      <c r="AA544">
        <f>VALUE(SUBSTITUTE(DACS19___Pfizer’s_Personalised_Medicine_in[[#This Row],[Dose]],"mg",""))</f>
        <v>50</v>
      </c>
      <c r="AB544">
        <f t="shared" si="56"/>
        <v>50</v>
      </c>
      <c r="AC544" t="s">
        <v>40</v>
      </c>
      <c r="AD544">
        <f t="shared" si="57"/>
        <v>3</v>
      </c>
      <c r="AE544">
        <f t="shared" si="58"/>
        <v>2</v>
      </c>
      <c r="AF544" t="e">
        <f t="shared" si="59"/>
        <v>#N/A</v>
      </c>
      <c r="AG544" t="e">
        <f t="shared" si="60"/>
        <v>#N/A</v>
      </c>
      <c r="AH544" t="e">
        <f t="shared" si="61"/>
        <v>#N/A</v>
      </c>
      <c r="AI544">
        <f t="shared" si="62"/>
        <v>3.69</v>
      </c>
    </row>
    <row r="545" spans="1:35" x14ac:dyDescent="0.45">
      <c r="A545" t="s">
        <v>1727</v>
      </c>
      <c r="B545">
        <v>59</v>
      </c>
      <c r="C545" t="s">
        <v>45</v>
      </c>
      <c r="D545" t="s">
        <v>95</v>
      </c>
      <c r="E545" t="s">
        <v>46</v>
      </c>
      <c r="F545" t="s">
        <v>2614</v>
      </c>
      <c r="G545" t="s">
        <v>80</v>
      </c>
      <c r="H545" t="s">
        <v>32</v>
      </c>
      <c r="I545" t="s">
        <v>72</v>
      </c>
      <c r="J545" t="s">
        <v>1728</v>
      </c>
      <c r="K545" t="s">
        <v>601</v>
      </c>
      <c r="L545" t="s">
        <v>52</v>
      </c>
      <c r="M545" t="s">
        <v>129</v>
      </c>
      <c r="N545" t="s">
        <v>1660</v>
      </c>
      <c r="O545" t="s">
        <v>52</v>
      </c>
      <c r="P545" t="s">
        <v>110</v>
      </c>
      <c r="Q545" t="s">
        <v>129</v>
      </c>
      <c r="R545">
        <v>62</v>
      </c>
      <c r="S545">
        <v>0</v>
      </c>
      <c r="T545" t="s">
        <v>85</v>
      </c>
      <c r="U545" t="s">
        <v>57</v>
      </c>
      <c r="V545">
        <v>1.47</v>
      </c>
      <c r="W545">
        <v>1.66</v>
      </c>
      <c r="X545">
        <v>1</v>
      </c>
      <c r="Y545">
        <v>18.899999999999999</v>
      </c>
      <c r="Z545">
        <v>15.5</v>
      </c>
      <c r="AA545">
        <f>VALUE(SUBSTITUTE(DACS19___Pfizer’s_Personalised_Medicine_in[[#This Row],[Dose]],"mg",""))</f>
        <v>100</v>
      </c>
      <c r="AB545">
        <f t="shared" si="56"/>
        <v>100</v>
      </c>
      <c r="AC545" t="s">
        <v>129</v>
      </c>
      <c r="AD545">
        <f t="shared" si="57"/>
        <v>4</v>
      </c>
      <c r="AE545">
        <f t="shared" si="58"/>
        <v>1</v>
      </c>
      <c r="AF545" t="e">
        <f t="shared" si="59"/>
        <v>#N/A</v>
      </c>
      <c r="AG545" t="e">
        <f t="shared" si="60"/>
        <v>#N/A</v>
      </c>
      <c r="AH545">
        <f t="shared" si="61"/>
        <v>1.66</v>
      </c>
      <c r="AI545" t="e">
        <f t="shared" si="62"/>
        <v>#N/A</v>
      </c>
    </row>
    <row r="546" spans="1:35" x14ac:dyDescent="0.45">
      <c r="A546" t="s">
        <v>1729</v>
      </c>
      <c r="B546">
        <v>26</v>
      </c>
      <c r="C546" t="s">
        <v>44</v>
      </c>
      <c r="D546" t="s">
        <v>28</v>
      </c>
      <c r="E546" t="s">
        <v>46</v>
      </c>
      <c r="F546" t="s">
        <v>2614</v>
      </c>
      <c r="G546" t="s">
        <v>89</v>
      </c>
      <c r="H546" t="s">
        <v>32</v>
      </c>
      <c r="I546" t="s">
        <v>72</v>
      </c>
      <c r="J546" t="s">
        <v>1113</v>
      </c>
      <c r="K546" t="s">
        <v>1730</v>
      </c>
      <c r="L546" t="s">
        <v>64</v>
      </c>
      <c r="M546" t="s">
        <v>67</v>
      </c>
      <c r="N546" t="s">
        <v>366</v>
      </c>
      <c r="O546" t="s">
        <v>64</v>
      </c>
      <c r="P546" t="s">
        <v>39</v>
      </c>
      <c r="Q546" t="s">
        <v>40</v>
      </c>
      <c r="R546">
        <v>36</v>
      </c>
      <c r="S546">
        <v>1</v>
      </c>
      <c r="T546" t="s">
        <v>56</v>
      </c>
      <c r="U546" t="s">
        <v>42</v>
      </c>
      <c r="V546">
        <v>3.06</v>
      </c>
      <c r="W546">
        <v>1.65</v>
      </c>
      <c r="X546">
        <v>1.8</v>
      </c>
      <c r="Y546">
        <v>6.3</v>
      </c>
      <c r="Z546">
        <v>5.8</v>
      </c>
      <c r="AA546">
        <f>VALUE(SUBSTITUTE(DACS19___Pfizer’s_Personalised_Medicine_in[[#This Row],[Dose]],"mg",""))</f>
        <v>150</v>
      </c>
      <c r="AB546">
        <f t="shared" si="56"/>
        <v>150</v>
      </c>
      <c r="AC546" t="s">
        <v>40</v>
      </c>
      <c r="AD546">
        <f t="shared" si="57"/>
        <v>3</v>
      </c>
      <c r="AE546">
        <f t="shared" si="58"/>
        <v>3</v>
      </c>
      <c r="AF546" t="e">
        <f t="shared" si="59"/>
        <v>#N/A</v>
      </c>
      <c r="AG546" t="e">
        <f t="shared" si="60"/>
        <v>#N/A</v>
      </c>
      <c r="AH546">
        <f t="shared" si="61"/>
        <v>1.65</v>
      </c>
      <c r="AI546" t="e">
        <f t="shared" si="62"/>
        <v>#N/A</v>
      </c>
    </row>
    <row r="547" spans="1:35" x14ac:dyDescent="0.45">
      <c r="A547" t="s">
        <v>1731</v>
      </c>
      <c r="B547">
        <v>66</v>
      </c>
      <c r="C547" t="s">
        <v>27</v>
      </c>
      <c r="D547" t="s">
        <v>95</v>
      </c>
      <c r="E547" t="s">
        <v>78</v>
      </c>
      <c r="F547" t="s">
        <v>79</v>
      </c>
      <c r="G547" t="s">
        <v>131</v>
      </c>
      <c r="H547" t="s">
        <v>61</v>
      </c>
      <c r="I547" t="s">
        <v>49</v>
      </c>
      <c r="J547" t="s">
        <v>1555</v>
      </c>
      <c r="K547" t="s">
        <v>1732</v>
      </c>
      <c r="L547" t="s">
        <v>92</v>
      </c>
      <c r="M547" t="s">
        <v>67</v>
      </c>
      <c r="N547" t="s">
        <v>602</v>
      </c>
      <c r="O547" t="s">
        <v>92</v>
      </c>
      <c r="P547" t="s">
        <v>55</v>
      </c>
      <c r="Q547" t="s">
        <v>75</v>
      </c>
      <c r="R547">
        <v>121</v>
      </c>
      <c r="S547">
        <v>0</v>
      </c>
      <c r="T547" t="s">
        <v>137</v>
      </c>
      <c r="U547" t="s">
        <v>57</v>
      </c>
      <c r="V547">
        <v>4.5599999999999996</v>
      </c>
      <c r="W547">
        <v>1.97</v>
      </c>
      <c r="X547">
        <v>4.2</v>
      </c>
      <c r="Y547">
        <v>7.9</v>
      </c>
      <c r="Z547">
        <v>6.8</v>
      </c>
      <c r="AA547">
        <f>VALUE(SUBSTITUTE(DACS19___Pfizer’s_Personalised_Medicine_in[[#This Row],[Dose]],"mg",""))</f>
        <v>50</v>
      </c>
      <c r="AB547">
        <f t="shared" si="56"/>
        <v>50</v>
      </c>
      <c r="AC547" t="s">
        <v>75</v>
      </c>
      <c r="AD547">
        <f t="shared" si="57"/>
        <v>1</v>
      </c>
      <c r="AE547">
        <f t="shared" si="58"/>
        <v>2</v>
      </c>
      <c r="AF547">
        <f t="shared" si="59"/>
        <v>1.97</v>
      </c>
      <c r="AG547" t="e">
        <f t="shared" si="60"/>
        <v>#N/A</v>
      </c>
      <c r="AH547" t="e">
        <f t="shared" si="61"/>
        <v>#N/A</v>
      </c>
      <c r="AI547" t="e">
        <f t="shared" si="62"/>
        <v>#N/A</v>
      </c>
    </row>
    <row r="548" spans="1:35" x14ac:dyDescent="0.45">
      <c r="A548" t="s">
        <v>1733</v>
      </c>
      <c r="B548">
        <v>42</v>
      </c>
      <c r="C548" t="s">
        <v>27</v>
      </c>
      <c r="D548" t="s">
        <v>87</v>
      </c>
      <c r="E548" t="s">
        <v>29</v>
      </c>
      <c r="F548" t="s">
        <v>59</v>
      </c>
      <c r="G548" t="s">
        <v>246</v>
      </c>
      <c r="H548" t="s">
        <v>61</v>
      </c>
      <c r="I548" t="s">
        <v>33</v>
      </c>
      <c r="J548" t="s">
        <v>1734</v>
      </c>
      <c r="K548" t="s">
        <v>1735</v>
      </c>
      <c r="L548" t="s">
        <v>36</v>
      </c>
      <c r="M548" t="s">
        <v>2629</v>
      </c>
      <c r="N548" t="s">
        <v>188</v>
      </c>
      <c r="O548" t="s">
        <v>36</v>
      </c>
      <c r="P548" t="s">
        <v>55</v>
      </c>
      <c r="Q548" t="s">
        <v>129</v>
      </c>
      <c r="R548">
        <v>141</v>
      </c>
      <c r="S548">
        <v>0</v>
      </c>
      <c r="T548" t="s">
        <v>137</v>
      </c>
      <c r="U548" t="s">
        <v>42</v>
      </c>
      <c r="V548">
        <v>3.08</v>
      </c>
      <c r="W548">
        <v>3.43</v>
      </c>
      <c r="X548">
        <v>3.2</v>
      </c>
      <c r="Y548">
        <v>7</v>
      </c>
      <c r="Z548">
        <v>9.6</v>
      </c>
      <c r="AA548">
        <f>VALUE(SUBSTITUTE(DACS19___Pfizer’s_Personalised_Medicine_in[[#This Row],[Dose]],"mg",""))</f>
        <v>200</v>
      </c>
      <c r="AB548">
        <f t="shared" si="56"/>
        <v>200</v>
      </c>
      <c r="AC548" t="s">
        <v>129</v>
      </c>
      <c r="AD548">
        <f t="shared" si="57"/>
        <v>4</v>
      </c>
      <c r="AE548">
        <f t="shared" si="58"/>
        <v>2</v>
      </c>
      <c r="AF548">
        <f t="shared" si="59"/>
        <v>3.43</v>
      </c>
      <c r="AG548" t="e">
        <f t="shared" si="60"/>
        <v>#N/A</v>
      </c>
      <c r="AH548" t="e">
        <f t="shared" si="61"/>
        <v>#N/A</v>
      </c>
      <c r="AI548" t="e">
        <f t="shared" si="62"/>
        <v>#N/A</v>
      </c>
    </row>
    <row r="549" spans="1:35" x14ac:dyDescent="0.45">
      <c r="A549" t="s">
        <v>1736</v>
      </c>
      <c r="B549">
        <v>28</v>
      </c>
      <c r="C549" t="s">
        <v>45</v>
      </c>
      <c r="D549" t="s">
        <v>95</v>
      </c>
      <c r="E549" t="s">
        <v>78</v>
      </c>
      <c r="F549" t="s">
        <v>59</v>
      </c>
      <c r="G549" t="s">
        <v>31</v>
      </c>
      <c r="H549" t="s">
        <v>61</v>
      </c>
      <c r="I549" t="s">
        <v>72</v>
      </c>
      <c r="J549" t="s">
        <v>1219</v>
      </c>
      <c r="K549" t="s">
        <v>1555</v>
      </c>
      <c r="L549" t="s">
        <v>52</v>
      </c>
      <c r="M549" t="s">
        <v>2635</v>
      </c>
      <c r="N549" t="s">
        <v>650</v>
      </c>
      <c r="O549" t="s">
        <v>52</v>
      </c>
      <c r="P549" t="s">
        <v>39</v>
      </c>
      <c r="Q549" t="s">
        <v>129</v>
      </c>
      <c r="R549">
        <v>83</v>
      </c>
      <c r="S549">
        <v>1</v>
      </c>
      <c r="T549" t="s">
        <v>137</v>
      </c>
      <c r="U549" t="s">
        <v>57</v>
      </c>
      <c r="V549">
        <v>1.94</v>
      </c>
      <c r="W549">
        <v>1.88</v>
      </c>
      <c r="X549">
        <v>9.6</v>
      </c>
      <c r="Y549">
        <v>17.100000000000001</v>
      </c>
      <c r="Z549">
        <v>12.5</v>
      </c>
      <c r="AA549">
        <f>VALUE(SUBSTITUTE(DACS19___Pfizer’s_Personalised_Medicine_in[[#This Row],[Dose]],"mg",""))</f>
        <v>100</v>
      </c>
      <c r="AB549">
        <f t="shared" si="56"/>
        <v>100</v>
      </c>
      <c r="AC549" t="s">
        <v>129</v>
      </c>
      <c r="AD549">
        <f t="shared" si="57"/>
        <v>4</v>
      </c>
      <c r="AE549">
        <f t="shared" si="58"/>
        <v>3</v>
      </c>
      <c r="AF549">
        <f t="shared" si="59"/>
        <v>1.88</v>
      </c>
      <c r="AG549" t="e">
        <f t="shared" si="60"/>
        <v>#N/A</v>
      </c>
      <c r="AH549" t="e">
        <f t="shared" si="61"/>
        <v>#N/A</v>
      </c>
      <c r="AI549" t="e">
        <f t="shared" si="62"/>
        <v>#N/A</v>
      </c>
    </row>
    <row r="550" spans="1:35" x14ac:dyDescent="0.45">
      <c r="A550" t="s">
        <v>1737</v>
      </c>
      <c r="B550">
        <v>71</v>
      </c>
      <c r="C550" t="s">
        <v>27</v>
      </c>
      <c r="D550" t="s">
        <v>95</v>
      </c>
      <c r="E550" t="s">
        <v>46</v>
      </c>
      <c r="F550" t="s">
        <v>69</v>
      </c>
      <c r="G550" t="s">
        <v>96</v>
      </c>
      <c r="H550" t="s">
        <v>71</v>
      </c>
      <c r="I550" t="s">
        <v>132</v>
      </c>
      <c r="J550" t="s">
        <v>1738</v>
      </c>
      <c r="K550" t="s">
        <v>1739</v>
      </c>
      <c r="L550" t="s">
        <v>52</v>
      </c>
      <c r="M550" t="s">
        <v>2627</v>
      </c>
      <c r="N550" t="s">
        <v>550</v>
      </c>
      <c r="O550" t="s">
        <v>52</v>
      </c>
      <c r="P550" t="s">
        <v>110</v>
      </c>
      <c r="Q550" t="s">
        <v>2614</v>
      </c>
      <c r="R550">
        <v>37</v>
      </c>
      <c r="S550">
        <v>0</v>
      </c>
      <c r="T550" t="s">
        <v>123</v>
      </c>
      <c r="U550" t="s">
        <v>57</v>
      </c>
      <c r="V550">
        <v>2.66</v>
      </c>
      <c r="W550">
        <v>2.72</v>
      </c>
      <c r="X550">
        <v>5.9</v>
      </c>
      <c r="Y550">
        <v>18.5</v>
      </c>
      <c r="Z550">
        <v>14.9</v>
      </c>
      <c r="AA550">
        <f>VALUE(SUBSTITUTE(DACS19___Pfizer’s_Personalised_Medicine_in[[#This Row],[Dose]],"mg",""))</f>
        <v>100</v>
      </c>
      <c r="AB550">
        <f t="shared" si="56"/>
        <v>100</v>
      </c>
      <c r="AC550" t="s">
        <v>2614</v>
      </c>
      <c r="AD550">
        <f t="shared" si="57"/>
        <v>0</v>
      </c>
      <c r="AE550">
        <f t="shared" si="58"/>
        <v>1</v>
      </c>
      <c r="AF550" t="e">
        <f t="shared" si="59"/>
        <v>#N/A</v>
      </c>
      <c r="AG550">
        <f t="shared" si="60"/>
        <v>2.72</v>
      </c>
      <c r="AH550" t="e">
        <f t="shared" si="61"/>
        <v>#N/A</v>
      </c>
      <c r="AI550" t="e">
        <f t="shared" si="62"/>
        <v>#N/A</v>
      </c>
    </row>
    <row r="551" spans="1:35" x14ac:dyDescent="0.45">
      <c r="A551" t="s">
        <v>1740</v>
      </c>
      <c r="B551">
        <v>21</v>
      </c>
      <c r="C551" t="s">
        <v>44</v>
      </c>
      <c r="D551" t="s">
        <v>87</v>
      </c>
      <c r="E551" t="s">
        <v>46</v>
      </c>
      <c r="F551" t="s">
        <v>2614</v>
      </c>
      <c r="G551" t="s">
        <v>118</v>
      </c>
      <c r="H551" t="s">
        <v>81</v>
      </c>
      <c r="I551" t="s">
        <v>72</v>
      </c>
      <c r="J551" t="s">
        <v>289</v>
      </c>
      <c r="K551" t="s">
        <v>1118</v>
      </c>
      <c r="L551" t="s">
        <v>52</v>
      </c>
      <c r="M551" t="s">
        <v>40</v>
      </c>
      <c r="N551" t="s">
        <v>776</v>
      </c>
      <c r="O551" t="s">
        <v>52</v>
      </c>
      <c r="P551" t="s">
        <v>39</v>
      </c>
      <c r="Q551" t="s">
        <v>40</v>
      </c>
      <c r="R551">
        <v>148</v>
      </c>
      <c r="S551">
        <v>1</v>
      </c>
      <c r="T551" t="s">
        <v>56</v>
      </c>
      <c r="U551" t="s">
        <v>57</v>
      </c>
      <c r="V551">
        <v>1.69</v>
      </c>
      <c r="W551">
        <v>3</v>
      </c>
      <c r="X551">
        <v>4.7</v>
      </c>
      <c r="Y551">
        <v>21.7</v>
      </c>
      <c r="Z551">
        <v>13.7</v>
      </c>
      <c r="AA551">
        <f>VALUE(SUBSTITUTE(DACS19___Pfizer’s_Personalised_Medicine_in[[#This Row],[Dose]],"mg",""))</f>
        <v>100</v>
      </c>
      <c r="AB551">
        <f t="shared" si="56"/>
        <v>100</v>
      </c>
      <c r="AC551" t="s">
        <v>40</v>
      </c>
      <c r="AD551">
        <f t="shared" si="57"/>
        <v>3</v>
      </c>
      <c r="AE551">
        <f t="shared" si="58"/>
        <v>3</v>
      </c>
      <c r="AF551" t="e">
        <f t="shared" si="59"/>
        <v>#N/A</v>
      </c>
      <c r="AG551" t="e">
        <f t="shared" si="60"/>
        <v>#N/A</v>
      </c>
      <c r="AH551" t="e">
        <f t="shared" si="61"/>
        <v>#N/A</v>
      </c>
      <c r="AI551">
        <f t="shared" si="62"/>
        <v>3</v>
      </c>
    </row>
    <row r="552" spans="1:35" x14ac:dyDescent="0.45">
      <c r="A552" t="s">
        <v>1741</v>
      </c>
      <c r="B552">
        <v>35</v>
      </c>
      <c r="C552" t="s">
        <v>45</v>
      </c>
      <c r="D552" t="s">
        <v>87</v>
      </c>
      <c r="E552" t="s">
        <v>2614</v>
      </c>
      <c r="F552" t="s">
        <v>59</v>
      </c>
      <c r="G552" t="s">
        <v>96</v>
      </c>
      <c r="H552" t="s">
        <v>32</v>
      </c>
      <c r="I552" t="s">
        <v>132</v>
      </c>
      <c r="J552" t="s">
        <v>1268</v>
      </c>
      <c r="K552" t="s">
        <v>1742</v>
      </c>
      <c r="L552" t="s">
        <v>36</v>
      </c>
      <c r="M552" t="s">
        <v>155</v>
      </c>
      <c r="N552" t="s">
        <v>1124</v>
      </c>
      <c r="O552" t="s">
        <v>36</v>
      </c>
      <c r="P552" t="s">
        <v>39</v>
      </c>
      <c r="Q552" t="s">
        <v>75</v>
      </c>
      <c r="R552">
        <v>63</v>
      </c>
      <c r="S552">
        <v>1</v>
      </c>
      <c r="T552" t="s">
        <v>41</v>
      </c>
      <c r="U552" t="s">
        <v>42</v>
      </c>
      <c r="V552">
        <v>3.13</v>
      </c>
      <c r="W552">
        <v>1.46</v>
      </c>
      <c r="X552">
        <v>6.5</v>
      </c>
      <c r="Y552">
        <v>8.1</v>
      </c>
      <c r="Z552">
        <v>8.6999999999999993</v>
      </c>
      <c r="AA552">
        <f>VALUE(SUBSTITUTE(DACS19___Pfizer’s_Personalised_Medicine_in[[#This Row],[Dose]],"mg",""))</f>
        <v>200</v>
      </c>
      <c r="AB552">
        <f t="shared" si="56"/>
        <v>200</v>
      </c>
      <c r="AC552" t="s">
        <v>75</v>
      </c>
      <c r="AD552">
        <f t="shared" si="57"/>
        <v>1</v>
      </c>
      <c r="AE552">
        <f t="shared" si="58"/>
        <v>3</v>
      </c>
      <c r="AF552" t="e">
        <f t="shared" si="59"/>
        <v>#N/A</v>
      </c>
      <c r="AG552" t="e">
        <f t="shared" si="60"/>
        <v>#N/A</v>
      </c>
      <c r="AH552">
        <f t="shared" si="61"/>
        <v>1.46</v>
      </c>
      <c r="AI552" t="e">
        <f t="shared" si="62"/>
        <v>#N/A</v>
      </c>
    </row>
    <row r="553" spans="1:35" x14ac:dyDescent="0.45">
      <c r="A553" t="s">
        <v>1743</v>
      </c>
      <c r="B553">
        <v>28</v>
      </c>
      <c r="C553" t="s">
        <v>45</v>
      </c>
      <c r="D553" t="s">
        <v>87</v>
      </c>
      <c r="E553" t="s">
        <v>78</v>
      </c>
      <c r="F553" t="s">
        <v>69</v>
      </c>
      <c r="G553" t="s">
        <v>102</v>
      </c>
      <c r="H553" t="s">
        <v>71</v>
      </c>
      <c r="I553" t="s">
        <v>72</v>
      </c>
      <c r="J553" t="s">
        <v>1744</v>
      </c>
      <c r="K553" t="s">
        <v>1745</v>
      </c>
      <c r="L553" t="s">
        <v>64</v>
      </c>
      <c r="M553" t="s">
        <v>2627</v>
      </c>
      <c r="N553" t="s">
        <v>136</v>
      </c>
      <c r="O553" t="s">
        <v>64</v>
      </c>
      <c r="P553" t="s">
        <v>39</v>
      </c>
      <c r="Q553" t="s">
        <v>2614</v>
      </c>
      <c r="R553">
        <v>138</v>
      </c>
      <c r="S553">
        <v>1</v>
      </c>
      <c r="T553" t="s">
        <v>137</v>
      </c>
      <c r="U553" t="s">
        <v>42</v>
      </c>
      <c r="V553">
        <v>1.57</v>
      </c>
      <c r="W553">
        <v>3.77</v>
      </c>
      <c r="X553">
        <v>2.9</v>
      </c>
      <c r="Y553">
        <v>13.1</v>
      </c>
      <c r="Z553">
        <v>18.2</v>
      </c>
      <c r="AA553">
        <f>VALUE(SUBSTITUTE(DACS19___Pfizer’s_Personalised_Medicine_in[[#This Row],[Dose]],"mg",""))</f>
        <v>150</v>
      </c>
      <c r="AB553">
        <f t="shared" si="56"/>
        <v>150</v>
      </c>
      <c r="AC553" t="s">
        <v>2614</v>
      </c>
      <c r="AD553">
        <f t="shared" si="57"/>
        <v>0</v>
      </c>
      <c r="AE553">
        <f t="shared" si="58"/>
        <v>3</v>
      </c>
      <c r="AF553" t="e">
        <f t="shared" si="59"/>
        <v>#N/A</v>
      </c>
      <c r="AG553">
        <f t="shared" si="60"/>
        <v>3.77</v>
      </c>
      <c r="AH553" t="e">
        <f t="shared" si="61"/>
        <v>#N/A</v>
      </c>
      <c r="AI553" t="e">
        <f t="shared" si="62"/>
        <v>#N/A</v>
      </c>
    </row>
    <row r="554" spans="1:35" x14ac:dyDescent="0.45">
      <c r="A554" t="s">
        <v>1746</v>
      </c>
      <c r="B554">
        <v>22</v>
      </c>
      <c r="C554" t="s">
        <v>45</v>
      </c>
      <c r="D554" t="s">
        <v>95</v>
      </c>
      <c r="E554" t="s">
        <v>163</v>
      </c>
      <c r="F554" t="s">
        <v>2614</v>
      </c>
      <c r="G554" t="s">
        <v>112</v>
      </c>
      <c r="H554" t="s">
        <v>61</v>
      </c>
      <c r="I554" t="s">
        <v>72</v>
      </c>
      <c r="J554" t="s">
        <v>1747</v>
      </c>
      <c r="K554" t="s">
        <v>1748</v>
      </c>
      <c r="L554" t="s">
        <v>64</v>
      </c>
      <c r="M554" t="s">
        <v>75</v>
      </c>
      <c r="N554" t="s">
        <v>694</v>
      </c>
      <c r="O554" t="s">
        <v>64</v>
      </c>
      <c r="P554" t="s">
        <v>55</v>
      </c>
      <c r="Q554" t="s">
        <v>2614</v>
      </c>
      <c r="R554">
        <v>78</v>
      </c>
      <c r="S554">
        <v>0</v>
      </c>
      <c r="T554" t="s">
        <v>85</v>
      </c>
      <c r="U554" t="s">
        <v>57</v>
      </c>
      <c r="V554">
        <v>1.82</v>
      </c>
      <c r="W554">
        <v>3.03</v>
      </c>
      <c r="X554">
        <v>4.8</v>
      </c>
      <c r="Y554">
        <v>6.3</v>
      </c>
      <c r="Z554">
        <v>16.5</v>
      </c>
      <c r="AA554">
        <f>VALUE(SUBSTITUTE(DACS19___Pfizer’s_Personalised_Medicine_in[[#This Row],[Dose]],"mg",""))</f>
        <v>150</v>
      </c>
      <c r="AB554">
        <f t="shared" si="56"/>
        <v>150</v>
      </c>
      <c r="AC554" t="s">
        <v>2614</v>
      </c>
      <c r="AD554">
        <f t="shared" si="57"/>
        <v>0</v>
      </c>
      <c r="AE554">
        <f t="shared" si="58"/>
        <v>2</v>
      </c>
      <c r="AF554">
        <f t="shared" si="59"/>
        <v>3.03</v>
      </c>
      <c r="AG554" t="e">
        <f t="shared" si="60"/>
        <v>#N/A</v>
      </c>
      <c r="AH554" t="e">
        <f t="shared" si="61"/>
        <v>#N/A</v>
      </c>
      <c r="AI554" t="e">
        <f t="shared" si="62"/>
        <v>#N/A</v>
      </c>
    </row>
    <row r="555" spans="1:35" x14ac:dyDescent="0.45">
      <c r="A555" t="s">
        <v>1749</v>
      </c>
      <c r="B555">
        <v>75</v>
      </c>
      <c r="C555" t="s">
        <v>27</v>
      </c>
      <c r="D555" t="s">
        <v>95</v>
      </c>
      <c r="E555" t="s">
        <v>29</v>
      </c>
      <c r="F555" t="s">
        <v>47</v>
      </c>
      <c r="G555" t="s">
        <v>102</v>
      </c>
      <c r="H555" t="s">
        <v>32</v>
      </c>
      <c r="I555" t="s">
        <v>132</v>
      </c>
      <c r="J555" t="s">
        <v>1750</v>
      </c>
      <c r="K555" t="s">
        <v>990</v>
      </c>
      <c r="L555" t="s">
        <v>36</v>
      </c>
      <c r="M555" t="s">
        <v>2650</v>
      </c>
      <c r="N555" t="s">
        <v>1751</v>
      </c>
      <c r="O555" t="s">
        <v>36</v>
      </c>
      <c r="P555" t="s">
        <v>110</v>
      </c>
      <c r="Q555" t="s">
        <v>2614</v>
      </c>
      <c r="R555">
        <v>46</v>
      </c>
      <c r="S555">
        <v>0</v>
      </c>
      <c r="T555" t="s">
        <v>137</v>
      </c>
      <c r="U555" t="s">
        <v>57</v>
      </c>
      <c r="V555">
        <v>1.28</v>
      </c>
      <c r="W555">
        <v>2.9</v>
      </c>
      <c r="X555">
        <v>6</v>
      </c>
      <c r="Y555">
        <v>17.3</v>
      </c>
      <c r="Z555">
        <v>14.7</v>
      </c>
      <c r="AA555">
        <f>VALUE(SUBSTITUTE(DACS19___Pfizer’s_Personalised_Medicine_in[[#This Row],[Dose]],"mg",""))</f>
        <v>200</v>
      </c>
      <c r="AB555">
        <f t="shared" si="56"/>
        <v>200</v>
      </c>
      <c r="AC555" t="s">
        <v>2614</v>
      </c>
      <c r="AD555">
        <f t="shared" si="57"/>
        <v>0</v>
      </c>
      <c r="AE555">
        <f t="shared" si="58"/>
        <v>1</v>
      </c>
      <c r="AF555" t="e">
        <f t="shared" si="59"/>
        <v>#N/A</v>
      </c>
      <c r="AG555" t="e">
        <f t="shared" si="60"/>
        <v>#N/A</v>
      </c>
      <c r="AH555">
        <f t="shared" si="61"/>
        <v>2.9</v>
      </c>
      <c r="AI555" t="e">
        <f t="shared" si="62"/>
        <v>#N/A</v>
      </c>
    </row>
    <row r="556" spans="1:35" x14ac:dyDescent="0.45">
      <c r="A556" t="s">
        <v>1752</v>
      </c>
      <c r="B556">
        <v>21</v>
      </c>
      <c r="C556" t="s">
        <v>45</v>
      </c>
      <c r="D556" t="s">
        <v>106</v>
      </c>
      <c r="E556" t="s">
        <v>163</v>
      </c>
      <c r="F556" t="s">
        <v>47</v>
      </c>
      <c r="G556" t="s">
        <v>102</v>
      </c>
      <c r="H556" t="s">
        <v>61</v>
      </c>
      <c r="I556" t="s">
        <v>132</v>
      </c>
      <c r="J556" t="s">
        <v>1600</v>
      </c>
      <c r="K556" t="s">
        <v>1753</v>
      </c>
      <c r="L556" t="s">
        <v>36</v>
      </c>
      <c r="M556" t="s">
        <v>221</v>
      </c>
      <c r="N556" t="s">
        <v>1220</v>
      </c>
      <c r="O556" t="s">
        <v>36</v>
      </c>
      <c r="P556" t="s">
        <v>39</v>
      </c>
      <c r="Q556" t="s">
        <v>67</v>
      </c>
      <c r="R556">
        <v>86</v>
      </c>
      <c r="S556">
        <v>1</v>
      </c>
      <c r="T556" t="s">
        <v>123</v>
      </c>
      <c r="U556" t="s">
        <v>42</v>
      </c>
      <c r="V556">
        <v>2.0099999999999998</v>
      </c>
      <c r="W556">
        <v>1.04</v>
      </c>
      <c r="X556">
        <v>7.5</v>
      </c>
      <c r="Y556">
        <v>15.6</v>
      </c>
      <c r="Z556">
        <v>17.2</v>
      </c>
      <c r="AA556">
        <f>VALUE(SUBSTITUTE(DACS19___Pfizer’s_Personalised_Medicine_in[[#This Row],[Dose]],"mg",""))</f>
        <v>200</v>
      </c>
      <c r="AB556">
        <f t="shared" si="56"/>
        <v>200</v>
      </c>
      <c r="AC556" t="s">
        <v>67</v>
      </c>
      <c r="AD556">
        <f t="shared" si="57"/>
        <v>2</v>
      </c>
      <c r="AE556">
        <f t="shared" si="58"/>
        <v>3</v>
      </c>
      <c r="AF556">
        <f t="shared" si="59"/>
        <v>1.04</v>
      </c>
      <c r="AG556" t="e">
        <f t="shared" si="60"/>
        <v>#N/A</v>
      </c>
      <c r="AH556" t="e">
        <f t="shared" si="61"/>
        <v>#N/A</v>
      </c>
      <c r="AI556" t="e">
        <f t="shared" si="62"/>
        <v>#N/A</v>
      </c>
    </row>
    <row r="557" spans="1:35" x14ac:dyDescent="0.45">
      <c r="A557" t="s">
        <v>1754</v>
      </c>
      <c r="B557">
        <v>63</v>
      </c>
      <c r="C557" t="s">
        <v>45</v>
      </c>
      <c r="D557" t="s">
        <v>45</v>
      </c>
      <c r="E557" t="s">
        <v>46</v>
      </c>
      <c r="F557" t="s">
        <v>2614</v>
      </c>
      <c r="G557" t="s">
        <v>246</v>
      </c>
      <c r="H557" t="s">
        <v>61</v>
      </c>
      <c r="I557" t="s">
        <v>132</v>
      </c>
      <c r="J557" t="s">
        <v>748</v>
      </c>
      <c r="K557" t="s">
        <v>1742</v>
      </c>
      <c r="L557" t="s">
        <v>52</v>
      </c>
      <c r="M557" t="s">
        <v>37</v>
      </c>
      <c r="N557" t="s">
        <v>654</v>
      </c>
      <c r="O557" t="s">
        <v>52</v>
      </c>
      <c r="P557" t="s">
        <v>39</v>
      </c>
      <c r="Q557" t="s">
        <v>75</v>
      </c>
      <c r="R557">
        <v>87</v>
      </c>
      <c r="S557">
        <v>1</v>
      </c>
      <c r="T557" t="s">
        <v>41</v>
      </c>
      <c r="U557" t="s">
        <v>57</v>
      </c>
      <c r="V557">
        <v>4.29</v>
      </c>
      <c r="W557">
        <v>4.37</v>
      </c>
      <c r="X557">
        <v>5.4</v>
      </c>
      <c r="Y557">
        <v>12</v>
      </c>
      <c r="Z557">
        <v>16.5</v>
      </c>
      <c r="AA557">
        <f>VALUE(SUBSTITUTE(DACS19___Pfizer’s_Personalised_Medicine_in[[#This Row],[Dose]],"mg",""))</f>
        <v>100</v>
      </c>
      <c r="AB557">
        <f t="shared" si="56"/>
        <v>100</v>
      </c>
      <c r="AC557" t="s">
        <v>75</v>
      </c>
      <c r="AD557">
        <f t="shared" si="57"/>
        <v>1</v>
      </c>
      <c r="AE557">
        <f t="shared" si="58"/>
        <v>3</v>
      </c>
      <c r="AF557">
        <f t="shared" si="59"/>
        <v>4.37</v>
      </c>
      <c r="AG557" t="e">
        <f t="shared" si="60"/>
        <v>#N/A</v>
      </c>
      <c r="AH557" t="e">
        <f t="shared" si="61"/>
        <v>#N/A</v>
      </c>
      <c r="AI557" t="e">
        <f t="shared" si="62"/>
        <v>#N/A</v>
      </c>
    </row>
    <row r="558" spans="1:35" x14ac:dyDescent="0.45">
      <c r="A558" t="s">
        <v>1755</v>
      </c>
      <c r="B558">
        <v>43</v>
      </c>
      <c r="C558" t="s">
        <v>44</v>
      </c>
      <c r="D558" t="s">
        <v>87</v>
      </c>
      <c r="E558" t="s">
        <v>78</v>
      </c>
      <c r="F558" t="s">
        <v>69</v>
      </c>
      <c r="G558" t="s">
        <v>48</v>
      </c>
      <c r="H558" t="s">
        <v>81</v>
      </c>
      <c r="I558" t="s">
        <v>33</v>
      </c>
      <c r="J558" t="s">
        <v>1744</v>
      </c>
      <c r="K558" t="s">
        <v>1756</v>
      </c>
      <c r="L558" t="s">
        <v>92</v>
      </c>
      <c r="M558" t="s">
        <v>2614</v>
      </c>
      <c r="N558" t="s">
        <v>1326</v>
      </c>
      <c r="O558" t="s">
        <v>92</v>
      </c>
      <c r="P558" t="s">
        <v>110</v>
      </c>
      <c r="Q558" t="s">
        <v>2614</v>
      </c>
      <c r="R558">
        <v>83</v>
      </c>
      <c r="S558">
        <v>0</v>
      </c>
      <c r="T558" t="s">
        <v>85</v>
      </c>
      <c r="U558" t="s">
        <v>42</v>
      </c>
      <c r="V558">
        <v>2.81</v>
      </c>
      <c r="W558">
        <v>1.73</v>
      </c>
      <c r="X558">
        <v>8.6999999999999993</v>
      </c>
      <c r="Y558">
        <v>21.9</v>
      </c>
      <c r="Z558">
        <v>10.9</v>
      </c>
      <c r="AA558">
        <f>VALUE(SUBSTITUTE(DACS19___Pfizer’s_Personalised_Medicine_in[[#This Row],[Dose]],"mg",""))</f>
        <v>50</v>
      </c>
      <c r="AB558">
        <f t="shared" si="56"/>
        <v>50</v>
      </c>
      <c r="AC558" t="s">
        <v>2614</v>
      </c>
      <c r="AD558">
        <f t="shared" si="57"/>
        <v>0</v>
      </c>
      <c r="AE558">
        <f t="shared" si="58"/>
        <v>1</v>
      </c>
      <c r="AF558" t="e">
        <f t="shared" si="59"/>
        <v>#N/A</v>
      </c>
      <c r="AG558" t="e">
        <f t="shared" si="60"/>
        <v>#N/A</v>
      </c>
      <c r="AH558" t="e">
        <f t="shared" si="61"/>
        <v>#N/A</v>
      </c>
      <c r="AI558">
        <f t="shared" si="62"/>
        <v>1.73</v>
      </c>
    </row>
    <row r="559" spans="1:35" x14ac:dyDescent="0.45">
      <c r="A559" t="s">
        <v>1757</v>
      </c>
      <c r="B559">
        <v>25</v>
      </c>
      <c r="C559" t="s">
        <v>44</v>
      </c>
      <c r="D559" t="s">
        <v>106</v>
      </c>
      <c r="E559" t="s">
        <v>46</v>
      </c>
      <c r="F559" t="s">
        <v>79</v>
      </c>
      <c r="G559" t="s">
        <v>60</v>
      </c>
      <c r="H559" t="s">
        <v>81</v>
      </c>
      <c r="I559" t="s">
        <v>72</v>
      </c>
      <c r="J559" t="s">
        <v>1758</v>
      </c>
      <c r="K559" t="s">
        <v>1759</v>
      </c>
      <c r="L559" t="s">
        <v>52</v>
      </c>
      <c r="M559" t="s">
        <v>274</v>
      </c>
      <c r="N559" t="s">
        <v>398</v>
      </c>
      <c r="O559" t="s">
        <v>52</v>
      </c>
      <c r="P559" t="s">
        <v>39</v>
      </c>
      <c r="Q559" t="s">
        <v>40</v>
      </c>
      <c r="R559">
        <v>61</v>
      </c>
      <c r="S559">
        <v>1</v>
      </c>
      <c r="T559" t="s">
        <v>85</v>
      </c>
      <c r="U559" t="s">
        <v>42</v>
      </c>
      <c r="V559">
        <v>1.3</v>
      </c>
      <c r="W559">
        <v>2.5499999999999998</v>
      </c>
      <c r="X559">
        <v>8.1999999999999993</v>
      </c>
      <c r="Y559">
        <v>22.2</v>
      </c>
      <c r="Z559">
        <v>6.5</v>
      </c>
      <c r="AA559">
        <f>VALUE(SUBSTITUTE(DACS19___Pfizer’s_Personalised_Medicine_in[[#This Row],[Dose]],"mg",""))</f>
        <v>100</v>
      </c>
      <c r="AB559">
        <f t="shared" si="56"/>
        <v>100</v>
      </c>
      <c r="AC559" t="s">
        <v>40</v>
      </c>
      <c r="AD559">
        <f t="shared" si="57"/>
        <v>3</v>
      </c>
      <c r="AE559">
        <f t="shared" si="58"/>
        <v>3</v>
      </c>
      <c r="AF559" t="e">
        <f t="shared" si="59"/>
        <v>#N/A</v>
      </c>
      <c r="AG559" t="e">
        <f t="shared" si="60"/>
        <v>#N/A</v>
      </c>
      <c r="AH559" t="e">
        <f t="shared" si="61"/>
        <v>#N/A</v>
      </c>
      <c r="AI559">
        <f t="shared" si="62"/>
        <v>2.5499999999999998</v>
      </c>
    </row>
    <row r="560" spans="1:35" x14ac:dyDescent="0.45">
      <c r="A560" t="s">
        <v>1760</v>
      </c>
      <c r="B560">
        <v>44</v>
      </c>
      <c r="C560" t="s">
        <v>44</v>
      </c>
      <c r="D560" t="s">
        <v>106</v>
      </c>
      <c r="E560" t="s">
        <v>2614</v>
      </c>
      <c r="F560" t="s">
        <v>2614</v>
      </c>
      <c r="G560" t="s">
        <v>164</v>
      </c>
      <c r="H560" t="s">
        <v>61</v>
      </c>
      <c r="I560" t="s">
        <v>132</v>
      </c>
      <c r="J560" t="s">
        <v>1761</v>
      </c>
      <c r="K560" t="s">
        <v>1762</v>
      </c>
      <c r="L560" t="s">
        <v>36</v>
      </c>
      <c r="M560" t="s">
        <v>40</v>
      </c>
      <c r="N560" t="s">
        <v>100</v>
      </c>
      <c r="O560" t="s">
        <v>36</v>
      </c>
      <c r="P560" t="s">
        <v>39</v>
      </c>
      <c r="Q560" t="s">
        <v>75</v>
      </c>
      <c r="R560">
        <v>146</v>
      </c>
      <c r="S560">
        <v>1</v>
      </c>
      <c r="T560" t="s">
        <v>41</v>
      </c>
      <c r="U560" t="s">
        <v>42</v>
      </c>
      <c r="V560">
        <v>1.27</v>
      </c>
      <c r="W560">
        <v>4.51</v>
      </c>
      <c r="X560">
        <v>4.5</v>
      </c>
      <c r="Y560">
        <v>15.8</v>
      </c>
      <c r="Z560">
        <v>19.5</v>
      </c>
      <c r="AA560">
        <f>VALUE(SUBSTITUTE(DACS19___Pfizer’s_Personalised_Medicine_in[[#This Row],[Dose]],"mg",""))</f>
        <v>200</v>
      </c>
      <c r="AB560">
        <f t="shared" si="56"/>
        <v>200</v>
      </c>
      <c r="AC560" t="s">
        <v>75</v>
      </c>
      <c r="AD560">
        <f t="shared" si="57"/>
        <v>1</v>
      </c>
      <c r="AE560">
        <f t="shared" si="58"/>
        <v>3</v>
      </c>
      <c r="AF560">
        <f t="shared" si="59"/>
        <v>4.51</v>
      </c>
      <c r="AG560" t="e">
        <f t="shared" si="60"/>
        <v>#N/A</v>
      </c>
      <c r="AH560" t="e">
        <f t="shared" si="61"/>
        <v>#N/A</v>
      </c>
      <c r="AI560" t="e">
        <f t="shared" si="62"/>
        <v>#N/A</v>
      </c>
    </row>
    <row r="561" spans="1:35" x14ac:dyDescent="0.45">
      <c r="A561" t="s">
        <v>1763</v>
      </c>
      <c r="B561">
        <v>61</v>
      </c>
      <c r="C561" t="s">
        <v>44</v>
      </c>
      <c r="D561" t="s">
        <v>87</v>
      </c>
      <c r="E561" t="s">
        <v>78</v>
      </c>
      <c r="F561" t="s">
        <v>2614</v>
      </c>
      <c r="G561" t="s">
        <v>184</v>
      </c>
      <c r="H561" t="s">
        <v>61</v>
      </c>
      <c r="I561" t="s">
        <v>33</v>
      </c>
      <c r="J561" t="s">
        <v>1764</v>
      </c>
      <c r="K561" t="s">
        <v>1765</v>
      </c>
      <c r="L561" t="s">
        <v>36</v>
      </c>
      <c r="M561" t="s">
        <v>37</v>
      </c>
      <c r="N561" t="s">
        <v>1041</v>
      </c>
      <c r="O561" t="s">
        <v>36</v>
      </c>
      <c r="P561" t="s">
        <v>110</v>
      </c>
      <c r="Q561" t="s">
        <v>75</v>
      </c>
      <c r="R561">
        <v>122</v>
      </c>
      <c r="S561">
        <v>0</v>
      </c>
      <c r="T561" t="s">
        <v>41</v>
      </c>
      <c r="U561" t="s">
        <v>57</v>
      </c>
      <c r="V561">
        <v>1.27</v>
      </c>
      <c r="W561">
        <v>3.59</v>
      </c>
      <c r="X561">
        <v>1.7</v>
      </c>
      <c r="Y561">
        <v>12.8</v>
      </c>
      <c r="Z561">
        <v>16.7</v>
      </c>
      <c r="AA561">
        <f>VALUE(SUBSTITUTE(DACS19___Pfizer’s_Personalised_Medicine_in[[#This Row],[Dose]],"mg",""))</f>
        <v>200</v>
      </c>
      <c r="AB561">
        <f t="shared" si="56"/>
        <v>200</v>
      </c>
      <c r="AC561" t="s">
        <v>75</v>
      </c>
      <c r="AD561">
        <f t="shared" si="57"/>
        <v>1</v>
      </c>
      <c r="AE561">
        <f t="shared" si="58"/>
        <v>1</v>
      </c>
      <c r="AF561">
        <f t="shared" si="59"/>
        <v>3.59</v>
      </c>
      <c r="AG561" t="e">
        <f t="shared" si="60"/>
        <v>#N/A</v>
      </c>
      <c r="AH561" t="e">
        <f t="shared" si="61"/>
        <v>#N/A</v>
      </c>
      <c r="AI561" t="e">
        <f t="shared" si="62"/>
        <v>#N/A</v>
      </c>
    </row>
    <row r="562" spans="1:35" x14ac:dyDescent="0.45">
      <c r="A562" t="s">
        <v>1766</v>
      </c>
      <c r="B562">
        <v>73</v>
      </c>
      <c r="C562" t="s">
        <v>44</v>
      </c>
      <c r="D562" t="s">
        <v>87</v>
      </c>
      <c r="E562" t="s">
        <v>163</v>
      </c>
      <c r="F562" t="s">
        <v>2614</v>
      </c>
      <c r="G562" t="s">
        <v>184</v>
      </c>
      <c r="H562" t="s">
        <v>32</v>
      </c>
      <c r="I562" t="s">
        <v>132</v>
      </c>
      <c r="J562" t="s">
        <v>577</v>
      </c>
      <c r="K562" t="s">
        <v>1767</v>
      </c>
      <c r="L562" t="s">
        <v>64</v>
      </c>
      <c r="M562" t="s">
        <v>451</v>
      </c>
      <c r="N562" t="s">
        <v>374</v>
      </c>
      <c r="O562" t="s">
        <v>64</v>
      </c>
      <c r="P562" t="s">
        <v>110</v>
      </c>
      <c r="Q562" t="s">
        <v>40</v>
      </c>
      <c r="R562">
        <v>92</v>
      </c>
      <c r="S562">
        <v>0</v>
      </c>
      <c r="T562" t="s">
        <v>85</v>
      </c>
      <c r="U562" t="s">
        <v>57</v>
      </c>
      <c r="V562">
        <v>2.73</v>
      </c>
      <c r="W562">
        <v>4.99</v>
      </c>
      <c r="X562">
        <v>6</v>
      </c>
      <c r="Y562">
        <v>11.8</v>
      </c>
      <c r="Z562">
        <v>6.7</v>
      </c>
      <c r="AA562">
        <f>VALUE(SUBSTITUTE(DACS19___Pfizer’s_Personalised_Medicine_in[[#This Row],[Dose]],"mg",""))</f>
        <v>150</v>
      </c>
      <c r="AB562">
        <f t="shared" si="56"/>
        <v>150</v>
      </c>
      <c r="AC562" t="s">
        <v>40</v>
      </c>
      <c r="AD562">
        <f t="shared" si="57"/>
        <v>3</v>
      </c>
      <c r="AE562">
        <f t="shared" si="58"/>
        <v>1</v>
      </c>
      <c r="AF562" t="e">
        <f t="shared" si="59"/>
        <v>#N/A</v>
      </c>
      <c r="AG562" t="e">
        <f t="shared" si="60"/>
        <v>#N/A</v>
      </c>
      <c r="AH562">
        <f t="shared" si="61"/>
        <v>4.99</v>
      </c>
      <c r="AI562" t="e">
        <f t="shared" si="62"/>
        <v>#N/A</v>
      </c>
    </row>
    <row r="563" spans="1:35" x14ac:dyDescent="0.45">
      <c r="A563" t="s">
        <v>1768</v>
      </c>
      <c r="B563">
        <v>46</v>
      </c>
      <c r="C563" t="s">
        <v>45</v>
      </c>
      <c r="D563" t="s">
        <v>95</v>
      </c>
      <c r="E563" t="s">
        <v>2614</v>
      </c>
      <c r="F563" t="s">
        <v>47</v>
      </c>
      <c r="G563" t="s">
        <v>178</v>
      </c>
      <c r="H563" t="s">
        <v>81</v>
      </c>
      <c r="I563" t="s">
        <v>33</v>
      </c>
      <c r="J563" t="s">
        <v>1769</v>
      </c>
      <c r="K563" t="s">
        <v>1282</v>
      </c>
      <c r="L563" t="s">
        <v>92</v>
      </c>
      <c r="M563" t="s">
        <v>446</v>
      </c>
      <c r="N563" t="s">
        <v>188</v>
      </c>
      <c r="O563" t="s">
        <v>92</v>
      </c>
      <c r="P563" t="s">
        <v>110</v>
      </c>
      <c r="Q563" t="s">
        <v>75</v>
      </c>
      <c r="R563">
        <v>137</v>
      </c>
      <c r="S563">
        <v>0</v>
      </c>
      <c r="T563" t="s">
        <v>56</v>
      </c>
      <c r="U563" t="s">
        <v>42</v>
      </c>
      <c r="V563">
        <v>2.4</v>
      </c>
      <c r="W563">
        <v>2.4900000000000002</v>
      </c>
      <c r="X563">
        <v>1.6</v>
      </c>
      <c r="Y563">
        <v>12.7</v>
      </c>
      <c r="Z563">
        <v>10.9</v>
      </c>
      <c r="AA563">
        <f>VALUE(SUBSTITUTE(DACS19___Pfizer’s_Personalised_Medicine_in[[#This Row],[Dose]],"mg",""))</f>
        <v>50</v>
      </c>
      <c r="AB563">
        <f t="shared" si="56"/>
        <v>50</v>
      </c>
      <c r="AC563" t="s">
        <v>75</v>
      </c>
      <c r="AD563">
        <f t="shared" si="57"/>
        <v>1</v>
      </c>
      <c r="AE563">
        <f t="shared" si="58"/>
        <v>1</v>
      </c>
      <c r="AF563" t="e">
        <f t="shared" si="59"/>
        <v>#N/A</v>
      </c>
      <c r="AG563" t="e">
        <f t="shared" si="60"/>
        <v>#N/A</v>
      </c>
      <c r="AH563" t="e">
        <f t="shared" si="61"/>
        <v>#N/A</v>
      </c>
      <c r="AI563">
        <f t="shared" si="62"/>
        <v>2.4900000000000002</v>
      </c>
    </row>
    <row r="564" spans="1:35" x14ac:dyDescent="0.45">
      <c r="A564" t="s">
        <v>1770</v>
      </c>
      <c r="B564">
        <v>62</v>
      </c>
      <c r="C564" t="s">
        <v>45</v>
      </c>
      <c r="D564" t="s">
        <v>95</v>
      </c>
      <c r="E564" t="s">
        <v>78</v>
      </c>
      <c r="F564" t="s">
        <v>2614</v>
      </c>
      <c r="G564" t="s">
        <v>246</v>
      </c>
      <c r="H564" t="s">
        <v>61</v>
      </c>
      <c r="I564" t="s">
        <v>33</v>
      </c>
      <c r="J564" t="s">
        <v>1771</v>
      </c>
      <c r="K564" t="s">
        <v>334</v>
      </c>
      <c r="L564" t="s">
        <v>52</v>
      </c>
      <c r="M564" t="s">
        <v>2614</v>
      </c>
      <c r="N564" t="s">
        <v>374</v>
      </c>
      <c r="O564" t="s">
        <v>52</v>
      </c>
      <c r="P564" t="s">
        <v>55</v>
      </c>
      <c r="Q564" t="s">
        <v>40</v>
      </c>
      <c r="R564">
        <v>37</v>
      </c>
      <c r="S564">
        <v>0</v>
      </c>
      <c r="T564" t="s">
        <v>56</v>
      </c>
      <c r="U564" t="s">
        <v>57</v>
      </c>
      <c r="V564">
        <v>3.89</v>
      </c>
      <c r="W564">
        <v>3.63</v>
      </c>
      <c r="X564">
        <v>7.4</v>
      </c>
      <c r="Y564">
        <v>6.2</v>
      </c>
      <c r="Z564">
        <v>6.7</v>
      </c>
      <c r="AA564">
        <f>VALUE(SUBSTITUTE(DACS19___Pfizer’s_Personalised_Medicine_in[[#This Row],[Dose]],"mg",""))</f>
        <v>100</v>
      </c>
      <c r="AB564">
        <f t="shared" si="56"/>
        <v>100</v>
      </c>
      <c r="AC564" t="s">
        <v>40</v>
      </c>
      <c r="AD564">
        <f t="shared" si="57"/>
        <v>3</v>
      </c>
      <c r="AE564">
        <f t="shared" si="58"/>
        <v>2</v>
      </c>
      <c r="AF564">
        <f t="shared" si="59"/>
        <v>3.63</v>
      </c>
      <c r="AG564" t="e">
        <f t="shared" si="60"/>
        <v>#N/A</v>
      </c>
      <c r="AH564" t="e">
        <f t="shared" si="61"/>
        <v>#N/A</v>
      </c>
      <c r="AI564" t="e">
        <f t="shared" si="62"/>
        <v>#N/A</v>
      </c>
    </row>
    <row r="565" spans="1:35" x14ac:dyDescent="0.45">
      <c r="A565" t="s">
        <v>1772</v>
      </c>
      <c r="B565">
        <v>63</v>
      </c>
      <c r="C565" t="s">
        <v>45</v>
      </c>
      <c r="D565" t="s">
        <v>28</v>
      </c>
      <c r="E565" t="s">
        <v>2614</v>
      </c>
      <c r="F565" t="s">
        <v>2614</v>
      </c>
      <c r="G565" t="s">
        <v>60</v>
      </c>
      <c r="H565" t="s">
        <v>32</v>
      </c>
      <c r="I565" t="s">
        <v>33</v>
      </c>
      <c r="J565" t="s">
        <v>1773</v>
      </c>
      <c r="K565" t="s">
        <v>1395</v>
      </c>
      <c r="L565" t="s">
        <v>64</v>
      </c>
      <c r="M565" t="s">
        <v>67</v>
      </c>
      <c r="N565" t="s">
        <v>477</v>
      </c>
      <c r="O565" t="s">
        <v>64</v>
      </c>
      <c r="P565" t="s">
        <v>110</v>
      </c>
      <c r="Q565" t="s">
        <v>2614</v>
      </c>
      <c r="R565">
        <v>132</v>
      </c>
      <c r="S565">
        <v>0</v>
      </c>
      <c r="T565" t="s">
        <v>137</v>
      </c>
      <c r="U565" t="s">
        <v>42</v>
      </c>
      <c r="V565">
        <v>3.65</v>
      </c>
      <c r="W565">
        <v>2.94</v>
      </c>
      <c r="X565">
        <v>1</v>
      </c>
      <c r="Y565">
        <v>20.5</v>
      </c>
      <c r="Z565">
        <v>16.100000000000001</v>
      </c>
      <c r="AA565">
        <f>VALUE(SUBSTITUTE(DACS19___Pfizer’s_Personalised_Medicine_in[[#This Row],[Dose]],"mg",""))</f>
        <v>150</v>
      </c>
      <c r="AB565">
        <f t="shared" si="56"/>
        <v>150</v>
      </c>
      <c r="AC565" t="s">
        <v>2614</v>
      </c>
      <c r="AD565">
        <f t="shared" si="57"/>
        <v>0</v>
      </c>
      <c r="AE565">
        <f t="shared" si="58"/>
        <v>1</v>
      </c>
      <c r="AF565" t="e">
        <f t="shared" si="59"/>
        <v>#N/A</v>
      </c>
      <c r="AG565" t="e">
        <f t="shared" si="60"/>
        <v>#N/A</v>
      </c>
      <c r="AH565">
        <f t="shared" si="61"/>
        <v>2.94</v>
      </c>
      <c r="AI565" t="e">
        <f t="shared" si="62"/>
        <v>#N/A</v>
      </c>
    </row>
    <row r="566" spans="1:35" x14ac:dyDescent="0.45">
      <c r="A566" t="s">
        <v>1774</v>
      </c>
      <c r="B566">
        <v>81</v>
      </c>
      <c r="C566" t="s">
        <v>27</v>
      </c>
      <c r="D566" t="s">
        <v>28</v>
      </c>
      <c r="E566" t="s">
        <v>2614</v>
      </c>
      <c r="F566" t="s">
        <v>2614</v>
      </c>
      <c r="G566" t="s">
        <v>60</v>
      </c>
      <c r="H566" t="s">
        <v>32</v>
      </c>
      <c r="I566" t="s">
        <v>132</v>
      </c>
      <c r="J566" t="s">
        <v>1775</v>
      </c>
      <c r="K566" t="s">
        <v>1776</v>
      </c>
      <c r="L566" t="s">
        <v>36</v>
      </c>
      <c r="M566" t="s">
        <v>378</v>
      </c>
      <c r="N566" t="s">
        <v>586</v>
      </c>
      <c r="O566" t="s">
        <v>36</v>
      </c>
      <c r="P566" t="s">
        <v>39</v>
      </c>
      <c r="Q566" t="s">
        <v>40</v>
      </c>
      <c r="R566">
        <v>81</v>
      </c>
      <c r="S566">
        <v>1</v>
      </c>
      <c r="T566" t="s">
        <v>137</v>
      </c>
      <c r="U566" t="s">
        <v>57</v>
      </c>
      <c r="V566">
        <v>3.19</v>
      </c>
      <c r="W566">
        <v>1.27</v>
      </c>
      <c r="X566">
        <v>7.9</v>
      </c>
      <c r="Y566">
        <v>16.5</v>
      </c>
      <c r="Z566">
        <v>16.3</v>
      </c>
      <c r="AA566">
        <f>VALUE(SUBSTITUTE(DACS19___Pfizer’s_Personalised_Medicine_in[[#This Row],[Dose]],"mg",""))</f>
        <v>200</v>
      </c>
      <c r="AB566">
        <f t="shared" si="56"/>
        <v>200</v>
      </c>
      <c r="AC566" t="s">
        <v>40</v>
      </c>
      <c r="AD566">
        <f t="shared" si="57"/>
        <v>3</v>
      </c>
      <c r="AE566">
        <f t="shared" si="58"/>
        <v>3</v>
      </c>
      <c r="AF566" t="e">
        <f t="shared" si="59"/>
        <v>#N/A</v>
      </c>
      <c r="AG566" t="e">
        <f t="shared" si="60"/>
        <v>#N/A</v>
      </c>
      <c r="AH566">
        <f t="shared" si="61"/>
        <v>1.27</v>
      </c>
      <c r="AI566" t="e">
        <f t="shared" si="62"/>
        <v>#N/A</v>
      </c>
    </row>
    <row r="567" spans="1:35" x14ac:dyDescent="0.45">
      <c r="A567" t="s">
        <v>1777</v>
      </c>
      <c r="B567">
        <v>62</v>
      </c>
      <c r="C567" t="s">
        <v>44</v>
      </c>
      <c r="D567" t="s">
        <v>95</v>
      </c>
      <c r="E567" t="s">
        <v>2614</v>
      </c>
      <c r="F567" t="s">
        <v>2614</v>
      </c>
      <c r="G567" t="s">
        <v>112</v>
      </c>
      <c r="H567" t="s">
        <v>32</v>
      </c>
      <c r="I567" t="s">
        <v>49</v>
      </c>
      <c r="J567" t="s">
        <v>1540</v>
      </c>
      <c r="K567" t="s">
        <v>1778</v>
      </c>
      <c r="L567" t="s">
        <v>64</v>
      </c>
      <c r="M567" t="s">
        <v>207</v>
      </c>
      <c r="N567" t="s">
        <v>1779</v>
      </c>
      <c r="O567" t="s">
        <v>64</v>
      </c>
      <c r="P567" t="s">
        <v>110</v>
      </c>
      <c r="Q567" t="s">
        <v>129</v>
      </c>
      <c r="R567">
        <v>80</v>
      </c>
      <c r="S567">
        <v>0</v>
      </c>
      <c r="T567" t="s">
        <v>123</v>
      </c>
      <c r="U567" t="s">
        <v>42</v>
      </c>
      <c r="V567">
        <v>4.01</v>
      </c>
      <c r="W567">
        <v>4.21</v>
      </c>
      <c r="X567">
        <v>5.7</v>
      </c>
      <c r="Y567">
        <v>8.5</v>
      </c>
      <c r="Z567">
        <v>14.4</v>
      </c>
      <c r="AA567">
        <f>VALUE(SUBSTITUTE(DACS19___Pfizer’s_Personalised_Medicine_in[[#This Row],[Dose]],"mg",""))</f>
        <v>150</v>
      </c>
      <c r="AB567">
        <f t="shared" si="56"/>
        <v>150</v>
      </c>
      <c r="AC567" t="s">
        <v>129</v>
      </c>
      <c r="AD567">
        <f t="shared" si="57"/>
        <v>4</v>
      </c>
      <c r="AE567">
        <f t="shared" si="58"/>
        <v>1</v>
      </c>
      <c r="AF567" t="e">
        <f t="shared" si="59"/>
        <v>#N/A</v>
      </c>
      <c r="AG567" t="e">
        <f t="shared" si="60"/>
        <v>#N/A</v>
      </c>
      <c r="AH567">
        <f t="shared" si="61"/>
        <v>4.21</v>
      </c>
      <c r="AI567" t="e">
        <f t="shared" si="62"/>
        <v>#N/A</v>
      </c>
    </row>
    <row r="568" spans="1:35" x14ac:dyDescent="0.45">
      <c r="A568" t="s">
        <v>1780</v>
      </c>
      <c r="B568">
        <v>69</v>
      </c>
      <c r="C568" t="s">
        <v>44</v>
      </c>
      <c r="D568" t="s">
        <v>106</v>
      </c>
      <c r="E568" t="s">
        <v>2614</v>
      </c>
      <c r="F568" t="s">
        <v>2614</v>
      </c>
      <c r="G568" t="s">
        <v>131</v>
      </c>
      <c r="H568" t="s">
        <v>71</v>
      </c>
      <c r="I568" t="s">
        <v>33</v>
      </c>
      <c r="J568" t="s">
        <v>1781</v>
      </c>
      <c r="K568" t="s">
        <v>771</v>
      </c>
      <c r="L568" t="s">
        <v>64</v>
      </c>
      <c r="M568" t="s">
        <v>362</v>
      </c>
      <c r="N568" t="s">
        <v>473</v>
      </c>
      <c r="O568" t="s">
        <v>64</v>
      </c>
      <c r="P568" t="s">
        <v>55</v>
      </c>
      <c r="Q568" t="s">
        <v>129</v>
      </c>
      <c r="R568">
        <v>92</v>
      </c>
      <c r="S568">
        <v>0</v>
      </c>
      <c r="T568" t="s">
        <v>85</v>
      </c>
      <c r="U568" t="s">
        <v>42</v>
      </c>
      <c r="V568">
        <v>3.48</v>
      </c>
      <c r="W568">
        <v>3.97</v>
      </c>
      <c r="X568">
        <v>2.5</v>
      </c>
      <c r="Y568">
        <v>9.5</v>
      </c>
      <c r="Z568">
        <v>18.100000000000001</v>
      </c>
      <c r="AA568">
        <f>VALUE(SUBSTITUTE(DACS19___Pfizer’s_Personalised_Medicine_in[[#This Row],[Dose]],"mg",""))</f>
        <v>150</v>
      </c>
      <c r="AB568">
        <f t="shared" si="56"/>
        <v>150</v>
      </c>
      <c r="AC568" t="s">
        <v>129</v>
      </c>
      <c r="AD568">
        <f t="shared" si="57"/>
        <v>4</v>
      </c>
      <c r="AE568">
        <f t="shared" si="58"/>
        <v>2</v>
      </c>
      <c r="AF568" t="e">
        <f t="shared" si="59"/>
        <v>#N/A</v>
      </c>
      <c r="AG568">
        <f t="shared" si="60"/>
        <v>3.97</v>
      </c>
      <c r="AH568" t="e">
        <f t="shared" si="61"/>
        <v>#N/A</v>
      </c>
      <c r="AI568" t="e">
        <f t="shared" si="62"/>
        <v>#N/A</v>
      </c>
    </row>
    <row r="569" spans="1:35" x14ac:dyDescent="0.45">
      <c r="A569" t="s">
        <v>1782</v>
      </c>
      <c r="B569">
        <v>53</v>
      </c>
      <c r="C569" t="s">
        <v>27</v>
      </c>
      <c r="D569" t="s">
        <v>95</v>
      </c>
      <c r="E569" t="s">
        <v>46</v>
      </c>
      <c r="F569" t="s">
        <v>2614</v>
      </c>
      <c r="G569" t="s">
        <v>60</v>
      </c>
      <c r="H569" t="s">
        <v>71</v>
      </c>
      <c r="I569" t="s">
        <v>72</v>
      </c>
      <c r="J569" t="s">
        <v>158</v>
      </c>
      <c r="K569" t="s">
        <v>82</v>
      </c>
      <c r="L569" t="s">
        <v>52</v>
      </c>
      <c r="M569" t="s">
        <v>2614</v>
      </c>
      <c r="N569" t="s">
        <v>843</v>
      </c>
      <c r="O569" t="s">
        <v>52</v>
      </c>
      <c r="P569" t="s">
        <v>39</v>
      </c>
      <c r="Q569" t="s">
        <v>75</v>
      </c>
      <c r="R569">
        <v>153</v>
      </c>
      <c r="S569">
        <v>1</v>
      </c>
      <c r="T569" t="s">
        <v>56</v>
      </c>
      <c r="U569" t="s">
        <v>57</v>
      </c>
      <c r="V569">
        <v>4</v>
      </c>
      <c r="W569">
        <v>4.63</v>
      </c>
      <c r="X569">
        <v>7.8</v>
      </c>
      <c r="Y569">
        <v>16.7</v>
      </c>
      <c r="Z569">
        <v>14.1</v>
      </c>
      <c r="AA569">
        <f>VALUE(SUBSTITUTE(DACS19___Pfizer’s_Personalised_Medicine_in[[#This Row],[Dose]],"mg",""))</f>
        <v>100</v>
      </c>
      <c r="AB569">
        <f t="shared" si="56"/>
        <v>100</v>
      </c>
      <c r="AC569" t="s">
        <v>75</v>
      </c>
      <c r="AD569">
        <f t="shared" si="57"/>
        <v>1</v>
      </c>
      <c r="AE569">
        <f t="shared" si="58"/>
        <v>3</v>
      </c>
      <c r="AF569" t="e">
        <f t="shared" si="59"/>
        <v>#N/A</v>
      </c>
      <c r="AG569">
        <f t="shared" si="60"/>
        <v>4.63</v>
      </c>
      <c r="AH569" t="e">
        <f t="shared" si="61"/>
        <v>#N/A</v>
      </c>
      <c r="AI569" t="e">
        <f t="shared" si="62"/>
        <v>#N/A</v>
      </c>
    </row>
    <row r="570" spans="1:35" x14ac:dyDescent="0.45">
      <c r="A570" t="s">
        <v>1783</v>
      </c>
      <c r="B570">
        <v>42</v>
      </c>
      <c r="C570" t="s">
        <v>44</v>
      </c>
      <c r="D570" t="s">
        <v>106</v>
      </c>
      <c r="E570" t="s">
        <v>29</v>
      </c>
      <c r="F570" t="s">
        <v>2614</v>
      </c>
      <c r="G570" t="s">
        <v>80</v>
      </c>
      <c r="H570" t="s">
        <v>81</v>
      </c>
      <c r="I570" t="s">
        <v>132</v>
      </c>
      <c r="J570" t="s">
        <v>1784</v>
      </c>
      <c r="K570" t="s">
        <v>576</v>
      </c>
      <c r="L570" t="s">
        <v>64</v>
      </c>
      <c r="M570" t="s">
        <v>2614</v>
      </c>
      <c r="N570" t="s">
        <v>1074</v>
      </c>
      <c r="O570" t="s">
        <v>64</v>
      </c>
      <c r="P570" t="s">
        <v>55</v>
      </c>
      <c r="Q570" t="s">
        <v>129</v>
      </c>
      <c r="R570">
        <v>64</v>
      </c>
      <c r="S570">
        <v>0</v>
      </c>
      <c r="T570" t="s">
        <v>137</v>
      </c>
      <c r="U570" t="s">
        <v>42</v>
      </c>
      <c r="V570">
        <v>4.5599999999999996</v>
      </c>
      <c r="W570">
        <v>3.32</v>
      </c>
      <c r="X570">
        <v>6.7</v>
      </c>
      <c r="Y570">
        <v>8.8000000000000007</v>
      </c>
      <c r="Z570">
        <v>11.1</v>
      </c>
      <c r="AA570">
        <f>VALUE(SUBSTITUTE(DACS19___Pfizer’s_Personalised_Medicine_in[[#This Row],[Dose]],"mg",""))</f>
        <v>150</v>
      </c>
      <c r="AB570">
        <f t="shared" si="56"/>
        <v>150</v>
      </c>
      <c r="AC570" t="s">
        <v>129</v>
      </c>
      <c r="AD570">
        <f t="shared" si="57"/>
        <v>4</v>
      </c>
      <c r="AE570">
        <f t="shared" si="58"/>
        <v>2</v>
      </c>
      <c r="AF570" t="e">
        <f t="shared" si="59"/>
        <v>#N/A</v>
      </c>
      <c r="AG570" t="e">
        <f t="shared" si="60"/>
        <v>#N/A</v>
      </c>
      <c r="AH570" t="e">
        <f t="shared" si="61"/>
        <v>#N/A</v>
      </c>
      <c r="AI570">
        <f t="shared" si="62"/>
        <v>3.32</v>
      </c>
    </row>
    <row r="571" spans="1:35" x14ac:dyDescent="0.45">
      <c r="A571" t="s">
        <v>1785</v>
      </c>
      <c r="B571">
        <v>34</v>
      </c>
      <c r="C571" t="s">
        <v>27</v>
      </c>
      <c r="D571" t="s">
        <v>45</v>
      </c>
      <c r="E571" t="s">
        <v>78</v>
      </c>
      <c r="F571" t="s">
        <v>2614</v>
      </c>
      <c r="G571" t="s">
        <v>102</v>
      </c>
      <c r="H571" t="s">
        <v>71</v>
      </c>
      <c r="I571" t="s">
        <v>132</v>
      </c>
      <c r="J571" t="s">
        <v>415</v>
      </c>
      <c r="K571" t="s">
        <v>1786</v>
      </c>
      <c r="L571" t="s">
        <v>92</v>
      </c>
      <c r="M571" t="s">
        <v>378</v>
      </c>
      <c r="N571" t="s">
        <v>1696</v>
      </c>
      <c r="O571" t="s">
        <v>92</v>
      </c>
      <c r="P571" t="s">
        <v>110</v>
      </c>
      <c r="Q571" t="s">
        <v>40</v>
      </c>
      <c r="R571">
        <v>46</v>
      </c>
      <c r="S571">
        <v>0</v>
      </c>
      <c r="T571" t="s">
        <v>41</v>
      </c>
      <c r="U571" t="s">
        <v>42</v>
      </c>
      <c r="V571">
        <v>3.87</v>
      </c>
      <c r="W571">
        <v>2.08</v>
      </c>
      <c r="X571">
        <v>2.8</v>
      </c>
      <c r="Y571">
        <v>11.6</v>
      </c>
      <c r="Z571">
        <v>7.1</v>
      </c>
      <c r="AA571">
        <f>VALUE(SUBSTITUTE(DACS19___Pfizer’s_Personalised_Medicine_in[[#This Row],[Dose]],"mg",""))</f>
        <v>50</v>
      </c>
      <c r="AB571">
        <f t="shared" si="56"/>
        <v>50</v>
      </c>
      <c r="AC571" t="s">
        <v>40</v>
      </c>
      <c r="AD571">
        <f t="shared" si="57"/>
        <v>3</v>
      </c>
      <c r="AE571">
        <f t="shared" si="58"/>
        <v>1</v>
      </c>
      <c r="AF571" t="e">
        <f t="shared" si="59"/>
        <v>#N/A</v>
      </c>
      <c r="AG571">
        <f t="shared" si="60"/>
        <v>2.08</v>
      </c>
      <c r="AH571" t="e">
        <f t="shared" si="61"/>
        <v>#N/A</v>
      </c>
      <c r="AI571" t="e">
        <f t="shared" si="62"/>
        <v>#N/A</v>
      </c>
    </row>
    <row r="572" spans="1:35" x14ac:dyDescent="0.45">
      <c r="A572" t="s">
        <v>1787</v>
      </c>
      <c r="B572">
        <v>75</v>
      </c>
      <c r="C572" t="s">
        <v>45</v>
      </c>
      <c r="D572" t="s">
        <v>87</v>
      </c>
      <c r="E572" t="s">
        <v>2614</v>
      </c>
      <c r="F572" t="s">
        <v>79</v>
      </c>
      <c r="G572" t="s">
        <v>125</v>
      </c>
      <c r="H572" t="s">
        <v>32</v>
      </c>
      <c r="I572" t="s">
        <v>49</v>
      </c>
      <c r="J572" t="s">
        <v>1788</v>
      </c>
      <c r="K572" t="s">
        <v>1789</v>
      </c>
      <c r="L572" t="s">
        <v>92</v>
      </c>
      <c r="M572" t="s">
        <v>1526</v>
      </c>
      <c r="N572" t="s">
        <v>729</v>
      </c>
      <c r="O572" t="s">
        <v>92</v>
      </c>
      <c r="P572" t="s">
        <v>39</v>
      </c>
      <c r="Q572" t="s">
        <v>40</v>
      </c>
      <c r="R572">
        <v>85</v>
      </c>
      <c r="S572">
        <v>1</v>
      </c>
      <c r="T572" t="s">
        <v>56</v>
      </c>
      <c r="U572" t="s">
        <v>57</v>
      </c>
      <c r="V572">
        <v>1.86</v>
      </c>
      <c r="W572">
        <v>2.7</v>
      </c>
      <c r="X572">
        <v>9.1999999999999993</v>
      </c>
      <c r="Y572">
        <v>15.1</v>
      </c>
      <c r="Z572">
        <v>6.2</v>
      </c>
      <c r="AA572">
        <f>VALUE(SUBSTITUTE(DACS19___Pfizer’s_Personalised_Medicine_in[[#This Row],[Dose]],"mg",""))</f>
        <v>50</v>
      </c>
      <c r="AB572">
        <f t="shared" si="56"/>
        <v>50</v>
      </c>
      <c r="AC572" t="s">
        <v>40</v>
      </c>
      <c r="AD572">
        <f t="shared" si="57"/>
        <v>3</v>
      </c>
      <c r="AE572">
        <f t="shared" si="58"/>
        <v>3</v>
      </c>
      <c r="AF572" t="e">
        <f t="shared" si="59"/>
        <v>#N/A</v>
      </c>
      <c r="AG572" t="e">
        <f t="shared" si="60"/>
        <v>#N/A</v>
      </c>
      <c r="AH572">
        <f t="shared" si="61"/>
        <v>2.7</v>
      </c>
      <c r="AI572" t="e">
        <f t="shared" si="62"/>
        <v>#N/A</v>
      </c>
    </row>
    <row r="573" spans="1:35" x14ac:dyDescent="0.45">
      <c r="A573" t="s">
        <v>1790</v>
      </c>
      <c r="B573">
        <v>56</v>
      </c>
      <c r="C573" t="s">
        <v>44</v>
      </c>
      <c r="D573" t="s">
        <v>106</v>
      </c>
      <c r="E573" t="s">
        <v>29</v>
      </c>
      <c r="F573" t="s">
        <v>2614</v>
      </c>
      <c r="G573" t="s">
        <v>246</v>
      </c>
      <c r="H573" t="s">
        <v>81</v>
      </c>
      <c r="I573" t="s">
        <v>72</v>
      </c>
      <c r="J573" t="s">
        <v>1791</v>
      </c>
      <c r="K573" t="s">
        <v>1792</v>
      </c>
      <c r="L573" t="s">
        <v>92</v>
      </c>
      <c r="M573" t="s">
        <v>2622</v>
      </c>
      <c r="N573" t="s">
        <v>602</v>
      </c>
      <c r="O573" t="s">
        <v>92</v>
      </c>
      <c r="P573" t="s">
        <v>39</v>
      </c>
      <c r="Q573" t="s">
        <v>75</v>
      </c>
      <c r="R573">
        <v>46</v>
      </c>
      <c r="S573">
        <v>1</v>
      </c>
      <c r="T573" t="s">
        <v>85</v>
      </c>
      <c r="U573" t="s">
        <v>57</v>
      </c>
      <c r="V573">
        <v>1.31</v>
      </c>
      <c r="W573">
        <v>3.78</v>
      </c>
      <c r="X573">
        <v>4.4000000000000004</v>
      </c>
      <c r="Y573">
        <v>20.8</v>
      </c>
      <c r="Z573">
        <v>14.2</v>
      </c>
      <c r="AA573">
        <f>VALUE(SUBSTITUTE(DACS19___Pfizer’s_Personalised_Medicine_in[[#This Row],[Dose]],"mg",""))</f>
        <v>50</v>
      </c>
      <c r="AB573">
        <f t="shared" si="56"/>
        <v>50</v>
      </c>
      <c r="AC573" t="s">
        <v>75</v>
      </c>
      <c r="AD573">
        <f t="shared" si="57"/>
        <v>1</v>
      </c>
      <c r="AE573">
        <f t="shared" si="58"/>
        <v>3</v>
      </c>
      <c r="AF573" t="e">
        <f t="shared" si="59"/>
        <v>#N/A</v>
      </c>
      <c r="AG573" t="e">
        <f t="shared" si="60"/>
        <v>#N/A</v>
      </c>
      <c r="AH573" t="e">
        <f t="shared" si="61"/>
        <v>#N/A</v>
      </c>
      <c r="AI573">
        <f t="shared" si="62"/>
        <v>3.78</v>
      </c>
    </row>
    <row r="574" spans="1:35" x14ac:dyDescent="0.45">
      <c r="A574" t="s">
        <v>1793</v>
      </c>
      <c r="B574">
        <v>38</v>
      </c>
      <c r="C574" t="s">
        <v>45</v>
      </c>
      <c r="D574" t="s">
        <v>106</v>
      </c>
      <c r="E574" t="s">
        <v>46</v>
      </c>
      <c r="F574" t="s">
        <v>2614</v>
      </c>
      <c r="G574" t="s">
        <v>112</v>
      </c>
      <c r="H574" t="s">
        <v>71</v>
      </c>
      <c r="I574" t="s">
        <v>49</v>
      </c>
      <c r="J574" t="s">
        <v>1794</v>
      </c>
      <c r="K574" t="s">
        <v>1498</v>
      </c>
      <c r="L574" t="s">
        <v>92</v>
      </c>
      <c r="M574" t="s">
        <v>40</v>
      </c>
      <c r="N574" t="s">
        <v>507</v>
      </c>
      <c r="O574" t="s">
        <v>92</v>
      </c>
      <c r="P574" t="s">
        <v>110</v>
      </c>
      <c r="Q574" t="s">
        <v>40</v>
      </c>
      <c r="R574">
        <v>134</v>
      </c>
      <c r="S574">
        <v>0</v>
      </c>
      <c r="T574" t="s">
        <v>56</v>
      </c>
      <c r="U574" t="s">
        <v>57</v>
      </c>
      <c r="V574">
        <v>4.18</v>
      </c>
      <c r="W574">
        <v>2.09</v>
      </c>
      <c r="X574">
        <v>7.2</v>
      </c>
      <c r="Y574">
        <v>10.8</v>
      </c>
      <c r="Z574">
        <v>19</v>
      </c>
      <c r="AA574">
        <f>VALUE(SUBSTITUTE(DACS19___Pfizer’s_Personalised_Medicine_in[[#This Row],[Dose]],"mg",""))</f>
        <v>50</v>
      </c>
      <c r="AB574">
        <f t="shared" si="56"/>
        <v>50</v>
      </c>
      <c r="AC574" t="s">
        <v>40</v>
      </c>
      <c r="AD574">
        <f t="shared" si="57"/>
        <v>3</v>
      </c>
      <c r="AE574">
        <f t="shared" si="58"/>
        <v>1</v>
      </c>
      <c r="AF574" t="e">
        <f t="shared" si="59"/>
        <v>#N/A</v>
      </c>
      <c r="AG574">
        <f t="shared" si="60"/>
        <v>2.09</v>
      </c>
      <c r="AH574" t="e">
        <f t="shared" si="61"/>
        <v>#N/A</v>
      </c>
      <c r="AI574" t="e">
        <f t="shared" si="62"/>
        <v>#N/A</v>
      </c>
    </row>
    <row r="575" spans="1:35" x14ac:dyDescent="0.45">
      <c r="A575" t="s">
        <v>1795</v>
      </c>
      <c r="B575">
        <v>35</v>
      </c>
      <c r="C575" t="s">
        <v>44</v>
      </c>
      <c r="D575" t="s">
        <v>106</v>
      </c>
      <c r="E575" t="s">
        <v>163</v>
      </c>
      <c r="F575" t="s">
        <v>79</v>
      </c>
      <c r="G575" t="s">
        <v>48</v>
      </c>
      <c r="H575" t="s">
        <v>32</v>
      </c>
      <c r="I575" t="s">
        <v>33</v>
      </c>
      <c r="J575" t="s">
        <v>1796</v>
      </c>
      <c r="K575" t="s">
        <v>1797</v>
      </c>
      <c r="L575" t="s">
        <v>52</v>
      </c>
      <c r="M575" t="s">
        <v>2614</v>
      </c>
      <c r="N575" t="s">
        <v>122</v>
      </c>
      <c r="O575" t="s">
        <v>52</v>
      </c>
      <c r="P575" t="s">
        <v>110</v>
      </c>
      <c r="Q575" t="s">
        <v>129</v>
      </c>
      <c r="R575">
        <v>116</v>
      </c>
      <c r="S575">
        <v>0</v>
      </c>
      <c r="T575" t="s">
        <v>56</v>
      </c>
      <c r="U575" t="s">
        <v>42</v>
      </c>
      <c r="V575">
        <v>3.55</v>
      </c>
      <c r="W575">
        <v>2.2999999999999998</v>
      </c>
      <c r="X575">
        <v>3.4</v>
      </c>
      <c r="Y575">
        <v>9.4</v>
      </c>
      <c r="Z575">
        <v>14.8</v>
      </c>
      <c r="AA575">
        <f>VALUE(SUBSTITUTE(DACS19___Pfizer’s_Personalised_Medicine_in[[#This Row],[Dose]],"mg",""))</f>
        <v>100</v>
      </c>
      <c r="AB575">
        <f t="shared" si="56"/>
        <v>100</v>
      </c>
      <c r="AC575" t="s">
        <v>129</v>
      </c>
      <c r="AD575">
        <f t="shared" si="57"/>
        <v>4</v>
      </c>
      <c r="AE575">
        <f t="shared" si="58"/>
        <v>1</v>
      </c>
      <c r="AF575" t="e">
        <f t="shared" si="59"/>
        <v>#N/A</v>
      </c>
      <c r="AG575" t="e">
        <f t="shared" si="60"/>
        <v>#N/A</v>
      </c>
      <c r="AH575">
        <f t="shared" si="61"/>
        <v>2.2999999999999998</v>
      </c>
      <c r="AI575" t="e">
        <f t="shared" si="62"/>
        <v>#N/A</v>
      </c>
    </row>
    <row r="576" spans="1:35" x14ac:dyDescent="0.45">
      <c r="A576" t="s">
        <v>1798</v>
      </c>
      <c r="B576">
        <v>85</v>
      </c>
      <c r="C576" t="s">
        <v>44</v>
      </c>
      <c r="D576" t="s">
        <v>87</v>
      </c>
      <c r="E576" t="s">
        <v>29</v>
      </c>
      <c r="F576" t="s">
        <v>69</v>
      </c>
      <c r="G576" t="s">
        <v>118</v>
      </c>
      <c r="H576" t="s">
        <v>32</v>
      </c>
      <c r="I576" t="s">
        <v>49</v>
      </c>
      <c r="J576" t="s">
        <v>1799</v>
      </c>
      <c r="K576" t="s">
        <v>1580</v>
      </c>
      <c r="L576" t="s">
        <v>92</v>
      </c>
      <c r="M576" t="s">
        <v>2627</v>
      </c>
      <c r="N576" t="s">
        <v>769</v>
      </c>
      <c r="O576" t="s">
        <v>92</v>
      </c>
      <c r="P576" t="s">
        <v>110</v>
      </c>
      <c r="Q576" t="s">
        <v>75</v>
      </c>
      <c r="R576">
        <v>125</v>
      </c>
      <c r="S576">
        <v>0</v>
      </c>
      <c r="T576" t="s">
        <v>123</v>
      </c>
      <c r="U576" t="s">
        <v>42</v>
      </c>
      <c r="V576">
        <v>1.87</v>
      </c>
      <c r="W576">
        <v>3.38</v>
      </c>
      <c r="X576">
        <v>3.4</v>
      </c>
      <c r="Y576">
        <v>17.899999999999999</v>
      </c>
      <c r="Z576">
        <v>16.899999999999999</v>
      </c>
      <c r="AA576">
        <f>VALUE(SUBSTITUTE(DACS19___Pfizer’s_Personalised_Medicine_in[[#This Row],[Dose]],"mg",""))</f>
        <v>50</v>
      </c>
      <c r="AB576">
        <f t="shared" si="56"/>
        <v>50</v>
      </c>
      <c r="AC576" t="s">
        <v>75</v>
      </c>
      <c r="AD576">
        <f t="shared" si="57"/>
        <v>1</v>
      </c>
      <c r="AE576">
        <f t="shared" si="58"/>
        <v>1</v>
      </c>
      <c r="AF576" t="e">
        <f t="shared" si="59"/>
        <v>#N/A</v>
      </c>
      <c r="AG576" t="e">
        <f t="shared" si="60"/>
        <v>#N/A</v>
      </c>
      <c r="AH576">
        <f t="shared" si="61"/>
        <v>3.38</v>
      </c>
      <c r="AI576" t="e">
        <f t="shared" si="62"/>
        <v>#N/A</v>
      </c>
    </row>
    <row r="577" spans="1:35" x14ac:dyDescent="0.45">
      <c r="A577" t="s">
        <v>1800</v>
      </c>
      <c r="B577">
        <v>42</v>
      </c>
      <c r="C577" t="s">
        <v>45</v>
      </c>
      <c r="D577" t="s">
        <v>45</v>
      </c>
      <c r="E577" t="s">
        <v>78</v>
      </c>
      <c r="F577" t="s">
        <v>79</v>
      </c>
      <c r="G577" t="s">
        <v>194</v>
      </c>
      <c r="H577" t="s">
        <v>61</v>
      </c>
      <c r="I577" t="s">
        <v>72</v>
      </c>
      <c r="J577" t="s">
        <v>107</v>
      </c>
      <c r="K577" t="s">
        <v>1801</v>
      </c>
      <c r="L577" t="s">
        <v>36</v>
      </c>
      <c r="M577" t="s">
        <v>352</v>
      </c>
      <c r="N577" t="s">
        <v>769</v>
      </c>
      <c r="O577" t="s">
        <v>36</v>
      </c>
      <c r="P577" t="s">
        <v>110</v>
      </c>
      <c r="Q577" t="s">
        <v>129</v>
      </c>
      <c r="R577">
        <v>167</v>
      </c>
      <c r="S577">
        <v>0</v>
      </c>
      <c r="T577" t="s">
        <v>123</v>
      </c>
      <c r="U577" t="s">
        <v>57</v>
      </c>
      <c r="V577">
        <v>4.1100000000000003</v>
      </c>
      <c r="W577">
        <v>4.04</v>
      </c>
      <c r="X577">
        <v>2.7</v>
      </c>
      <c r="Y577">
        <v>7.6</v>
      </c>
      <c r="Z577">
        <v>14.9</v>
      </c>
      <c r="AA577">
        <f>VALUE(SUBSTITUTE(DACS19___Pfizer’s_Personalised_Medicine_in[[#This Row],[Dose]],"mg",""))</f>
        <v>200</v>
      </c>
      <c r="AB577">
        <f t="shared" si="56"/>
        <v>200</v>
      </c>
      <c r="AC577" t="s">
        <v>129</v>
      </c>
      <c r="AD577">
        <f t="shared" si="57"/>
        <v>4</v>
      </c>
      <c r="AE577">
        <f t="shared" si="58"/>
        <v>1</v>
      </c>
      <c r="AF577">
        <f t="shared" si="59"/>
        <v>4.04</v>
      </c>
      <c r="AG577" t="e">
        <f t="shared" si="60"/>
        <v>#N/A</v>
      </c>
      <c r="AH577" t="e">
        <f t="shared" si="61"/>
        <v>#N/A</v>
      </c>
      <c r="AI577" t="e">
        <f t="shared" si="62"/>
        <v>#N/A</v>
      </c>
    </row>
    <row r="578" spans="1:35" x14ac:dyDescent="0.45">
      <c r="A578" t="s">
        <v>1802</v>
      </c>
      <c r="B578">
        <v>55</v>
      </c>
      <c r="C578" t="s">
        <v>27</v>
      </c>
      <c r="D578" t="s">
        <v>28</v>
      </c>
      <c r="E578" t="s">
        <v>46</v>
      </c>
      <c r="F578" t="s">
        <v>2614</v>
      </c>
      <c r="G578" t="s">
        <v>112</v>
      </c>
      <c r="H578" t="s">
        <v>61</v>
      </c>
      <c r="I578" t="s">
        <v>33</v>
      </c>
      <c r="J578" t="s">
        <v>1259</v>
      </c>
      <c r="K578" t="s">
        <v>1303</v>
      </c>
      <c r="L578" t="s">
        <v>64</v>
      </c>
      <c r="M578" t="s">
        <v>378</v>
      </c>
      <c r="N578" t="s">
        <v>711</v>
      </c>
      <c r="O578" t="s">
        <v>64</v>
      </c>
      <c r="P578" t="s">
        <v>39</v>
      </c>
      <c r="Q578" t="s">
        <v>75</v>
      </c>
      <c r="R578">
        <v>46</v>
      </c>
      <c r="S578">
        <v>1</v>
      </c>
      <c r="T578" t="s">
        <v>137</v>
      </c>
      <c r="U578" t="s">
        <v>42</v>
      </c>
      <c r="V578">
        <v>2.4700000000000002</v>
      </c>
      <c r="W578">
        <v>2.73</v>
      </c>
      <c r="X578">
        <v>1.3</v>
      </c>
      <c r="Y578">
        <v>10.7</v>
      </c>
      <c r="Z578">
        <v>3.6</v>
      </c>
      <c r="AA578">
        <f>VALUE(SUBSTITUTE(DACS19___Pfizer’s_Personalised_Medicine_in[[#This Row],[Dose]],"mg",""))</f>
        <v>150</v>
      </c>
      <c r="AB578">
        <f t="shared" ref="AB578:AB641" si="63">VALUE(SUBSTITUTE(O578,"mg",""))</f>
        <v>150</v>
      </c>
      <c r="AC578" t="s">
        <v>75</v>
      </c>
      <c r="AD578">
        <f t="shared" ref="AD578:AD641" si="64">IF(Q578="","",IF(Q578="Dizziness",1,IF(Q578="Fatigue",2,IF(Q578="Headache",3,IF(Q578="Nausea",4,IF(Q578="Not Reported",0,""))))))</f>
        <v>1</v>
      </c>
      <c r="AE578">
        <f t="shared" ref="AE578:AE641" si="65">IF(P578="Deteriorated",1,IF(P578="No Change",2,IF(P578="Improved",3,0)))</f>
        <v>3</v>
      </c>
      <c r="AF578">
        <f t="shared" ref="AF578:AF641" si="66">IF($H578="DrugA",$W578,NA())</f>
        <v>2.73</v>
      </c>
      <c r="AG578" t="e">
        <f t="shared" ref="AG578:AG641" si="67">IF($H578="DrugB",$W578,NA())</f>
        <v>#N/A</v>
      </c>
      <c r="AH578" t="e">
        <f t="shared" ref="AH578:AH641" si="68">IF($H578="DrugC",$W578,NA())</f>
        <v>#N/A</v>
      </c>
      <c r="AI578" t="e">
        <f t="shared" ref="AI578:AI641" si="69">IF($H578="DrugD",$W578,NA())</f>
        <v>#N/A</v>
      </c>
    </row>
    <row r="579" spans="1:35" x14ac:dyDescent="0.45">
      <c r="A579" t="s">
        <v>1803</v>
      </c>
      <c r="B579">
        <v>64</v>
      </c>
      <c r="C579" t="s">
        <v>27</v>
      </c>
      <c r="D579" t="s">
        <v>106</v>
      </c>
      <c r="E579" t="s">
        <v>78</v>
      </c>
      <c r="F579" t="s">
        <v>47</v>
      </c>
      <c r="G579" t="s">
        <v>118</v>
      </c>
      <c r="H579" t="s">
        <v>32</v>
      </c>
      <c r="I579" t="s">
        <v>49</v>
      </c>
      <c r="J579" t="s">
        <v>1267</v>
      </c>
      <c r="K579" t="s">
        <v>1804</v>
      </c>
      <c r="L579" t="s">
        <v>92</v>
      </c>
      <c r="M579" t="s">
        <v>2622</v>
      </c>
      <c r="N579" t="s">
        <v>235</v>
      </c>
      <c r="O579" t="s">
        <v>92</v>
      </c>
      <c r="P579" t="s">
        <v>110</v>
      </c>
      <c r="Q579" t="s">
        <v>75</v>
      </c>
      <c r="R579">
        <v>163</v>
      </c>
      <c r="S579">
        <v>0</v>
      </c>
      <c r="T579" t="s">
        <v>56</v>
      </c>
      <c r="U579" t="s">
        <v>42</v>
      </c>
      <c r="V579">
        <v>4.5199999999999996</v>
      </c>
      <c r="W579">
        <v>1.97</v>
      </c>
      <c r="X579">
        <v>6</v>
      </c>
      <c r="Y579">
        <v>6.7</v>
      </c>
      <c r="Z579">
        <v>14.3</v>
      </c>
      <c r="AA579">
        <f>VALUE(SUBSTITUTE(DACS19___Pfizer’s_Personalised_Medicine_in[[#This Row],[Dose]],"mg",""))</f>
        <v>50</v>
      </c>
      <c r="AB579">
        <f t="shared" si="63"/>
        <v>50</v>
      </c>
      <c r="AC579" t="s">
        <v>75</v>
      </c>
      <c r="AD579">
        <f t="shared" si="64"/>
        <v>1</v>
      </c>
      <c r="AE579">
        <f t="shared" si="65"/>
        <v>1</v>
      </c>
      <c r="AF579" t="e">
        <f t="shared" si="66"/>
        <v>#N/A</v>
      </c>
      <c r="AG579" t="e">
        <f t="shared" si="67"/>
        <v>#N/A</v>
      </c>
      <c r="AH579">
        <f t="shared" si="68"/>
        <v>1.97</v>
      </c>
      <c r="AI579" t="e">
        <f t="shared" si="69"/>
        <v>#N/A</v>
      </c>
    </row>
    <row r="580" spans="1:35" x14ac:dyDescent="0.45">
      <c r="A580" t="s">
        <v>1805</v>
      </c>
      <c r="B580">
        <v>54</v>
      </c>
      <c r="C580" t="s">
        <v>44</v>
      </c>
      <c r="D580" t="s">
        <v>106</v>
      </c>
      <c r="E580" t="s">
        <v>78</v>
      </c>
      <c r="F580" t="s">
        <v>2614</v>
      </c>
      <c r="G580" t="s">
        <v>276</v>
      </c>
      <c r="H580" t="s">
        <v>81</v>
      </c>
      <c r="I580" t="s">
        <v>33</v>
      </c>
      <c r="J580" t="s">
        <v>294</v>
      </c>
      <c r="K580" t="s">
        <v>1806</v>
      </c>
      <c r="L580" t="s">
        <v>92</v>
      </c>
      <c r="M580" t="s">
        <v>2629</v>
      </c>
      <c r="N580" t="s">
        <v>578</v>
      </c>
      <c r="O580" t="s">
        <v>92</v>
      </c>
      <c r="P580" t="s">
        <v>55</v>
      </c>
      <c r="Q580" t="s">
        <v>75</v>
      </c>
      <c r="R580">
        <v>129</v>
      </c>
      <c r="S580">
        <v>0</v>
      </c>
      <c r="T580" t="s">
        <v>137</v>
      </c>
      <c r="U580" t="s">
        <v>57</v>
      </c>
      <c r="V580">
        <v>2.29</v>
      </c>
      <c r="W580">
        <v>4.59</v>
      </c>
      <c r="X580">
        <v>9</v>
      </c>
      <c r="Y580">
        <v>11.9</v>
      </c>
      <c r="Z580">
        <v>18.3</v>
      </c>
      <c r="AA580">
        <f>VALUE(SUBSTITUTE(DACS19___Pfizer’s_Personalised_Medicine_in[[#This Row],[Dose]],"mg",""))</f>
        <v>50</v>
      </c>
      <c r="AB580">
        <f t="shared" si="63"/>
        <v>50</v>
      </c>
      <c r="AC580" t="s">
        <v>75</v>
      </c>
      <c r="AD580">
        <f t="shared" si="64"/>
        <v>1</v>
      </c>
      <c r="AE580">
        <f t="shared" si="65"/>
        <v>2</v>
      </c>
      <c r="AF580" t="e">
        <f t="shared" si="66"/>
        <v>#N/A</v>
      </c>
      <c r="AG580" t="e">
        <f t="shared" si="67"/>
        <v>#N/A</v>
      </c>
      <c r="AH580" t="e">
        <f t="shared" si="68"/>
        <v>#N/A</v>
      </c>
      <c r="AI580">
        <f t="shared" si="69"/>
        <v>4.59</v>
      </c>
    </row>
    <row r="581" spans="1:35" x14ac:dyDescent="0.45">
      <c r="A581" t="s">
        <v>1807</v>
      </c>
      <c r="B581">
        <v>54</v>
      </c>
      <c r="C581" t="s">
        <v>45</v>
      </c>
      <c r="D581" t="s">
        <v>87</v>
      </c>
      <c r="E581" t="s">
        <v>29</v>
      </c>
      <c r="F581" t="s">
        <v>2614</v>
      </c>
      <c r="G581" t="s">
        <v>89</v>
      </c>
      <c r="H581" t="s">
        <v>61</v>
      </c>
      <c r="I581" t="s">
        <v>132</v>
      </c>
      <c r="J581" t="s">
        <v>721</v>
      </c>
      <c r="K581" t="s">
        <v>1808</v>
      </c>
      <c r="L581" t="s">
        <v>52</v>
      </c>
      <c r="M581" t="s">
        <v>2630</v>
      </c>
      <c r="N581" t="s">
        <v>769</v>
      </c>
      <c r="O581" t="s">
        <v>52</v>
      </c>
      <c r="P581" t="s">
        <v>39</v>
      </c>
      <c r="Q581" t="s">
        <v>2614</v>
      </c>
      <c r="R581">
        <v>128</v>
      </c>
      <c r="S581">
        <v>1</v>
      </c>
      <c r="T581" t="s">
        <v>41</v>
      </c>
      <c r="U581" t="s">
        <v>57</v>
      </c>
      <c r="V581">
        <v>4.9800000000000004</v>
      </c>
      <c r="W581">
        <v>4.3</v>
      </c>
      <c r="X581">
        <v>8.6</v>
      </c>
      <c r="Y581">
        <v>10.5</v>
      </c>
      <c r="Z581">
        <v>12.8</v>
      </c>
      <c r="AA581">
        <f>VALUE(SUBSTITUTE(DACS19___Pfizer’s_Personalised_Medicine_in[[#This Row],[Dose]],"mg",""))</f>
        <v>100</v>
      </c>
      <c r="AB581">
        <f t="shared" si="63"/>
        <v>100</v>
      </c>
      <c r="AC581" t="s">
        <v>2614</v>
      </c>
      <c r="AD581">
        <f t="shared" si="64"/>
        <v>0</v>
      </c>
      <c r="AE581">
        <f t="shared" si="65"/>
        <v>3</v>
      </c>
      <c r="AF581">
        <f t="shared" si="66"/>
        <v>4.3</v>
      </c>
      <c r="AG581" t="e">
        <f t="shared" si="67"/>
        <v>#N/A</v>
      </c>
      <c r="AH581" t="e">
        <f t="shared" si="68"/>
        <v>#N/A</v>
      </c>
      <c r="AI581" t="e">
        <f t="shared" si="69"/>
        <v>#N/A</v>
      </c>
    </row>
    <row r="582" spans="1:35" x14ac:dyDescent="0.45">
      <c r="A582" t="s">
        <v>1809</v>
      </c>
      <c r="B582">
        <v>24</v>
      </c>
      <c r="C582" t="s">
        <v>45</v>
      </c>
      <c r="D582" t="s">
        <v>95</v>
      </c>
      <c r="E582" t="s">
        <v>29</v>
      </c>
      <c r="F582" t="s">
        <v>2614</v>
      </c>
      <c r="G582" t="s">
        <v>112</v>
      </c>
      <c r="H582" t="s">
        <v>32</v>
      </c>
      <c r="I582" t="s">
        <v>49</v>
      </c>
      <c r="J582" t="s">
        <v>1810</v>
      </c>
      <c r="K582" t="s">
        <v>1440</v>
      </c>
      <c r="L582" t="s">
        <v>52</v>
      </c>
      <c r="M582" t="s">
        <v>2630</v>
      </c>
      <c r="N582" t="s">
        <v>1204</v>
      </c>
      <c r="O582" t="s">
        <v>52</v>
      </c>
      <c r="P582" t="s">
        <v>55</v>
      </c>
      <c r="Q582" t="s">
        <v>67</v>
      </c>
      <c r="R582">
        <v>176</v>
      </c>
      <c r="S582">
        <v>0</v>
      </c>
      <c r="T582" t="s">
        <v>85</v>
      </c>
      <c r="U582" t="s">
        <v>42</v>
      </c>
      <c r="V582">
        <v>1.27</v>
      </c>
      <c r="W582">
        <v>1.38</v>
      </c>
      <c r="X582">
        <v>10</v>
      </c>
      <c r="Y582">
        <v>11.9</v>
      </c>
      <c r="Z582">
        <v>15.7</v>
      </c>
      <c r="AA582">
        <f>VALUE(SUBSTITUTE(DACS19___Pfizer’s_Personalised_Medicine_in[[#This Row],[Dose]],"mg",""))</f>
        <v>100</v>
      </c>
      <c r="AB582">
        <f t="shared" si="63"/>
        <v>100</v>
      </c>
      <c r="AC582" t="s">
        <v>67</v>
      </c>
      <c r="AD582">
        <f t="shared" si="64"/>
        <v>2</v>
      </c>
      <c r="AE582">
        <f t="shared" si="65"/>
        <v>2</v>
      </c>
      <c r="AF582" t="e">
        <f t="shared" si="66"/>
        <v>#N/A</v>
      </c>
      <c r="AG582" t="e">
        <f t="shared" si="67"/>
        <v>#N/A</v>
      </c>
      <c r="AH582">
        <f t="shared" si="68"/>
        <v>1.38</v>
      </c>
      <c r="AI582" t="e">
        <f t="shared" si="69"/>
        <v>#N/A</v>
      </c>
    </row>
    <row r="583" spans="1:35" x14ac:dyDescent="0.45">
      <c r="A583" t="s">
        <v>1811</v>
      </c>
      <c r="B583">
        <v>23</v>
      </c>
      <c r="C583" t="s">
        <v>44</v>
      </c>
      <c r="D583" t="s">
        <v>106</v>
      </c>
      <c r="E583" t="s">
        <v>163</v>
      </c>
      <c r="F583" t="s">
        <v>2614</v>
      </c>
      <c r="G583" t="s">
        <v>164</v>
      </c>
      <c r="H583" t="s">
        <v>71</v>
      </c>
      <c r="I583" t="s">
        <v>132</v>
      </c>
      <c r="J583" t="s">
        <v>1812</v>
      </c>
      <c r="K583" t="s">
        <v>1813</v>
      </c>
      <c r="L583" t="s">
        <v>64</v>
      </c>
      <c r="M583" t="s">
        <v>274</v>
      </c>
      <c r="N583" t="s">
        <v>109</v>
      </c>
      <c r="O583" t="s">
        <v>64</v>
      </c>
      <c r="P583" t="s">
        <v>110</v>
      </c>
      <c r="Q583" t="s">
        <v>67</v>
      </c>
      <c r="R583">
        <v>96</v>
      </c>
      <c r="S583">
        <v>0</v>
      </c>
      <c r="T583" t="s">
        <v>56</v>
      </c>
      <c r="U583" t="s">
        <v>57</v>
      </c>
      <c r="V583">
        <v>4.2300000000000004</v>
      </c>
      <c r="W583">
        <v>4.43</v>
      </c>
      <c r="X583">
        <v>10</v>
      </c>
      <c r="Y583">
        <v>10.3</v>
      </c>
      <c r="Z583">
        <v>3.7</v>
      </c>
      <c r="AA583">
        <f>VALUE(SUBSTITUTE(DACS19___Pfizer’s_Personalised_Medicine_in[[#This Row],[Dose]],"mg",""))</f>
        <v>150</v>
      </c>
      <c r="AB583">
        <f t="shared" si="63"/>
        <v>150</v>
      </c>
      <c r="AC583" t="s">
        <v>67</v>
      </c>
      <c r="AD583">
        <f t="shared" si="64"/>
        <v>2</v>
      </c>
      <c r="AE583">
        <f t="shared" si="65"/>
        <v>1</v>
      </c>
      <c r="AF583" t="e">
        <f t="shared" si="66"/>
        <v>#N/A</v>
      </c>
      <c r="AG583">
        <f t="shared" si="67"/>
        <v>4.43</v>
      </c>
      <c r="AH583" t="e">
        <f t="shared" si="68"/>
        <v>#N/A</v>
      </c>
      <c r="AI583" t="e">
        <f t="shared" si="69"/>
        <v>#N/A</v>
      </c>
    </row>
    <row r="584" spans="1:35" x14ac:dyDescent="0.45">
      <c r="A584" t="s">
        <v>1814</v>
      </c>
      <c r="B584">
        <v>44</v>
      </c>
      <c r="C584" t="s">
        <v>45</v>
      </c>
      <c r="D584" t="s">
        <v>28</v>
      </c>
      <c r="E584" t="s">
        <v>78</v>
      </c>
      <c r="F584" t="s">
        <v>2614</v>
      </c>
      <c r="G584" t="s">
        <v>48</v>
      </c>
      <c r="H584" t="s">
        <v>81</v>
      </c>
      <c r="I584" t="s">
        <v>33</v>
      </c>
      <c r="J584" t="s">
        <v>1813</v>
      </c>
      <c r="K584" t="s">
        <v>1815</v>
      </c>
      <c r="L584" t="s">
        <v>36</v>
      </c>
      <c r="M584" t="s">
        <v>536</v>
      </c>
      <c r="N584" t="s">
        <v>262</v>
      </c>
      <c r="O584" t="s">
        <v>36</v>
      </c>
      <c r="P584" t="s">
        <v>110</v>
      </c>
      <c r="Q584" t="s">
        <v>40</v>
      </c>
      <c r="R584">
        <v>40</v>
      </c>
      <c r="S584">
        <v>0</v>
      </c>
      <c r="T584" t="s">
        <v>56</v>
      </c>
      <c r="U584" t="s">
        <v>42</v>
      </c>
      <c r="V584">
        <v>2.64</v>
      </c>
      <c r="W584">
        <v>1.52</v>
      </c>
      <c r="X584">
        <v>1.2</v>
      </c>
      <c r="Y584">
        <v>12.5</v>
      </c>
      <c r="Z584">
        <v>16.3</v>
      </c>
      <c r="AA584">
        <f>VALUE(SUBSTITUTE(DACS19___Pfizer’s_Personalised_Medicine_in[[#This Row],[Dose]],"mg",""))</f>
        <v>200</v>
      </c>
      <c r="AB584">
        <f t="shared" si="63"/>
        <v>200</v>
      </c>
      <c r="AC584" t="s">
        <v>40</v>
      </c>
      <c r="AD584">
        <f t="shared" si="64"/>
        <v>3</v>
      </c>
      <c r="AE584">
        <f t="shared" si="65"/>
        <v>1</v>
      </c>
      <c r="AF584" t="e">
        <f t="shared" si="66"/>
        <v>#N/A</v>
      </c>
      <c r="AG584" t="e">
        <f t="shared" si="67"/>
        <v>#N/A</v>
      </c>
      <c r="AH584" t="e">
        <f t="shared" si="68"/>
        <v>#N/A</v>
      </c>
      <c r="AI584">
        <f t="shared" si="69"/>
        <v>1.52</v>
      </c>
    </row>
    <row r="585" spans="1:35" x14ac:dyDescent="0.45">
      <c r="A585" t="s">
        <v>1816</v>
      </c>
      <c r="B585">
        <v>46</v>
      </c>
      <c r="C585" t="s">
        <v>27</v>
      </c>
      <c r="D585" t="s">
        <v>87</v>
      </c>
      <c r="E585" t="s">
        <v>163</v>
      </c>
      <c r="F585" t="s">
        <v>47</v>
      </c>
      <c r="G585" t="s">
        <v>125</v>
      </c>
      <c r="H585" t="s">
        <v>71</v>
      </c>
      <c r="I585" t="s">
        <v>132</v>
      </c>
      <c r="J585" t="s">
        <v>989</v>
      </c>
      <c r="K585" t="s">
        <v>1817</v>
      </c>
      <c r="L585" t="s">
        <v>36</v>
      </c>
      <c r="M585" t="s">
        <v>2625</v>
      </c>
      <c r="N585" t="s">
        <v>452</v>
      </c>
      <c r="O585" t="s">
        <v>36</v>
      </c>
      <c r="P585" t="s">
        <v>110</v>
      </c>
      <c r="Q585" t="s">
        <v>2614</v>
      </c>
      <c r="R585">
        <v>57</v>
      </c>
      <c r="S585">
        <v>0</v>
      </c>
      <c r="T585" t="s">
        <v>123</v>
      </c>
      <c r="U585" t="s">
        <v>57</v>
      </c>
      <c r="V585">
        <v>3.26</v>
      </c>
      <c r="W585">
        <v>2.25</v>
      </c>
      <c r="X585">
        <v>6.9</v>
      </c>
      <c r="Y585">
        <v>10.199999999999999</v>
      </c>
      <c r="Z585">
        <v>3.2</v>
      </c>
      <c r="AA585">
        <f>VALUE(SUBSTITUTE(DACS19___Pfizer’s_Personalised_Medicine_in[[#This Row],[Dose]],"mg",""))</f>
        <v>200</v>
      </c>
      <c r="AB585">
        <f t="shared" si="63"/>
        <v>200</v>
      </c>
      <c r="AC585" t="s">
        <v>2614</v>
      </c>
      <c r="AD585">
        <f t="shared" si="64"/>
        <v>0</v>
      </c>
      <c r="AE585">
        <f t="shared" si="65"/>
        <v>1</v>
      </c>
      <c r="AF585" t="e">
        <f t="shared" si="66"/>
        <v>#N/A</v>
      </c>
      <c r="AG585">
        <f t="shared" si="67"/>
        <v>2.25</v>
      </c>
      <c r="AH585" t="e">
        <f t="shared" si="68"/>
        <v>#N/A</v>
      </c>
      <c r="AI585" t="e">
        <f t="shared" si="69"/>
        <v>#N/A</v>
      </c>
    </row>
    <row r="586" spans="1:35" x14ac:dyDescent="0.45">
      <c r="A586" t="s">
        <v>1818</v>
      </c>
      <c r="B586">
        <v>43</v>
      </c>
      <c r="C586" t="s">
        <v>27</v>
      </c>
      <c r="D586" t="s">
        <v>45</v>
      </c>
      <c r="E586" t="s">
        <v>78</v>
      </c>
      <c r="F586" t="s">
        <v>69</v>
      </c>
      <c r="G586" t="s">
        <v>118</v>
      </c>
      <c r="H586" t="s">
        <v>81</v>
      </c>
      <c r="I586" t="s">
        <v>33</v>
      </c>
      <c r="J586" t="s">
        <v>1819</v>
      </c>
      <c r="K586" t="s">
        <v>1820</v>
      </c>
      <c r="L586" t="s">
        <v>36</v>
      </c>
      <c r="M586" t="s">
        <v>129</v>
      </c>
      <c r="N586" t="s">
        <v>930</v>
      </c>
      <c r="O586" t="s">
        <v>36</v>
      </c>
      <c r="P586" t="s">
        <v>110</v>
      </c>
      <c r="Q586" t="s">
        <v>129</v>
      </c>
      <c r="R586">
        <v>91</v>
      </c>
      <c r="S586">
        <v>0</v>
      </c>
      <c r="T586" t="s">
        <v>56</v>
      </c>
      <c r="U586" t="s">
        <v>57</v>
      </c>
      <c r="V586">
        <v>4.0599999999999996</v>
      </c>
      <c r="W586">
        <v>3.49</v>
      </c>
      <c r="X586">
        <v>7.9</v>
      </c>
      <c r="Y586">
        <v>6.7</v>
      </c>
      <c r="Z586">
        <v>17.2</v>
      </c>
      <c r="AA586">
        <f>VALUE(SUBSTITUTE(DACS19___Pfizer’s_Personalised_Medicine_in[[#This Row],[Dose]],"mg",""))</f>
        <v>200</v>
      </c>
      <c r="AB586">
        <f t="shared" si="63"/>
        <v>200</v>
      </c>
      <c r="AC586" t="s">
        <v>129</v>
      </c>
      <c r="AD586">
        <f t="shared" si="64"/>
        <v>4</v>
      </c>
      <c r="AE586">
        <f t="shared" si="65"/>
        <v>1</v>
      </c>
      <c r="AF586" t="e">
        <f t="shared" si="66"/>
        <v>#N/A</v>
      </c>
      <c r="AG586" t="e">
        <f t="shared" si="67"/>
        <v>#N/A</v>
      </c>
      <c r="AH586" t="e">
        <f t="shared" si="68"/>
        <v>#N/A</v>
      </c>
      <c r="AI586">
        <f t="shared" si="69"/>
        <v>3.49</v>
      </c>
    </row>
    <row r="587" spans="1:35" x14ac:dyDescent="0.45">
      <c r="A587" t="s">
        <v>1821</v>
      </c>
      <c r="B587">
        <v>74</v>
      </c>
      <c r="C587" t="s">
        <v>45</v>
      </c>
      <c r="D587" t="s">
        <v>106</v>
      </c>
      <c r="E587" t="s">
        <v>78</v>
      </c>
      <c r="F587" t="s">
        <v>2614</v>
      </c>
      <c r="G587" t="s">
        <v>118</v>
      </c>
      <c r="H587" t="s">
        <v>71</v>
      </c>
      <c r="I587" t="s">
        <v>72</v>
      </c>
      <c r="J587" t="s">
        <v>1822</v>
      </c>
      <c r="K587" t="s">
        <v>1823</v>
      </c>
      <c r="L587" t="s">
        <v>52</v>
      </c>
      <c r="M587" t="s">
        <v>2615</v>
      </c>
      <c r="N587" t="s">
        <v>954</v>
      </c>
      <c r="O587" t="s">
        <v>52</v>
      </c>
      <c r="P587" t="s">
        <v>55</v>
      </c>
      <c r="Q587" t="s">
        <v>67</v>
      </c>
      <c r="R587">
        <v>44</v>
      </c>
      <c r="S587">
        <v>0</v>
      </c>
      <c r="T587" t="s">
        <v>56</v>
      </c>
      <c r="U587" t="s">
        <v>57</v>
      </c>
      <c r="V587">
        <v>3.48</v>
      </c>
      <c r="W587">
        <v>3.25</v>
      </c>
      <c r="X587">
        <v>6.6</v>
      </c>
      <c r="Y587">
        <v>21.6</v>
      </c>
      <c r="Z587">
        <v>13</v>
      </c>
      <c r="AA587">
        <f>VALUE(SUBSTITUTE(DACS19___Pfizer’s_Personalised_Medicine_in[[#This Row],[Dose]],"mg",""))</f>
        <v>100</v>
      </c>
      <c r="AB587">
        <f t="shared" si="63"/>
        <v>100</v>
      </c>
      <c r="AC587" t="s">
        <v>67</v>
      </c>
      <c r="AD587">
        <f t="shared" si="64"/>
        <v>2</v>
      </c>
      <c r="AE587">
        <f t="shared" si="65"/>
        <v>2</v>
      </c>
      <c r="AF587" t="e">
        <f t="shared" si="66"/>
        <v>#N/A</v>
      </c>
      <c r="AG587">
        <f t="shared" si="67"/>
        <v>3.25</v>
      </c>
      <c r="AH587" t="e">
        <f t="shared" si="68"/>
        <v>#N/A</v>
      </c>
      <c r="AI587" t="e">
        <f t="shared" si="69"/>
        <v>#N/A</v>
      </c>
    </row>
    <row r="588" spans="1:35" x14ac:dyDescent="0.45">
      <c r="A588" t="s">
        <v>1824</v>
      </c>
      <c r="B588">
        <v>37</v>
      </c>
      <c r="C588" t="s">
        <v>44</v>
      </c>
      <c r="D588" t="s">
        <v>45</v>
      </c>
      <c r="E588" t="s">
        <v>163</v>
      </c>
      <c r="F588" t="s">
        <v>79</v>
      </c>
      <c r="G588" t="s">
        <v>31</v>
      </c>
      <c r="H588" t="s">
        <v>81</v>
      </c>
      <c r="I588" t="s">
        <v>49</v>
      </c>
      <c r="J588" t="s">
        <v>1825</v>
      </c>
      <c r="K588" t="s">
        <v>1826</v>
      </c>
      <c r="L588" t="s">
        <v>64</v>
      </c>
      <c r="M588" t="s">
        <v>2635</v>
      </c>
      <c r="N588" t="s">
        <v>358</v>
      </c>
      <c r="O588" t="s">
        <v>64</v>
      </c>
      <c r="P588" t="s">
        <v>39</v>
      </c>
      <c r="Q588" t="s">
        <v>129</v>
      </c>
      <c r="R588">
        <v>46</v>
      </c>
      <c r="S588">
        <v>1</v>
      </c>
      <c r="T588" t="s">
        <v>56</v>
      </c>
      <c r="U588" t="s">
        <v>42</v>
      </c>
      <c r="V588">
        <v>3.32</v>
      </c>
      <c r="W588">
        <v>4.96</v>
      </c>
      <c r="X588">
        <v>7.8</v>
      </c>
      <c r="Y588">
        <v>14</v>
      </c>
      <c r="Z588">
        <v>15</v>
      </c>
      <c r="AA588">
        <f>VALUE(SUBSTITUTE(DACS19___Pfizer’s_Personalised_Medicine_in[[#This Row],[Dose]],"mg",""))</f>
        <v>150</v>
      </c>
      <c r="AB588">
        <f t="shared" si="63"/>
        <v>150</v>
      </c>
      <c r="AC588" t="s">
        <v>129</v>
      </c>
      <c r="AD588">
        <f t="shared" si="64"/>
        <v>4</v>
      </c>
      <c r="AE588">
        <f t="shared" si="65"/>
        <v>3</v>
      </c>
      <c r="AF588" t="e">
        <f t="shared" si="66"/>
        <v>#N/A</v>
      </c>
      <c r="AG588" t="e">
        <f t="shared" si="67"/>
        <v>#N/A</v>
      </c>
      <c r="AH588" t="e">
        <f t="shared" si="68"/>
        <v>#N/A</v>
      </c>
      <c r="AI588">
        <f t="shared" si="69"/>
        <v>4.96</v>
      </c>
    </row>
    <row r="589" spans="1:35" x14ac:dyDescent="0.45">
      <c r="A589" t="s">
        <v>1827</v>
      </c>
      <c r="B589">
        <v>39</v>
      </c>
      <c r="C589" t="s">
        <v>45</v>
      </c>
      <c r="D589" t="s">
        <v>28</v>
      </c>
      <c r="E589" t="s">
        <v>2614</v>
      </c>
      <c r="F589" t="s">
        <v>88</v>
      </c>
      <c r="G589" t="s">
        <v>60</v>
      </c>
      <c r="H589" t="s">
        <v>61</v>
      </c>
      <c r="I589" t="s">
        <v>33</v>
      </c>
      <c r="J589" t="s">
        <v>1828</v>
      </c>
      <c r="K589" t="s">
        <v>1829</v>
      </c>
      <c r="L589" t="s">
        <v>92</v>
      </c>
      <c r="M589" t="s">
        <v>129</v>
      </c>
      <c r="N589" t="s">
        <v>235</v>
      </c>
      <c r="O589" t="s">
        <v>92</v>
      </c>
      <c r="P589" t="s">
        <v>110</v>
      </c>
      <c r="Q589" t="s">
        <v>129</v>
      </c>
      <c r="R589">
        <v>35</v>
      </c>
      <c r="S589">
        <v>0</v>
      </c>
      <c r="T589" t="s">
        <v>56</v>
      </c>
      <c r="U589" t="s">
        <v>57</v>
      </c>
      <c r="V589">
        <v>2.56</v>
      </c>
      <c r="W589">
        <v>1.92</v>
      </c>
      <c r="X589">
        <v>6.4</v>
      </c>
      <c r="Y589">
        <v>22.7</v>
      </c>
      <c r="Z589">
        <v>18.8</v>
      </c>
      <c r="AA589">
        <f>VALUE(SUBSTITUTE(DACS19___Pfizer’s_Personalised_Medicine_in[[#This Row],[Dose]],"mg",""))</f>
        <v>50</v>
      </c>
      <c r="AB589">
        <f t="shared" si="63"/>
        <v>50</v>
      </c>
      <c r="AC589" t="s">
        <v>129</v>
      </c>
      <c r="AD589">
        <f t="shared" si="64"/>
        <v>4</v>
      </c>
      <c r="AE589">
        <f t="shared" si="65"/>
        <v>1</v>
      </c>
      <c r="AF589">
        <f t="shared" si="66"/>
        <v>1.92</v>
      </c>
      <c r="AG589" t="e">
        <f t="shared" si="67"/>
        <v>#N/A</v>
      </c>
      <c r="AH589" t="e">
        <f t="shared" si="68"/>
        <v>#N/A</v>
      </c>
      <c r="AI589" t="e">
        <f t="shared" si="69"/>
        <v>#N/A</v>
      </c>
    </row>
    <row r="590" spans="1:35" x14ac:dyDescent="0.45">
      <c r="A590" t="s">
        <v>1830</v>
      </c>
      <c r="B590">
        <v>54</v>
      </c>
      <c r="C590" t="s">
        <v>45</v>
      </c>
      <c r="D590" t="s">
        <v>45</v>
      </c>
      <c r="E590" t="s">
        <v>78</v>
      </c>
      <c r="F590" t="s">
        <v>79</v>
      </c>
      <c r="G590" t="s">
        <v>70</v>
      </c>
      <c r="H590" t="s">
        <v>32</v>
      </c>
      <c r="I590" t="s">
        <v>132</v>
      </c>
      <c r="J590" t="s">
        <v>1831</v>
      </c>
      <c r="K590" t="s">
        <v>119</v>
      </c>
      <c r="L590" t="s">
        <v>64</v>
      </c>
      <c r="M590" t="s">
        <v>67</v>
      </c>
      <c r="N590" t="s">
        <v>1000</v>
      </c>
      <c r="O590" t="s">
        <v>64</v>
      </c>
      <c r="P590" t="s">
        <v>110</v>
      </c>
      <c r="Q590" t="s">
        <v>67</v>
      </c>
      <c r="R590">
        <v>129</v>
      </c>
      <c r="S590">
        <v>0</v>
      </c>
      <c r="T590" t="s">
        <v>137</v>
      </c>
      <c r="U590" t="s">
        <v>42</v>
      </c>
      <c r="V590">
        <v>2.37</v>
      </c>
      <c r="W590">
        <v>3.11</v>
      </c>
      <c r="X590">
        <v>2.9</v>
      </c>
      <c r="Y590">
        <v>23.9</v>
      </c>
      <c r="Z590">
        <v>19.7</v>
      </c>
      <c r="AA590">
        <f>VALUE(SUBSTITUTE(DACS19___Pfizer’s_Personalised_Medicine_in[[#This Row],[Dose]],"mg",""))</f>
        <v>150</v>
      </c>
      <c r="AB590">
        <f t="shared" si="63"/>
        <v>150</v>
      </c>
      <c r="AC590" t="s">
        <v>67</v>
      </c>
      <c r="AD590">
        <f t="shared" si="64"/>
        <v>2</v>
      </c>
      <c r="AE590">
        <f t="shared" si="65"/>
        <v>1</v>
      </c>
      <c r="AF590" t="e">
        <f t="shared" si="66"/>
        <v>#N/A</v>
      </c>
      <c r="AG590" t="e">
        <f t="shared" si="67"/>
        <v>#N/A</v>
      </c>
      <c r="AH590">
        <f t="shared" si="68"/>
        <v>3.11</v>
      </c>
      <c r="AI590" t="e">
        <f t="shared" si="69"/>
        <v>#N/A</v>
      </c>
    </row>
    <row r="591" spans="1:35" x14ac:dyDescent="0.45">
      <c r="A591" t="s">
        <v>1832</v>
      </c>
      <c r="B591">
        <v>65</v>
      </c>
      <c r="C591" t="s">
        <v>45</v>
      </c>
      <c r="D591" t="s">
        <v>87</v>
      </c>
      <c r="E591" t="s">
        <v>78</v>
      </c>
      <c r="F591" t="s">
        <v>2614</v>
      </c>
      <c r="G591" t="s">
        <v>96</v>
      </c>
      <c r="H591" t="s">
        <v>61</v>
      </c>
      <c r="I591" t="s">
        <v>33</v>
      </c>
      <c r="J591" t="s">
        <v>1833</v>
      </c>
      <c r="K591" t="s">
        <v>1161</v>
      </c>
      <c r="L591" t="s">
        <v>36</v>
      </c>
      <c r="M591" t="s">
        <v>2614</v>
      </c>
      <c r="N591" t="s">
        <v>987</v>
      </c>
      <c r="O591" t="s">
        <v>36</v>
      </c>
      <c r="P591" t="s">
        <v>55</v>
      </c>
      <c r="Q591" t="s">
        <v>40</v>
      </c>
      <c r="R591">
        <v>136</v>
      </c>
      <c r="S591">
        <v>0</v>
      </c>
      <c r="T591" t="s">
        <v>56</v>
      </c>
      <c r="U591" t="s">
        <v>57</v>
      </c>
      <c r="V591">
        <v>3.6</v>
      </c>
      <c r="W591">
        <v>4.22</v>
      </c>
      <c r="X591">
        <v>7.4</v>
      </c>
      <c r="Y591">
        <v>16.7</v>
      </c>
      <c r="Z591">
        <v>3.9</v>
      </c>
      <c r="AA591">
        <f>VALUE(SUBSTITUTE(DACS19___Pfizer’s_Personalised_Medicine_in[[#This Row],[Dose]],"mg",""))</f>
        <v>200</v>
      </c>
      <c r="AB591">
        <f t="shared" si="63"/>
        <v>200</v>
      </c>
      <c r="AC591" t="s">
        <v>40</v>
      </c>
      <c r="AD591">
        <f t="shared" si="64"/>
        <v>3</v>
      </c>
      <c r="AE591">
        <f t="shared" si="65"/>
        <v>2</v>
      </c>
      <c r="AF591">
        <f t="shared" si="66"/>
        <v>4.22</v>
      </c>
      <c r="AG591" t="e">
        <f t="shared" si="67"/>
        <v>#N/A</v>
      </c>
      <c r="AH591" t="e">
        <f t="shared" si="68"/>
        <v>#N/A</v>
      </c>
      <c r="AI591" t="e">
        <f t="shared" si="69"/>
        <v>#N/A</v>
      </c>
    </row>
    <row r="592" spans="1:35" x14ac:dyDescent="0.45">
      <c r="A592" t="s">
        <v>1834</v>
      </c>
      <c r="B592">
        <v>74</v>
      </c>
      <c r="C592" t="s">
        <v>44</v>
      </c>
      <c r="D592" t="s">
        <v>95</v>
      </c>
      <c r="E592" t="s">
        <v>2614</v>
      </c>
      <c r="F592" t="s">
        <v>47</v>
      </c>
      <c r="G592" t="s">
        <v>96</v>
      </c>
      <c r="H592" t="s">
        <v>71</v>
      </c>
      <c r="I592" t="s">
        <v>72</v>
      </c>
      <c r="J592" t="s">
        <v>1306</v>
      </c>
      <c r="K592" t="s">
        <v>1835</v>
      </c>
      <c r="L592" t="s">
        <v>52</v>
      </c>
      <c r="M592" t="s">
        <v>2621</v>
      </c>
      <c r="N592" t="s">
        <v>1836</v>
      </c>
      <c r="O592" t="s">
        <v>52</v>
      </c>
      <c r="P592" t="s">
        <v>55</v>
      </c>
      <c r="Q592" t="s">
        <v>2614</v>
      </c>
      <c r="R592">
        <v>108</v>
      </c>
      <c r="S592">
        <v>0</v>
      </c>
      <c r="T592" t="s">
        <v>41</v>
      </c>
      <c r="U592" t="s">
        <v>57</v>
      </c>
      <c r="V592">
        <v>2.82</v>
      </c>
      <c r="W592">
        <v>3.7</v>
      </c>
      <c r="X592">
        <v>7.1</v>
      </c>
      <c r="Y592">
        <v>12.7</v>
      </c>
      <c r="Z592">
        <v>19</v>
      </c>
      <c r="AA592">
        <f>VALUE(SUBSTITUTE(DACS19___Pfizer’s_Personalised_Medicine_in[[#This Row],[Dose]],"mg",""))</f>
        <v>100</v>
      </c>
      <c r="AB592">
        <f t="shared" si="63"/>
        <v>100</v>
      </c>
      <c r="AC592" t="s">
        <v>2614</v>
      </c>
      <c r="AD592">
        <f t="shared" si="64"/>
        <v>0</v>
      </c>
      <c r="AE592">
        <f t="shared" si="65"/>
        <v>2</v>
      </c>
      <c r="AF592" t="e">
        <f t="shared" si="66"/>
        <v>#N/A</v>
      </c>
      <c r="AG592">
        <f t="shared" si="67"/>
        <v>3.7</v>
      </c>
      <c r="AH592" t="e">
        <f t="shared" si="68"/>
        <v>#N/A</v>
      </c>
      <c r="AI592" t="e">
        <f t="shared" si="69"/>
        <v>#N/A</v>
      </c>
    </row>
    <row r="593" spans="1:35" x14ac:dyDescent="0.45">
      <c r="A593" t="s">
        <v>1837</v>
      </c>
      <c r="B593">
        <v>36</v>
      </c>
      <c r="C593" t="s">
        <v>44</v>
      </c>
      <c r="D593" t="s">
        <v>87</v>
      </c>
      <c r="E593" t="s">
        <v>29</v>
      </c>
      <c r="F593" t="s">
        <v>2614</v>
      </c>
      <c r="G593" t="s">
        <v>276</v>
      </c>
      <c r="H593" t="s">
        <v>81</v>
      </c>
      <c r="I593" t="s">
        <v>49</v>
      </c>
      <c r="J593" t="s">
        <v>139</v>
      </c>
      <c r="K593" t="s">
        <v>1838</v>
      </c>
      <c r="L593" t="s">
        <v>52</v>
      </c>
      <c r="M593" t="s">
        <v>216</v>
      </c>
      <c r="N593" t="s">
        <v>1621</v>
      </c>
      <c r="O593" t="s">
        <v>52</v>
      </c>
      <c r="P593" t="s">
        <v>39</v>
      </c>
      <c r="Q593" t="s">
        <v>67</v>
      </c>
      <c r="R593">
        <v>128</v>
      </c>
      <c r="S593">
        <v>1</v>
      </c>
      <c r="T593" t="s">
        <v>85</v>
      </c>
      <c r="U593" t="s">
        <v>42</v>
      </c>
      <c r="V593">
        <v>1.67</v>
      </c>
      <c r="W593">
        <v>3</v>
      </c>
      <c r="X593">
        <v>7.2</v>
      </c>
      <c r="Y593">
        <v>18.5</v>
      </c>
      <c r="Z593">
        <v>14</v>
      </c>
      <c r="AA593">
        <f>VALUE(SUBSTITUTE(DACS19___Pfizer’s_Personalised_Medicine_in[[#This Row],[Dose]],"mg",""))</f>
        <v>100</v>
      </c>
      <c r="AB593">
        <f t="shared" si="63"/>
        <v>100</v>
      </c>
      <c r="AC593" t="s">
        <v>67</v>
      </c>
      <c r="AD593">
        <f t="shared" si="64"/>
        <v>2</v>
      </c>
      <c r="AE593">
        <f t="shared" si="65"/>
        <v>3</v>
      </c>
      <c r="AF593" t="e">
        <f t="shared" si="66"/>
        <v>#N/A</v>
      </c>
      <c r="AG593" t="e">
        <f t="shared" si="67"/>
        <v>#N/A</v>
      </c>
      <c r="AH593" t="e">
        <f t="shared" si="68"/>
        <v>#N/A</v>
      </c>
      <c r="AI593">
        <f t="shared" si="69"/>
        <v>3</v>
      </c>
    </row>
    <row r="594" spans="1:35" x14ac:dyDescent="0.45">
      <c r="A594" t="s">
        <v>1839</v>
      </c>
      <c r="B594">
        <v>52</v>
      </c>
      <c r="C594" t="s">
        <v>45</v>
      </c>
      <c r="D594" t="s">
        <v>45</v>
      </c>
      <c r="E594" t="s">
        <v>46</v>
      </c>
      <c r="F594" t="s">
        <v>2614</v>
      </c>
      <c r="G594" t="s">
        <v>80</v>
      </c>
      <c r="H594" t="s">
        <v>71</v>
      </c>
      <c r="I594" t="s">
        <v>72</v>
      </c>
      <c r="J594" t="s">
        <v>414</v>
      </c>
      <c r="K594" t="s">
        <v>932</v>
      </c>
      <c r="L594" t="s">
        <v>52</v>
      </c>
      <c r="M594" t="s">
        <v>2639</v>
      </c>
      <c r="N594" t="s">
        <v>327</v>
      </c>
      <c r="O594" t="s">
        <v>52</v>
      </c>
      <c r="P594" t="s">
        <v>39</v>
      </c>
      <c r="Q594" t="s">
        <v>129</v>
      </c>
      <c r="R594">
        <v>51</v>
      </c>
      <c r="S594">
        <v>1</v>
      </c>
      <c r="T594" t="s">
        <v>123</v>
      </c>
      <c r="U594" t="s">
        <v>42</v>
      </c>
      <c r="V594">
        <v>2.1</v>
      </c>
      <c r="W594">
        <v>1.62</v>
      </c>
      <c r="X594">
        <v>6.7</v>
      </c>
      <c r="Y594">
        <v>16.8</v>
      </c>
      <c r="Z594">
        <v>6</v>
      </c>
      <c r="AA594">
        <f>VALUE(SUBSTITUTE(DACS19___Pfizer’s_Personalised_Medicine_in[[#This Row],[Dose]],"mg",""))</f>
        <v>100</v>
      </c>
      <c r="AB594">
        <f t="shared" si="63"/>
        <v>100</v>
      </c>
      <c r="AC594" t="s">
        <v>129</v>
      </c>
      <c r="AD594">
        <f t="shared" si="64"/>
        <v>4</v>
      </c>
      <c r="AE594">
        <f t="shared" si="65"/>
        <v>3</v>
      </c>
      <c r="AF594" t="e">
        <f t="shared" si="66"/>
        <v>#N/A</v>
      </c>
      <c r="AG594">
        <f t="shared" si="67"/>
        <v>1.62</v>
      </c>
      <c r="AH594" t="e">
        <f t="shared" si="68"/>
        <v>#N/A</v>
      </c>
      <c r="AI594" t="e">
        <f t="shared" si="69"/>
        <v>#N/A</v>
      </c>
    </row>
    <row r="595" spans="1:35" x14ac:dyDescent="0.45">
      <c r="A595" t="s">
        <v>1840</v>
      </c>
      <c r="B595">
        <v>24</v>
      </c>
      <c r="C595" t="s">
        <v>44</v>
      </c>
      <c r="D595" t="s">
        <v>87</v>
      </c>
      <c r="E595" t="s">
        <v>2614</v>
      </c>
      <c r="F595" t="s">
        <v>2614</v>
      </c>
      <c r="G595" t="s">
        <v>194</v>
      </c>
      <c r="H595" t="s">
        <v>71</v>
      </c>
      <c r="I595" t="s">
        <v>72</v>
      </c>
      <c r="J595" t="s">
        <v>1332</v>
      </c>
      <c r="K595" t="s">
        <v>1700</v>
      </c>
      <c r="L595" t="s">
        <v>64</v>
      </c>
      <c r="M595" t="s">
        <v>2617</v>
      </c>
      <c r="N595" t="s">
        <v>962</v>
      </c>
      <c r="O595" t="s">
        <v>64</v>
      </c>
      <c r="P595" t="s">
        <v>110</v>
      </c>
      <c r="Q595" t="s">
        <v>67</v>
      </c>
      <c r="R595">
        <v>104</v>
      </c>
      <c r="S595">
        <v>0</v>
      </c>
      <c r="T595" t="s">
        <v>137</v>
      </c>
      <c r="U595" t="s">
        <v>42</v>
      </c>
      <c r="V595">
        <v>3.82</v>
      </c>
      <c r="W595">
        <v>2.82</v>
      </c>
      <c r="X595">
        <v>7</v>
      </c>
      <c r="Y595">
        <v>21.1</v>
      </c>
      <c r="Z595">
        <v>5.9</v>
      </c>
      <c r="AA595">
        <f>VALUE(SUBSTITUTE(DACS19___Pfizer’s_Personalised_Medicine_in[[#This Row],[Dose]],"mg",""))</f>
        <v>150</v>
      </c>
      <c r="AB595">
        <f t="shared" si="63"/>
        <v>150</v>
      </c>
      <c r="AC595" t="s">
        <v>67</v>
      </c>
      <c r="AD595">
        <f t="shared" si="64"/>
        <v>2</v>
      </c>
      <c r="AE595">
        <f t="shared" si="65"/>
        <v>1</v>
      </c>
      <c r="AF595" t="e">
        <f t="shared" si="66"/>
        <v>#N/A</v>
      </c>
      <c r="AG595">
        <f t="shared" si="67"/>
        <v>2.82</v>
      </c>
      <c r="AH595" t="e">
        <f t="shared" si="68"/>
        <v>#N/A</v>
      </c>
      <c r="AI595" t="e">
        <f t="shared" si="69"/>
        <v>#N/A</v>
      </c>
    </row>
    <row r="596" spans="1:35" x14ac:dyDescent="0.45">
      <c r="A596" t="s">
        <v>1841</v>
      </c>
      <c r="B596">
        <v>38</v>
      </c>
      <c r="C596" t="s">
        <v>27</v>
      </c>
      <c r="D596" t="s">
        <v>106</v>
      </c>
      <c r="E596" t="s">
        <v>78</v>
      </c>
      <c r="F596" t="s">
        <v>69</v>
      </c>
      <c r="G596" t="s">
        <v>48</v>
      </c>
      <c r="H596" t="s">
        <v>71</v>
      </c>
      <c r="I596" t="s">
        <v>33</v>
      </c>
      <c r="J596" t="s">
        <v>1842</v>
      </c>
      <c r="K596" t="s">
        <v>1843</v>
      </c>
      <c r="L596" t="s">
        <v>92</v>
      </c>
      <c r="M596" t="s">
        <v>266</v>
      </c>
      <c r="N596" t="s">
        <v>168</v>
      </c>
      <c r="O596" t="s">
        <v>92</v>
      </c>
      <c r="P596" t="s">
        <v>39</v>
      </c>
      <c r="Q596" t="s">
        <v>67</v>
      </c>
      <c r="R596">
        <v>127</v>
      </c>
      <c r="S596">
        <v>1</v>
      </c>
      <c r="T596" t="s">
        <v>56</v>
      </c>
      <c r="U596" t="s">
        <v>57</v>
      </c>
      <c r="V596">
        <v>1.08</v>
      </c>
      <c r="W596">
        <v>4.12</v>
      </c>
      <c r="X596">
        <v>6.5</v>
      </c>
      <c r="Y596">
        <v>18.600000000000001</v>
      </c>
      <c r="Z596">
        <v>17.2</v>
      </c>
      <c r="AA596">
        <f>VALUE(SUBSTITUTE(DACS19___Pfizer’s_Personalised_Medicine_in[[#This Row],[Dose]],"mg",""))</f>
        <v>50</v>
      </c>
      <c r="AB596">
        <f t="shared" si="63"/>
        <v>50</v>
      </c>
      <c r="AC596" t="s">
        <v>67</v>
      </c>
      <c r="AD596">
        <f t="shared" si="64"/>
        <v>2</v>
      </c>
      <c r="AE596">
        <f t="shared" si="65"/>
        <v>3</v>
      </c>
      <c r="AF596" t="e">
        <f t="shared" si="66"/>
        <v>#N/A</v>
      </c>
      <c r="AG596">
        <f t="shared" si="67"/>
        <v>4.12</v>
      </c>
      <c r="AH596" t="e">
        <f t="shared" si="68"/>
        <v>#N/A</v>
      </c>
      <c r="AI596" t="e">
        <f t="shared" si="69"/>
        <v>#N/A</v>
      </c>
    </row>
    <row r="597" spans="1:35" x14ac:dyDescent="0.45">
      <c r="A597" t="s">
        <v>1844</v>
      </c>
      <c r="B597">
        <v>79</v>
      </c>
      <c r="C597" t="s">
        <v>27</v>
      </c>
      <c r="D597" t="s">
        <v>87</v>
      </c>
      <c r="E597" t="s">
        <v>29</v>
      </c>
      <c r="F597" t="s">
        <v>2614</v>
      </c>
      <c r="G597" t="s">
        <v>194</v>
      </c>
      <c r="H597" t="s">
        <v>81</v>
      </c>
      <c r="I597" t="s">
        <v>72</v>
      </c>
      <c r="J597" t="s">
        <v>1845</v>
      </c>
      <c r="K597" t="s">
        <v>1846</v>
      </c>
      <c r="L597" t="s">
        <v>64</v>
      </c>
      <c r="M597" t="s">
        <v>2629</v>
      </c>
      <c r="N597" t="s">
        <v>742</v>
      </c>
      <c r="O597" t="s">
        <v>64</v>
      </c>
      <c r="P597" t="s">
        <v>39</v>
      </c>
      <c r="Q597" t="s">
        <v>67</v>
      </c>
      <c r="R597">
        <v>106</v>
      </c>
      <c r="S597">
        <v>1</v>
      </c>
      <c r="T597" t="s">
        <v>56</v>
      </c>
      <c r="U597" t="s">
        <v>42</v>
      </c>
      <c r="V597">
        <v>4.21</v>
      </c>
      <c r="W597">
        <v>4.84</v>
      </c>
      <c r="X597">
        <v>5.8</v>
      </c>
      <c r="Y597">
        <v>14.8</v>
      </c>
      <c r="Z597">
        <v>9.8000000000000007</v>
      </c>
      <c r="AA597">
        <f>VALUE(SUBSTITUTE(DACS19___Pfizer’s_Personalised_Medicine_in[[#This Row],[Dose]],"mg",""))</f>
        <v>150</v>
      </c>
      <c r="AB597">
        <f t="shared" si="63"/>
        <v>150</v>
      </c>
      <c r="AC597" t="s">
        <v>67</v>
      </c>
      <c r="AD597">
        <f t="shared" si="64"/>
        <v>2</v>
      </c>
      <c r="AE597">
        <f t="shared" si="65"/>
        <v>3</v>
      </c>
      <c r="AF597" t="e">
        <f t="shared" si="66"/>
        <v>#N/A</v>
      </c>
      <c r="AG597" t="e">
        <f t="shared" si="67"/>
        <v>#N/A</v>
      </c>
      <c r="AH597" t="e">
        <f t="shared" si="68"/>
        <v>#N/A</v>
      </c>
      <c r="AI597">
        <f t="shared" si="69"/>
        <v>4.84</v>
      </c>
    </row>
    <row r="598" spans="1:35" x14ac:dyDescent="0.45">
      <c r="A598" t="s">
        <v>1847</v>
      </c>
      <c r="B598">
        <v>32</v>
      </c>
      <c r="C598" t="s">
        <v>45</v>
      </c>
      <c r="D598" t="s">
        <v>106</v>
      </c>
      <c r="E598" t="s">
        <v>2614</v>
      </c>
      <c r="F598" t="s">
        <v>88</v>
      </c>
      <c r="G598" t="s">
        <v>194</v>
      </c>
      <c r="H598" t="s">
        <v>81</v>
      </c>
      <c r="I598" t="s">
        <v>49</v>
      </c>
      <c r="J598" t="s">
        <v>191</v>
      </c>
      <c r="K598" t="s">
        <v>1848</v>
      </c>
      <c r="L598" t="s">
        <v>64</v>
      </c>
      <c r="M598" t="s">
        <v>2618</v>
      </c>
      <c r="N598" t="s">
        <v>1132</v>
      </c>
      <c r="O598" t="s">
        <v>64</v>
      </c>
      <c r="P598" t="s">
        <v>39</v>
      </c>
      <c r="Q598" t="s">
        <v>40</v>
      </c>
      <c r="R598">
        <v>111</v>
      </c>
      <c r="S598">
        <v>1</v>
      </c>
      <c r="T598" t="s">
        <v>41</v>
      </c>
      <c r="U598" t="s">
        <v>42</v>
      </c>
      <c r="V598">
        <v>1.61</v>
      </c>
      <c r="W598">
        <v>3.29</v>
      </c>
      <c r="X598">
        <v>3.5</v>
      </c>
      <c r="Y598">
        <v>22.6</v>
      </c>
      <c r="Z598">
        <v>12.9</v>
      </c>
      <c r="AA598">
        <f>VALUE(SUBSTITUTE(DACS19___Pfizer’s_Personalised_Medicine_in[[#This Row],[Dose]],"mg",""))</f>
        <v>150</v>
      </c>
      <c r="AB598">
        <f t="shared" si="63"/>
        <v>150</v>
      </c>
      <c r="AC598" t="s">
        <v>40</v>
      </c>
      <c r="AD598">
        <f t="shared" si="64"/>
        <v>3</v>
      </c>
      <c r="AE598">
        <f t="shared" si="65"/>
        <v>3</v>
      </c>
      <c r="AF598" t="e">
        <f t="shared" si="66"/>
        <v>#N/A</v>
      </c>
      <c r="AG598" t="e">
        <f t="shared" si="67"/>
        <v>#N/A</v>
      </c>
      <c r="AH598" t="e">
        <f t="shared" si="68"/>
        <v>#N/A</v>
      </c>
      <c r="AI598">
        <f t="shared" si="69"/>
        <v>3.29</v>
      </c>
    </row>
    <row r="599" spans="1:35" x14ac:dyDescent="0.45">
      <c r="A599" t="s">
        <v>1849</v>
      </c>
      <c r="B599">
        <v>48</v>
      </c>
      <c r="C599" t="s">
        <v>45</v>
      </c>
      <c r="D599" t="s">
        <v>28</v>
      </c>
      <c r="E599" t="s">
        <v>2614</v>
      </c>
      <c r="F599" t="s">
        <v>47</v>
      </c>
      <c r="G599" t="s">
        <v>31</v>
      </c>
      <c r="H599" t="s">
        <v>61</v>
      </c>
      <c r="I599" t="s">
        <v>132</v>
      </c>
      <c r="J599" t="s">
        <v>1443</v>
      </c>
      <c r="K599" t="s">
        <v>1850</v>
      </c>
      <c r="L599" t="s">
        <v>92</v>
      </c>
      <c r="M599" t="s">
        <v>75</v>
      </c>
      <c r="N599" t="s">
        <v>636</v>
      </c>
      <c r="O599" t="s">
        <v>92</v>
      </c>
      <c r="P599" t="s">
        <v>110</v>
      </c>
      <c r="Q599" t="s">
        <v>75</v>
      </c>
      <c r="R599">
        <v>34</v>
      </c>
      <c r="S599">
        <v>0</v>
      </c>
      <c r="T599" t="s">
        <v>137</v>
      </c>
      <c r="U599" t="s">
        <v>57</v>
      </c>
      <c r="V599">
        <v>3.37</v>
      </c>
      <c r="W599">
        <v>2.42</v>
      </c>
      <c r="X599">
        <v>1.5</v>
      </c>
      <c r="Y599">
        <v>6.6</v>
      </c>
      <c r="Z599">
        <v>10.199999999999999</v>
      </c>
      <c r="AA599">
        <f>VALUE(SUBSTITUTE(DACS19___Pfizer’s_Personalised_Medicine_in[[#This Row],[Dose]],"mg",""))</f>
        <v>50</v>
      </c>
      <c r="AB599">
        <f t="shared" si="63"/>
        <v>50</v>
      </c>
      <c r="AC599" t="s">
        <v>75</v>
      </c>
      <c r="AD599">
        <f t="shared" si="64"/>
        <v>1</v>
      </c>
      <c r="AE599">
        <f t="shared" si="65"/>
        <v>1</v>
      </c>
      <c r="AF599">
        <f t="shared" si="66"/>
        <v>2.42</v>
      </c>
      <c r="AG599" t="e">
        <f t="shared" si="67"/>
        <v>#N/A</v>
      </c>
      <c r="AH599" t="e">
        <f t="shared" si="68"/>
        <v>#N/A</v>
      </c>
      <c r="AI599" t="e">
        <f t="shared" si="69"/>
        <v>#N/A</v>
      </c>
    </row>
    <row r="600" spans="1:35" x14ac:dyDescent="0.45">
      <c r="A600" t="s">
        <v>1851</v>
      </c>
      <c r="B600">
        <v>43</v>
      </c>
      <c r="C600" t="s">
        <v>44</v>
      </c>
      <c r="D600" t="s">
        <v>95</v>
      </c>
      <c r="E600" t="s">
        <v>78</v>
      </c>
      <c r="F600" t="s">
        <v>59</v>
      </c>
      <c r="G600" t="s">
        <v>131</v>
      </c>
      <c r="H600" t="s">
        <v>32</v>
      </c>
      <c r="I600" t="s">
        <v>132</v>
      </c>
      <c r="J600" t="s">
        <v>1852</v>
      </c>
      <c r="K600" t="s">
        <v>1853</v>
      </c>
      <c r="L600" t="s">
        <v>64</v>
      </c>
      <c r="M600" t="s">
        <v>2614</v>
      </c>
      <c r="N600" t="s">
        <v>150</v>
      </c>
      <c r="O600" t="s">
        <v>64</v>
      </c>
      <c r="P600" t="s">
        <v>55</v>
      </c>
      <c r="Q600" t="s">
        <v>75</v>
      </c>
      <c r="R600">
        <v>79</v>
      </c>
      <c r="S600">
        <v>0</v>
      </c>
      <c r="T600" t="s">
        <v>56</v>
      </c>
      <c r="U600" t="s">
        <v>57</v>
      </c>
      <c r="V600">
        <v>1.34</v>
      </c>
      <c r="W600">
        <v>3.43</v>
      </c>
      <c r="X600">
        <v>8.9</v>
      </c>
      <c r="Y600">
        <v>21.9</v>
      </c>
      <c r="Z600">
        <v>14.2</v>
      </c>
      <c r="AA600">
        <f>VALUE(SUBSTITUTE(DACS19___Pfizer’s_Personalised_Medicine_in[[#This Row],[Dose]],"mg",""))</f>
        <v>150</v>
      </c>
      <c r="AB600">
        <f t="shared" si="63"/>
        <v>150</v>
      </c>
      <c r="AC600" t="s">
        <v>75</v>
      </c>
      <c r="AD600">
        <f t="shared" si="64"/>
        <v>1</v>
      </c>
      <c r="AE600">
        <f t="shared" si="65"/>
        <v>2</v>
      </c>
      <c r="AF600" t="e">
        <f t="shared" si="66"/>
        <v>#N/A</v>
      </c>
      <c r="AG600" t="e">
        <f t="shared" si="67"/>
        <v>#N/A</v>
      </c>
      <c r="AH600">
        <f t="shared" si="68"/>
        <v>3.43</v>
      </c>
      <c r="AI600" t="e">
        <f t="shared" si="69"/>
        <v>#N/A</v>
      </c>
    </row>
    <row r="601" spans="1:35" x14ac:dyDescent="0.45">
      <c r="A601" t="s">
        <v>1854</v>
      </c>
      <c r="B601">
        <v>52</v>
      </c>
      <c r="C601" t="s">
        <v>27</v>
      </c>
      <c r="D601" t="s">
        <v>95</v>
      </c>
      <c r="E601" t="s">
        <v>163</v>
      </c>
      <c r="F601" t="s">
        <v>2614</v>
      </c>
      <c r="G601" t="s">
        <v>31</v>
      </c>
      <c r="H601" t="s">
        <v>61</v>
      </c>
      <c r="I601" t="s">
        <v>49</v>
      </c>
      <c r="J601" t="s">
        <v>1855</v>
      </c>
      <c r="K601" t="s">
        <v>1856</v>
      </c>
      <c r="L601" t="s">
        <v>52</v>
      </c>
      <c r="M601" t="s">
        <v>274</v>
      </c>
      <c r="N601" t="s">
        <v>507</v>
      </c>
      <c r="O601" t="s">
        <v>52</v>
      </c>
      <c r="P601" t="s">
        <v>39</v>
      </c>
      <c r="Q601" t="s">
        <v>129</v>
      </c>
      <c r="R601">
        <v>49</v>
      </c>
      <c r="S601">
        <v>1</v>
      </c>
      <c r="T601" t="s">
        <v>123</v>
      </c>
      <c r="U601" t="s">
        <v>42</v>
      </c>
      <c r="V601">
        <v>1.84</v>
      </c>
      <c r="W601">
        <v>4.45</v>
      </c>
      <c r="X601">
        <v>9</v>
      </c>
      <c r="Y601">
        <v>9.5</v>
      </c>
      <c r="Z601">
        <v>15.5</v>
      </c>
      <c r="AA601">
        <f>VALUE(SUBSTITUTE(DACS19___Pfizer’s_Personalised_Medicine_in[[#This Row],[Dose]],"mg",""))</f>
        <v>100</v>
      </c>
      <c r="AB601">
        <f t="shared" si="63"/>
        <v>100</v>
      </c>
      <c r="AC601" t="s">
        <v>129</v>
      </c>
      <c r="AD601">
        <f t="shared" si="64"/>
        <v>4</v>
      </c>
      <c r="AE601">
        <f t="shared" si="65"/>
        <v>3</v>
      </c>
      <c r="AF601">
        <f t="shared" si="66"/>
        <v>4.45</v>
      </c>
      <c r="AG601" t="e">
        <f t="shared" si="67"/>
        <v>#N/A</v>
      </c>
      <c r="AH601" t="e">
        <f t="shared" si="68"/>
        <v>#N/A</v>
      </c>
      <c r="AI601" t="e">
        <f t="shared" si="69"/>
        <v>#N/A</v>
      </c>
    </row>
    <row r="602" spans="1:35" x14ac:dyDescent="0.45">
      <c r="A602" t="s">
        <v>1857</v>
      </c>
      <c r="B602">
        <v>61</v>
      </c>
      <c r="C602" t="s">
        <v>45</v>
      </c>
      <c r="D602" t="s">
        <v>87</v>
      </c>
      <c r="E602" t="s">
        <v>46</v>
      </c>
      <c r="F602" t="s">
        <v>2614</v>
      </c>
      <c r="G602" t="s">
        <v>440</v>
      </c>
      <c r="H602" t="s">
        <v>32</v>
      </c>
      <c r="I602" t="s">
        <v>49</v>
      </c>
      <c r="J602" t="s">
        <v>1858</v>
      </c>
      <c r="K602" t="s">
        <v>303</v>
      </c>
      <c r="L602" t="s">
        <v>52</v>
      </c>
      <c r="M602" t="s">
        <v>129</v>
      </c>
      <c r="N602" t="s">
        <v>383</v>
      </c>
      <c r="O602" t="s">
        <v>52</v>
      </c>
      <c r="P602" t="s">
        <v>39</v>
      </c>
      <c r="Q602" t="s">
        <v>129</v>
      </c>
      <c r="R602">
        <v>30</v>
      </c>
      <c r="S602">
        <v>1</v>
      </c>
      <c r="T602" t="s">
        <v>56</v>
      </c>
      <c r="U602" t="s">
        <v>42</v>
      </c>
      <c r="V602">
        <v>2.15</v>
      </c>
      <c r="W602">
        <v>4.21</v>
      </c>
      <c r="X602">
        <v>10</v>
      </c>
      <c r="Y602">
        <v>6.5</v>
      </c>
      <c r="Z602">
        <v>18.3</v>
      </c>
      <c r="AA602">
        <f>VALUE(SUBSTITUTE(DACS19___Pfizer’s_Personalised_Medicine_in[[#This Row],[Dose]],"mg",""))</f>
        <v>100</v>
      </c>
      <c r="AB602">
        <f t="shared" si="63"/>
        <v>100</v>
      </c>
      <c r="AC602" t="s">
        <v>129</v>
      </c>
      <c r="AD602">
        <f t="shared" si="64"/>
        <v>4</v>
      </c>
      <c r="AE602">
        <f t="shared" si="65"/>
        <v>3</v>
      </c>
      <c r="AF602" t="e">
        <f t="shared" si="66"/>
        <v>#N/A</v>
      </c>
      <c r="AG602" t="e">
        <f t="shared" si="67"/>
        <v>#N/A</v>
      </c>
      <c r="AH602">
        <f t="shared" si="68"/>
        <v>4.21</v>
      </c>
      <c r="AI602" t="e">
        <f t="shared" si="69"/>
        <v>#N/A</v>
      </c>
    </row>
    <row r="603" spans="1:35" x14ac:dyDescent="0.45">
      <c r="A603" t="s">
        <v>1859</v>
      </c>
      <c r="B603">
        <v>44</v>
      </c>
      <c r="C603" t="s">
        <v>27</v>
      </c>
      <c r="D603" t="s">
        <v>87</v>
      </c>
      <c r="E603" t="s">
        <v>78</v>
      </c>
      <c r="F603" t="s">
        <v>69</v>
      </c>
      <c r="G603" t="s">
        <v>89</v>
      </c>
      <c r="H603" t="s">
        <v>81</v>
      </c>
      <c r="I603" t="s">
        <v>72</v>
      </c>
      <c r="J603" t="s">
        <v>489</v>
      </c>
      <c r="K603" t="s">
        <v>1860</v>
      </c>
      <c r="L603" t="s">
        <v>36</v>
      </c>
      <c r="M603" t="s">
        <v>536</v>
      </c>
      <c r="N603" t="s">
        <v>1621</v>
      </c>
      <c r="O603" t="s">
        <v>36</v>
      </c>
      <c r="P603" t="s">
        <v>39</v>
      </c>
      <c r="Q603" t="s">
        <v>75</v>
      </c>
      <c r="R603">
        <v>31</v>
      </c>
      <c r="S603">
        <v>1</v>
      </c>
      <c r="T603" t="s">
        <v>123</v>
      </c>
      <c r="U603" t="s">
        <v>42</v>
      </c>
      <c r="V603">
        <v>3.49</v>
      </c>
      <c r="W603">
        <v>4.8899999999999997</v>
      </c>
      <c r="X603">
        <v>5.2</v>
      </c>
      <c r="Y603">
        <v>21.3</v>
      </c>
      <c r="Z603">
        <v>4.0999999999999996</v>
      </c>
      <c r="AA603">
        <f>VALUE(SUBSTITUTE(DACS19___Pfizer’s_Personalised_Medicine_in[[#This Row],[Dose]],"mg",""))</f>
        <v>200</v>
      </c>
      <c r="AB603">
        <f t="shared" si="63"/>
        <v>200</v>
      </c>
      <c r="AC603" t="s">
        <v>75</v>
      </c>
      <c r="AD603">
        <f t="shared" si="64"/>
        <v>1</v>
      </c>
      <c r="AE603">
        <f t="shared" si="65"/>
        <v>3</v>
      </c>
      <c r="AF603" t="e">
        <f t="shared" si="66"/>
        <v>#N/A</v>
      </c>
      <c r="AG603" t="e">
        <f t="shared" si="67"/>
        <v>#N/A</v>
      </c>
      <c r="AH603" t="e">
        <f t="shared" si="68"/>
        <v>#N/A</v>
      </c>
      <c r="AI603">
        <f t="shared" si="69"/>
        <v>4.8899999999999997</v>
      </c>
    </row>
    <row r="604" spans="1:35" x14ac:dyDescent="0.45">
      <c r="A604" t="s">
        <v>1861</v>
      </c>
      <c r="B604">
        <v>43</v>
      </c>
      <c r="C604" t="s">
        <v>44</v>
      </c>
      <c r="D604" t="s">
        <v>106</v>
      </c>
      <c r="E604" t="s">
        <v>29</v>
      </c>
      <c r="F604" t="s">
        <v>2614</v>
      </c>
      <c r="G604" t="s">
        <v>89</v>
      </c>
      <c r="H604" t="s">
        <v>61</v>
      </c>
      <c r="I604" t="s">
        <v>49</v>
      </c>
      <c r="J604" t="s">
        <v>1862</v>
      </c>
      <c r="K604" t="s">
        <v>1863</v>
      </c>
      <c r="L604" t="s">
        <v>52</v>
      </c>
      <c r="M604" t="s">
        <v>40</v>
      </c>
      <c r="N604" t="s">
        <v>287</v>
      </c>
      <c r="O604" t="s">
        <v>52</v>
      </c>
      <c r="P604" t="s">
        <v>110</v>
      </c>
      <c r="Q604" t="s">
        <v>2614</v>
      </c>
      <c r="R604">
        <v>135</v>
      </c>
      <c r="S604">
        <v>0</v>
      </c>
      <c r="T604" t="s">
        <v>85</v>
      </c>
      <c r="U604" t="s">
        <v>57</v>
      </c>
      <c r="V604">
        <v>2.34</v>
      </c>
      <c r="W604">
        <v>1.27</v>
      </c>
      <c r="X604">
        <v>9.8000000000000007</v>
      </c>
      <c r="Y604">
        <v>20.7</v>
      </c>
      <c r="Z604">
        <v>17.5</v>
      </c>
      <c r="AA604">
        <f>VALUE(SUBSTITUTE(DACS19___Pfizer’s_Personalised_Medicine_in[[#This Row],[Dose]],"mg",""))</f>
        <v>100</v>
      </c>
      <c r="AB604">
        <f t="shared" si="63"/>
        <v>100</v>
      </c>
      <c r="AC604" t="s">
        <v>2614</v>
      </c>
      <c r="AD604">
        <f t="shared" si="64"/>
        <v>0</v>
      </c>
      <c r="AE604">
        <f t="shared" si="65"/>
        <v>1</v>
      </c>
      <c r="AF604">
        <f t="shared" si="66"/>
        <v>1.27</v>
      </c>
      <c r="AG604" t="e">
        <f t="shared" si="67"/>
        <v>#N/A</v>
      </c>
      <c r="AH604" t="e">
        <f t="shared" si="68"/>
        <v>#N/A</v>
      </c>
      <c r="AI604" t="e">
        <f t="shared" si="69"/>
        <v>#N/A</v>
      </c>
    </row>
    <row r="605" spans="1:35" x14ac:dyDescent="0.45">
      <c r="A605" t="s">
        <v>1864</v>
      </c>
      <c r="B605">
        <v>45</v>
      </c>
      <c r="C605" t="s">
        <v>44</v>
      </c>
      <c r="D605" t="s">
        <v>28</v>
      </c>
      <c r="E605" t="s">
        <v>2614</v>
      </c>
      <c r="F605" t="s">
        <v>2614</v>
      </c>
      <c r="G605" t="s">
        <v>246</v>
      </c>
      <c r="H605" t="s">
        <v>61</v>
      </c>
      <c r="I605" t="s">
        <v>132</v>
      </c>
      <c r="J605" t="s">
        <v>325</v>
      </c>
      <c r="K605" t="s">
        <v>293</v>
      </c>
      <c r="L605" t="s">
        <v>92</v>
      </c>
      <c r="M605" t="s">
        <v>2639</v>
      </c>
      <c r="N605" t="s">
        <v>1779</v>
      </c>
      <c r="O605" t="s">
        <v>92</v>
      </c>
      <c r="P605" t="s">
        <v>55</v>
      </c>
      <c r="Q605" t="s">
        <v>129</v>
      </c>
      <c r="R605">
        <v>144</v>
      </c>
      <c r="S605">
        <v>0</v>
      </c>
      <c r="T605" t="s">
        <v>123</v>
      </c>
      <c r="U605" t="s">
        <v>42</v>
      </c>
      <c r="V605">
        <v>4.75</v>
      </c>
      <c r="W605">
        <v>1.34</v>
      </c>
      <c r="X605">
        <v>4.5</v>
      </c>
      <c r="Y605">
        <v>7.3</v>
      </c>
      <c r="Z605">
        <v>6.6</v>
      </c>
      <c r="AA605">
        <f>VALUE(SUBSTITUTE(DACS19___Pfizer’s_Personalised_Medicine_in[[#This Row],[Dose]],"mg",""))</f>
        <v>50</v>
      </c>
      <c r="AB605">
        <f t="shared" si="63"/>
        <v>50</v>
      </c>
      <c r="AC605" t="s">
        <v>129</v>
      </c>
      <c r="AD605">
        <f t="shared" si="64"/>
        <v>4</v>
      </c>
      <c r="AE605">
        <f t="shared" si="65"/>
        <v>2</v>
      </c>
      <c r="AF605">
        <f t="shared" si="66"/>
        <v>1.34</v>
      </c>
      <c r="AG605" t="e">
        <f t="shared" si="67"/>
        <v>#N/A</v>
      </c>
      <c r="AH605" t="e">
        <f t="shared" si="68"/>
        <v>#N/A</v>
      </c>
      <c r="AI605" t="e">
        <f t="shared" si="69"/>
        <v>#N/A</v>
      </c>
    </row>
    <row r="606" spans="1:35" x14ac:dyDescent="0.45">
      <c r="A606" t="s">
        <v>1865</v>
      </c>
      <c r="B606">
        <v>58</v>
      </c>
      <c r="C606" t="s">
        <v>45</v>
      </c>
      <c r="D606" t="s">
        <v>28</v>
      </c>
      <c r="E606" t="s">
        <v>29</v>
      </c>
      <c r="F606" t="s">
        <v>2614</v>
      </c>
      <c r="G606" t="s">
        <v>125</v>
      </c>
      <c r="H606" t="s">
        <v>32</v>
      </c>
      <c r="I606" t="s">
        <v>132</v>
      </c>
      <c r="J606" t="s">
        <v>1866</v>
      </c>
      <c r="K606" t="s">
        <v>1867</v>
      </c>
      <c r="L606" t="s">
        <v>36</v>
      </c>
      <c r="M606" t="s">
        <v>2627</v>
      </c>
      <c r="N606" t="s">
        <v>930</v>
      </c>
      <c r="O606" t="s">
        <v>36</v>
      </c>
      <c r="P606" t="s">
        <v>55</v>
      </c>
      <c r="Q606" t="s">
        <v>2614</v>
      </c>
      <c r="R606">
        <v>169</v>
      </c>
      <c r="S606">
        <v>0</v>
      </c>
      <c r="T606" t="s">
        <v>41</v>
      </c>
      <c r="U606" t="s">
        <v>42</v>
      </c>
      <c r="V606">
        <v>1.92</v>
      </c>
      <c r="W606">
        <v>2.88</v>
      </c>
      <c r="X606">
        <v>3.4</v>
      </c>
      <c r="Y606">
        <v>7.8</v>
      </c>
      <c r="Z606">
        <v>5.8</v>
      </c>
      <c r="AA606">
        <f>VALUE(SUBSTITUTE(DACS19___Pfizer’s_Personalised_Medicine_in[[#This Row],[Dose]],"mg",""))</f>
        <v>200</v>
      </c>
      <c r="AB606">
        <f t="shared" si="63"/>
        <v>200</v>
      </c>
      <c r="AC606" t="s">
        <v>2614</v>
      </c>
      <c r="AD606">
        <f t="shared" si="64"/>
        <v>0</v>
      </c>
      <c r="AE606">
        <f t="shared" si="65"/>
        <v>2</v>
      </c>
      <c r="AF606" t="e">
        <f t="shared" si="66"/>
        <v>#N/A</v>
      </c>
      <c r="AG606" t="e">
        <f t="shared" si="67"/>
        <v>#N/A</v>
      </c>
      <c r="AH606">
        <f t="shared" si="68"/>
        <v>2.88</v>
      </c>
      <c r="AI606" t="e">
        <f t="shared" si="69"/>
        <v>#N/A</v>
      </c>
    </row>
    <row r="607" spans="1:35" x14ac:dyDescent="0.45">
      <c r="A607" t="s">
        <v>1868</v>
      </c>
      <c r="B607">
        <v>39</v>
      </c>
      <c r="C607" t="s">
        <v>27</v>
      </c>
      <c r="D607" t="s">
        <v>28</v>
      </c>
      <c r="E607" t="s">
        <v>78</v>
      </c>
      <c r="F607" t="s">
        <v>47</v>
      </c>
      <c r="G607" t="s">
        <v>31</v>
      </c>
      <c r="H607" t="s">
        <v>81</v>
      </c>
      <c r="I607" t="s">
        <v>33</v>
      </c>
      <c r="J607" t="s">
        <v>1831</v>
      </c>
      <c r="K607" t="s">
        <v>660</v>
      </c>
      <c r="L607" t="s">
        <v>36</v>
      </c>
      <c r="M607" t="s">
        <v>274</v>
      </c>
      <c r="N607" t="s">
        <v>358</v>
      </c>
      <c r="O607" t="s">
        <v>36</v>
      </c>
      <c r="P607" t="s">
        <v>55</v>
      </c>
      <c r="Q607" t="s">
        <v>67</v>
      </c>
      <c r="R607">
        <v>132</v>
      </c>
      <c r="S607">
        <v>0</v>
      </c>
      <c r="T607" t="s">
        <v>137</v>
      </c>
      <c r="U607" t="s">
        <v>42</v>
      </c>
      <c r="V607">
        <v>1.59</v>
      </c>
      <c r="W607">
        <v>4.8899999999999997</v>
      </c>
      <c r="X607">
        <v>7.8</v>
      </c>
      <c r="Y607">
        <v>23.4</v>
      </c>
      <c r="Z607">
        <v>10.5</v>
      </c>
      <c r="AA607">
        <f>VALUE(SUBSTITUTE(DACS19___Pfizer’s_Personalised_Medicine_in[[#This Row],[Dose]],"mg",""))</f>
        <v>200</v>
      </c>
      <c r="AB607">
        <f t="shared" si="63"/>
        <v>200</v>
      </c>
      <c r="AC607" t="s">
        <v>67</v>
      </c>
      <c r="AD607">
        <f t="shared" si="64"/>
        <v>2</v>
      </c>
      <c r="AE607">
        <f t="shared" si="65"/>
        <v>2</v>
      </c>
      <c r="AF607" t="e">
        <f t="shared" si="66"/>
        <v>#N/A</v>
      </c>
      <c r="AG607" t="e">
        <f t="shared" si="67"/>
        <v>#N/A</v>
      </c>
      <c r="AH607" t="e">
        <f t="shared" si="68"/>
        <v>#N/A</v>
      </c>
      <c r="AI607">
        <f t="shared" si="69"/>
        <v>4.8899999999999997</v>
      </c>
    </row>
    <row r="608" spans="1:35" x14ac:dyDescent="0.45">
      <c r="A608" t="s">
        <v>1869</v>
      </c>
      <c r="B608">
        <v>73</v>
      </c>
      <c r="C608" t="s">
        <v>45</v>
      </c>
      <c r="D608" t="s">
        <v>106</v>
      </c>
      <c r="E608" t="s">
        <v>46</v>
      </c>
      <c r="F608" t="s">
        <v>2614</v>
      </c>
      <c r="G608" t="s">
        <v>112</v>
      </c>
      <c r="H608" t="s">
        <v>71</v>
      </c>
      <c r="I608" t="s">
        <v>49</v>
      </c>
      <c r="J608" t="s">
        <v>1870</v>
      </c>
      <c r="K608" t="s">
        <v>351</v>
      </c>
      <c r="L608" t="s">
        <v>64</v>
      </c>
      <c r="M608" t="s">
        <v>37</v>
      </c>
      <c r="N608" t="s">
        <v>1696</v>
      </c>
      <c r="O608" t="s">
        <v>64</v>
      </c>
      <c r="P608" t="s">
        <v>55</v>
      </c>
      <c r="Q608" t="s">
        <v>67</v>
      </c>
      <c r="R608">
        <v>107</v>
      </c>
      <c r="S608">
        <v>0</v>
      </c>
      <c r="T608" t="s">
        <v>85</v>
      </c>
      <c r="U608" t="s">
        <v>57</v>
      </c>
      <c r="V608">
        <v>2.11</v>
      </c>
      <c r="W608">
        <v>4.1900000000000004</v>
      </c>
      <c r="X608">
        <v>3.9</v>
      </c>
      <c r="Y608">
        <v>11.4</v>
      </c>
      <c r="Z608">
        <v>7</v>
      </c>
      <c r="AA608">
        <f>VALUE(SUBSTITUTE(DACS19___Pfizer’s_Personalised_Medicine_in[[#This Row],[Dose]],"mg",""))</f>
        <v>150</v>
      </c>
      <c r="AB608">
        <f t="shared" si="63"/>
        <v>150</v>
      </c>
      <c r="AC608" t="s">
        <v>67</v>
      </c>
      <c r="AD608">
        <f t="shared" si="64"/>
        <v>2</v>
      </c>
      <c r="AE608">
        <f t="shared" si="65"/>
        <v>2</v>
      </c>
      <c r="AF608" t="e">
        <f t="shared" si="66"/>
        <v>#N/A</v>
      </c>
      <c r="AG608">
        <f t="shared" si="67"/>
        <v>4.1900000000000004</v>
      </c>
      <c r="AH608" t="e">
        <f t="shared" si="68"/>
        <v>#N/A</v>
      </c>
      <c r="AI608" t="e">
        <f t="shared" si="69"/>
        <v>#N/A</v>
      </c>
    </row>
    <row r="609" spans="1:35" x14ac:dyDescent="0.45">
      <c r="A609" t="s">
        <v>1871</v>
      </c>
      <c r="B609">
        <v>47</v>
      </c>
      <c r="C609" t="s">
        <v>27</v>
      </c>
      <c r="D609" t="s">
        <v>95</v>
      </c>
      <c r="E609" t="s">
        <v>29</v>
      </c>
      <c r="F609" t="s">
        <v>2614</v>
      </c>
      <c r="G609" t="s">
        <v>48</v>
      </c>
      <c r="H609" t="s">
        <v>81</v>
      </c>
      <c r="I609" t="s">
        <v>72</v>
      </c>
      <c r="J609" t="s">
        <v>1872</v>
      </c>
      <c r="K609" t="s">
        <v>444</v>
      </c>
      <c r="L609" t="s">
        <v>92</v>
      </c>
      <c r="M609" t="s">
        <v>2614</v>
      </c>
      <c r="N609" t="s">
        <v>729</v>
      </c>
      <c r="O609" t="s">
        <v>92</v>
      </c>
      <c r="P609" t="s">
        <v>55</v>
      </c>
      <c r="Q609" t="s">
        <v>75</v>
      </c>
      <c r="R609">
        <v>104</v>
      </c>
      <c r="S609">
        <v>0</v>
      </c>
      <c r="T609" t="s">
        <v>41</v>
      </c>
      <c r="U609" t="s">
        <v>42</v>
      </c>
      <c r="V609">
        <v>1.52</v>
      </c>
      <c r="W609">
        <v>2.0299999999999998</v>
      </c>
      <c r="X609">
        <v>4.2</v>
      </c>
      <c r="Y609">
        <v>18.100000000000001</v>
      </c>
      <c r="Z609">
        <v>4.0999999999999996</v>
      </c>
      <c r="AA609">
        <f>VALUE(SUBSTITUTE(DACS19___Pfizer’s_Personalised_Medicine_in[[#This Row],[Dose]],"mg",""))</f>
        <v>50</v>
      </c>
      <c r="AB609">
        <f t="shared" si="63"/>
        <v>50</v>
      </c>
      <c r="AC609" t="s">
        <v>75</v>
      </c>
      <c r="AD609">
        <f t="shared" si="64"/>
        <v>1</v>
      </c>
      <c r="AE609">
        <f t="shared" si="65"/>
        <v>2</v>
      </c>
      <c r="AF609" t="e">
        <f t="shared" si="66"/>
        <v>#N/A</v>
      </c>
      <c r="AG609" t="e">
        <f t="shared" si="67"/>
        <v>#N/A</v>
      </c>
      <c r="AH609" t="e">
        <f t="shared" si="68"/>
        <v>#N/A</v>
      </c>
      <c r="AI609">
        <f t="shared" si="69"/>
        <v>2.0299999999999998</v>
      </c>
    </row>
    <row r="610" spans="1:35" x14ac:dyDescent="0.45">
      <c r="A610" t="s">
        <v>1873</v>
      </c>
      <c r="B610">
        <v>84</v>
      </c>
      <c r="C610" t="s">
        <v>44</v>
      </c>
      <c r="D610" t="s">
        <v>106</v>
      </c>
      <c r="E610" t="s">
        <v>78</v>
      </c>
      <c r="F610" t="s">
        <v>59</v>
      </c>
      <c r="G610" t="s">
        <v>112</v>
      </c>
      <c r="H610" t="s">
        <v>32</v>
      </c>
      <c r="I610" t="s">
        <v>132</v>
      </c>
      <c r="J610" t="s">
        <v>1874</v>
      </c>
      <c r="K610" t="s">
        <v>1875</v>
      </c>
      <c r="L610" t="s">
        <v>52</v>
      </c>
      <c r="M610" t="s">
        <v>2652</v>
      </c>
      <c r="N610" t="s">
        <v>208</v>
      </c>
      <c r="O610" t="s">
        <v>52</v>
      </c>
      <c r="P610" t="s">
        <v>110</v>
      </c>
      <c r="Q610" t="s">
        <v>67</v>
      </c>
      <c r="R610">
        <v>124</v>
      </c>
      <c r="S610">
        <v>0</v>
      </c>
      <c r="T610" t="s">
        <v>85</v>
      </c>
      <c r="U610" t="s">
        <v>57</v>
      </c>
      <c r="V610">
        <v>1.84</v>
      </c>
      <c r="W610">
        <v>4.24</v>
      </c>
      <c r="X610">
        <v>2.2999999999999998</v>
      </c>
      <c r="Y610">
        <v>12.2</v>
      </c>
      <c r="Z610">
        <v>17.7</v>
      </c>
      <c r="AA610">
        <f>VALUE(SUBSTITUTE(DACS19___Pfizer’s_Personalised_Medicine_in[[#This Row],[Dose]],"mg",""))</f>
        <v>100</v>
      </c>
      <c r="AB610">
        <f t="shared" si="63"/>
        <v>100</v>
      </c>
      <c r="AC610" t="s">
        <v>67</v>
      </c>
      <c r="AD610">
        <f t="shared" si="64"/>
        <v>2</v>
      </c>
      <c r="AE610">
        <f t="shared" si="65"/>
        <v>1</v>
      </c>
      <c r="AF610" t="e">
        <f t="shared" si="66"/>
        <v>#N/A</v>
      </c>
      <c r="AG610" t="e">
        <f t="shared" si="67"/>
        <v>#N/A</v>
      </c>
      <c r="AH610">
        <f t="shared" si="68"/>
        <v>4.24</v>
      </c>
      <c r="AI610" t="e">
        <f t="shared" si="69"/>
        <v>#N/A</v>
      </c>
    </row>
    <row r="611" spans="1:35" x14ac:dyDescent="0.45">
      <c r="A611" t="s">
        <v>1876</v>
      </c>
      <c r="B611">
        <v>26</v>
      </c>
      <c r="C611" t="s">
        <v>27</v>
      </c>
      <c r="D611" t="s">
        <v>95</v>
      </c>
      <c r="E611" t="s">
        <v>2614</v>
      </c>
      <c r="F611" t="s">
        <v>79</v>
      </c>
      <c r="G611" t="s">
        <v>31</v>
      </c>
      <c r="H611" t="s">
        <v>71</v>
      </c>
      <c r="I611" t="s">
        <v>132</v>
      </c>
      <c r="J611" t="s">
        <v>1877</v>
      </c>
      <c r="K611" t="s">
        <v>385</v>
      </c>
      <c r="L611" t="s">
        <v>64</v>
      </c>
      <c r="M611" t="s">
        <v>352</v>
      </c>
      <c r="N611" t="s">
        <v>340</v>
      </c>
      <c r="O611" t="s">
        <v>64</v>
      </c>
      <c r="P611" t="s">
        <v>110</v>
      </c>
      <c r="Q611" t="s">
        <v>67</v>
      </c>
      <c r="R611">
        <v>90</v>
      </c>
      <c r="S611">
        <v>0</v>
      </c>
      <c r="T611" t="s">
        <v>41</v>
      </c>
      <c r="U611" t="s">
        <v>57</v>
      </c>
      <c r="V611">
        <v>1.62</v>
      </c>
      <c r="W611">
        <v>1.33</v>
      </c>
      <c r="X611">
        <v>5.4</v>
      </c>
      <c r="Y611">
        <v>11.4</v>
      </c>
      <c r="Z611">
        <v>12.6</v>
      </c>
      <c r="AA611">
        <f>VALUE(SUBSTITUTE(DACS19___Pfizer’s_Personalised_Medicine_in[[#This Row],[Dose]],"mg",""))</f>
        <v>150</v>
      </c>
      <c r="AB611">
        <f t="shared" si="63"/>
        <v>150</v>
      </c>
      <c r="AC611" t="s">
        <v>67</v>
      </c>
      <c r="AD611">
        <f t="shared" si="64"/>
        <v>2</v>
      </c>
      <c r="AE611">
        <f t="shared" si="65"/>
        <v>1</v>
      </c>
      <c r="AF611" t="e">
        <f t="shared" si="66"/>
        <v>#N/A</v>
      </c>
      <c r="AG611">
        <f t="shared" si="67"/>
        <v>1.33</v>
      </c>
      <c r="AH611" t="e">
        <f t="shared" si="68"/>
        <v>#N/A</v>
      </c>
      <c r="AI611" t="e">
        <f t="shared" si="69"/>
        <v>#N/A</v>
      </c>
    </row>
    <row r="612" spans="1:35" x14ac:dyDescent="0.45">
      <c r="A612" t="s">
        <v>1878</v>
      </c>
      <c r="B612">
        <v>78</v>
      </c>
      <c r="C612" t="s">
        <v>27</v>
      </c>
      <c r="D612" t="s">
        <v>28</v>
      </c>
      <c r="E612" t="s">
        <v>29</v>
      </c>
      <c r="F612" t="s">
        <v>2614</v>
      </c>
      <c r="G612" t="s">
        <v>131</v>
      </c>
      <c r="H612" t="s">
        <v>71</v>
      </c>
      <c r="I612" t="s">
        <v>132</v>
      </c>
      <c r="J612" t="s">
        <v>350</v>
      </c>
      <c r="K612" t="s">
        <v>1879</v>
      </c>
      <c r="L612" t="s">
        <v>64</v>
      </c>
      <c r="M612" t="s">
        <v>40</v>
      </c>
      <c r="N612" t="s">
        <v>582</v>
      </c>
      <c r="O612" t="s">
        <v>64</v>
      </c>
      <c r="P612" t="s">
        <v>39</v>
      </c>
      <c r="Q612" t="s">
        <v>2614</v>
      </c>
      <c r="R612">
        <v>66</v>
      </c>
      <c r="S612">
        <v>1</v>
      </c>
      <c r="T612" t="s">
        <v>137</v>
      </c>
      <c r="U612" t="s">
        <v>42</v>
      </c>
      <c r="V612">
        <v>4.22</v>
      </c>
      <c r="W612">
        <v>1.55</v>
      </c>
      <c r="X612">
        <v>6.2</v>
      </c>
      <c r="Y612">
        <v>15.1</v>
      </c>
      <c r="Z612">
        <v>5.4</v>
      </c>
      <c r="AA612">
        <f>VALUE(SUBSTITUTE(DACS19___Pfizer’s_Personalised_Medicine_in[[#This Row],[Dose]],"mg",""))</f>
        <v>150</v>
      </c>
      <c r="AB612">
        <f t="shared" si="63"/>
        <v>150</v>
      </c>
      <c r="AC612" t="s">
        <v>2614</v>
      </c>
      <c r="AD612">
        <f t="shared" si="64"/>
        <v>0</v>
      </c>
      <c r="AE612">
        <f t="shared" si="65"/>
        <v>3</v>
      </c>
      <c r="AF612" t="e">
        <f t="shared" si="66"/>
        <v>#N/A</v>
      </c>
      <c r="AG612">
        <f t="shared" si="67"/>
        <v>1.55</v>
      </c>
      <c r="AH612" t="e">
        <f t="shared" si="68"/>
        <v>#N/A</v>
      </c>
      <c r="AI612" t="e">
        <f t="shared" si="69"/>
        <v>#N/A</v>
      </c>
    </row>
    <row r="613" spans="1:35" x14ac:dyDescent="0.45">
      <c r="A613" t="s">
        <v>1880</v>
      </c>
      <c r="B613">
        <v>78</v>
      </c>
      <c r="C613" t="s">
        <v>27</v>
      </c>
      <c r="D613" t="s">
        <v>106</v>
      </c>
      <c r="E613" t="s">
        <v>163</v>
      </c>
      <c r="F613" t="s">
        <v>69</v>
      </c>
      <c r="G613" t="s">
        <v>70</v>
      </c>
      <c r="H613" t="s">
        <v>71</v>
      </c>
      <c r="I613" t="s">
        <v>132</v>
      </c>
      <c r="J613" t="s">
        <v>1881</v>
      </c>
      <c r="K613" t="s">
        <v>1882</v>
      </c>
      <c r="L613" t="s">
        <v>52</v>
      </c>
      <c r="M613" t="s">
        <v>834</v>
      </c>
      <c r="N613" t="s">
        <v>1280</v>
      </c>
      <c r="O613" t="s">
        <v>52</v>
      </c>
      <c r="P613" t="s">
        <v>39</v>
      </c>
      <c r="Q613" t="s">
        <v>67</v>
      </c>
      <c r="R613">
        <v>164</v>
      </c>
      <c r="S613">
        <v>1</v>
      </c>
      <c r="T613" t="s">
        <v>85</v>
      </c>
      <c r="U613" t="s">
        <v>57</v>
      </c>
      <c r="V613">
        <v>3.5</v>
      </c>
      <c r="W613">
        <v>2.09</v>
      </c>
      <c r="X613">
        <v>5.4</v>
      </c>
      <c r="Y613">
        <v>7.5</v>
      </c>
      <c r="Z613">
        <v>10.8</v>
      </c>
      <c r="AA613">
        <f>VALUE(SUBSTITUTE(DACS19___Pfizer’s_Personalised_Medicine_in[[#This Row],[Dose]],"mg",""))</f>
        <v>100</v>
      </c>
      <c r="AB613">
        <f t="shared" si="63"/>
        <v>100</v>
      </c>
      <c r="AC613" t="s">
        <v>67</v>
      </c>
      <c r="AD613">
        <f t="shared" si="64"/>
        <v>2</v>
      </c>
      <c r="AE613">
        <f t="shared" si="65"/>
        <v>3</v>
      </c>
      <c r="AF613" t="e">
        <f t="shared" si="66"/>
        <v>#N/A</v>
      </c>
      <c r="AG613">
        <f t="shared" si="67"/>
        <v>2.09</v>
      </c>
      <c r="AH613" t="e">
        <f t="shared" si="68"/>
        <v>#N/A</v>
      </c>
      <c r="AI613" t="e">
        <f t="shared" si="69"/>
        <v>#N/A</v>
      </c>
    </row>
    <row r="614" spans="1:35" x14ac:dyDescent="0.45">
      <c r="A614" t="s">
        <v>1883</v>
      </c>
      <c r="B614">
        <v>49</v>
      </c>
      <c r="C614" t="s">
        <v>44</v>
      </c>
      <c r="D614" t="s">
        <v>95</v>
      </c>
      <c r="E614" t="s">
        <v>163</v>
      </c>
      <c r="F614" t="s">
        <v>79</v>
      </c>
      <c r="G614" t="s">
        <v>96</v>
      </c>
      <c r="H614" t="s">
        <v>32</v>
      </c>
      <c r="I614" t="s">
        <v>49</v>
      </c>
      <c r="J614" t="s">
        <v>1884</v>
      </c>
      <c r="K614" t="s">
        <v>1614</v>
      </c>
      <c r="L614" t="s">
        <v>36</v>
      </c>
      <c r="M614" t="s">
        <v>2614</v>
      </c>
      <c r="N614" t="s">
        <v>305</v>
      </c>
      <c r="O614" t="s">
        <v>36</v>
      </c>
      <c r="P614" t="s">
        <v>39</v>
      </c>
      <c r="Q614" t="s">
        <v>40</v>
      </c>
      <c r="R614">
        <v>127</v>
      </c>
      <c r="S614">
        <v>1</v>
      </c>
      <c r="T614" t="s">
        <v>85</v>
      </c>
      <c r="U614" t="s">
        <v>42</v>
      </c>
      <c r="V614">
        <v>2.23</v>
      </c>
      <c r="W614">
        <v>4.29</v>
      </c>
      <c r="X614">
        <v>1.5</v>
      </c>
      <c r="Y614">
        <v>13.5</v>
      </c>
      <c r="Z614">
        <v>10.8</v>
      </c>
      <c r="AA614">
        <f>VALUE(SUBSTITUTE(DACS19___Pfizer’s_Personalised_Medicine_in[[#This Row],[Dose]],"mg",""))</f>
        <v>200</v>
      </c>
      <c r="AB614">
        <f t="shared" si="63"/>
        <v>200</v>
      </c>
      <c r="AC614" t="s">
        <v>40</v>
      </c>
      <c r="AD614">
        <f t="shared" si="64"/>
        <v>3</v>
      </c>
      <c r="AE614">
        <f t="shared" si="65"/>
        <v>3</v>
      </c>
      <c r="AF614" t="e">
        <f t="shared" si="66"/>
        <v>#N/A</v>
      </c>
      <c r="AG614" t="e">
        <f t="shared" si="67"/>
        <v>#N/A</v>
      </c>
      <c r="AH614">
        <f t="shared" si="68"/>
        <v>4.29</v>
      </c>
      <c r="AI614" t="e">
        <f t="shared" si="69"/>
        <v>#N/A</v>
      </c>
    </row>
    <row r="615" spans="1:35" x14ac:dyDescent="0.45">
      <c r="A615" t="s">
        <v>1885</v>
      </c>
      <c r="B615">
        <v>74</v>
      </c>
      <c r="C615" t="s">
        <v>44</v>
      </c>
      <c r="D615" t="s">
        <v>87</v>
      </c>
      <c r="E615" t="s">
        <v>2614</v>
      </c>
      <c r="F615" t="s">
        <v>79</v>
      </c>
      <c r="G615" t="s">
        <v>152</v>
      </c>
      <c r="H615" t="s">
        <v>81</v>
      </c>
      <c r="I615" t="s">
        <v>132</v>
      </c>
      <c r="J615" t="s">
        <v>1259</v>
      </c>
      <c r="K615" t="s">
        <v>1886</v>
      </c>
      <c r="L615" t="s">
        <v>92</v>
      </c>
      <c r="M615" t="s">
        <v>129</v>
      </c>
      <c r="N615" t="s">
        <v>222</v>
      </c>
      <c r="O615" t="s">
        <v>92</v>
      </c>
      <c r="P615" t="s">
        <v>110</v>
      </c>
      <c r="Q615" t="s">
        <v>40</v>
      </c>
      <c r="R615">
        <v>124</v>
      </c>
      <c r="S615">
        <v>0</v>
      </c>
      <c r="T615" t="s">
        <v>41</v>
      </c>
      <c r="U615" t="s">
        <v>57</v>
      </c>
      <c r="V615">
        <v>3.9</v>
      </c>
      <c r="W615">
        <v>3.3</v>
      </c>
      <c r="X615">
        <v>7</v>
      </c>
      <c r="Y615">
        <v>20</v>
      </c>
      <c r="Z615">
        <v>17.7</v>
      </c>
      <c r="AA615">
        <f>VALUE(SUBSTITUTE(DACS19___Pfizer’s_Personalised_Medicine_in[[#This Row],[Dose]],"mg",""))</f>
        <v>50</v>
      </c>
      <c r="AB615">
        <f t="shared" si="63"/>
        <v>50</v>
      </c>
      <c r="AC615" t="s">
        <v>40</v>
      </c>
      <c r="AD615">
        <f t="shared" si="64"/>
        <v>3</v>
      </c>
      <c r="AE615">
        <f t="shared" si="65"/>
        <v>1</v>
      </c>
      <c r="AF615" t="e">
        <f t="shared" si="66"/>
        <v>#N/A</v>
      </c>
      <c r="AG615" t="e">
        <f t="shared" si="67"/>
        <v>#N/A</v>
      </c>
      <c r="AH615" t="e">
        <f t="shared" si="68"/>
        <v>#N/A</v>
      </c>
      <c r="AI615">
        <f t="shared" si="69"/>
        <v>3.3</v>
      </c>
    </row>
    <row r="616" spans="1:35" x14ac:dyDescent="0.45">
      <c r="A616" t="s">
        <v>1887</v>
      </c>
      <c r="B616">
        <v>66</v>
      </c>
      <c r="C616" t="s">
        <v>45</v>
      </c>
      <c r="D616" t="s">
        <v>87</v>
      </c>
      <c r="E616" t="s">
        <v>78</v>
      </c>
      <c r="F616" t="s">
        <v>2614</v>
      </c>
      <c r="G616" t="s">
        <v>131</v>
      </c>
      <c r="H616" t="s">
        <v>71</v>
      </c>
      <c r="I616" t="s">
        <v>132</v>
      </c>
      <c r="J616" t="s">
        <v>1888</v>
      </c>
      <c r="K616" t="s">
        <v>1312</v>
      </c>
      <c r="L616" t="s">
        <v>64</v>
      </c>
      <c r="M616" t="s">
        <v>2623</v>
      </c>
      <c r="N616" t="s">
        <v>296</v>
      </c>
      <c r="O616" t="s">
        <v>64</v>
      </c>
      <c r="P616" t="s">
        <v>110</v>
      </c>
      <c r="Q616" t="s">
        <v>67</v>
      </c>
      <c r="R616">
        <v>157</v>
      </c>
      <c r="S616">
        <v>0</v>
      </c>
      <c r="T616" t="s">
        <v>123</v>
      </c>
      <c r="U616" t="s">
        <v>42</v>
      </c>
      <c r="V616">
        <v>2.2599999999999998</v>
      </c>
      <c r="W616">
        <v>3.15</v>
      </c>
      <c r="X616">
        <v>8.6</v>
      </c>
      <c r="Y616">
        <v>23.8</v>
      </c>
      <c r="Z616">
        <v>18.100000000000001</v>
      </c>
      <c r="AA616">
        <f>VALUE(SUBSTITUTE(DACS19___Pfizer’s_Personalised_Medicine_in[[#This Row],[Dose]],"mg",""))</f>
        <v>150</v>
      </c>
      <c r="AB616">
        <f t="shared" si="63"/>
        <v>150</v>
      </c>
      <c r="AC616" t="s">
        <v>67</v>
      </c>
      <c r="AD616">
        <f t="shared" si="64"/>
        <v>2</v>
      </c>
      <c r="AE616">
        <f t="shared" si="65"/>
        <v>1</v>
      </c>
      <c r="AF616" t="e">
        <f t="shared" si="66"/>
        <v>#N/A</v>
      </c>
      <c r="AG616">
        <f t="shared" si="67"/>
        <v>3.15</v>
      </c>
      <c r="AH616" t="e">
        <f t="shared" si="68"/>
        <v>#N/A</v>
      </c>
      <c r="AI616" t="e">
        <f t="shared" si="69"/>
        <v>#N/A</v>
      </c>
    </row>
    <row r="617" spans="1:35" x14ac:dyDescent="0.45">
      <c r="A617" t="s">
        <v>1889</v>
      </c>
      <c r="B617">
        <v>35</v>
      </c>
      <c r="C617" t="s">
        <v>27</v>
      </c>
      <c r="D617" t="s">
        <v>87</v>
      </c>
      <c r="E617" t="s">
        <v>29</v>
      </c>
      <c r="F617" t="s">
        <v>79</v>
      </c>
      <c r="G617" t="s">
        <v>125</v>
      </c>
      <c r="H617" t="s">
        <v>32</v>
      </c>
      <c r="I617" t="s">
        <v>132</v>
      </c>
      <c r="J617" t="s">
        <v>1229</v>
      </c>
      <c r="K617" t="s">
        <v>1106</v>
      </c>
      <c r="L617" t="s">
        <v>92</v>
      </c>
      <c r="M617" t="s">
        <v>187</v>
      </c>
      <c r="N617" t="s">
        <v>677</v>
      </c>
      <c r="O617" t="s">
        <v>92</v>
      </c>
      <c r="P617" t="s">
        <v>55</v>
      </c>
      <c r="Q617" t="s">
        <v>40</v>
      </c>
      <c r="R617">
        <v>69</v>
      </c>
      <c r="S617">
        <v>0</v>
      </c>
      <c r="T617" t="s">
        <v>85</v>
      </c>
      <c r="U617" t="s">
        <v>42</v>
      </c>
      <c r="V617">
        <v>2.4900000000000002</v>
      </c>
      <c r="W617">
        <v>1.78</v>
      </c>
      <c r="X617">
        <v>5.4</v>
      </c>
      <c r="Y617">
        <v>19.3</v>
      </c>
      <c r="Z617">
        <v>11.4</v>
      </c>
      <c r="AA617">
        <f>VALUE(SUBSTITUTE(DACS19___Pfizer’s_Personalised_Medicine_in[[#This Row],[Dose]],"mg",""))</f>
        <v>50</v>
      </c>
      <c r="AB617">
        <f t="shared" si="63"/>
        <v>50</v>
      </c>
      <c r="AC617" t="s">
        <v>40</v>
      </c>
      <c r="AD617">
        <f t="shared" si="64"/>
        <v>3</v>
      </c>
      <c r="AE617">
        <f t="shared" si="65"/>
        <v>2</v>
      </c>
      <c r="AF617" t="e">
        <f t="shared" si="66"/>
        <v>#N/A</v>
      </c>
      <c r="AG617" t="e">
        <f t="shared" si="67"/>
        <v>#N/A</v>
      </c>
      <c r="AH617">
        <f t="shared" si="68"/>
        <v>1.78</v>
      </c>
      <c r="AI617" t="e">
        <f t="shared" si="69"/>
        <v>#N/A</v>
      </c>
    </row>
    <row r="618" spans="1:35" x14ac:dyDescent="0.45">
      <c r="A618" t="s">
        <v>1890</v>
      </c>
      <c r="B618">
        <v>44</v>
      </c>
      <c r="C618" t="s">
        <v>44</v>
      </c>
      <c r="D618" t="s">
        <v>106</v>
      </c>
      <c r="E618" t="s">
        <v>163</v>
      </c>
      <c r="F618" t="s">
        <v>2614</v>
      </c>
      <c r="G618" t="s">
        <v>184</v>
      </c>
      <c r="H618" t="s">
        <v>71</v>
      </c>
      <c r="I618" t="s">
        <v>72</v>
      </c>
      <c r="J618" t="s">
        <v>1891</v>
      </c>
      <c r="K618" t="s">
        <v>1892</v>
      </c>
      <c r="L618" t="s">
        <v>92</v>
      </c>
      <c r="M618" t="s">
        <v>67</v>
      </c>
      <c r="N618" t="s">
        <v>192</v>
      </c>
      <c r="O618" t="s">
        <v>92</v>
      </c>
      <c r="P618" t="s">
        <v>39</v>
      </c>
      <c r="Q618" t="s">
        <v>129</v>
      </c>
      <c r="R618">
        <v>86</v>
      </c>
      <c r="S618">
        <v>1</v>
      </c>
      <c r="T618" t="s">
        <v>41</v>
      </c>
      <c r="U618" t="s">
        <v>42</v>
      </c>
      <c r="V618">
        <v>2.93</v>
      </c>
      <c r="W618">
        <v>4.3499999999999996</v>
      </c>
      <c r="X618">
        <v>4.3</v>
      </c>
      <c r="Y618">
        <v>21.5</v>
      </c>
      <c r="Z618">
        <v>9.9</v>
      </c>
      <c r="AA618">
        <f>VALUE(SUBSTITUTE(DACS19___Pfizer’s_Personalised_Medicine_in[[#This Row],[Dose]],"mg",""))</f>
        <v>50</v>
      </c>
      <c r="AB618">
        <f t="shared" si="63"/>
        <v>50</v>
      </c>
      <c r="AC618" t="s">
        <v>129</v>
      </c>
      <c r="AD618">
        <f t="shared" si="64"/>
        <v>4</v>
      </c>
      <c r="AE618">
        <f t="shared" si="65"/>
        <v>3</v>
      </c>
      <c r="AF618" t="e">
        <f t="shared" si="66"/>
        <v>#N/A</v>
      </c>
      <c r="AG618">
        <f t="shared" si="67"/>
        <v>4.3499999999999996</v>
      </c>
      <c r="AH618" t="e">
        <f t="shared" si="68"/>
        <v>#N/A</v>
      </c>
      <c r="AI618" t="e">
        <f t="shared" si="69"/>
        <v>#N/A</v>
      </c>
    </row>
    <row r="619" spans="1:35" x14ac:dyDescent="0.45">
      <c r="A619" t="s">
        <v>1893</v>
      </c>
      <c r="B619">
        <v>35</v>
      </c>
      <c r="C619" t="s">
        <v>45</v>
      </c>
      <c r="D619" t="s">
        <v>28</v>
      </c>
      <c r="E619" t="s">
        <v>2614</v>
      </c>
      <c r="F619" t="s">
        <v>47</v>
      </c>
      <c r="G619" t="s">
        <v>164</v>
      </c>
      <c r="H619" t="s">
        <v>32</v>
      </c>
      <c r="I619" t="s">
        <v>33</v>
      </c>
      <c r="J619" t="s">
        <v>1894</v>
      </c>
      <c r="K619" t="s">
        <v>1895</v>
      </c>
      <c r="L619" t="s">
        <v>36</v>
      </c>
      <c r="M619" t="s">
        <v>446</v>
      </c>
      <c r="N619" t="s">
        <v>595</v>
      </c>
      <c r="O619" t="s">
        <v>36</v>
      </c>
      <c r="P619" t="s">
        <v>39</v>
      </c>
      <c r="Q619" t="s">
        <v>67</v>
      </c>
      <c r="R619">
        <v>88</v>
      </c>
      <c r="S619">
        <v>1</v>
      </c>
      <c r="T619" t="s">
        <v>85</v>
      </c>
      <c r="U619" t="s">
        <v>57</v>
      </c>
      <c r="V619">
        <v>2.31</v>
      </c>
      <c r="W619">
        <v>2.82</v>
      </c>
      <c r="X619">
        <v>7.9</v>
      </c>
      <c r="Y619">
        <v>8.3000000000000007</v>
      </c>
      <c r="Z619">
        <v>6.3</v>
      </c>
      <c r="AA619">
        <f>VALUE(SUBSTITUTE(DACS19___Pfizer’s_Personalised_Medicine_in[[#This Row],[Dose]],"mg",""))</f>
        <v>200</v>
      </c>
      <c r="AB619">
        <f t="shared" si="63"/>
        <v>200</v>
      </c>
      <c r="AC619" t="s">
        <v>67</v>
      </c>
      <c r="AD619">
        <f t="shared" si="64"/>
        <v>2</v>
      </c>
      <c r="AE619">
        <f t="shared" si="65"/>
        <v>3</v>
      </c>
      <c r="AF619" t="e">
        <f t="shared" si="66"/>
        <v>#N/A</v>
      </c>
      <c r="AG619" t="e">
        <f t="shared" si="67"/>
        <v>#N/A</v>
      </c>
      <c r="AH619">
        <f t="shared" si="68"/>
        <v>2.82</v>
      </c>
      <c r="AI619" t="e">
        <f t="shared" si="69"/>
        <v>#N/A</v>
      </c>
    </row>
    <row r="620" spans="1:35" x14ac:dyDescent="0.45">
      <c r="A620" t="s">
        <v>1896</v>
      </c>
      <c r="B620">
        <v>18</v>
      </c>
      <c r="C620" t="s">
        <v>44</v>
      </c>
      <c r="D620" t="s">
        <v>87</v>
      </c>
      <c r="E620" t="s">
        <v>29</v>
      </c>
      <c r="F620" t="s">
        <v>2614</v>
      </c>
      <c r="G620" t="s">
        <v>246</v>
      </c>
      <c r="H620" t="s">
        <v>71</v>
      </c>
      <c r="I620" t="s">
        <v>33</v>
      </c>
      <c r="J620" t="s">
        <v>1897</v>
      </c>
      <c r="K620" t="s">
        <v>149</v>
      </c>
      <c r="L620" t="s">
        <v>64</v>
      </c>
      <c r="M620" t="s">
        <v>2625</v>
      </c>
      <c r="N620" t="s">
        <v>1220</v>
      </c>
      <c r="O620" t="s">
        <v>64</v>
      </c>
      <c r="P620" t="s">
        <v>55</v>
      </c>
      <c r="Q620" t="s">
        <v>67</v>
      </c>
      <c r="R620">
        <v>81</v>
      </c>
      <c r="S620">
        <v>0</v>
      </c>
      <c r="T620" t="s">
        <v>85</v>
      </c>
      <c r="U620" t="s">
        <v>57</v>
      </c>
      <c r="V620">
        <v>4.8099999999999996</v>
      </c>
      <c r="W620">
        <v>1.7</v>
      </c>
      <c r="X620">
        <v>6.1</v>
      </c>
      <c r="Y620">
        <v>16.399999999999999</v>
      </c>
      <c r="Z620">
        <v>11.3</v>
      </c>
      <c r="AA620">
        <f>VALUE(SUBSTITUTE(DACS19___Pfizer’s_Personalised_Medicine_in[[#This Row],[Dose]],"mg",""))</f>
        <v>150</v>
      </c>
      <c r="AB620">
        <f t="shared" si="63"/>
        <v>150</v>
      </c>
      <c r="AC620" t="s">
        <v>67</v>
      </c>
      <c r="AD620">
        <f t="shared" si="64"/>
        <v>2</v>
      </c>
      <c r="AE620">
        <f t="shared" si="65"/>
        <v>2</v>
      </c>
      <c r="AF620" t="e">
        <f t="shared" si="66"/>
        <v>#N/A</v>
      </c>
      <c r="AG620">
        <f t="shared" si="67"/>
        <v>1.7</v>
      </c>
      <c r="AH620" t="e">
        <f t="shared" si="68"/>
        <v>#N/A</v>
      </c>
      <c r="AI620" t="e">
        <f t="shared" si="69"/>
        <v>#N/A</v>
      </c>
    </row>
    <row r="621" spans="1:35" x14ac:dyDescent="0.45">
      <c r="A621" t="s">
        <v>1898</v>
      </c>
      <c r="B621">
        <v>60</v>
      </c>
      <c r="C621" t="s">
        <v>27</v>
      </c>
      <c r="D621" t="s">
        <v>28</v>
      </c>
      <c r="E621" t="s">
        <v>2614</v>
      </c>
      <c r="F621" t="s">
        <v>59</v>
      </c>
      <c r="G621" t="s">
        <v>440</v>
      </c>
      <c r="H621" t="s">
        <v>61</v>
      </c>
      <c r="I621" t="s">
        <v>33</v>
      </c>
      <c r="J621" t="s">
        <v>1899</v>
      </c>
      <c r="K621" t="s">
        <v>1900</v>
      </c>
      <c r="L621" t="s">
        <v>36</v>
      </c>
      <c r="M621" t="s">
        <v>67</v>
      </c>
      <c r="N621" t="s">
        <v>76</v>
      </c>
      <c r="O621" t="s">
        <v>36</v>
      </c>
      <c r="P621" t="s">
        <v>39</v>
      </c>
      <c r="Q621" t="s">
        <v>40</v>
      </c>
      <c r="R621">
        <v>57</v>
      </c>
      <c r="S621">
        <v>1</v>
      </c>
      <c r="T621" t="s">
        <v>41</v>
      </c>
      <c r="U621" t="s">
        <v>42</v>
      </c>
      <c r="V621">
        <v>3.58</v>
      </c>
      <c r="W621">
        <v>1.92</v>
      </c>
      <c r="X621">
        <v>6</v>
      </c>
      <c r="Y621">
        <v>12.7</v>
      </c>
      <c r="Z621">
        <v>14.2</v>
      </c>
      <c r="AA621">
        <f>VALUE(SUBSTITUTE(DACS19___Pfizer’s_Personalised_Medicine_in[[#This Row],[Dose]],"mg",""))</f>
        <v>200</v>
      </c>
      <c r="AB621">
        <f t="shared" si="63"/>
        <v>200</v>
      </c>
      <c r="AC621" t="s">
        <v>40</v>
      </c>
      <c r="AD621">
        <f t="shared" si="64"/>
        <v>3</v>
      </c>
      <c r="AE621">
        <f t="shared" si="65"/>
        <v>3</v>
      </c>
      <c r="AF621">
        <f t="shared" si="66"/>
        <v>1.92</v>
      </c>
      <c r="AG621" t="e">
        <f t="shared" si="67"/>
        <v>#N/A</v>
      </c>
      <c r="AH621" t="e">
        <f t="shared" si="68"/>
        <v>#N/A</v>
      </c>
      <c r="AI621" t="e">
        <f t="shared" si="69"/>
        <v>#N/A</v>
      </c>
    </row>
    <row r="622" spans="1:35" x14ac:dyDescent="0.45">
      <c r="A622" t="s">
        <v>1901</v>
      </c>
      <c r="B622">
        <v>56</v>
      </c>
      <c r="C622" t="s">
        <v>45</v>
      </c>
      <c r="D622" t="s">
        <v>106</v>
      </c>
      <c r="E622" t="s">
        <v>29</v>
      </c>
      <c r="F622" t="s">
        <v>2614</v>
      </c>
      <c r="G622" t="s">
        <v>194</v>
      </c>
      <c r="H622" t="s">
        <v>81</v>
      </c>
      <c r="I622" t="s">
        <v>49</v>
      </c>
      <c r="J622" t="s">
        <v>530</v>
      </c>
      <c r="K622" t="s">
        <v>531</v>
      </c>
      <c r="L622" t="s">
        <v>52</v>
      </c>
      <c r="M622" t="s">
        <v>2651</v>
      </c>
      <c r="N622" t="s">
        <v>240</v>
      </c>
      <c r="O622" t="s">
        <v>52</v>
      </c>
      <c r="P622" t="s">
        <v>39</v>
      </c>
      <c r="Q622" t="s">
        <v>2614</v>
      </c>
      <c r="R622">
        <v>82</v>
      </c>
      <c r="S622">
        <v>1</v>
      </c>
      <c r="T622" t="s">
        <v>56</v>
      </c>
      <c r="U622" t="s">
        <v>57</v>
      </c>
      <c r="V622">
        <v>1.56</v>
      </c>
      <c r="W622">
        <v>3.28</v>
      </c>
      <c r="X622">
        <v>2.7</v>
      </c>
      <c r="Y622">
        <v>11</v>
      </c>
      <c r="Z622">
        <v>6.7</v>
      </c>
      <c r="AA622">
        <f>VALUE(SUBSTITUTE(DACS19___Pfizer’s_Personalised_Medicine_in[[#This Row],[Dose]],"mg",""))</f>
        <v>100</v>
      </c>
      <c r="AB622">
        <f t="shared" si="63"/>
        <v>100</v>
      </c>
      <c r="AC622" t="s">
        <v>2614</v>
      </c>
      <c r="AD622">
        <f t="shared" si="64"/>
        <v>0</v>
      </c>
      <c r="AE622">
        <f t="shared" si="65"/>
        <v>3</v>
      </c>
      <c r="AF622" t="e">
        <f t="shared" si="66"/>
        <v>#N/A</v>
      </c>
      <c r="AG622" t="e">
        <f t="shared" si="67"/>
        <v>#N/A</v>
      </c>
      <c r="AH622" t="e">
        <f t="shared" si="68"/>
        <v>#N/A</v>
      </c>
      <c r="AI622">
        <f t="shared" si="69"/>
        <v>3.28</v>
      </c>
    </row>
    <row r="623" spans="1:35" x14ac:dyDescent="0.45">
      <c r="A623" t="s">
        <v>1902</v>
      </c>
      <c r="B623">
        <v>59</v>
      </c>
      <c r="C623" t="s">
        <v>44</v>
      </c>
      <c r="D623" t="s">
        <v>95</v>
      </c>
      <c r="E623" t="s">
        <v>29</v>
      </c>
      <c r="F623" t="s">
        <v>2614</v>
      </c>
      <c r="G623" t="s">
        <v>70</v>
      </c>
      <c r="H623" t="s">
        <v>81</v>
      </c>
      <c r="I623" t="s">
        <v>132</v>
      </c>
      <c r="J623" t="s">
        <v>1903</v>
      </c>
      <c r="K623" t="s">
        <v>1134</v>
      </c>
      <c r="L623" t="s">
        <v>92</v>
      </c>
      <c r="M623" t="s">
        <v>75</v>
      </c>
      <c r="N623" t="s">
        <v>1904</v>
      </c>
      <c r="O623" t="s">
        <v>92</v>
      </c>
      <c r="P623" t="s">
        <v>39</v>
      </c>
      <c r="Q623" t="s">
        <v>2614</v>
      </c>
      <c r="R623">
        <v>30</v>
      </c>
      <c r="S623">
        <v>1</v>
      </c>
      <c r="T623" t="s">
        <v>137</v>
      </c>
      <c r="U623" t="s">
        <v>57</v>
      </c>
      <c r="V623">
        <v>1.73</v>
      </c>
      <c r="W623">
        <v>4.3</v>
      </c>
      <c r="X623">
        <v>3.6</v>
      </c>
      <c r="Y623">
        <v>22.7</v>
      </c>
      <c r="Z623">
        <v>19.5</v>
      </c>
      <c r="AA623">
        <f>VALUE(SUBSTITUTE(DACS19___Pfizer’s_Personalised_Medicine_in[[#This Row],[Dose]],"mg",""))</f>
        <v>50</v>
      </c>
      <c r="AB623">
        <f t="shared" si="63"/>
        <v>50</v>
      </c>
      <c r="AC623" t="s">
        <v>2614</v>
      </c>
      <c r="AD623">
        <f t="shared" si="64"/>
        <v>0</v>
      </c>
      <c r="AE623">
        <f t="shared" si="65"/>
        <v>3</v>
      </c>
      <c r="AF623" t="e">
        <f t="shared" si="66"/>
        <v>#N/A</v>
      </c>
      <c r="AG623" t="e">
        <f t="shared" si="67"/>
        <v>#N/A</v>
      </c>
      <c r="AH623" t="e">
        <f t="shared" si="68"/>
        <v>#N/A</v>
      </c>
      <c r="AI623">
        <f t="shared" si="69"/>
        <v>4.3</v>
      </c>
    </row>
    <row r="624" spans="1:35" x14ac:dyDescent="0.45">
      <c r="A624" t="s">
        <v>1905</v>
      </c>
      <c r="B624">
        <v>66</v>
      </c>
      <c r="C624" t="s">
        <v>45</v>
      </c>
      <c r="D624" t="s">
        <v>45</v>
      </c>
      <c r="E624" t="s">
        <v>46</v>
      </c>
      <c r="F624" t="s">
        <v>59</v>
      </c>
      <c r="G624" t="s">
        <v>89</v>
      </c>
      <c r="H624" t="s">
        <v>71</v>
      </c>
      <c r="I624" t="s">
        <v>33</v>
      </c>
      <c r="J624" t="s">
        <v>1906</v>
      </c>
      <c r="K624" t="s">
        <v>990</v>
      </c>
      <c r="L624" t="s">
        <v>92</v>
      </c>
      <c r="M624" t="s">
        <v>451</v>
      </c>
      <c r="N624" t="s">
        <v>1038</v>
      </c>
      <c r="O624" t="s">
        <v>92</v>
      </c>
      <c r="P624" t="s">
        <v>39</v>
      </c>
      <c r="Q624" t="s">
        <v>2614</v>
      </c>
      <c r="R624">
        <v>146</v>
      </c>
      <c r="S624">
        <v>1</v>
      </c>
      <c r="T624" t="s">
        <v>41</v>
      </c>
      <c r="U624" t="s">
        <v>42</v>
      </c>
      <c r="V624">
        <v>3.29</v>
      </c>
      <c r="W624">
        <v>1.57</v>
      </c>
      <c r="X624">
        <v>4.4000000000000004</v>
      </c>
      <c r="Y624">
        <v>20.399999999999999</v>
      </c>
      <c r="Z624">
        <v>9.1999999999999993</v>
      </c>
      <c r="AA624">
        <f>VALUE(SUBSTITUTE(DACS19___Pfizer’s_Personalised_Medicine_in[[#This Row],[Dose]],"mg",""))</f>
        <v>50</v>
      </c>
      <c r="AB624">
        <f t="shared" si="63"/>
        <v>50</v>
      </c>
      <c r="AC624" t="s">
        <v>2614</v>
      </c>
      <c r="AD624">
        <f t="shared" si="64"/>
        <v>0</v>
      </c>
      <c r="AE624">
        <f t="shared" si="65"/>
        <v>3</v>
      </c>
      <c r="AF624" t="e">
        <f t="shared" si="66"/>
        <v>#N/A</v>
      </c>
      <c r="AG624">
        <f t="shared" si="67"/>
        <v>1.57</v>
      </c>
      <c r="AH624" t="e">
        <f t="shared" si="68"/>
        <v>#N/A</v>
      </c>
      <c r="AI624" t="e">
        <f t="shared" si="69"/>
        <v>#N/A</v>
      </c>
    </row>
    <row r="625" spans="1:35" x14ac:dyDescent="0.45">
      <c r="A625" t="s">
        <v>1907</v>
      </c>
      <c r="B625">
        <v>21</v>
      </c>
      <c r="C625" t="s">
        <v>44</v>
      </c>
      <c r="D625" t="s">
        <v>106</v>
      </c>
      <c r="E625" t="s">
        <v>163</v>
      </c>
      <c r="F625" t="s">
        <v>79</v>
      </c>
      <c r="G625" t="s">
        <v>440</v>
      </c>
      <c r="H625" t="s">
        <v>32</v>
      </c>
      <c r="I625" t="s">
        <v>132</v>
      </c>
      <c r="J625" t="s">
        <v>1908</v>
      </c>
      <c r="K625" t="s">
        <v>1822</v>
      </c>
      <c r="L625" t="s">
        <v>92</v>
      </c>
      <c r="M625" t="s">
        <v>249</v>
      </c>
      <c r="N625" t="s">
        <v>525</v>
      </c>
      <c r="O625" t="s">
        <v>92</v>
      </c>
      <c r="P625" t="s">
        <v>110</v>
      </c>
      <c r="Q625" t="s">
        <v>40</v>
      </c>
      <c r="R625">
        <v>37</v>
      </c>
      <c r="S625">
        <v>0</v>
      </c>
      <c r="T625" t="s">
        <v>123</v>
      </c>
      <c r="U625" t="s">
        <v>57</v>
      </c>
      <c r="V625">
        <v>1.35</v>
      </c>
      <c r="W625">
        <v>3.23</v>
      </c>
      <c r="X625">
        <v>8.6</v>
      </c>
      <c r="Y625">
        <v>20.3</v>
      </c>
      <c r="Z625">
        <v>6</v>
      </c>
      <c r="AA625">
        <f>VALUE(SUBSTITUTE(DACS19___Pfizer’s_Personalised_Medicine_in[[#This Row],[Dose]],"mg",""))</f>
        <v>50</v>
      </c>
      <c r="AB625">
        <f t="shared" si="63"/>
        <v>50</v>
      </c>
      <c r="AC625" t="s">
        <v>40</v>
      </c>
      <c r="AD625">
        <f t="shared" si="64"/>
        <v>3</v>
      </c>
      <c r="AE625">
        <f t="shared" si="65"/>
        <v>1</v>
      </c>
      <c r="AF625" t="e">
        <f t="shared" si="66"/>
        <v>#N/A</v>
      </c>
      <c r="AG625" t="e">
        <f t="shared" si="67"/>
        <v>#N/A</v>
      </c>
      <c r="AH625">
        <f t="shared" si="68"/>
        <v>3.23</v>
      </c>
      <c r="AI625" t="e">
        <f t="shared" si="69"/>
        <v>#N/A</v>
      </c>
    </row>
    <row r="626" spans="1:35" x14ac:dyDescent="0.45">
      <c r="A626" t="s">
        <v>1909</v>
      </c>
      <c r="B626">
        <v>73</v>
      </c>
      <c r="C626" t="s">
        <v>44</v>
      </c>
      <c r="D626" t="s">
        <v>95</v>
      </c>
      <c r="E626" t="s">
        <v>46</v>
      </c>
      <c r="F626" t="s">
        <v>2614</v>
      </c>
      <c r="G626" t="s">
        <v>80</v>
      </c>
      <c r="H626" t="s">
        <v>61</v>
      </c>
      <c r="I626" t="s">
        <v>49</v>
      </c>
      <c r="J626" t="s">
        <v>1910</v>
      </c>
      <c r="K626" t="s">
        <v>1665</v>
      </c>
      <c r="L626" t="s">
        <v>36</v>
      </c>
      <c r="M626" t="s">
        <v>2614</v>
      </c>
      <c r="N626" t="s">
        <v>513</v>
      </c>
      <c r="O626" t="s">
        <v>36</v>
      </c>
      <c r="P626" t="s">
        <v>110</v>
      </c>
      <c r="Q626" t="s">
        <v>2614</v>
      </c>
      <c r="R626">
        <v>78</v>
      </c>
      <c r="S626">
        <v>0</v>
      </c>
      <c r="T626" t="s">
        <v>41</v>
      </c>
      <c r="U626" t="s">
        <v>57</v>
      </c>
      <c r="V626">
        <v>3.69</v>
      </c>
      <c r="W626">
        <v>1.88</v>
      </c>
      <c r="X626">
        <v>3</v>
      </c>
      <c r="Y626">
        <v>21.7</v>
      </c>
      <c r="Z626">
        <v>7.2</v>
      </c>
      <c r="AA626">
        <f>VALUE(SUBSTITUTE(DACS19___Pfizer’s_Personalised_Medicine_in[[#This Row],[Dose]],"mg",""))</f>
        <v>200</v>
      </c>
      <c r="AB626">
        <f t="shared" si="63"/>
        <v>200</v>
      </c>
      <c r="AC626" t="s">
        <v>2614</v>
      </c>
      <c r="AD626">
        <f t="shared" si="64"/>
        <v>0</v>
      </c>
      <c r="AE626">
        <f t="shared" si="65"/>
        <v>1</v>
      </c>
      <c r="AF626">
        <f t="shared" si="66"/>
        <v>1.88</v>
      </c>
      <c r="AG626" t="e">
        <f t="shared" si="67"/>
        <v>#N/A</v>
      </c>
      <c r="AH626" t="e">
        <f t="shared" si="68"/>
        <v>#N/A</v>
      </c>
      <c r="AI626" t="e">
        <f t="shared" si="69"/>
        <v>#N/A</v>
      </c>
    </row>
    <row r="627" spans="1:35" x14ac:dyDescent="0.45">
      <c r="A627" t="s">
        <v>1911</v>
      </c>
      <c r="B627">
        <v>18</v>
      </c>
      <c r="C627" t="s">
        <v>45</v>
      </c>
      <c r="D627" t="s">
        <v>87</v>
      </c>
      <c r="E627" t="s">
        <v>29</v>
      </c>
      <c r="F627" t="s">
        <v>2614</v>
      </c>
      <c r="G627" t="s">
        <v>48</v>
      </c>
      <c r="H627" t="s">
        <v>81</v>
      </c>
      <c r="I627" t="s">
        <v>72</v>
      </c>
      <c r="J627" t="s">
        <v>911</v>
      </c>
      <c r="K627" t="s">
        <v>1663</v>
      </c>
      <c r="L627" t="s">
        <v>64</v>
      </c>
      <c r="M627" t="s">
        <v>1291</v>
      </c>
      <c r="N627" t="s">
        <v>208</v>
      </c>
      <c r="O627" t="s">
        <v>64</v>
      </c>
      <c r="P627" t="s">
        <v>110</v>
      </c>
      <c r="Q627" t="s">
        <v>2614</v>
      </c>
      <c r="R627">
        <v>171</v>
      </c>
      <c r="S627">
        <v>0</v>
      </c>
      <c r="T627" t="s">
        <v>85</v>
      </c>
      <c r="U627" t="s">
        <v>42</v>
      </c>
      <c r="V627">
        <v>2.0499999999999998</v>
      </c>
      <c r="W627">
        <v>1</v>
      </c>
      <c r="X627">
        <v>8.8000000000000007</v>
      </c>
      <c r="Y627">
        <v>20.3</v>
      </c>
      <c r="Z627">
        <v>13.7</v>
      </c>
      <c r="AA627">
        <f>VALUE(SUBSTITUTE(DACS19___Pfizer’s_Personalised_Medicine_in[[#This Row],[Dose]],"mg",""))</f>
        <v>150</v>
      </c>
      <c r="AB627">
        <f t="shared" si="63"/>
        <v>150</v>
      </c>
      <c r="AC627" t="s">
        <v>2614</v>
      </c>
      <c r="AD627">
        <f t="shared" si="64"/>
        <v>0</v>
      </c>
      <c r="AE627">
        <f t="shared" si="65"/>
        <v>1</v>
      </c>
      <c r="AF627" t="e">
        <f t="shared" si="66"/>
        <v>#N/A</v>
      </c>
      <c r="AG627" t="e">
        <f t="shared" si="67"/>
        <v>#N/A</v>
      </c>
      <c r="AH627" t="e">
        <f t="shared" si="68"/>
        <v>#N/A</v>
      </c>
      <c r="AI627">
        <f t="shared" si="69"/>
        <v>1</v>
      </c>
    </row>
    <row r="628" spans="1:35" x14ac:dyDescent="0.45">
      <c r="A628" t="s">
        <v>1912</v>
      </c>
      <c r="B628">
        <v>59</v>
      </c>
      <c r="C628" t="s">
        <v>45</v>
      </c>
      <c r="D628" t="s">
        <v>28</v>
      </c>
      <c r="E628" t="s">
        <v>78</v>
      </c>
      <c r="F628" t="s">
        <v>47</v>
      </c>
      <c r="G628" t="s">
        <v>194</v>
      </c>
      <c r="H628" t="s">
        <v>81</v>
      </c>
      <c r="I628" t="s">
        <v>132</v>
      </c>
      <c r="J628" t="s">
        <v>1913</v>
      </c>
      <c r="K628" t="s">
        <v>1914</v>
      </c>
      <c r="L628" t="s">
        <v>36</v>
      </c>
      <c r="M628" t="s">
        <v>1526</v>
      </c>
      <c r="N628" t="s">
        <v>946</v>
      </c>
      <c r="O628" t="s">
        <v>36</v>
      </c>
      <c r="P628" t="s">
        <v>39</v>
      </c>
      <c r="Q628" t="s">
        <v>75</v>
      </c>
      <c r="R628">
        <v>94</v>
      </c>
      <c r="S628">
        <v>1</v>
      </c>
      <c r="T628" t="s">
        <v>41</v>
      </c>
      <c r="U628" t="s">
        <v>57</v>
      </c>
      <c r="V628">
        <v>4</v>
      </c>
      <c r="W628">
        <v>1.61</v>
      </c>
      <c r="X628">
        <v>5.0999999999999996</v>
      </c>
      <c r="Y628">
        <v>12.3</v>
      </c>
      <c r="Z628">
        <v>4.5999999999999996</v>
      </c>
      <c r="AA628">
        <f>VALUE(SUBSTITUTE(DACS19___Pfizer’s_Personalised_Medicine_in[[#This Row],[Dose]],"mg",""))</f>
        <v>200</v>
      </c>
      <c r="AB628">
        <f t="shared" si="63"/>
        <v>200</v>
      </c>
      <c r="AC628" t="s">
        <v>75</v>
      </c>
      <c r="AD628">
        <f t="shared" si="64"/>
        <v>1</v>
      </c>
      <c r="AE628">
        <f t="shared" si="65"/>
        <v>3</v>
      </c>
      <c r="AF628" t="e">
        <f t="shared" si="66"/>
        <v>#N/A</v>
      </c>
      <c r="AG628" t="e">
        <f t="shared" si="67"/>
        <v>#N/A</v>
      </c>
      <c r="AH628" t="e">
        <f t="shared" si="68"/>
        <v>#N/A</v>
      </c>
      <c r="AI628">
        <f t="shared" si="69"/>
        <v>1.61</v>
      </c>
    </row>
    <row r="629" spans="1:35" x14ac:dyDescent="0.45">
      <c r="A629" t="s">
        <v>1915</v>
      </c>
      <c r="B629">
        <v>63</v>
      </c>
      <c r="C629" t="s">
        <v>45</v>
      </c>
      <c r="D629" t="s">
        <v>95</v>
      </c>
      <c r="E629" t="s">
        <v>78</v>
      </c>
      <c r="F629" t="s">
        <v>2614</v>
      </c>
      <c r="G629" t="s">
        <v>112</v>
      </c>
      <c r="H629" t="s">
        <v>61</v>
      </c>
      <c r="I629" t="s">
        <v>132</v>
      </c>
      <c r="J629" t="s">
        <v>1916</v>
      </c>
      <c r="K629" t="s">
        <v>1917</v>
      </c>
      <c r="L629" t="s">
        <v>64</v>
      </c>
      <c r="M629" t="s">
        <v>249</v>
      </c>
      <c r="N629" t="s">
        <v>161</v>
      </c>
      <c r="O629" t="s">
        <v>64</v>
      </c>
      <c r="P629" t="s">
        <v>55</v>
      </c>
      <c r="Q629" t="s">
        <v>129</v>
      </c>
      <c r="R629">
        <v>137</v>
      </c>
      <c r="S629">
        <v>0</v>
      </c>
      <c r="T629" t="s">
        <v>123</v>
      </c>
      <c r="U629" t="s">
        <v>42</v>
      </c>
      <c r="V629">
        <v>2.94</v>
      </c>
      <c r="W629">
        <v>4.68</v>
      </c>
      <c r="X629">
        <v>1.4</v>
      </c>
      <c r="Y629">
        <v>11.2</v>
      </c>
      <c r="Z629">
        <v>6.5</v>
      </c>
      <c r="AA629">
        <f>VALUE(SUBSTITUTE(DACS19___Pfizer’s_Personalised_Medicine_in[[#This Row],[Dose]],"mg",""))</f>
        <v>150</v>
      </c>
      <c r="AB629">
        <f t="shared" si="63"/>
        <v>150</v>
      </c>
      <c r="AC629" t="s">
        <v>129</v>
      </c>
      <c r="AD629">
        <f t="shared" si="64"/>
        <v>4</v>
      </c>
      <c r="AE629">
        <f t="shared" si="65"/>
        <v>2</v>
      </c>
      <c r="AF629">
        <f t="shared" si="66"/>
        <v>4.68</v>
      </c>
      <c r="AG629" t="e">
        <f t="shared" si="67"/>
        <v>#N/A</v>
      </c>
      <c r="AH629" t="e">
        <f t="shared" si="68"/>
        <v>#N/A</v>
      </c>
      <c r="AI629" t="e">
        <f t="shared" si="69"/>
        <v>#N/A</v>
      </c>
    </row>
    <row r="630" spans="1:35" x14ac:dyDescent="0.45">
      <c r="A630" t="s">
        <v>1918</v>
      </c>
      <c r="B630">
        <v>84</v>
      </c>
      <c r="C630" t="s">
        <v>27</v>
      </c>
      <c r="D630" t="s">
        <v>45</v>
      </c>
      <c r="E630" t="s">
        <v>163</v>
      </c>
      <c r="F630" t="s">
        <v>69</v>
      </c>
      <c r="G630" t="s">
        <v>112</v>
      </c>
      <c r="H630" t="s">
        <v>71</v>
      </c>
      <c r="I630" t="s">
        <v>132</v>
      </c>
      <c r="J630" t="s">
        <v>1919</v>
      </c>
      <c r="K630" t="s">
        <v>1920</v>
      </c>
      <c r="L630" t="s">
        <v>64</v>
      </c>
      <c r="M630" t="s">
        <v>216</v>
      </c>
      <c r="N630" t="s">
        <v>612</v>
      </c>
      <c r="O630" t="s">
        <v>64</v>
      </c>
      <c r="P630" t="s">
        <v>55</v>
      </c>
      <c r="Q630" t="s">
        <v>40</v>
      </c>
      <c r="R630">
        <v>57</v>
      </c>
      <c r="S630">
        <v>0</v>
      </c>
      <c r="T630" t="s">
        <v>41</v>
      </c>
      <c r="U630" t="s">
        <v>57</v>
      </c>
      <c r="V630">
        <v>1.95</v>
      </c>
      <c r="W630">
        <v>4.63</v>
      </c>
      <c r="X630">
        <v>5.2</v>
      </c>
      <c r="Y630">
        <v>14.4</v>
      </c>
      <c r="Z630">
        <v>15.9</v>
      </c>
      <c r="AA630">
        <f>VALUE(SUBSTITUTE(DACS19___Pfizer’s_Personalised_Medicine_in[[#This Row],[Dose]],"mg",""))</f>
        <v>150</v>
      </c>
      <c r="AB630">
        <f t="shared" si="63"/>
        <v>150</v>
      </c>
      <c r="AC630" t="s">
        <v>40</v>
      </c>
      <c r="AD630">
        <f t="shared" si="64"/>
        <v>3</v>
      </c>
      <c r="AE630">
        <f t="shared" si="65"/>
        <v>2</v>
      </c>
      <c r="AF630" t="e">
        <f t="shared" si="66"/>
        <v>#N/A</v>
      </c>
      <c r="AG630">
        <f t="shared" si="67"/>
        <v>4.63</v>
      </c>
      <c r="AH630" t="e">
        <f t="shared" si="68"/>
        <v>#N/A</v>
      </c>
      <c r="AI630" t="e">
        <f t="shared" si="69"/>
        <v>#N/A</v>
      </c>
    </row>
    <row r="631" spans="1:35" x14ac:dyDescent="0.45">
      <c r="A631" t="s">
        <v>1921</v>
      </c>
      <c r="B631">
        <v>37</v>
      </c>
      <c r="C631" t="s">
        <v>45</v>
      </c>
      <c r="D631" t="s">
        <v>106</v>
      </c>
      <c r="E631" t="s">
        <v>163</v>
      </c>
      <c r="F631" t="s">
        <v>2614</v>
      </c>
      <c r="G631" t="s">
        <v>246</v>
      </c>
      <c r="H631" t="s">
        <v>61</v>
      </c>
      <c r="I631" t="s">
        <v>33</v>
      </c>
      <c r="J631" t="s">
        <v>1922</v>
      </c>
      <c r="K631" t="s">
        <v>887</v>
      </c>
      <c r="L631" t="s">
        <v>52</v>
      </c>
      <c r="M631" t="s">
        <v>2615</v>
      </c>
      <c r="N631" t="s">
        <v>1074</v>
      </c>
      <c r="O631" t="s">
        <v>52</v>
      </c>
      <c r="P631" t="s">
        <v>110</v>
      </c>
      <c r="Q631" t="s">
        <v>129</v>
      </c>
      <c r="R631">
        <v>78</v>
      </c>
      <c r="S631">
        <v>0</v>
      </c>
      <c r="T631" t="s">
        <v>123</v>
      </c>
      <c r="U631" t="s">
        <v>42</v>
      </c>
      <c r="V631">
        <v>1.62</v>
      </c>
      <c r="W631">
        <v>2.95</v>
      </c>
      <c r="X631">
        <v>4.9000000000000004</v>
      </c>
      <c r="Y631">
        <v>16.7</v>
      </c>
      <c r="Z631">
        <v>20</v>
      </c>
      <c r="AA631">
        <f>VALUE(SUBSTITUTE(DACS19___Pfizer’s_Personalised_Medicine_in[[#This Row],[Dose]],"mg",""))</f>
        <v>100</v>
      </c>
      <c r="AB631">
        <f t="shared" si="63"/>
        <v>100</v>
      </c>
      <c r="AC631" t="s">
        <v>129</v>
      </c>
      <c r="AD631">
        <f t="shared" si="64"/>
        <v>4</v>
      </c>
      <c r="AE631">
        <f t="shared" si="65"/>
        <v>1</v>
      </c>
      <c r="AF631">
        <f t="shared" si="66"/>
        <v>2.95</v>
      </c>
      <c r="AG631" t="e">
        <f t="shared" si="67"/>
        <v>#N/A</v>
      </c>
      <c r="AH631" t="e">
        <f t="shared" si="68"/>
        <v>#N/A</v>
      </c>
      <c r="AI631" t="e">
        <f t="shared" si="69"/>
        <v>#N/A</v>
      </c>
    </row>
    <row r="632" spans="1:35" x14ac:dyDescent="0.45">
      <c r="A632" t="s">
        <v>1923</v>
      </c>
      <c r="B632">
        <v>21</v>
      </c>
      <c r="C632" t="s">
        <v>44</v>
      </c>
      <c r="D632" t="s">
        <v>87</v>
      </c>
      <c r="E632" t="s">
        <v>46</v>
      </c>
      <c r="F632" t="s">
        <v>88</v>
      </c>
      <c r="G632" t="s">
        <v>125</v>
      </c>
      <c r="H632" t="s">
        <v>32</v>
      </c>
      <c r="I632" t="s">
        <v>33</v>
      </c>
      <c r="J632" t="s">
        <v>1924</v>
      </c>
      <c r="K632" t="s">
        <v>1925</v>
      </c>
      <c r="L632" t="s">
        <v>36</v>
      </c>
      <c r="M632" t="s">
        <v>75</v>
      </c>
      <c r="N632" t="s">
        <v>100</v>
      </c>
      <c r="O632" t="s">
        <v>36</v>
      </c>
      <c r="P632" t="s">
        <v>55</v>
      </c>
      <c r="Q632" t="s">
        <v>40</v>
      </c>
      <c r="R632">
        <v>125</v>
      </c>
      <c r="S632">
        <v>0</v>
      </c>
      <c r="T632" t="s">
        <v>41</v>
      </c>
      <c r="U632" t="s">
        <v>57</v>
      </c>
      <c r="V632">
        <v>4.08</v>
      </c>
      <c r="W632">
        <v>2.59</v>
      </c>
      <c r="X632">
        <v>8.4</v>
      </c>
      <c r="Y632">
        <v>9.1</v>
      </c>
      <c r="Z632">
        <v>3.5</v>
      </c>
      <c r="AA632">
        <f>VALUE(SUBSTITUTE(DACS19___Pfizer’s_Personalised_Medicine_in[[#This Row],[Dose]],"mg",""))</f>
        <v>200</v>
      </c>
      <c r="AB632">
        <f t="shared" si="63"/>
        <v>200</v>
      </c>
      <c r="AC632" t="s">
        <v>40</v>
      </c>
      <c r="AD632">
        <f t="shared" si="64"/>
        <v>3</v>
      </c>
      <c r="AE632">
        <f t="shared" si="65"/>
        <v>2</v>
      </c>
      <c r="AF632" t="e">
        <f t="shared" si="66"/>
        <v>#N/A</v>
      </c>
      <c r="AG632" t="e">
        <f t="shared" si="67"/>
        <v>#N/A</v>
      </c>
      <c r="AH632">
        <f t="shared" si="68"/>
        <v>2.59</v>
      </c>
      <c r="AI632" t="e">
        <f t="shared" si="69"/>
        <v>#N/A</v>
      </c>
    </row>
    <row r="633" spans="1:35" x14ac:dyDescent="0.45">
      <c r="A633" t="s">
        <v>1926</v>
      </c>
      <c r="B633">
        <v>72</v>
      </c>
      <c r="C633" t="s">
        <v>45</v>
      </c>
      <c r="D633" t="s">
        <v>45</v>
      </c>
      <c r="E633" t="s">
        <v>78</v>
      </c>
      <c r="F633" t="s">
        <v>2614</v>
      </c>
      <c r="G633" t="s">
        <v>80</v>
      </c>
      <c r="H633" t="s">
        <v>61</v>
      </c>
      <c r="I633" t="s">
        <v>33</v>
      </c>
      <c r="J633" t="s">
        <v>1371</v>
      </c>
      <c r="K633" t="s">
        <v>265</v>
      </c>
      <c r="L633" t="s">
        <v>92</v>
      </c>
      <c r="M633" t="s">
        <v>500</v>
      </c>
      <c r="N633" t="s">
        <v>1235</v>
      </c>
      <c r="O633" t="s">
        <v>92</v>
      </c>
      <c r="P633" t="s">
        <v>110</v>
      </c>
      <c r="Q633" t="s">
        <v>129</v>
      </c>
      <c r="R633">
        <v>138</v>
      </c>
      <c r="S633">
        <v>0</v>
      </c>
      <c r="T633" t="s">
        <v>85</v>
      </c>
      <c r="U633" t="s">
        <v>57</v>
      </c>
      <c r="V633">
        <v>1.82</v>
      </c>
      <c r="W633">
        <v>2.36</v>
      </c>
      <c r="X633">
        <v>5.6</v>
      </c>
      <c r="Y633">
        <v>17.100000000000001</v>
      </c>
      <c r="Z633">
        <v>18.5</v>
      </c>
      <c r="AA633">
        <f>VALUE(SUBSTITUTE(DACS19___Pfizer’s_Personalised_Medicine_in[[#This Row],[Dose]],"mg",""))</f>
        <v>50</v>
      </c>
      <c r="AB633">
        <f t="shared" si="63"/>
        <v>50</v>
      </c>
      <c r="AC633" t="s">
        <v>129</v>
      </c>
      <c r="AD633">
        <f t="shared" si="64"/>
        <v>4</v>
      </c>
      <c r="AE633">
        <f t="shared" si="65"/>
        <v>1</v>
      </c>
      <c r="AF633">
        <f t="shared" si="66"/>
        <v>2.36</v>
      </c>
      <c r="AG633" t="e">
        <f t="shared" si="67"/>
        <v>#N/A</v>
      </c>
      <c r="AH633" t="e">
        <f t="shared" si="68"/>
        <v>#N/A</v>
      </c>
      <c r="AI633" t="e">
        <f t="shared" si="69"/>
        <v>#N/A</v>
      </c>
    </row>
    <row r="634" spans="1:35" x14ac:dyDescent="0.45">
      <c r="A634" t="s">
        <v>1927</v>
      </c>
      <c r="B634">
        <v>80</v>
      </c>
      <c r="C634" t="s">
        <v>27</v>
      </c>
      <c r="D634" t="s">
        <v>95</v>
      </c>
      <c r="E634" t="s">
        <v>163</v>
      </c>
      <c r="F634" t="s">
        <v>2614</v>
      </c>
      <c r="G634" t="s">
        <v>125</v>
      </c>
      <c r="H634" t="s">
        <v>81</v>
      </c>
      <c r="I634" t="s">
        <v>132</v>
      </c>
      <c r="J634" t="s">
        <v>1928</v>
      </c>
      <c r="K634" t="s">
        <v>1929</v>
      </c>
      <c r="L634" t="s">
        <v>92</v>
      </c>
      <c r="M634" t="s">
        <v>2627</v>
      </c>
      <c r="N634" t="s">
        <v>852</v>
      </c>
      <c r="O634" t="s">
        <v>92</v>
      </c>
      <c r="P634" t="s">
        <v>110</v>
      </c>
      <c r="Q634" t="s">
        <v>40</v>
      </c>
      <c r="R634">
        <v>38</v>
      </c>
      <c r="S634">
        <v>0</v>
      </c>
      <c r="T634" t="s">
        <v>137</v>
      </c>
      <c r="U634" t="s">
        <v>57</v>
      </c>
      <c r="V634">
        <v>3.04</v>
      </c>
      <c r="W634">
        <v>3.01</v>
      </c>
      <c r="X634">
        <v>1.5</v>
      </c>
      <c r="Y634">
        <v>6.6</v>
      </c>
      <c r="Z634">
        <v>12.4</v>
      </c>
      <c r="AA634">
        <f>VALUE(SUBSTITUTE(DACS19___Pfizer’s_Personalised_Medicine_in[[#This Row],[Dose]],"mg",""))</f>
        <v>50</v>
      </c>
      <c r="AB634">
        <f t="shared" si="63"/>
        <v>50</v>
      </c>
      <c r="AC634" t="s">
        <v>40</v>
      </c>
      <c r="AD634">
        <f t="shared" si="64"/>
        <v>3</v>
      </c>
      <c r="AE634">
        <f t="shared" si="65"/>
        <v>1</v>
      </c>
      <c r="AF634" t="e">
        <f t="shared" si="66"/>
        <v>#N/A</v>
      </c>
      <c r="AG634" t="e">
        <f t="shared" si="67"/>
        <v>#N/A</v>
      </c>
      <c r="AH634" t="e">
        <f t="shared" si="68"/>
        <v>#N/A</v>
      </c>
      <c r="AI634">
        <f t="shared" si="69"/>
        <v>3.01</v>
      </c>
    </row>
    <row r="635" spans="1:35" x14ac:dyDescent="0.45">
      <c r="A635" t="s">
        <v>1930</v>
      </c>
      <c r="B635">
        <v>75</v>
      </c>
      <c r="C635" t="s">
        <v>27</v>
      </c>
      <c r="D635" t="s">
        <v>45</v>
      </c>
      <c r="E635" t="s">
        <v>78</v>
      </c>
      <c r="F635" t="s">
        <v>79</v>
      </c>
      <c r="G635" t="s">
        <v>80</v>
      </c>
      <c r="H635" t="s">
        <v>61</v>
      </c>
      <c r="I635" t="s">
        <v>33</v>
      </c>
      <c r="J635" t="s">
        <v>1931</v>
      </c>
      <c r="K635" t="s">
        <v>1932</v>
      </c>
      <c r="L635" t="s">
        <v>64</v>
      </c>
      <c r="M635" t="s">
        <v>2655</v>
      </c>
      <c r="N635" t="s">
        <v>142</v>
      </c>
      <c r="O635" t="s">
        <v>64</v>
      </c>
      <c r="P635" t="s">
        <v>110</v>
      </c>
      <c r="Q635" t="s">
        <v>129</v>
      </c>
      <c r="R635">
        <v>94</v>
      </c>
      <c r="S635">
        <v>0</v>
      </c>
      <c r="T635" t="s">
        <v>85</v>
      </c>
      <c r="U635" t="s">
        <v>42</v>
      </c>
      <c r="V635">
        <v>2.75</v>
      </c>
      <c r="W635">
        <v>4.3600000000000003</v>
      </c>
      <c r="X635">
        <v>2.4</v>
      </c>
      <c r="Y635">
        <v>6.4</v>
      </c>
      <c r="Z635">
        <v>10.6</v>
      </c>
      <c r="AA635">
        <f>VALUE(SUBSTITUTE(DACS19___Pfizer’s_Personalised_Medicine_in[[#This Row],[Dose]],"mg",""))</f>
        <v>150</v>
      </c>
      <c r="AB635">
        <f t="shared" si="63"/>
        <v>150</v>
      </c>
      <c r="AC635" t="s">
        <v>129</v>
      </c>
      <c r="AD635">
        <f t="shared" si="64"/>
        <v>4</v>
      </c>
      <c r="AE635">
        <f t="shared" si="65"/>
        <v>1</v>
      </c>
      <c r="AF635">
        <f t="shared" si="66"/>
        <v>4.3600000000000003</v>
      </c>
      <c r="AG635" t="e">
        <f t="shared" si="67"/>
        <v>#N/A</v>
      </c>
      <c r="AH635" t="e">
        <f t="shared" si="68"/>
        <v>#N/A</v>
      </c>
      <c r="AI635" t="e">
        <f t="shared" si="69"/>
        <v>#N/A</v>
      </c>
    </row>
    <row r="636" spans="1:35" x14ac:dyDescent="0.45">
      <c r="A636" t="s">
        <v>1934</v>
      </c>
      <c r="B636">
        <v>84</v>
      </c>
      <c r="C636" t="s">
        <v>44</v>
      </c>
      <c r="D636" t="s">
        <v>106</v>
      </c>
      <c r="E636" t="s">
        <v>78</v>
      </c>
      <c r="F636" t="s">
        <v>79</v>
      </c>
      <c r="G636" t="s">
        <v>118</v>
      </c>
      <c r="H636" t="s">
        <v>32</v>
      </c>
      <c r="I636" t="s">
        <v>132</v>
      </c>
      <c r="J636" t="s">
        <v>1297</v>
      </c>
      <c r="K636" t="s">
        <v>1935</v>
      </c>
      <c r="L636" t="s">
        <v>92</v>
      </c>
      <c r="M636" t="s">
        <v>40</v>
      </c>
      <c r="N636" t="s">
        <v>1565</v>
      </c>
      <c r="O636" t="s">
        <v>92</v>
      </c>
      <c r="P636" t="s">
        <v>39</v>
      </c>
      <c r="Q636" t="s">
        <v>129</v>
      </c>
      <c r="R636">
        <v>129</v>
      </c>
      <c r="S636">
        <v>1</v>
      </c>
      <c r="T636" t="s">
        <v>41</v>
      </c>
      <c r="U636" t="s">
        <v>57</v>
      </c>
      <c r="V636">
        <v>1.95</v>
      </c>
      <c r="W636">
        <v>1.2</v>
      </c>
      <c r="X636">
        <v>7.5</v>
      </c>
      <c r="Y636">
        <v>8</v>
      </c>
      <c r="Z636">
        <v>13.3</v>
      </c>
      <c r="AA636">
        <f>VALUE(SUBSTITUTE(DACS19___Pfizer’s_Personalised_Medicine_in[[#This Row],[Dose]],"mg",""))</f>
        <v>50</v>
      </c>
      <c r="AB636">
        <f t="shared" si="63"/>
        <v>50</v>
      </c>
      <c r="AC636" t="s">
        <v>129</v>
      </c>
      <c r="AD636">
        <f t="shared" si="64"/>
        <v>4</v>
      </c>
      <c r="AE636">
        <f t="shared" si="65"/>
        <v>3</v>
      </c>
      <c r="AF636" t="e">
        <f t="shared" si="66"/>
        <v>#N/A</v>
      </c>
      <c r="AG636" t="e">
        <f t="shared" si="67"/>
        <v>#N/A</v>
      </c>
      <c r="AH636">
        <f t="shared" si="68"/>
        <v>1.2</v>
      </c>
      <c r="AI636" t="e">
        <f t="shared" si="69"/>
        <v>#N/A</v>
      </c>
    </row>
    <row r="637" spans="1:35" x14ac:dyDescent="0.45">
      <c r="A637" t="s">
        <v>1936</v>
      </c>
      <c r="B637">
        <v>23</v>
      </c>
      <c r="C637" t="s">
        <v>44</v>
      </c>
      <c r="D637" t="s">
        <v>106</v>
      </c>
      <c r="E637" t="s">
        <v>46</v>
      </c>
      <c r="F637" t="s">
        <v>69</v>
      </c>
      <c r="G637" t="s">
        <v>70</v>
      </c>
      <c r="H637" t="s">
        <v>71</v>
      </c>
      <c r="I637" t="s">
        <v>33</v>
      </c>
      <c r="J637" t="s">
        <v>1937</v>
      </c>
      <c r="K637" t="s">
        <v>1938</v>
      </c>
      <c r="L637" t="s">
        <v>52</v>
      </c>
      <c r="M637" t="s">
        <v>362</v>
      </c>
      <c r="N637" t="s">
        <v>1696</v>
      </c>
      <c r="O637" t="s">
        <v>52</v>
      </c>
      <c r="P637" t="s">
        <v>55</v>
      </c>
      <c r="Q637" t="s">
        <v>40</v>
      </c>
      <c r="R637">
        <v>35</v>
      </c>
      <c r="S637">
        <v>0</v>
      </c>
      <c r="T637" t="s">
        <v>85</v>
      </c>
      <c r="U637" t="s">
        <v>57</v>
      </c>
      <c r="V637">
        <v>2.12</v>
      </c>
      <c r="W637">
        <v>1.69</v>
      </c>
      <c r="X637">
        <v>4.4000000000000004</v>
      </c>
      <c r="Y637">
        <v>20.399999999999999</v>
      </c>
      <c r="Z637">
        <v>9.6999999999999993</v>
      </c>
      <c r="AA637">
        <f>VALUE(SUBSTITUTE(DACS19___Pfizer’s_Personalised_Medicine_in[[#This Row],[Dose]],"mg",""))</f>
        <v>100</v>
      </c>
      <c r="AB637">
        <f t="shared" si="63"/>
        <v>100</v>
      </c>
      <c r="AC637" t="s">
        <v>40</v>
      </c>
      <c r="AD637">
        <f t="shared" si="64"/>
        <v>3</v>
      </c>
      <c r="AE637">
        <f t="shared" si="65"/>
        <v>2</v>
      </c>
      <c r="AF637" t="e">
        <f t="shared" si="66"/>
        <v>#N/A</v>
      </c>
      <c r="AG637">
        <f t="shared" si="67"/>
        <v>1.69</v>
      </c>
      <c r="AH637" t="e">
        <f t="shared" si="68"/>
        <v>#N/A</v>
      </c>
      <c r="AI637" t="e">
        <f t="shared" si="69"/>
        <v>#N/A</v>
      </c>
    </row>
    <row r="638" spans="1:35" x14ac:dyDescent="0.45">
      <c r="A638" t="s">
        <v>1939</v>
      </c>
      <c r="B638">
        <v>31</v>
      </c>
      <c r="C638" t="s">
        <v>44</v>
      </c>
      <c r="D638" t="s">
        <v>95</v>
      </c>
      <c r="E638" t="s">
        <v>163</v>
      </c>
      <c r="F638" t="s">
        <v>69</v>
      </c>
      <c r="G638" t="s">
        <v>48</v>
      </c>
      <c r="H638" t="s">
        <v>61</v>
      </c>
      <c r="I638" t="s">
        <v>49</v>
      </c>
      <c r="J638" t="s">
        <v>1940</v>
      </c>
      <c r="K638" t="s">
        <v>1713</v>
      </c>
      <c r="L638" t="s">
        <v>36</v>
      </c>
      <c r="M638" t="s">
        <v>155</v>
      </c>
      <c r="N638" t="s">
        <v>146</v>
      </c>
      <c r="O638" t="s">
        <v>36</v>
      </c>
      <c r="P638" t="s">
        <v>39</v>
      </c>
      <c r="Q638" t="s">
        <v>129</v>
      </c>
      <c r="R638">
        <v>71</v>
      </c>
      <c r="S638">
        <v>1</v>
      </c>
      <c r="T638" t="s">
        <v>123</v>
      </c>
      <c r="U638" t="s">
        <v>42</v>
      </c>
      <c r="V638">
        <v>4</v>
      </c>
      <c r="W638">
        <v>1.5</v>
      </c>
      <c r="X638">
        <v>8</v>
      </c>
      <c r="Y638">
        <v>10.3</v>
      </c>
      <c r="Z638">
        <v>14.5</v>
      </c>
      <c r="AA638">
        <f>VALUE(SUBSTITUTE(DACS19___Pfizer’s_Personalised_Medicine_in[[#This Row],[Dose]],"mg",""))</f>
        <v>200</v>
      </c>
      <c r="AB638">
        <f t="shared" si="63"/>
        <v>200</v>
      </c>
      <c r="AC638" t="s">
        <v>129</v>
      </c>
      <c r="AD638">
        <f t="shared" si="64"/>
        <v>4</v>
      </c>
      <c r="AE638">
        <f t="shared" si="65"/>
        <v>3</v>
      </c>
      <c r="AF638">
        <f t="shared" si="66"/>
        <v>1.5</v>
      </c>
      <c r="AG638" t="e">
        <f t="shared" si="67"/>
        <v>#N/A</v>
      </c>
      <c r="AH638" t="e">
        <f t="shared" si="68"/>
        <v>#N/A</v>
      </c>
      <c r="AI638" t="e">
        <f t="shared" si="69"/>
        <v>#N/A</v>
      </c>
    </row>
    <row r="639" spans="1:35" x14ac:dyDescent="0.45">
      <c r="A639" t="s">
        <v>1941</v>
      </c>
      <c r="B639">
        <v>43</v>
      </c>
      <c r="C639" t="s">
        <v>44</v>
      </c>
      <c r="D639" t="s">
        <v>45</v>
      </c>
      <c r="E639" t="s">
        <v>2614</v>
      </c>
      <c r="F639" t="s">
        <v>2614</v>
      </c>
      <c r="G639" t="s">
        <v>70</v>
      </c>
      <c r="H639" t="s">
        <v>61</v>
      </c>
      <c r="I639" t="s">
        <v>72</v>
      </c>
      <c r="J639" t="s">
        <v>51</v>
      </c>
      <c r="K639" t="s">
        <v>1942</v>
      </c>
      <c r="L639" t="s">
        <v>92</v>
      </c>
      <c r="M639" t="s">
        <v>67</v>
      </c>
      <c r="N639" t="s">
        <v>714</v>
      </c>
      <c r="O639" t="s">
        <v>92</v>
      </c>
      <c r="P639" t="s">
        <v>55</v>
      </c>
      <c r="Q639" t="s">
        <v>67</v>
      </c>
      <c r="R639">
        <v>130</v>
      </c>
      <c r="S639">
        <v>0</v>
      </c>
      <c r="T639" t="s">
        <v>123</v>
      </c>
      <c r="U639" t="s">
        <v>57</v>
      </c>
      <c r="V639">
        <v>3.26</v>
      </c>
      <c r="W639">
        <v>4.72</v>
      </c>
      <c r="X639">
        <v>4.5</v>
      </c>
      <c r="Y639">
        <v>7.2</v>
      </c>
      <c r="Z639">
        <v>3.3</v>
      </c>
      <c r="AA639">
        <f>VALUE(SUBSTITUTE(DACS19___Pfizer’s_Personalised_Medicine_in[[#This Row],[Dose]],"mg",""))</f>
        <v>50</v>
      </c>
      <c r="AB639">
        <f t="shared" si="63"/>
        <v>50</v>
      </c>
      <c r="AC639" t="s">
        <v>67</v>
      </c>
      <c r="AD639">
        <f t="shared" si="64"/>
        <v>2</v>
      </c>
      <c r="AE639">
        <f t="shared" si="65"/>
        <v>2</v>
      </c>
      <c r="AF639">
        <f t="shared" si="66"/>
        <v>4.72</v>
      </c>
      <c r="AG639" t="e">
        <f t="shared" si="67"/>
        <v>#N/A</v>
      </c>
      <c r="AH639" t="e">
        <f t="shared" si="68"/>
        <v>#N/A</v>
      </c>
      <c r="AI639" t="e">
        <f t="shared" si="69"/>
        <v>#N/A</v>
      </c>
    </row>
    <row r="640" spans="1:35" x14ac:dyDescent="0.45">
      <c r="A640" t="s">
        <v>1943</v>
      </c>
      <c r="B640">
        <v>25</v>
      </c>
      <c r="C640" t="s">
        <v>45</v>
      </c>
      <c r="D640" t="s">
        <v>87</v>
      </c>
      <c r="E640" t="s">
        <v>163</v>
      </c>
      <c r="F640" t="s">
        <v>2614</v>
      </c>
      <c r="G640" t="s">
        <v>184</v>
      </c>
      <c r="H640" t="s">
        <v>61</v>
      </c>
      <c r="I640" t="s">
        <v>132</v>
      </c>
      <c r="J640" t="s">
        <v>425</v>
      </c>
      <c r="K640" t="s">
        <v>545</v>
      </c>
      <c r="L640" t="s">
        <v>52</v>
      </c>
      <c r="M640" t="s">
        <v>40</v>
      </c>
      <c r="N640" t="s">
        <v>192</v>
      </c>
      <c r="O640" t="s">
        <v>52</v>
      </c>
      <c r="P640" t="s">
        <v>55</v>
      </c>
      <c r="Q640" t="s">
        <v>67</v>
      </c>
      <c r="R640">
        <v>55</v>
      </c>
      <c r="S640">
        <v>0</v>
      </c>
      <c r="T640" t="s">
        <v>41</v>
      </c>
      <c r="U640" t="s">
        <v>57</v>
      </c>
      <c r="V640">
        <v>4.3099999999999996</v>
      </c>
      <c r="W640">
        <v>3.1</v>
      </c>
      <c r="X640">
        <v>8</v>
      </c>
      <c r="Y640">
        <v>10.199999999999999</v>
      </c>
      <c r="Z640">
        <v>8.9</v>
      </c>
      <c r="AA640">
        <f>VALUE(SUBSTITUTE(DACS19___Pfizer’s_Personalised_Medicine_in[[#This Row],[Dose]],"mg",""))</f>
        <v>100</v>
      </c>
      <c r="AB640">
        <f t="shared" si="63"/>
        <v>100</v>
      </c>
      <c r="AC640" t="s">
        <v>67</v>
      </c>
      <c r="AD640">
        <f t="shared" si="64"/>
        <v>2</v>
      </c>
      <c r="AE640">
        <f t="shared" si="65"/>
        <v>2</v>
      </c>
      <c r="AF640">
        <f t="shared" si="66"/>
        <v>3.1</v>
      </c>
      <c r="AG640" t="e">
        <f t="shared" si="67"/>
        <v>#N/A</v>
      </c>
      <c r="AH640" t="e">
        <f t="shared" si="68"/>
        <v>#N/A</v>
      </c>
      <c r="AI640" t="e">
        <f t="shared" si="69"/>
        <v>#N/A</v>
      </c>
    </row>
    <row r="641" spans="1:35" x14ac:dyDescent="0.45">
      <c r="A641" t="s">
        <v>1944</v>
      </c>
      <c r="B641">
        <v>27</v>
      </c>
      <c r="C641" t="s">
        <v>27</v>
      </c>
      <c r="D641" t="s">
        <v>106</v>
      </c>
      <c r="E641" t="s">
        <v>29</v>
      </c>
      <c r="F641" t="s">
        <v>88</v>
      </c>
      <c r="G641" t="s">
        <v>70</v>
      </c>
      <c r="H641" t="s">
        <v>61</v>
      </c>
      <c r="I641" t="s">
        <v>72</v>
      </c>
      <c r="J641" t="s">
        <v>1945</v>
      </c>
      <c r="K641" t="s">
        <v>256</v>
      </c>
      <c r="L641" t="s">
        <v>64</v>
      </c>
      <c r="M641" t="s">
        <v>2614</v>
      </c>
      <c r="N641" t="s">
        <v>1544</v>
      </c>
      <c r="O641" t="s">
        <v>64</v>
      </c>
      <c r="P641" t="s">
        <v>39</v>
      </c>
      <c r="Q641" t="s">
        <v>40</v>
      </c>
      <c r="R641">
        <v>40</v>
      </c>
      <c r="S641">
        <v>1</v>
      </c>
      <c r="T641" t="s">
        <v>137</v>
      </c>
      <c r="U641" t="s">
        <v>57</v>
      </c>
      <c r="V641">
        <v>1.1200000000000001</v>
      </c>
      <c r="W641">
        <v>4.8499999999999996</v>
      </c>
      <c r="X641">
        <v>7</v>
      </c>
      <c r="Y641">
        <v>22.8</v>
      </c>
      <c r="Z641">
        <v>7.5</v>
      </c>
      <c r="AA641">
        <f>VALUE(SUBSTITUTE(DACS19___Pfizer’s_Personalised_Medicine_in[[#This Row],[Dose]],"mg",""))</f>
        <v>150</v>
      </c>
      <c r="AB641">
        <f t="shared" si="63"/>
        <v>150</v>
      </c>
      <c r="AC641" t="s">
        <v>40</v>
      </c>
      <c r="AD641">
        <f t="shared" si="64"/>
        <v>3</v>
      </c>
      <c r="AE641">
        <f t="shared" si="65"/>
        <v>3</v>
      </c>
      <c r="AF641">
        <f t="shared" si="66"/>
        <v>4.8499999999999996</v>
      </c>
      <c r="AG641" t="e">
        <f t="shared" si="67"/>
        <v>#N/A</v>
      </c>
      <c r="AH641" t="e">
        <f t="shared" si="68"/>
        <v>#N/A</v>
      </c>
      <c r="AI641" t="e">
        <f t="shared" si="69"/>
        <v>#N/A</v>
      </c>
    </row>
    <row r="642" spans="1:35" x14ac:dyDescent="0.45">
      <c r="A642" t="s">
        <v>1946</v>
      </c>
      <c r="B642">
        <v>21</v>
      </c>
      <c r="C642" t="s">
        <v>27</v>
      </c>
      <c r="D642" t="s">
        <v>28</v>
      </c>
      <c r="E642" t="s">
        <v>78</v>
      </c>
      <c r="F642" t="s">
        <v>79</v>
      </c>
      <c r="G642" t="s">
        <v>96</v>
      </c>
      <c r="H642" t="s">
        <v>81</v>
      </c>
      <c r="I642" t="s">
        <v>33</v>
      </c>
      <c r="J642" t="s">
        <v>768</v>
      </c>
      <c r="K642" t="s">
        <v>1682</v>
      </c>
      <c r="L642" t="s">
        <v>64</v>
      </c>
      <c r="M642" t="s">
        <v>135</v>
      </c>
      <c r="N642" t="s">
        <v>1115</v>
      </c>
      <c r="O642" t="s">
        <v>64</v>
      </c>
      <c r="P642" t="s">
        <v>39</v>
      </c>
      <c r="Q642" t="s">
        <v>40</v>
      </c>
      <c r="R642">
        <v>46</v>
      </c>
      <c r="S642">
        <v>1</v>
      </c>
      <c r="T642" t="s">
        <v>85</v>
      </c>
      <c r="U642" t="s">
        <v>42</v>
      </c>
      <c r="V642">
        <v>3.45</v>
      </c>
      <c r="W642">
        <v>3.71</v>
      </c>
      <c r="X642">
        <v>3.9</v>
      </c>
      <c r="Y642">
        <v>21.3</v>
      </c>
      <c r="Z642">
        <v>19.100000000000001</v>
      </c>
      <c r="AA642">
        <f>VALUE(SUBSTITUTE(DACS19___Pfizer’s_Personalised_Medicine_in[[#This Row],[Dose]],"mg",""))</f>
        <v>150</v>
      </c>
      <c r="AB642">
        <f t="shared" ref="AB642:AB705" si="70">VALUE(SUBSTITUTE(O642,"mg",""))</f>
        <v>150</v>
      </c>
      <c r="AC642" t="s">
        <v>40</v>
      </c>
      <c r="AD642">
        <f t="shared" ref="AD642:AD705" si="71">IF(Q642="","",IF(Q642="Dizziness",1,IF(Q642="Fatigue",2,IF(Q642="Headache",3,IF(Q642="Nausea",4,IF(Q642="Not Reported",0,""))))))</f>
        <v>3</v>
      </c>
      <c r="AE642">
        <f t="shared" ref="AE642:AE705" si="72">IF(P642="Deteriorated",1,IF(P642="No Change",2,IF(P642="Improved",3,0)))</f>
        <v>3</v>
      </c>
      <c r="AF642" t="e">
        <f t="shared" ref="AF642:AF705" si="73">IF($H642="DrugA",$W642,NA())</f>
        <v>#N/A</v>
      </c>
      <c r="AG642" t="e">
        <f t="shared" ref="AG642:AG705" si="74">IF($H642="DrugB",$W642,NA())</f>
        <v>#N/A</v>
      </c>
      <c r="AH642" t="e">
        <f t="shared" ref="AH642:AH705" si="75">IF($H642="DrugC",$W642,NA())</f>
        <v>#N/A</v>
      </c>
      <c r="AI642">
        <f t="shared" ref="AI642:AI705" si="76">IF($H642="DrugD",$W642,NA())</f>
        <v>3.71</v>
      </c>
    </row>
    <row r="643" spans="1:35" x14ac:dyDescent="0.45">
      <c r="A643" t="s">
        <v>1947</v>
      </c>
      <c r="B643">
        <v>36</v>
      </c>
      <c r="C643" t="s">
        <v>45</v>
      </c>
      <c r="D643" t="s">
        <v>87</v>
      </c>
      <c r="E643" t="s">
        <v>2614</v>
      </c>
      <c r="F643" t="s">
        <v>59</v>
      </c>
      <c r="G643" t="s">
        <v>440</v>
      </c>
      <c r="H643" t="s">
        <v>32</v>
      </c>
      <c r="I643" t="s">
        <v>132</v>
      </c>
      <c r="J643" t="s">
        <v>1158</v>
      </c>
      <c r="K643" t="s">
        <v>1948</v>
      </c>
      <c r="L643" t="s">
        <v>36</v>
      </c>
      <c r="M643" t="s">
        <v>2631</v>
      </c>
      <c r="N643" t="s">
        <v>595</v>
      </c>
      <c r="O643" t="s">
        <v>36</v>
      </c>
      <c r="P643" t="s">
        <v>110</v>
      </c>
      <c r="Q643" t="s">
        <v>75</v>
      </c>
      <c r="R643">
        <v>176</v>
      </c>
      <c r="S643">
        <v>0</v>
      </c>
      <c r="T643" t="s">
        <v>41</v>
      </c>
      <c r="U643" t="s">
        <v>57</v>
      </c>
      <c r="V643">
        <v>4.54</v>
      </c>
      <c r="W643">
        <v>3.96</v>
      </c>
      <c r="X643">
        <v>3.5</v>
      </c>
      <c r="Y643">
        <v>11.1</v>
      </c>
      <c r="Z643">
        <v>19.399999999999999</v>
      </c>
      <c r="AA643">
        <f>VALUE(SUBSTITUTE(DACS19___Pfizer’s_Personalised_Medicine_in[[#This Row],[Dose]],"mg",""))</f>
        <v>200</v>
      </c>
      <c r="AB643">
        <f t="shared" si="70"/>
        <v>200</v>
      </c>
      <c r="AC643" t="s">
        <v>75</v>
      </c>
      <c r="AD643">
        <f t="shared" si="71"/>
        <v>1</v>
      </c>
      <c r="AE643">
        <f t="shared" si="72"/>
        <v>1</v>
      </c>
      <c r="AF643" t="e">
        <f t="shared" si="73"/>
        <v>#N/A</v>
      </c>
      <c r="AG643" t="e">
        <f t="shared" si="74"/>
        <v>#N/A</v>
      </c>
      <c r="AH643">
        <f t="shared" si="75"/>
        <v>3.96</v>
      </c>
      <c r="AI643" t="e">
        <f t="shared" si="76"/>
        <v>#N/A</v>
      </c>
    </row>
    <row r="644" spans="1:35" x14ac:dyDescent="0.45">
      <c r="A644" t="s">
        <v>1949</v>
      </c>
      <c r="B644">
        <v>61</v>
      </c>
      <c r="C644" t="s">
        <v>27</v>
      </c>
      <c r="D644" t="s">
        <v>95</v>
      </c>
      <c r="E644" t="s">
        <v>2614</v>
      </c>
      <c r="F644" t="s">
        <v>2614</v>
      </c>
      <c r="G644" t="s">
        <v>152</v>
      </c>
      <c r="H644" t="s">
        <v>61</v>
      </c>
      <c r="I644" t="s">
        <v>132</v>
      </c>
      <c r="J644" t="s">
        <v>1950</v>
      </c>
      <c r="K644" t="s">
        <v>1951</v>
      </c>
      <c r="L644" t="s">
        <v>52</v>
      </c>
      <c r="M644" t="s">
        <v>2615</v>
      </c>
      <c r="N644" t="s">
        <v>235</v>
      </c>
      <c r="O644" t="s">
        <v>52</v>
      </c>
      <c r="P644" t="s">
        <v>39</v>
      </c>
      <c r="Q644" t="s">
        <v>2614</v>
      </c>
      <c r="R644">
        <v>108</v>
      </c>
      <c r="S644">
        <v>1</v>
      </c>
      <c r="T644" t="s">
        <v>41</v>
      </c>
      <c r="U644" t="s">
        <v>57</v>
      </c>
      <c r="V644">
        <v>1.04</v>
      </c>
      <c r="W644">
        <v>3.86</v>
      </c>
      <c r="X644">
        <v>7.4</v>
      </c>
      <c r="Y644">
        <v>17.2</v>
      </c>
      <c r="Z644">
        <v>19.8</v>
      </c>
      <c r="AA644">
        <f>VALUE(SUBSTITUTE(DACS19___Pfizer’s_Personalised_Medicine_in[[#This Row],[Dose]],"mg",""))</f>
        <v>100</v>
      </c>
      <c r="AB644">
        <f t="shared" si="70"/>
        <v>100</v>
      </c>
      <c r="AC644" t="s">
        <v>2614</v>
      </c>
      <c r="AD644">
        <f t="shared" si="71"/>
        <v>0</v>
      </c>
      <c r="AE644">
        <f t="shared" si="72"/>
        <v>3</v>
      </c>
      <c r="AF644">
        <f t="shared" si="73"/>
        <v>3.86</v>
      </c>
      <c r="AG644" t="e">
        <f t="shared" si="74"/>
        <v>#N/A</v>
      </c>
      <c r="AH644" t="e">
        <f t="shared" si="75"/>
        <v>#N/A</v>
      </c>
      <c r="AI644" t="e">
        <f t="shared" si="76"/>
        <v>#N/A</v>
      </c>
    </row>
    <row r="645" spans="1:35" x14ac:dyDescent="0.45">
      <c r="A645" t="s">
        <v>1952</v>
      </c>
      <c r="B645">
        <v>84</v>
      </c>
      <c r="C645" t="s">
        <v>45</v>
      </c>
      <c r="D645" t="s">
        <v>95</v>
      </c>
      <c r="E645" t="s">
        <v>2614</v>
      </c>
      <c r="F645" t="s">
        <v>47</v>
      </c>
      <c r="G645" t="s">
        <v>89</v>
      </c>
      <c r="H645" t="s">
        <v>71</v>
      </c>
      <c r="I645" t="s">
        <v>132</v>
      </c>
      <c r="J645" t="s">
        <v>1953</v>
      </c>
      <c r="K645" t="s">
        <v>1954</v>
      </c>
      <c r="L645" t="s">
        <v>64</v>
      </c>
      <c r="M645" t="s">
        <v>40</v>
      </c>
      <c r="N645" t="s">
        <v>788</v>
      </c>
      <c r="O645" t="s">
        <v>64</v>
      </c>
      <c r="P645" t="s">
        <v>110</v>
      </c>
      <c r="Q645" t="s">
        <v>67</v>
      </c>
      <c r="R645">
        <v>60</v>
      </c>
      <c r="S645">
        <v>0</v>
      </c>
      <c r="T645" t="s">
        <v>137</v>
      </c>
      <c r="U645" t="s">
        <v>42</v>
      </c>
      <c r="V645">
        <v>2.25</v>
      </c>
      <c r="W645">
        <v>2.36</v>
      </c>
      <c r="X645">
        <v>1.7</v>
      </c>
      <c r="Y645">
        <v>14</v>
      </c>
      <c r="Z645">
        <v>7.4</v>
      </c>
      <c r="AA645">
        <f>VALUE(SUBSTITUTE(DACS19___Pfizer’s_Personalised_Medicine_in[[#This Row],[Dose]],"mg",""))</f>
        <v>150</v>
      </c>
      <c r="AB645">
        <f t="shared" si="70"/>
        <v>150</v>
      </c>
      <c r="AC645" t="s">
        <v>67</v>
      </c>
      <c r="AD645">
        <f t="shared" si="71"/>
        <v>2</v>
      </c>
      <c r="AE645">
        <f t="shared" si="72"/>
        <v>1</v>
      </c>
      <c r="AF645" t="e">
        <f t="shared" si="73"/>
        <v>#N/A</v>
      </c>
      <c r="AG645">
        <f t="shared" si="74"/>
        <v>2.36</v>
      </c>
      <c r="AH645" t="e">
        <f t="shared" si="75"/>
        <v>#N/A</v>
      </c>
      <c r="AI645" t="e">
        <f t="shared" si="76"/>
        <v>#N/A</v>
      </c>
    </row>
    <row r="646" spans="1:35" x14ac:dyDescent="0.45">
      <c r="A646" t="s">
        <v>1955</v>
      </c>
      <c r="B646">
        <v>44</v>
      </c>
      <c r="C646" t="s">
        <v>45</v>
      </c>
      <c r="D646" t="s">
        <v>28</v>
      </c>
      <c r="E646" t="s">
        <v>46</v>
      </c>
      <c r="F646" t="s">
        <v>2614</v>
      </c>
      <c r="G646" t="s">
        <v>70</v>
      </c>
      <c r="H646" t="s">
        <v>32</v>
      </c>
      <c r="I646" t="s">
        <v>72</v>
      </c>
      <c r="J646" t="s">
        <v>1646</v>
      </c>
      <c r="K646" t="s">
        <v>1860</v>
      </c>
      <c r="L646" t="s">
        <v>36</v>
      </c>
      <c r="M646" t="s">
        <v>2638</v>
      </c>
      <c r="N646" t="s">
        <v>567</v>
      </c>
      <c r="O646" t="s">
        <v>36</v>
      </c>
      <c r="P646" t="s">
        <v>39</v>
      </c>
      <c r="Q646" t="s">
        <v>2614</v>
      </c>
      <c r="R646">
        <v>61</v>
      </c>
      <c r="S646">
        <v>1</v>
      </c>
      <c r="T646" t="s">
        <v>56</v>
      </c>
      <c r="U646" t="s">
        <v>57</v>
      </c>
      <c r="V646">
        <v>2.37</v>
      </c>
      <c r="W646">
        <v>4.34</v>
      </c>
      <c r="X646">
        <v>9.4</v>
      </c>
      <c r="Y646">
        <v>9.3000000000000007</v>
      </c>
      <c r="Z646">
        <v>9.3000000000000007</v>
      </c>
      <c r="AA646">
        <f>VALUE(SUBSTITUTE(DACS19___Pfizer’s_Personalised_Medicine_in[[#This Row],[Dose]],"mg",""))</f>
        <v>200</v>
      </c>
      <c r="AB646">
        <f t="shared" si="70"/>
        <v>200</v>
      </c>
      <c r="AC646" t="s">
        <v>2614</v>
      </c>
      <c r="AD646">
        <f t="shared" si="71"/>
        <v>0</v>
      </c>
      <c r="AE646">
        <f t="shared" si="72"/>
        <v>3</v>
      </c>
      <c r="AF646" t="e">
        <f t="shared" si="73"/>
        <v>#N/A</v>
      </c>
      <c r="AG646" t="e">
        <f t="shared" si="74"/>
        <v>#N/A</v>
      </c>
      <c r="AH646">
        <f t="shared" si="75"/>
        <v>4.34</v>
      </c>
      <c r="AI646" t="e">
        <f t="shared" si="76"/>
        <v>#N/A</v>
      </c>
    </row>
    <row r="647" spans="1:35" x14ac:dyDescent="0.45">
      <c r="A647" t="s">
        <v>1956</v>
      </c>
      <c r="B647">
        <v>18</v>
      </c>
      <c r="C647" t="s">
        <v>27</v>
      </c>
      <c r="D647" t="s">
        <v>106</v>
      </c>
      <c r="E647" t="s">
        <v>2614</v>
      </c>
      <c r="F647" t="s">
        <v>2614</v>
      </c>
      <c r="G647" t="s">
        <v>440</v>
      </c>
      <c r="H647" t="s">
        <v>32</v>
      </c>
      <c r="I647" t="s">
        <v>33</v>
      </c>
      <c r="J647" t="s">
        <v>1957</v>
      </c>
      <c r="K647" t="s">
        <v>1958</v>
      </c>
      <c r="L647" t="s">
        <v>36</v>
      </c>
      <c r="M647" t="s">
        <v>723</v>
      </c>
      <c r="N647" t="s">
        <v>582</v>
      </c>
      <c r="O647" t="s">
        <v>36</v>
      </c>
      <c r="P647" t="s">
        <v>55</v>
      </c>
      <c r="Q647" t="s">
        <v>129</v>
      </c>
      <c r="R647">
        <v>65</v>
      </c>
      <c r="S647">
        <v>0</v>
      </c>
      <c r="T647" t="s">
        <v>41</v>
      </c>
      <c r="U647" t="s">
        <v>42</v>
      </c>
      <c r="V647">
        <v>4.71</v>
      </c>
      <c r="W647">
        <v>1.25</v>
      </c>
      <c r="X647">
        <v>1.8</v>
      </c>
      <c r="Y647">
        <v>8.9</v>
      </c>
      <c r="Z647">
        <v>13.1</v>
      </c>
      <c r="AA647">
        <f>VALUE(SUBSTITUTE(DACS19___Pfizer’s_Personalised_Medicine_in[[#This Row],[Dose]],"mg",""))</f>
        <v>200</v>
      </c>
      <c r="AB647">
        <f t="shared" si="70"/>
        <v>200</v>
      </c>
      <c r="AC647" t="s">
        <v>129</v>
      </c>
      <c r="AD647">
        <f t="shared" si="71"/>
        <v>4</v>
      </c>
      <c r="AE647">
        <f t="shared" si="72"/>
        <v>2</v>
      </c>
      <c r="AF647" t="e">
        <f t="shared" si="73"/>
        <v>#N/A</v>
      </c>
      <c r="AG647" t="e">
        <f t="shared" si="74"/>
        <v>#N/A</v>
      </c>
      <c r="AH647">
        <f t="shared" si="75"/>
        <v>1.25</v>
      </c>
      <c r="AI647" t="e">
        <f t="shared" si="76"/>
        <v>#N/A</v>
      </c>
    </row>
    <row r="648" spans="1:35" x14ac:dyDescent="0.45">
      <c r="A648" t="s">
        <v>1959</v>
      </c>
      <c r="B648">
        <v>64</v>
      </c>
      <c r="C648" t="s">
        <v>27</v>
      </c>
      <c r="D648" t="s">
        <v>87</v>
      </c>
      <c r="E648" t="s">
        <v>163</v>
      </c>
      <c r="F648" t="s">
        <v>69</v>
      </c>
      <c r="G648" t="s">
        <v>178</v>
      </c>
      <c r="H648" t="s">
        <v>32</v>
      </c>
      <c r="I648" t="s">
        <v>72</v>
      </c>
      <c r="J648" t="s">
        <v>1960</v>
      </c>
      <c r="K648" t="s">
        <v>774</v>
      </c>
      <c r="L648" t="s">
        <v>52</v>
      </c>
      <c r="M648" t="s">
        <v>75</v>
      </c>
      <c r="N648" t="s">
        <v>244</v>
      </c>
      <c r="O648" t="s">
        <v>52</v>
      </c>
      <c r="P648" t="s">
        <v>39</v>
      </c>
      <c r="Q648" t="s">
        <v>129</v>
      </c>
      <c r="R648">
        <v>116</v>
      </c>
      <c r="S648">
        <v>1</v>
      </c>
      <c r="T648" t="s">
        <v>85</v>
      </c>
      <c r="U648" t="s">
        <v>57</v>
      </c>
      <c r="V648">
        <v>1.6</v>
      </c>
      <c r="W648">
        <v>4.87</v>
      </c>
      <c r="X648">
        <v>5</v>
      </c>
      <c r="Y648">
        <v>15</v>
      </c>
      <c r="Z648">
        <v>7.2</v>
      </c>
      <c r="AA648">
        <f>VALUE(SUBSTITUTE(DACS19___Pfizer’s_Personalised_Medicine_in[[#This Row],[Dose]],"mg",""))</f>
        <v>100</v>
      </c>
      <c r="AB648">
        <f t="shared" si="70"/>
        <v>100</v>
      </c>
      <c r="AC648" t="s">
        <v>129</v>
      </c>
      <c r="AD648">
        <f t="shared" si="71"/>
        <v>4</v>
      </c>
      <c r="AE648">
        <f t="shared" si="72"/>
        <v>3</v>
      </c>
      <c r="AF648" t="e">
        <f t="shared" si="73"/>
        <v>#N/A</v>
      </c>
      <c r="AG648" t="e">
        <f t="shared" si="74"/>
        <v>#N/A</v>
      </c>
      <c r="AH648">
        <f t="shared" si="75"/>
        <v>4.87</v>
      </c>
      <c r="AI648" t="e">
        <f t="shared" si="76"/>
        <v>#N/A</v>
      </c>
    </row>
    <row r="649" spans="1:35" x14ac:dyDescent="0.45">
      <c r="A649" t="s">
        <v>1961</v>
      </c>
      <c r="B649">
        <v>54</v>
      </c>
      <c r="C649" t="s">
        <v>44</v>
      </c>
      <c r="D649" t="s">
        <v>106</v>
      </c>
      <c r="E649" t="s">
        <v>46</v>
      </c>
      <c r="F649" t="s">
        <v>69</v>
      </c>
      <c r="G649" t="s">
        <v>80</v>
      </c>
      <c r="H649" t="s">
        <v>32</v>
      </c>
      <c r="I649" t="s">
        <v>132</v>
      </c>
      <c r="J649" t="s">
        <v>1324</v>
      </c>
      <c r="K649" t="s">
        <v>1962</v>
      </c>
      <c r="L649" t="s">
        <v>64</v>
      </c>
      <c r="M649" t="s">
        <v>67</v>
      </c>
      <c r="N649" t="s">
        <v>1631</v>
      </c>
      <c r="O649" t="s">
        <v>64</v>
      </c>
      <c r="P649" t="s">
        <v>39</v>
      </c>
      <c r="Q649" t="s">
        <v>75</v>
      </c>
      <c r="R649">
        <v>34</v>
      </c>
      <c r="S649">
        <v>1</v>
      </c>
      <c r="T649" t="s">
        <v>41</v>
      </c>
      <c r="U649" t="s">
        <v>42</v>
      </c>
      <c r="V649">
        <v>2.88</v>
      </c>
      <c r="W649">
        <v>3.65</v>
      </c>
      <c r="X649">
        <v>7.8</v>
      </c>
      <c r="Y649">
        <v>19.600000000000001</v>
      </c>
      <c r="Z649">
        <v>12.8</v>
      </c>
      <c r="AA649">
        <f>VALUE(SUBSTITUTE(DACS19___Pfizer’s_Personalised_Medicine_in[[#This Row],[Dose]],"mg",""))</f>
        <v>150</v>
      </c>
      <c r="AB649">
        <f t="shared" si="70"/>
        <v>150</v>
      </c>
      <c r="AC649" t="s">
        <v>75</v>
      </c>
      <c r="AD649">
        <f t="shared" si="71"/>
        <v>1</v>
      </c>
      <c r="AE649">
        <f t="shared" si="72"/>
        <v>3</v>
      </c>
      <c r="AF649" t="e">
        <f t="shared" si="73"/>
        <v>#N/A</v>
      </c>
      <c r="AG649" t="e">
        <f t="shared" si="74"/>
        <v>#N/A</v>
      </c>
      <c r="AH649">
        <f t="shared" si="75"/>
        <v>3.65</v>
      </c>
      <c r="AI649" t="e">
        <f t="shared" si="76"/>
        <v>#N/A</v>
      </c>
    </row>
    <row r="650" spans="1:35" x14ac:dyDescent="0.45">
      <c r="A650" t="s">
        <v>1963</v>
      </c>
      <c r="B650">
        <v>52</v>
      </c>
      <c r="C650" t="s">
        <v>44</v>
      </c>
      <c r="D650" t="s">
        <v>87</v>
      </c>
      <c r="E650" t="s">
        <v>163</v>
      </c>
      <c r="F650" t="s">
        <v>47</v>
      </c>
      <c r="G650" t="s">
        <v>60</v>
      </c>
      <c r="H650" t="s">
        <v>71</v>
      </c>
      <c r="I650" t="s">
        <v>33</v>
      </c>
      <c r="J650" t="s">
        <v>1964</v>
      </c>
      <c r="K650" t="s">
        <v>1408</v>
      </c>
      <c r="L650" t="s">
        <v>64</v>
      </c>
      <c r="M650" t="s">
        <v>129</v>
      </c>
      <c r="N650" t="s">
        <v>852</v>
      </c>
      <c r="O650" t="s">
        <v>64</v>
      </c>
      <c r="P650" t="s">
        <v>110</v>
      </c>
      <c r="Q650" t="s">
        <v>2614</v>
      </c>
      <c r="R650">
        <v>141</v>
      </c>
      <c r="S650">
        <v>0</v>
      </c>
      <c r="T650" t="s">
        <v>85</v>
      </c>
      <c r="U650" t="s">
        <v>57</v>
      </c>
      <c r="V650">
        <v>4.62</v>
      </c>
      <c r="W650">
        <v>4.2699999999999996</v>
      </c>
      <c r="X650">
        <v>7.8</v>
      </c>
      <c r="Y650">
        <v>7</v>
      </c>
      <c r="Z650">
        <v>3.1</v>
      </c>
      <c r="AA650">
        <f>VALUE(SUBSTITUTE(DACS19___Pfizer’s_Personalised_Medicine_in[[#This Row],[Dose]],"mg",""))</f>
        <v>150</v>
      </c>
      <c r="AB650">
        <f t="shared" si="70"/>
        <v>150</v>
      </c>
      <c r="AC650" t="s">
        <v>2614</v>
      </c>
      <c r="AD650">
        <f t="shared" si="71"/>
        <v>0</v>
      </c>
      <c r="AE650">
        <f t="shared" si="72"/>
        <v>1</v>
      </c>
      <c r="AF650" t="e">
        <f t="shared" si="73"/>
        <v>#N/A</v>
      </c>
      <c r="AG650">
        <f t="shared" si="74"/>
        <v>4.2699999999999996</v>
      </c>
      <c r="AH650" t="e">
        <f t="shared" si="75"/>
        <v>#N/A</v>
      </c>
      <c r="AI650" t="e">
        <f t="shared" si="76"/>
        <v>#N/A</v>
      </c>
    </row>
    <row r="651" spans="1:35" x14ac:dyDescent="0.45">
      <c r="A651" t="s">
        <v>1965</v>
      </c>
      <c r="B651">
        <v>75</v>
      </c>
      <c r="C651" t="s">
        <v>27</v>
      </c>
      <c r="D651" t="s">
        <v>106</v>
      </c>
      <c r="E651" t="s">
        <v>163</v>
      </c>
      <c r="F651" t="s">
        <v>2614</v>
      </c>
      <c r="G651" t="s">
        <v>48</v>
      </c>
      <c r="H651" t="s">
        <v>81</v>
      </c>
      <c r="I651" t="s">
        <v>33</v>
      </c>
      <c r="J651" t="s">
        <v>1966</v>
      </c>
      <c r="K651" t="s">
        <v>580</v>
      </c>
      <c r="L651" t="s">
        <v>36</v>
      </c>
      <c r="M651" t="s">
        <v>75</v>
      </c>
      <c r="N651" t="s">
        <v>930</v>
      </c>
      <c r="O651" t="s">
        <v>36</v>
      </c>
      <c r="P651" t="s">
        <v>55</v>
      </c>
      <c r="Q651" t="s">
        <v>67</v>
      </c>
      <c r="R651">
        <v>155</v>
      </c>
      <c r="S651">
        <v>0</v>
      </c>
      <c r="T651" t="s">
        <v>56</v>
      </c>
      <c r="U651" t="s">
        <v>57</v>
      </c>
      <c r="V651">
        <v>1.85</v>
      </c>
      <c r="W651">
        <v>3.65</v>
      </c>
      <c r="X651">
        <v>4.7</v>
      </c>
      <c r="Y651">
        <v>13.2</v>
      </c>
      <c r="Z651">
        <v>18</v>
      </c>
      <c r="AA651">
        <f>VALUE(SUBSTITUTE(DACS19___Pfizer’s_Personalised_Medicine_in[[#This Row],[Dose]],"mg",""))</f>
        <v>200</v>
      </c>
      <c r="AB651">
        <f t="shared" si="70"/>
        <v>200</v>
      </c>
      <c r="AC651" t="s">
        <v>67</v>
      </c>
      <c r="AD651">
        <f t="shared" si="71"/>
        <v>2</v>
      </c>
      <c r="AE651">
        <f t="shared" si="72"/>
        <v>2</v>
      </c>
      <c r="AF651" t="e">
        <f t="shared" si="73"/>
        <v>#N/A</v>
      </c>
      <c r="AG651" t="e">
        <f t="shared" si="74"/>
        <v>#N/A</v>
      </c>
      <c r="AH651" t="e">
        <f t="shared" si="75"/>
        <v>#N/A</v>
      </c>
      <c r="AI651">
        <f t="shared" si="76"/>
        <v>3.65</v>
      </c>
    </row>
    <row r="652" spans="1:35" x14ac:dyDescent="0.45">
      <c r="A652" t="s">
        <v>1967</v>
      </c>
      <c r="B652">
        <v>59</v>
      </c>
      <c r="C652" t="s">
        <v>27</v>
      </c>
      <c r="D652" t="s">
        <v>95</v>
      </c>
      <c r="E652" t="s">
        <v>29</v>
      </c>
      <c r="F652" t="s">
        <v>2614</v>
      </c>
      <c r="G652" t="s">
        <v>440</v>
      </c>
      <c r="H652" t="s">
        <v>71</v>
      </c>
      <c r="I652" t="s">
        <v>132</v>
      </c>
      <c r="J652" t="s">
        <v>1465</v>
      </c>
      <c r="K652" t="s">
        <v>1968</v>
      </c>
      <c r="L652" t="s">
        <v>36</v>
      </c>
      <c r="M652" t="s">
        <v>40</v>
      </c>
      <c r="N652" t="s">
        <v>987</v>
      </c>
      <c r="O652" t="s">
        <v>36</v>
      </c>
      <c r="P652" t="s">
        <v>39</v>
      </c>
      <c r="Q652" t="s">
        <v>2614</v>
      </c>
      <c r="R652">
        <v>120</v>
      </c>
      <c r="S652">
        <v>1</v>
      </c>
      <c r="T652" t="s">
        <v>56</v>
      </c>
      <c r="U652" t="s">
        <v>57</v>
      </c>
      <c r="V652">
        <v>4.58</v>
      </c>
      <c r="W652">
        <v>4.6399999999999997</v>
      </c>
      <c r="X652">
        <v>3.8</v>
      </c>
      <c r="Y652">
        <v>18.399999999999999</v>
      </c>
      <c r="Z652">
        <v>7.6</v>
      </c>
      <c r="AA652">
        <f>VALUE(SUBSTITUTE(DACS19___Pfizer’s_Personalised_Medicine_in[[#This Row],[Dose]],"mg",""))</f>
        <v>200</v>
      </c>
      <c r="AB652">
        <f t="shared" si="70"/>
        <v>200</v>
      </c>
      <c r="AC652" t="s">
        <v>2614</v>
      </c>
      <c r="AD652">
        <f t="shared" si="71"/>
        <v>0</v>
      </c>
      <c r="AE652">
        <f t="shared" si="72"/>
        <v>3</v>
      </c>
      <c r="AF652" t="e">
        <f t="shared" si="73"/>
        <v>#N/A</v>
      </c>
      <c r="AG652">
        <f t="shared" si="74"/>
        <v>4.6399999999999997</v>
      </c>
      <c r="AH652" t="e">
        <f t="shared" si="75"/>
        <v>#N/A</v>
      </c>
      <c r="AI652" t="e">
        <f t="shared" si="76"/>
        <v>#N/A</v>
      </c>
    </row>
    <row r="653" spans="1:35" x14ac:dyDescent="0.45">
      <c r="A653" t="s">
        <v>1969</v>
      </c>
      <c r="B653">
        <v>49</v>
      </c>
      <c r="C653" t="s">
        <v>45</v>
      </c>
      <c r="D653" t="s">
        <v>28</v>
      </c>
      <c r="E653" t="s">
        <v>46</v>
      </c>
      <c r="F653" t="s">
        <v>47</v>
      </c>
      <c r="G653" t="s">
        <v>164</v>
      </c>
      <c r="H653" t="s">
        <v>71</v>
      </c>
      <c r="I653" t="s">
        <v>49</v>
      </c>
      <c r="J653" t="s">
        <v>174</v>
      </c>
      <c r="K653" t="s">
        <v>1970</v>
      </c>
      <c r="L653" t="s">
        <v>36</v>
      </c>
      <c r="M653" t="s">
        <v>2653</v>
      </c>
      <c r="N653" t="s">
        <v>626</v>
      </c>
      <c r="O653" t="s">
        <v>36</v>
      </c>
      <c r="P653" t="s">
        <v>55</v>
      </c>
      <c r="Q653" t="s">
        <v>40</v>
      </c>
      <c r="R653">
        <v>144</v>
      </c>
      <c r="S653">
        <v>0</v>
      </c>
      <c r="T653" t="s">
        <v>56</v>
      </c>
      <c r="U653" t="s">
        <v>42</v>
      </c>
      <c r="V653">
        <v>1.76</v>
      </c>
      <c r="W653">
        <v>1.74</v>
      </c>
      <c r="X653">
        <v>4.0999999999999996</v>
      </c>
      <c r="Y653">
        <v>13.7</v>
      </c>
      <c r="Z653">
        <v>17.100000000000001</v>
      </c>
      <c r="AA653">
        <f>VALUE(SUBSTITUTE(DACS19___Pfizer’s_Personalised_Medicine_in[[#This Row],[Dose]],"mg",""))</f>
        <v>200</v>
      </c>
      <c r="AB653">
        <f t="shared" si="70"/>
        <v>200</v>
      </c>
      <c r="AC653" t="s">
        <v>40</v>
      </c>
      <c r="AD653">
        <f t="shared" si="71"/>
        <v>3</v>
      </c>
      <c r="AE653">
        <f t="shared" si="72"/>
        <v>2</v>
      </c>
      <c r="AF653" t="e">
        <f t="shared" si="73"/>
        <v>#N/A</v>
      </c>
      <c r="AG653">
        <f t="shared" si="74"/>
        <v>1.74</v>
      </c>
      <c r="AH653" t="e">
        <f t="shared" si="75"/>
        <v>#N/A</v>
      </c>
      <c r="AI653" t="e">
        <f t="shared" si="76"/>
        <v>#N/A</v>
      </c>
    </row>
    <row r="654" spans="1:35" x14ac:dyDescent="0.45">
      <c r="A654" t="s">
        <v>1971</v>
      </c>
      <c r="B654">
        <v>73</v>
      </c>
      <c r="C654" t="s">
        <v>44</v>
      </c>
      <c r="D654" t="s">
        <v>28</v>
      </c>
      <c r="E654" t="s">
        <v>46</v>
      </c>
      <c r="F654" t="s">
        <v>59</v>
      </c>
      <c r="G654" t="s">
        <v>70</v>
      </c>
      <c r="H654" t="s">
        <v>71</v>
      </c>
      <c r="I654" t="s">
        <v>72</v>
      </c>
      <c r="J654" t="s">
        <v>114</v>
      </c>
      <c r="K654" t="s">
        <v>1972</v>
      </c>
      <c r="L654" t="s">
        <v>52</v>
      </c>
      <c r="M654" t="s">
        <v>40</v>
      </c>
      <c r="N654" t="s">
        <v>667</v>
      </c>
      <c r="O654" t="s">
        <v>52</v>
      </c>
      <c r="P654" t="s">
        <v>39</v>
      </c>
      <c r="Q654" t="s">
        <v>67</v>
      </c>
      <c r="R654">
        <v>53</v>
      </c>
      <c r="S654">
        <v>1</v>
      </c>
      <c r="T654" t="s">
        <v>41</v>
      </c>
      <c r="U654" t="s">
        <v>42</v>
      </c>
      <c r="V654">
        <v>1.48</v>
      </c>
      <c r="W654">
        <v>3.94</v>
      </c>
      <c r="X654">
        <v>5.8</v>
      </c>
      <c r="Y654">
        <v>11.2</v>
      </c>
      <c r="Z654">
        <v>11.4</v>
      </c>
      <c r="AA654">
        <f>VALUE(SUBSTITUTE(DACS19___Pfizer’s_Personalised_Medicine_in[[#This Row],[Dose]],"mg",""))</f>
        <v>100</v>
      </c>
      <c r="AB654">
        <f t="shared" si="70"/>
        <v>100</v>
      </c>
      <c r="AC654" t="s">
        <v>67</v>
      </c>
      <c r="AD654">
        <f t="shared" si="71"/>
        <v>2</v>
      </c>
      <c r="AE654">
        <f t="shared" si="72"/>
        <v>3</v>
      </c>
      <c r="AF654" t="e">
        <f t="shared" si="73"/>
        <v>#N/A</v>
      </c>
      <c r="AG654">
        <f t="shared" si="74"/>
        <v>3.94</v>
      </c>
      <c r="AH654" t="e">
        <f t="shared" si="75"/>
        <v>#N/A</v>
      </c>
      <c r="AI654" t="e">
        <f t="shared" si="76"/>
        <v>#N/A</v>
      </c>
    </row>
    <row r="655" spans="1:35" x14ac:dyDescent="0.45">
      <c r="A655" t="s">
        <v>1973</v>
      </c>
      <c r="B655">
        <v>24</v>
      </c>
      <c r="C655" t="s">
        <v>44</v>
      </c>
      <c r="D655" t="s">
        <v>87</v>
      </c>
      <c r="E655" t="s">
        <v>29</v>
      </c>
      <c r="F655" t="s">
        <v>2614</v>
      </c>
      <c r="G655" t="s">
        <v>440</v>
      </c>
      <c r="H655" t="s">
        <v>71</v>
      </c>
      <c r="I655" t="s">
        <v>132</v>
      </c>
      <c r="J655" t="s">
        <v>857</v>
      </c>
      <c r="K655" t="s">
        <v>1750</v>
      </c>
      <c r="L655" t="s">
        <v>52</v>
      </c>
      <c r="M655" t="s">
        <v>2615</v>
      </c>
      <c r="N655" t="s">
        <v>1132</v>
      </c>
      <c r="O655" t="s">
        <v>52</v>
      </c>
      <c r="P655" t="s">
        <v>39</v>
      </c>
      <c r="Q655" t="s">
        <v>67</v>
      </c>
      <c r="R655">
        <v>53</v>
      </c>
      <c r="S655">
        <v>1</v>
      </c>
      <c r="T655" t="s">
        <v>85</v>
      </c>
      <c r="U655" t="s">
        <v>42</v>
      </c>
      <c r="V655">
        <v>2.2000000000000002</v>
      </c>
      <c r="W655">
        <v>3.38</v>
      </c>
      <c r="X655">
        <v>4.9000000000000004</v>
      </c>
      <c r="Y655">
        <v>9</v>
      </c>
      <c r="Z655">
        <v>5</v>
      </c>
      <c r="AA655">
        <f>VALUE(SUBSTITUTE(DACS19___Pfizer’s_Personalised_Medicine_in[[#This Row],[Dose]],"mg",""))</f>
        <v>100</v>
      </c>
      <c r="AB655">
        <f t="shared" si="70"/>
        <v>100</v>
      </c>
      <c r="AC655" t="s">
        <v>67</v>
      </c>
      <c r="AD655">
        <f t="shared" si="71"/>
        <v>2</v>
      </c>
      <c r="AE655">
        <f t="shared" si="72"/>
        <v>3</v>
      </c>
      <c r="AF655" t="e">
        <f t="shared" si="73"/>
        <v>#N/A</v>
      </c>
      <c r="AG655">
        <f t="shared" si="74"/>
        <v>3.38</v>
      </c>
      <c r="AH655" t="e">
        <f t="shared" si="75"/>
        <v>#N/A</v>
      </c>
      <c r="AI655" t="e">
        <f t="shared" si="76"/>
        <v>#N/A</v>
      </c>
    </row>
    <row r="656" spans="1:35" x14ac:dyDescent="0.45">
      <c r="A656" t="s">
        <v>1974</v>
      </c>
      <c r="B656">
        <v>40</v>
      </c>
      <c r="C656" t="s">
        <v>44</v>
      </c>
      <c r="D656" t="s">
        <v>45</v>
      </c>
      <c r="E656" t="s">
        <v>78</v>
      </c>
      <c r="F656" t="s">
        <v>2614</v>
      </c>
      <c r="G656" t="s">
        <v>112</v>
      </c>
      <c r="H656" t="s">
        <v>71</v>
      </c>
      <c r="I656" t="s">
        <v>49</v>
      </c>
      <c r="J656" t="s">
        <v>1355</v>
      </c>
      <c r="K656" t="s">
        <v>949</v>
      </c>
      <c r="L656" t="s">
        <v>92</v>
      </c>
      <c r="M656" t="s">
        <v>2614</v>
      </c>
      <c r="N656" t="s">
        <v>598</v>
      </c>
      <c r="O656" t="s">
        <v>92</v>
      </c>
      <c r="P656" t="s">
        <v>110</v>
      </c>
      <c r="Q656" t="s">
        <v>129</v>
      </c>
      <c r="R656">
        <v>148</v>
      </c>
      <c r="S656">
        <v>0</v>
      </c>
      <c r="T656" t="s">
        <v>85</v>
      </c>
      <c r="U656" t="s">
        <v>57</v>
      </c>
      <c r="V656">
        <v>3.19</v>
      </c>
      <c r="W656">
        <v>4.6100000000000003</v>
      </c>
      <c r="X656">
        <v>4.0999999999999996</v>
      </c>
      <c r="Y656">
        <v>19.2</v>
      </c>
      <c r="Z656">
        <v>14.2</v>
      </c>
      <c r="AA656">
        <f>VALUE(SUBSTITUTE(DACS19___Pfizer’s_Personalised_Medicine_in[[#This Row],[Dose]],"mg",""))</f>
        <v>50</v>
      </c>
      <c r="AB656">
        <f t="shared" si="70"/>
        <v>50</v>
      </c>
      <c r="AC656" t="s">
        <v>129</v>
      </c>
      <c r="AD656">
        <f t="shared" si="71"/>
        <v>4</v>
      </c>
      <c r="AE656">
        <f t="shared" si="72"/>
        <v>1</v>
      </c>
      <c r="AF656" t="e">
        <f t="shared" si="73"/>
        <v>#N/A</v>
      </c>
      <c r="AG656">
        <f t="shared" si="74"/>
        <v>4.6100000000000003</v>
      </c>
      <c r="AH656" t="e">
        <f t="shared" si="75"/>
        <v>#N/A</v>
      </c>
      <c r="AI656" t="e">
        <f t="shared" si="76"/>
        <v>#N/A</v>
      </c>
    </row>
    <row r="657" spans="1:35" x14ac:dyDescent="0.45">
      <c r="A657" t="s">
        <v>1975</v>
      </c>
      <c r="B657">
        <v>40</v>
      </c>
      <c r="C657" t="s">
        <v>27</v>
      </c>
      <c r="D657" t="s">
        <v>45</v>
      </c>
      <c r="E657" t="s">
        <v>46</v>
      </c>
      <c r="F657" t="s">
        <v>88</v>
      </c>
      <c r="G657" t="s">
        <v>31</v>
      </c>
      <c r="H657" t="s">
        <v>71</v>
      </c>
      <c r="I657" t="s">
        <v>132</v>
      </c>
      <c r="J657" t="s">
        <v>1016</v>
      </c>
      <c r="K657" t="s">
        <v>74</v>
      </c>
      <c r="L657" t="s">
        <v>92</v>
      </c>
      <c r="M657" t="s">
        <v>339</v>
      </c>
      <c r="N657" t="s">
        <v>1904</v>
      </c>
      <c r="O657" t="s">
        <v>92</v>
      </c>
      <c r="P657" t="s">
        <v>55</v>
      </c>
      <c r="Q657" t="s">
        <v>67</v>
      </c>
      <c r="R657">
        <v>63</v>
      </c>
      <c r="S657">
        <v>0</v>
      </c>
      <c r="T657" t="s">
        <v>41</v>
      </c>
      <c r="U657" t="s">
        <v>57</v>
      </c>
      <c r="V657">
        <v>4.7300000000000004</v>
      </c>
      <c r="W657">
        <v>4.28</v>
      </c>
      <c r="X657">
        <v>6.1</v>
      </c>
      <c r="Y657">
        <v>17.8</v>
      </c>
      <c r="Z657">
        <v>18.3</v>
      </c>
      <c r="AA657">
        <f>VALUE(SUBSTITUTE(DACS19___Pfizer’s_Personalised_Medicine_in[[#This Row],[Dose]],"mg",""))</f>
        <v>50</v>
      </c>
      <c r="AB657">
        <f t="shared" si="70"/>
        <v>50</v>
      </c>
      <c r="AC657" t="s">
        <v>67</v>
      </c>
      <c r="AD657">
        <f t="shared" si="71"/>
        <v>2</v>
      </c>
      <c r="AE657">
        <f t="shared" si="72"/>
        <v>2</v>
      </c>
      <c r="AF657" t="e">
        <f t="shared" si="73"/>
        <v>#N/A</v>
      </c>
      <c r="AG657">
        <f t="shared" si="74"/>
        <v>4.28</v>
      </c>
      <c r="AH657" t="e">
        <f t="shared" si="75"/>
        <v>#N/A</v>
      </c>
      <c r="AI657" t="e">
        <f t="shared" si="76"/>
        <v>#N/A</v>
      </c>
    </row>
    <row r="658" spans="1:35" x14ac:dyDescent="0.45">
      <c r="A658" t="s">
        <v>1976</v>
      </c>
      <c r="B658">
        <v>53</v>
      </c>
      <c r="C658" t="s">
        <v>44</v>
      </c>
      <c r="D658" t="s">
        <v>106</v>
      </c>
      <c r="E658" t="s">
        <v>78</v>
      </c>
      <c r="F658" t="s">
        <v>88</v>
      </c>
      <c r="G658" t="s">
        <v>60</v>
      </c>
      <c r="H658" t="s">
        <v>71</v>
      </c>
      <c r="I658" t="s">
        <v>49</v>
      </c>
      <c r="J658" t="s">
        <v>1977</v>
      </c>
      <c r="K658" t="s">
        <v>330</v>
      </c>
      <c r="L658" t="s">
        <v>64</v>
      </c>
      <c r="M658" t="s">
        <v>378</v>
      </c>
      <c r="N658" t="s">
        <v>327</v>
      </c>
      <c r="O658" t="s">
        <v>64</v>
      </c>
      <c r="P658" t="s">
        <v>55</v>
      </c>
      <c r="Q658" t="s">
        <v>75</v>
      </c>
      <c r="R658">
        <v>168</v>
      </c>
      <c r="S658">
        <v>0</v>
      </c>
      <c r="T658" t="s">
        <v>56</v>
      </c>
      <c r="U658" t="s">
        <v>57</v>
      </c>
      <c r="V658">
        <v>2.6</v>
      </c>
      <c r="W658">
        <v>2.31</v>
      </c>
      <c r="X658">
        <v>1.1000000000000001</v>
      </c>
      <c r="Y658">
        <v>20.9</v>
      </c>
      <c r="Z658">
        <v>16.600000000000001</v>
      </c>
      <c r="AA658">
        <f>VALUE(SUBSTITUTE(DACS19___Pfizer’s_Personalised_Medicine_in[[#This Row],[Dose]],"mg",""))</f>
        <v>150</v>
      </c>
      <c r="AB658">
        <f t="shared" si="70"/>
        <v>150</v>
      </c>
      <c r="AC658" t="s">
        <v>75</v>
      </c>
      <c r="AD658">
        <f t="shared" si="71"/>
        <v>1</v>
      </c>
      <c r="AE658">
        <f t="shared" si="72"/>
        <v>2</v>
      </c>
      <c r="AF658" t="e">
        <f t="shared" si="73"/>
        <v>#N/A</v>
      </c>
      <c r="AG658">
        <f t="shared" si="74"/>
        <v>2.31</v>
      </c>
      <c r="AH658" t="e">
        <f t="shared" si="75"/>
        <v>#N/A</v>
      </c>
      <c r="AI658" t="e">
        <f t="shared" si="76"/>
        <v>#N/A</v>
      </c>
    </row>
    <row r="659" spans="1:35" x14ac:dyDescent="0.45">
      <c r="A659" t="s">
        <v>1978</v>
      </c>
      <c r="B659">
        <v>84</v>
      </c>
      <c r="C659" t="s">
        <v>44</v>
      </c>
      <c r="D659" t="s">
        <v>45</v>
      </c>
      <c r="E659" t="s">
        <v>29</v>
      </c>
      <c r="F659" t="s">
        <v>2614</v>
      </c>
      <c r="G659" t="s">
        <v>131</v>
      </c>
      <c r="H659" t="s">
        <v>32</v>
      </c>
      <c r="I659" t="s">
        <v>33</v>
      </c>
      <c r="J659" t="s">
        <v>1207</v>
      </c>
      <c r="K659" t="s">
        <v>1979</v>
      </c>
      <c r="L659" t="s">
        <v>52</v>
      </c>
      <c r="M659" t="s">
        <v>67</v>
      </c>
      <c r="N659" t="s">
        <v>622</v>
      </c>
      <c r="O659" t="s">
        <v>52</v>
      </c>
      <c r="P659" t="s">
        <v>110</v>
      </c>
      <c r="Q659" t="s">
        <v>2614</v>
      </c>
      <c r="R659">
        <v>106</v>
      </c>
      <c r="S659">
        <v>0</v>
      </c>
      <c r="T659" t="s">
        <v>123</v>
      </c>
      <c r="U659" t="s">
        <v>57</v>
      </c>
      <c r="V659">
        <v>1.42</v>
      </c>
      <c r="W659">
        <v>3.31</v>
      </c>
      <c r="X659">
        <v>5.2</v>
      </c>
      <c r="Y659">
        <v>8.1</v>
      </c>
      <c r="Z659">
        <v>19.7</v>
      </c>
      <c r="AA659">
        <f>VALUE(SUBSTITUTE(DACS19___Pfizer’s_Personalised_Medicine_in[[#This Row],[Dose]],"mg",""))</f>
        <v>100</v>
      </c>
      <c r="AB659">
        <f t="shared" si="70"/>
        <v>100</v>
      </c>
      <c r="AC659" t="s">
        <v>2614</v>
      </c>
      <c r="AD659">
        <f t="shared" si="71"/>
        <v>0</v>
      </c>
      <c r="AE659">
        <f t="shared" si="72"/>
        <v>1</v>
      </c>
      <c r="AF659" t="e">
        <f t="shared" si="73"/>
        <v>#N/A</v>
      </c>
      <c r="AG659" t="e">
        <f t="shared" si="74"/>
        <v>#N/A</v>
      </c>
      <c r="AH659">
        <f t="shared" si="75"/>
        <v>3.31</v>
      </c>
      <c r="AI659" t="e">
        <f t="shared" si="76"/>
        <v>#N/A</v>
      </c>
    </row>
    <row r="660" spans="1:35" x14ac:dyDescent="0.45">
      <c r="A660" t="s">
        <v>1980</v>
      </c>
      <c r="B660">
        <v>66</v>
      </c>
      <c r="C660" t="s">
        <v>44</v>
      </c>
      <c r="D660" t="s">
        <v>28</v>
      </c>
      <c r="E660" t="s">
        <v>2614</v>
      </c>
      <c r="F660" t="s">
        <v>47</v>
      </c>
      <c r="G660" t="s">
        <v>89</v>
      </c>
      <c r="H660" t="s">
        <v>61</v>
      </c>
      <c r="I660" t="s">
        <v>72</v>
      </c>
      <c r="J660" t="s">
        <v>824</v>
      </c>
      <c r="K660" t="s">
        <v>1153</v>
      </c>
      <c r="L660" t="s">
        <v>36</v>
      </c>
      <c r="M660" t="s">
        <v>2642</v>
      </c>
      <c r="N660" t="s">
        <v>843</v>
      </c>
      <c r="O660" t="s">
        <v>36</v>
      </c>
      <c r="P660" t="s">
        <v>39</v>
      </c>
      <c r="Q660" t="s">
        <v>129</v>
      </c>
      <c r="R660">
        <v>88</v>
      </c>
      <c r="S660">
        <v>1</v>
      </c>
      <c r="T660" t="s">
        <v>56</v>
      </c>
      <c r="U660" t="s">
        <v>57</v>
      </c>
      <c r="V660">
        <v>1.86</v>
      </c>
      <c r="W660">
        <v>1.27</v>
      </c>
      <c r="X660">
        <v>6.4</v>
      </c>
      <c r="Y660">
        <v>19.3</v>
      </c>
      <c r="Z660">
        <v>3.6</v>
      </c>
      <c r="AA660">
        <f>VALUE(SUBSTITUTE(DACS19___Pfizer’s_Personalised_Medicine_in[[#This Row],[Dose]],"mg",""))</f>
        <v>200</v>
      </c>
      <c r="AB660">
        <f t="shared" si="70"/>
        <v>200</v>
      </c>
      <c r="AC660" t="s">
        <v>129</v>
      </c>
      <c r="AD660">
        <f t="shared" si="71"/>
        <v>4</v>
      </c>
      <c r="AE660">
        <f t="shared" si="72"/>
        <v>3</v>
      </c>
      <c r="AF660">
        <f t="shared" si="73"/>
        <v>1.27</v>
      </c>
      <c r="AG660" t="e">
        <f t="shared" si="74"/>
        <v>#N/A</v>
      </c>
      <c r="AH660" t="e">
        <f t="shared" si="75"/>
        <v>#N/A</v>
      </c>
      <c r="AI660" t="e">
        <f t="shared" si="76"/>
        <v>#N/A</v>
      </c>
    </row>
    <row r="661" spans="1:35" x14ac:dyDescent="0.45">
      <c r="A661" t="s">
        <v>1981</v>
      </c>
      <c r="B661">
        <v>80</v>
      </c>
      <c r="C661" t="s">
        <v>44</v>
      </c>
      <c r="D661" t="s">
        <v>95</v>
      </c>
      <c r="E661" t="s">
        <v>78</v>
      </c>
      <c r="F661" t="s">
        <v>79</v>
      </c>
      <c r="G661" t="s">
        <v>440</v>
      </c>
      <c r="H661" t="s">
        <v>71</v>
      </c>
      <c r="I661" t="s">
        <v>33</v>
      </c>
      <c r="J661" t="s">
        <v>329</v>
      </c>
      <c r="K661" t="s">
        <v>752</v>
      </c>
      <c r="L661" t="s">
        <v>92</v>
      </c>
      <c r="M661" t="s">
        <v>2639</v>
      </c>
      <c r="N661" t="s">
        <v>954</v>
      </c>
      <c r="O661" t="s">
        <v>92</v>
      </c>
      <c r="P661" t="s">
        <v>55</v>
      </c>
      <c r="Q661" t="s">
        <v>40</v>
      </c>
      <c r="R661">
        <v>140</v>
      </c>
      <c r="S661">
        <v>0</v>
      </c>
      <c r="T661" t="s">
        <v>123</v>
      </c>
      <c r="U661" t="s">
        <v>57</v>
      </c>
      <c r="V661">
        <v>3.63</v>
      </c>
      <c r="W661">
        <v>3.13</v>
      </c>
      <c r="X661">
        <v>1.9</v>
      </c>
      <c r="Y661">
        <v>9.1</v>
      </c>
      <c r="Z661">
        <v>12.7</v>
      </c>
      <c r="AA661">
        <f>VALUE(SUBSTITUTE(DACS19___Pfizer’s_Personalised_Medicine_in[[#This Row],[Dose]],"mg",""))</f>
        <v>50</v>
      </c>
      <c r="AB661">
        <f t="shared" si="70"/>
        <v>50</v>
      </c>
      <c r="AC661" t="s">
        <v>40</v>
      </c>
      <c r="AD661">
        <f t="shared" si="71"/>
        <v>3</v>
      </c>
      <c r="AE661">
        <f t="shared" si="72"/>
        <v>2</v>
      </c>
      <c r="AF661" t="e">
        <f t="shared" si="73"/>
        <v>#N/A</v>
      </c>
      <c r="AG661">
        <f t="shared" si="74"/>
        <v>3.13</v>
      </c>
      <c r="AH661" t="e">
        <f t="shared" si="75"/>
        <v>#N/A</v>
      </c>
      <c r="AI661" t="e">
        <f t="shared" si="76"/>
        <v>#N/A</v>
      </c>
    </row>
    <row r="662" spans="1:35" x14ac:dyDescent="0.45">
      <c r="A662" t="s">
        <v>1982</v>
      </c>
      <c r="B662">
        <v>63</v>
      </c>
      <c r="C662" t="s">
        <v>45</v>
      </c>
      <c r="D662" t="s">
        <v>45</v>
      </c>
      <c r="E662" t="s">
        <v>78</v>
      </c>
      <c r="F662" t="s">
        <v>47</v>
      </c>
      <c r="G662" t="s">
        <v>125</v>
      </c>
      <c r="H662" t="s">
        <v>32</v>
      </c>
      <c r="I662" t="s">
        <v>132</v>
      </c>
      <c r="J662" t="s">
        <v>1983</v>
      </c>
      <c r="K662" t="s">
        <v>1984</v>
      </c>
      <c r="L662" t="s">
        <v>92</v>
      </c>
      <c r="M662" t="s">
        <v>67</v>
      </c>
      <c r="N662" t="s">
        <v>754</v>
      </c>
      <c r="O662" t="s">
        <v>92</v>
      </c>
      <c r="P662" t="s">
        <v>110</v>
      </c>
      <c r="Q662" t="s">
        <v>75</v>
      </c>
      <c r="R662">
        <v>99</v>
      </c>
      <c r="S662">
        <v>0</v>
      </c>
      <c r="T662" t="s">
        <v>123</v>
      </c>
      <c r="U662" t="s">
        <v>42</v>
      </c>
      <c r="V662">
        <v>2.19</v>
      </c>
      <c r="W662">
        <v>4.75</v>
      </c>
      <c r="X662">
        <v>8.4</v>
      </c>
      <c r="Y662">
        <v>23.7</v>
      </c>
      <c r="Z662">
        <v>7.4</v>
      </c>
      <c r="AA662">
        <f>VALUE(SUBSTITUTE(DACS19___Pfizer’s_Personalised_Medicine_in[[#This Row],[Dose]],"mg",""))</f>
        <v>50</v>
      </c>
      <c r="AB662">
        <f t="shared" si="70"/>
        <v>50</v>
      </c>
      <c r="AC662" t="s">
        <v>75</v>
      </c>
      <c r="AD662">
        <f t="shared" si="71"/>
        <v>1</v>
      </c>
      <c r="AE662">
        <f t="shared" si="72"/>
        <v>1</v>
      </c>
      <c r="AF662" t="e">
        <f t="shared" si="73"/>
        <v>#N/A</v>
      </c>
      <c r="AG662" t="e">
        <f t="shared" si="74"/>
        <v>#N/A</v>
      </c>
      <c r="AH662">
        <f t="shared" si="75"/>
        <v>4.75</v>
      </c>
      <c r="AI662" t="e">
        <f t="shared" si="76"/>
        <v>#N/A</v>
      </c>
    </row>
    <row r="663" spans="1:35" x14ac:dyDescent="0.45">
      <c r="A663" t="s">
        <v>1985</v>
      </c>
      <c r="B663">
        <v>83</v>
      </c>
      <c r="C663" t="s">
        <v>27</v>
      </c>
      <c r="D663" t="s">
        <v>45</v>
      </c>
      <c r="E663" t="s">
        <v>2614</v>
      </c>
      <c r="F663" t="s">
        <v>47</v>
      </c>
      <c r="G663" t="s">
        <v>31</v>
      </c>
      <c r="H663" t="s">
        <v>81</v>
      </c>
      <c r="I663" t="s">
        <v>132</v>
      </c>
      <c r="J663" t="s">
        <v>1986</v>
      </c>
      <c r="K663" t="s">
        <v>686</v>
      </c>
      <c r="L663" t="s">
        <v>92</v>
      </c>
      <c r="M663" t="s">
        <v>362</v>
      </c>
      <c r="N663" t="s">
        <v>136</v>
      </c>
      <c r="O663" t="s">
        <v>92</v>
      </c>
      <c r="P663" t="s">
        <v>55</v>
      </c>
      <c r="Q663" t="s">
        <v>40</v>
      </c>
      <c r="R663">
        <v>161</v>
      </c>
      <c r="S663">
        <v>0</v>
      </c>
      <c r="T663" t="s">
        <v>123</v>
      </c>
      <c r="U663" t="s">
        <v>42</v>
      </c>
      <c r="V663">
        <v>4.88</v>
      </c>
      <c r="W663">
        <v>2.72</v>
      </c>
      <c r="X663">
        <v>4.0999999999999996</v>
      </c>
      <c r="Y663">
        <v>6.9</v>
      </c>
      <c r="Z663">
        <v>3.9</v>
      </c>
      <c r="AA663">
        <f>VALUE(SUBSTITUTE(DACS19___Pfizer’s_Personalised_Medicine_in[[#This Row],[Dose]],"mg",""))</f>
        <v>50</v>
      </c>
      <c r="AB663">
        <f t="shared" si="70"/>
        <v>50</v>
      </c>
      <c r="AC663" t="s">
        <v>40</v>
      </c>
      <c r="AD663">
        <f t="shared" si="71"/>
        <v>3</v>
      </c>
      <c r="AE663">
        <f t="shared" si="72"/>
        <v>2</v>
      </c>
      <c r="AF663" t="e">
        <f t="shared" si="73"/>
        <v>#N/A</v>
      </c>
      <c r="AG663" t="e">
        <f t="shared" si="74"/>
        <v>#N/A</v>
      </c>
      <c r="AH663" t="e">
        <f t="shared" si="75"/>
        <v>#N/A</v>
      </c>
      <c r="AI663">
        <f t="shared" si="76"/>
        <v>2.72</v>
      </c>
    </row>
    <row r="664" spans="1:35" x14ac:dyDescent="0.45">
      <c r="A664" t="s">
        <v>1987</v>
      </c>
      <c r="B664">
        <v>37</v>
      </c>
      <c r="C664" t="s">
        <v>44</v>
      </c>
      <c r="D664" t="s">
        <v>28</v>
      </c>
      <c r="E664" t="s">
        <v>78</v>
      </c>
      <c r="F664" t="s">
        <v>2614</v>
      </c>
      <c r="G664" t="s">
        <v>184</v>
      </c>
      <c r="H664" t="s">
        <v>71</v>
      </c>
      <c r="I664" t="s">
        <v>72</v>
      </c>
      <c r="J664" t="s">
        <v>1903</v>
      </c>
      <c r="K664" t="s">
        <v>1988</v>
      </c>
      <c r="L664" t="s">
        <v>64</v>
      </c>
      <c r="M664" t="s">
        <v>37</v>
      </c>
      <c r="N664" t="s">
        <v>1989</v>
      </c>
      <c r="O664" t="s">
        <v>64</v>
      </c>
      <c r="P664" t="s">
        <v>55</v>
      </c>
      <c r="Q664" t="s">
        <v>129</v>
      </c>
      <c r="R664">
        <v>64</v>
      </c>
      <c r="S664">
        <v>0</v>
      </c>
      <c r="T664" t="s">
        <v>41</v>
      </c>
      <c r="U664" t="s">
        <v>57</v>
      </c>
      <c r="V664">
        <v>3.77</v>
      </c>
      <c r="W664">
        <v>2.83</v>
      </c>
      <c r="X664">
        <v>3</v>
      </c>
      <c r="Y664">
        <v>17.100000000000001</v>
      </c>
      <c r="Z664">
        <v>7.3</v>
      </c>
      <c r="AA664">
        <f>VALUE(SUBSTITUTE(DACS19___Pfizer’s_Personalised_Medicine_in[[#This Row],[Dose]],"mg",""))</f>
        <v>150</v>
      </c>
      <c r="AB664">
        <f t="shared" si="70"/>
        <v>150</v>
      </c>
      <c r="AC664" t="s">
        <v>129</v>
      </c>
      <c r="AD664">
        <f t="shared" si="71"/>
        <v>4</v>
      </c>
      <c r="AE664">
        <f t="shared" si="72"/>
        <v>2</v>
      </c>
      <c r="AF664" t="e">
        <f t="shared" si="73"/>
        <v>#N/A</v>
      </c>
      <c r="AG664">
        <f t="shared" si="74"/>
        <v>2.83</v>
      </c>
      <c r="AH664" t="e">
        <f t="shared" si="75"/>
        <v>#N/A</v>
      </c>
      <c r="AI664" t="e">
        <f t="shared" si="76"/>
        <v>#N/A</v>
      </c>
    </row>
    <row r="665" spans="1:35" x14ac:dyDescent="0.45">
      <c r="A665" t="s">
        <v>1990</v>
      </c>
      <c r="B665">
        <v>42</v>
      </c>
      <c r="C665" t="s">
        <v>44</v>
      </c>
      <c r="D665" t="s">
        <v>106</v>
      </c>
      <c r="E665" t="s">
        <v>78</v>
      </c>
      <c r="F665" t="s">
        <v>2614</v>
      </c>
      <c r="G665" t="s">
        <v>184</v>
      </c>
      <c r="H665" t="s">
        <v>71</v>
      </c>
      <c r="I665" t="s">
        <v>49</v>
      </c>
      <c r="J665" t="s">
        <v>1270</v>
      </c>
      <c r="K665" t="s">
        <v>1991</v>
      </c>
      <c r="L665" t="s">
        <v>64</v>
      </c>
      <c r="M665" t="s">
        <v>517</v>
      </c>
      <c r="N665" t="s">
        <v>305</v>
      </c>
      <c r="O665" t="s">
        <v>64</v>
      </c>
      <c r="P665" t="s">
        <v>39</v>
      </c>
      <c r="Q665" t="s">
        <v>40</v>
      </c>
      <c r="R665">
        <v>59</v>
      </c>
      <c r="S665">
        <v>1</v>
      </c>
      <c r="T665" t="s">
        <v>123</v>
      </c>
      <c r="U665" t="s">
        <v>57</v>
      </c>
      <c r="V665">
        <v>3.31</v>
      </c>
      <c r="W665">
        <v>2.44</v>
      </c>
      <c r="X665">
        <v>8.4</v>
      </c>
      <c r="Y665">
        <v>20.8</v>
      </c>
      <c r="Z665">
        <v>11.1</v>
      </c>
      <c r="AA665">
        <f>VALUE(SUBSTITUTE(DACS19___Pfizer’s_Personalised_Medicine_in[[#This Row],[Dose]],"mg",""))</f>
        <v>150</v>
      </c>
      <c r="AB665">
        <f t="shared" si="70"/>
        <v>150</v>
      </c>
      <c r="AC665" t="s">
        <v>40</v>
      </c>
      <c r="AD665">
        <f t="shared" si="71"/>
        <v>3</v>
      </c>
      <c r="AE665">
        <f t="shared" si="72"/>
        <v>3</v>
      </c>
      <c r="AF665" t="e">
        <f t="shared" si="73"/>
        <v>#N/A</v>
      </c>
      <c r="AG665">
        <f t="shared" si="74"/>
        <v>2.44</v>
      </c>
      <c r="AH665" t="e">
        <f t="shared" si="75"/>
        <v>#N/A</v>
      </c>
      <c r="AI665" t="e">
        <f t="shared" si="76"/>
        <v>#N/A</v>
      </c>
    </row>
    <row r="666" spans="1:35" x14ac:dyDescent="0.45">
      <c r="A666" t="s">
        <v>1992</v>
      </c>
      <c r="B666">
        <v>61</v>
      </c>
      <c r="C666" t="s">
        <v>45</v>
      </c>
      <c r="D666" t="s">
        <v>28</v>
      </c>
      <c r="E666" t="s">
        <v>78</v>
      </c>
      <c r="F666" t="s">
        <v>2614</v>
      </c>
      <c r="G666" t="s">
        <v>184</v>
      </c>
      <c r="H666" t="s">
        <v>32</v>
      </c>
      <c r="I666" t="s">
        <v>132</v>
      </c>
      <c r="J666" t="s">
        <v>1993</v>
      </c>
      <c r="K666" t="s">
        <v>1994</v>
      </c>
      <c r="L666" t="s">
        <v>64</v>
      </c>
      <c r="M666" t="s">
        <v>249</v>
      </c>
      <c r="N666" t="s">
        <v>1514</v>
      </c>
      <c r="O666" t="s">
        <v>64</v>
      </c>
      <c r="P666" t="s">
        <v>55</v>
      </c>
      <c r="Q666" t="s">
        <v>2614</v>
      </c>
      <c r="R666">
        <v>114</v>
      </c>
      <c r="S666">
        <v>0</v>
      </c>
      <c r="T666" t="s">
        <v>85</v>
      </c>
      <c r="U666" t="s">
        <v>57</v>
      </c>
      <c r="V666">
        <v>2.4</v>
      </c>
      <c r="W666">
        <v>2.4500000000000002</v>
      </c>
      <c r="X666">
        <v>8.3000000000000007</v>
      </c>
      <c r="Y666">
        <v>11.9</v>
      </c>
      <c r="Z666">
        <v>6.6</v>
      </c>
      <c r="AA666">
        <f>VALUE(SUBSTITUTE(DACS19___Pfizer’s_Personalised_Medicine_in[[#This Row],[Dose]],"mg",""))</f>
        <v>150</v>
      </c>
      <c r="AB666">
        <f t="shared" si="70"/>
        <v>150</v>
      </c>
      <c r="AC666" t="s">
        <v>2614</v>
      </c>
      <c r="AD666">
        <f t="shared" si="71"/>
        <v>0</v>
      </c>
      <c r="AE666">
        <f t="shared" si="72"/>
        <v>2</v>
      </c>
      <c r="AF666" t="e">
        <f t="shared" si="73"/>
        <v>#N/A</v>
      </c>
      <c r="AG666" t="e">
        <f t="shared" si="74"/>
        <v>#N/A</v>
      </c>
      <c r="AH666">
        <f t="shared" si="75"/>
        <v>2.4500000000000002</v>
      </c>
      <c r="AI666" t="e">
        <f t="shared" si="76"/>
        <v>#N/A</v>
      </c>
    </row>
    <row r="667" spans="1:35" x14ac:dyDescent="0.45">
      <c r="A667" t="s">
        <v>1995</v>
      </c>
      <c r="B667">
        <v>81</v>
      </c>
      <c r="C667" t="s">
        <v>45</v>
      </c>
      <c r="D667" t="s">
        <v>95</v>
      </c>
      <c r="E667" t="s">
        <v>163</v>
      </c>
      <c r="F667" t="s">
        <v>2614</v>
      </c>
      <c r="G667" t="s">
        <v>276</v>
      </c>
      <c r="H667" t="s">
        <v>32</v>
      </c>
      <c r="I667" t="s">
        <v>49</v>
      </c>
      <c r="J667" t="s">
        <v>1856</v>
      </c>
      <c r="K667" t="s">
        <v>411</v>
      </c>
      <c r="L667" t="s">
        <v>52</v>
      </c>
      <c r="M667" t="s">
        <v>40</v>
      </c>
      <c r="N667" t="s">
        <v>690</v>
      </c>
      <c r="O667" t="s">
        <v>52</v>
      </c>
      <c r="P667" t="s">
        <v>39</v>
      </c>
      <c r="Q667" t="s">
        <v>75</v>
      </c>
      <c r="R667">
        <v>159</v>
      </c>
      <c r="S667">
        <v>1</v>
      </c>
      <c r="T667" t="s">
        <v>137</v>
      </c>
      <c r="U667" t="s">
        <v>57</v>
      </c>
      <c r="V667">
        <v>1.34</v>
      </c>
      <c r="W667">
        <v>2.87</v>
      </c>
      <c r="X667">
        <v>5.3</v>
      </c>
      <c r="Y667">
        <v>21.1</v>
      </c>
      <c r="Z667">
        <v>6.8</v>
      </c>
      <c r="AA667">
        <f>VALUE(SUBSTITUTE(DACS19___Pfizer’s_Personalised_Medicine_in[[#This Row],[Dose]],"mg",""))</f>
        <v>100</v>
      </c>
      <c r="AB667">
        <f t="shared" si="70"/>
        <v>100</v>
      </c>
      <c r="AC667" t="s">
        <v>75</v>
      </c>
      <c r="AD667">
        <f t="shared" si="71"/>
        <v>1</v>
      </c>
      <c r="AE667">
        <f t="shared" si="72"/>
        <v>3</v>
      </c>
      <c r="AF667" t="e">
        <f t="shared" si="73"/>
        <v>#N/A</v>
      </c>
      <c r="AG667" t="e">
        <f t="shared" si="74"/>
        <v>#N/A</v>
      </c>
      <c r="AH667">
        <f t="shared" si="75"/>
        <v>2.87</v>
      </c>
      <c r="AI667" t="e">
        <f t="shared" si="76"/>
        <v>#N/A</v>
      </c>
    </row>
    <row r="668" spans="1:35" x14ac:dyDescent="0.45">
      <c r="A668" t="s">
        <v>1996</v>
      </c>
      <c r="B668">
        <v>69</v>
      </c>
      <c r="C668" t="s">
        <v>44</v>
      </c>
      <c r="D668" t="s">
        <v>45</v>
      </c>
      <c r="E668" t="s">
        <v>2614</v>
      </c>
      <c r="F668" t="s">
        <v>79</v>
      </c>
      <c r="G668" t="s">
        <v>112</v>
      </c>
      <c r="H668" t="s">
        <v>81</v>
      </c>
      <c r="I668" t="s">
        <v>49</v>
      </c>
      <c r="J668" t="s">
        <v>1997</v>
      </c>
      <c r="K668" t="s">
        <v>1106</v>
      </c>
      <c r="L668" t="s">
        <v>36</v>
      </c>
      <c r="M668" t="s">
        <v>40</v>
      </c>
      <c r="N668" t="s">
        <v>1667</v>
      </c>
      <c r="O668" t="s">
        <v>36</v>
      </c>
      <c r="P668" t="s">
        <v>39</v>
      </c>
      <c r="Q668" t="s">
        <v>2614</v>
      </c>
      <c r="R668">
        <v>124</v>
      </c>
      <c r="S668">
        <v>1</v>
      </c>
      <c r="T668" t="s">
        <v>123</v>
      </c>
      <c r="U668" t="s">
        <v>57</v>
      </c>
      <c r="V668">
        <v>2.52</v>
      </c>
      <c r="W668">
        <v>4.2300000000000004</v>
      </c>
      <c r="X668">
        <v>8.4</v>
      </c>
      <c r="Y668">
        <v>12.9</v>
      </c>
      <c r="Z668">
        <v>10.8</v>
      </c>
      <c r="AA668">
        <f>VALUE(SUBSTITUTE(DACS19___Pfizer’s_Personalised_Medicine_in[[#This Row],[Dose]],"mg",""))</f>
        <v>200</v>
      </c>
      <c r="AB668">
        <f t="shared" si="70"/>
        <v>200</v>
      </c>
      <c r="AC668" t="s">
        <v>2614</v>
      </c>
      <c r="AD668">
        <f t="shared" si="71"/>
        <v>0</v>
      </c>
      <c r="AE668">
        <f t="shared" si="72"/>
        <v>3</v>
      </c>
      <c r="AF668" t="e">
        <f t="shared" si="73"/>
        <v>#N/A</v>
      </c>
      <c r="AG668" t="e">
        <f t="shared" si="74"/>
        <v>#N/A</v>
      </c>
      <c r="AH668" t="e">
        <f t="shared" si="75"/>
        <v>#N/A</v>
      </c>
      <c r="AI668">
        <f t="shared" si="76"/>
        <v>4.2300000000000004</v>
      </c>
    </row>
    <row r="669" spans="1:35" x14ac:dyDescent="0.45">
      <c r="A669" t="s">
        <v>1998</v>
      </c>
      <c r="B669">
        <v>48</v>
      </c>
      <c r="C669" t="s">
        <v>44</v>
      </c>
      <c r="D669" t="s">
        <v>95</v>
      </c>
      <c r="E669" t="s">
        <v>78</v>
      </c>
      <c r="F669" t="s">
        <v>2614</v>
      </c>
      <c r="G669" t="s">
        <v>131</v>
      </c>
      <c r="H669" t="s">
        <v>81</v>
      </c>
      <c r="I669" t="s">
        <v>72</v>
      </c>
      <c r="J669" t="s">
        <v>590</v>
      </c>
      <c r="K669" t="s">
        <v>1999</v>
      </c>
      <c r="L669" t="s">
        <v>52</v>
      </c>
      <c r="M669" t="s">
        <v>2618</v>
      </c>
      <c r="N669" t="s">
        <v>784</v>
      </c>
      <c r="O669" t="s">
        <v>52</v>
      </c>
      <c r="P669" t="s">
        <v>55</v>
      </c>
      <c r="Q669" t="s">
        <v>129</v>
      </c>
      <c r="R669">
        <v>55</v>
      </c>
      <c r="S669">
        <v>0</v>
      </c>
      <c r="T669" t="s">
        <v>123</v>
      </c>
      <c r="U669" t="s">
        <v>42</v>
      </c>
      <c r="V669">
        <v>2.21</v>
      </c>
      <c r="W669">
        <v>4.7300000000000004</v>
      </c>
      <c r="X669">
        <v>2.1</v>
      </c>
      <c r="Y669">
        <v>22.8</v>
      </c>
      <c r="Z669">
        <v>14.6</v>
      </c>
      <c r="AA669">
        <f>VALUE(SUBSTITUTE(DACS19___Pfizer’s_Personalised_Medicine_in[[#This Row],[Dose]],"mg",""))</f>
        <v>100</v>
      </c>
      <c r="AB669">
        <f t="shared" si="70"/>
        <v>100</v>
      </c>
      <c r="AC669" t="s">
        <v>129</v>
      </c>
      <c r="AD669">
        <f t="shared" si="71"/>
        <v>4</v>
      </c>
      <c r="AE669">
        <f t="shared" si="72"/>
        <v>2</v>
      </c>
      <c r="AF669" t="e">
        <f t="shared" si="73"/>
        <v>#N/A</v>
      </c>
      <c r="AG669" t="e">
        <f t="shared" si="74"/>
        <v>#N/A</v>
      </c>
      <c r="AH669" t="e">
        <f t="shared" si="75"/>
        <v>#N/A</v>
      </c>
      <c r="AI669">
        <f t="shared" si="76"/>
        <v>4.7300000000000004</v>
      </c>
    </row>
    <row r="670" spans="1:35" x14ac:dyDescent="0.45">
      <c r="A670" t="s">
        <v>2000</v>
      </c>
      <c r="B670">
        <v>19</v>
      </c>
      <c r="C670" t="s">
        <v>27</v>
      </c>
      <c r="D670" t="s">
        <v>45</v>
      </c>
      <c r="E670" t="s">
        <v>78</v>
      </c>
      <c r="F670" t="s">
        <v>88</v>
      </c>
      <c r="G670" t="s">
        <v>96</v>
      </c>
      <c r="H670" t="s">
        <v>61</v>
      </c>
      <c r="I670" t="s">
        <v>49</v>
      </c>
      <c r="J670" t="s">
        <v>2001</v>
      </c>
      <c r="K670" t="s">
        <v>1872</v>
      </c>
      <c r="L670" t="s">
        <v>64</v>
      </c>
      <c r="M670" t="s">
        <v>2639</v>
      </c>
      <c r="N670" t="s">
        <v>459</v>
      </c>
      <c r="O670" t="s">
        <v>64</v>
      </c>
      <c r="P670" t="s">
        <v>39</v>
      </c>
      <c r="Q670" t="s">
        <v>2614</v>
      </c>
      <c r="R670">
        <v>114</v>
      </c>
      <c r="S670">
        <v>1</v>
      </c>
      <c r="T670" t="s">
        <v>123</v>
      </c>
      <c r="U670" t="s">
        <v>42</v>
      </c>
      <c r="V670">
        <v>3.13</v>
      </c>
      <c r="W670">
        <v>1.1299999999999999</v>
      </c>
      <c r="X670">
        <v>5.3</v>
      </c>
      <c r="Y670">
        <v>13.3</v>
      </c>
      <c r="Z670">
        <v>5.7</v>
      </c>
      <c r="AA670">
        <f>VALUE(SUBSTITUTE(DACS19___Pfizer’s_Personalised_Medicine_in[[#This Row],[Dose]],"mg",""))</f>
        <v>150</v>
      </c>
      <c r="AB670">
        <f t="shared" si="70"/>
        <v>150</v>
      </c>
      <c r="AC670" t="s">
        <v>2614</v>
      </c>
      <c r="AD670">
        <f t="shared" si="71"/>
        <v>0</v>
      </c>
      <c r="AE670">
        <f t="shared" si="72"/>
        <v>3</v>
      </c>
      <c r="AF670">
        <f t="shared" si="73"/>
        <v>1.1299999999999999</v>
      </c>
      <c r="AG670" t="e">
        <f t="shared" si="74"/>
        <v>#N/A</v>
      </c>
      <c r="AH670" t="e">
        <f t="shared" si="75"/>
        <v>#N/A</v>
      </c>
      <c r="AI670" t="e">
        <f t="shared" si="76"/>
        <v>#N/A</v>
      </c>
    </row>
    <row r="671" spans="1:35" x14ac:dyDescent="0.45">
      <c r="A671" t="s">
        <v>2002</v>
      </c>
      <c r="B671">
        <v>28</v>
      </c>
      <c r="C671" t="s">
        <v>27</v>
      </c>
      <c r="D671" t="s">
        <v>45</v>
      </c>
      <c r="E671" t="s">
        <v>163</v>
      </c>
      <c r="F671" t="s">
        <v>2614</v>
      </c>
      <c r="G671" t="s">
        <v>89</v>
      </c>
      <c r="H671" t="s">
        <v>71</v>
      </c>
      <c r="I671" t="s">
        <v>33</v>
      </c>
      <c r="J671" t="s">
        <v>990</v>
      </c>
      <c r="K671" t="s">
        <v>248</v>
      </c>
      <c r="L671" t="s">
        <v>64</v>
      </c>
      <c r="M671" t="s">
        <v>2623</v>
      </c>
      <c r="N671" t="s">
        <v>452</v>
      </c>
      <c r="O671" t="s">
        <v>64</v>
      </c>
      <c r="P671" t="s">
        <v>39</v>
      </c>
      <c r="Q671" t="s">
        <v>129</v>
      </c>
      <c r="R671">
        <v>148</v>
      </c>
      <c r="S671">
        <v>1</v>
      </c>
      <c r="T671" t="s">
        <v>85</v>
      </c>
      <c r="U671" t="s">
        <v>57</v>
      </c>
      <c r="V671">
        <v>3.63</v>
      </c>
      <c r="W671">
        <v>4.88</v>
      </c>
      <c r="X671">
        <v>6.1</v>
      </c>
      <c r="Y671">
        <v>18.899999999999999</v>
      </c>
      <c r="Z671">
        <v>4.2</v>
      </c>
      <c r="AA671">
        <f>VALUE(SUBSTITUTE(DACS19___Pfizer’s_Personalised_Medicine_in[[#This Row],[Dose]],"mg",""))</f>
        <v>150</v>
      </c>
      <c r="AB671">
        <f t="shared" si="70"/>
        <v>150</v>
      </c>
      <c r="AC671" t="s">
        <v>129</v>
      </c>
      <c r="AD671">
        <f t="shared" si="71"/>
        <v>4</v>
      </c>
      <c r="AE671">
        <f t="shared" si="72"/>
        <v>3</v>
      </c>
      <c r="AF671" t="e">
        <f t="shared" si="73"/>
        <v>#N/A</v>
      </c>
      <c r="AG671">
        <f t="shared" si="74"/>
        <v>4.88</v>
      </c>
      <c r="AH671" t="e">
        <f t="shared" si="75"/>
        <v>#N/A</v>
      </c>
      <c r="AI671" t="e">
        <f t="shared" si="76"/>
        <v>#N/A</v>
      </c>
    </row>
    <row r="672" spans="1:35" x14ac:dyDescent="0.45">
      <c r="A672" t="s">
        <v>2003</v>
      </c>
      <c r="B672">
        <v>38</v>
      </c>
      <c r="C672" t="s">
        <v>45</v>
      </c>
      <c r="D672" t="s">
        <v>45</v>
      </c>
      <c r="E672" t="s">
        <v>163</v>
      </c>
      <c r="F672" t="s">
        <v>79</v>
      </c>
      <c r="G672" t="s">
        <v>276</v>
      </c>
      <c r="H672" t="s">
        <v>61</v>
      </c>
      <c r="I672" t="s">
        <v>33</v>
      </c>
      <c r="J672" t="s">
        <v>1055</v>
      </c>
      <c r="K672" t="s">
        <v>2004</v>
      </c>
      <c r="L672" t="s">
        <v>36</v>
      </c>
      <c r="M672" t="s">
        <v>2633</v>
      </c>
      <c r="N672" t="s">
        <v>491</v>
      </c>
      <c r="O672" t="s">
        <v>36</v>
      </c>
      <c r="P672" t="s">
        <v>110</v>
      </c>
      <c r="Q672" t="s">
        <v>40</v>
      </c>
      <c r="R672">
        <v>137</v>
      </c>
      <c r="S672">
        <v>0</v>
      </c>
      <c r="T672" t="s">
        <v>41</v>
      </c>
      <c r="U672" t="s">
        <v>57</v>
      </c>
      <c r="V672">
        <v>2.67</v>
      </c>
      <c r="W672">
        <v>1.47</v>
      </c>
      <c r="X672">
        <v>6.5</v>
      </c>
      <c r="Y672">
        <v>22.9</v>
      </c>
      <c r="Z672">
        <v>14.3</v>
      </c>
      <c r="AA672">
        <f>VALUE(SUBSTITUTE(DACS19___Pfizer’s_Personalised_Medicine_in[[#This Row],[Dose]],"mg",""))</f>
        <v>200</v>
      </c>
      <c r="AB672">
        <f t="shared" si="70"/>
        <v>200</v>
      </c>
      <c r="AC672" t="s">
        <v>40</v>
      </c>
      <c r="AD672">
        <f t="shared" si="71"/>
        <v>3</v>
      </c>
      <c r="AE672">
        <f t="shared" si="72"/>
        <v>1</v>
      </c>
      <c r="AF672">
        <f t="shared" si="73"/>
        <v>1.47</v>
      </c>
      <c r="AG672" t="e">
        <f t="shared" si="74"/>
        <v>#N/A</v>
      </c>
      <c r="AH672" t="e">
        <f t="shared" si="75"/>
        <v>#N/A</v>
      </c>
      <c r="AI672" t="e">
        <f t="shared" si="76"/>
        <v>#N/A</v>
      </c>
    </row>
    <row r="673" spans="1:35" x14ac:dyDescent="0.45">
      <c r="A673" t="s">
        <v>2005</v>
      </c>
      <c r="B673">
        <v>59</v>
      </c>
      <c r="C673" t="s">
        <v>27</v>
      </c>
      <c r="D673" t="s">
        <v>106</v>
      </c>
      <c r="E673" t="s">
        <v>78</v>
      </c>
      <c r="F673" t="s">
        <v>79</v>
      </c>
      <c r="G673" t="s">
        <v>118</v>
      </c>
      <c r="H673" t="s">
        <v>61</v>
      </c>
      <c r="I673" t="s">
        <v>49</v>
      </c>
      <c r="J673" t="s">
        <v>2006</v>
      </c>
      <c r="K673" t="s">
        <v>119</v>
      </c>
      <c r="L673" t="s">
        <v>36</v>
      </c>
      <c r="M673" t="s">
        <v>67</v>
      </c>
      <c r="N673" t="s">
        <v>812</v>
      </c>
      <c r="O673" t="s">
        <v>36</v>
      </c>
      <c r="P673" t="s">
        <v>39</v>
      </c>
      <c r="Q673" t="s">
        <v>2614</v>
      </c>
      <c r="R673">
        <v>115</v>
      </c>
      <c r="S673">
        <v>1</v>
      </c>
      <c r="T673" t="s">
        <v>137</v>
      </c>
      <c r="U673" t="s">
        <v>42</v>
      </c>
      <c r="V673">
        <v>1.31</v>
      </c>
      <c r="W673">
        <v>2.42</v>
      </c>
      <c r="X673">
        <v>6</v>
      </c>
      <c r="Y673">
        <v>13.3</v>
      </c>
      <c r="Z673">
        <v>17.2</v>
      </c>
      <c r="AA673">
        <f>VALUE(SUBSTITUTE(DACS19___Pfizer’s_Personalised_Medicine_in[[#This Row],[Dose]],"mg",""))</f>
        <v>200</v>
      </c>
      <c r="AB673">
        <f t="shared" si="70"/>
        <v>200</v>
      </c>
      <c r="AC673" t="s">
        <v>2614</v>
      </c>
      <c r="AD673">
        <f t="shared" si="71"/>
        <v>0</v>
      </c>
      <c r="AE673">
        <f t="shared" si="72"/>
        <v>3</v>
      </c>
      <c r="AF673">
        <f t="shared" si="73"/>
        <v>2.42</v>
      </c>
      <c r="AG673" t="e">
        <f t="shared" si="74"/>
        <v>#N/A</v>
      </c>
      <c r="AH673" t="e">
        <f t="shared" si="75"/>
        <v>#N/A</v>
      </c>
      <c r="AI673" t="e">
        <f t="shared" si="76"/>
        <v>#N/A</v>
      </c>
    </row>
    <row r="674" spans="1:35" x14ac:dyDescent="0.45">
      <c r="A674" t="s">
        <v>2007</v>
      </c>
      <c r="B674">
        <v>79</v>
      </c>
      <c r="C674" t="s">
        <v>44</v>
      </c>
      <c r="D674" t="s">
        <v>95</v>
      </c>
      <c r="E674" t="s">
        <v>163</v>
      </c>
      <c r="F674" t="s">
        <v>2614</v>
      </c>
      <c r="G674" t="s">
        <v>178</v>
      </c>
      <c r="H674" t="s">
        <v>32</v>
      </c>
      <c r="I674" t="s">
        <v>72</v>
      </c>
      <c r="J674" t="s">
        <v>1872</v>
      </c>
      <c r="K674" t="s">
        <v>444</v>
      </c>
      <c r="L674" t="s">
        <v>52</v>
      </c>
      <c r="M674" t="s">
        <v>2618</v>
      </c>
      <c r="N674" t="s">
        <v>776</v>
      </c>
      <c r="O674" t="s">
        <v>52</v>
      </c>
      <c r="P674" t="s">
        <v>39</v>
      </c>
      <c r="Q674" t="s">
        <v>129</v>
      </c>
      <c r="R674">
        <v>94</v>
      </c>
      <c r="S674">
        <v>1</v>
      </c>
      <c r="T674" t="s">
        <v>56</v>
      </c>
      <c r="U674" t="s">
        <v>42</v>
      </c>
      <c r="V674">
        <v>4.26</v>
      </c>
      <c r="W674">
        <v>3.45</v>
      </c>
      <c r="X674">
        <v>4.4000000000000004</v>
      </c>
      <c r="Y674">
        <v>10.6</v>
      </c>
      <c r="Z674">
        <v>4.8</v>
      </c>
      <c r="AA674">
        <f>VALUE(SUBSTITUTE(DACS19___Pfizer’s_Personalised_Medicine_in[[#This Row],[Dose]],"mg",""))</f>
        <v>100</v>
      </c>
      <c r="AB674">
        <f t="shared" si="70"/>
        <v>100</v>
      </c>
      <c r="AC674" t="s">
        <v>129</v>
      </c>
      <c r="AD674">
        <f t="shared" si="71"/>
        <v>4</v>
      </c>
      <c r="AE674">
        <f t="shared" si="72"/>
        <v>3</v>
      </c>
      <c r="AF674" t="e">
        <f t="shared" si="73"/>
        <v>#N/A</v>
      </c>
      <c r="AG674" t="e">
        <f t="shared" si="74"/>
        <v>#N/A</v>
      </c>
      <c r="AH674">
        <f t="shared" si="75"/>
        <v>3.45</v>
      </c>
      <c r="AI674" t="e">
        <f t="shared" si="76"/>
        <v>#N/A</v>
      </c>
    </row>
    <row r="675" spans="1:35" x14ac:dyDescent="0.45">
      <c r="A675" t="s">
        <v>2008</v>
      </c>
      <c r="B675">
        <v>81</v>
      </c>
      <c r="C675" t="s">
        <v>44</v>
      </c>
      <c r="D675" t="s">
        <v>95</v>
      </c>
      <c r="E675" t="s">
        <v>2614</v>
      </c>
      <c r="F675" t="s">
        <v>59</v>
      </c>
      <c r="G675" t="s">
        <v>48</v>
      </c>
      <c r="H675" t="s">
        <v>32</v>
      </c>
      <c r="I675" t="s">
        <v>72</v>
      </c>
      <c r="J675" t="s">
        <v>1796</v>
      </c>
      <c r="K675" t="s">
        <v>1797</v>
      </c>
      <c r="L675" t="s">
        <v>92</v>
      </c>
      <c r="M675" t="s">
        <v>2615</v>
      </c>
      <c r="N675" t="s">
        <v>459</v>
      </c>
      <c r="O675" t="s">
        <v>92</v>
      </c>
      <c r="P675" t="s">
        <v>39</v>
      </c>
      <c r="Q675" t="s">
        <v>67</v>
      </c>
      <c r="R675">
        <v>161</v>
      </c>
      <c r="S675">
        <v>1</v>
      </c>
      <c r="T675" t="s">
        <v>85</v>
      </c>
      <c r="U675" t="s">
        <v>57</v>
      </c>
      <c r="V675">
        <v>2.42</v>
      </c>
      <c r="W675">
        <v>2.65</v>
      </c>
      <c r="X675">
        <v>7.1</v>
      </c>
      <c r="Y675">
        <v>17.8</v>
      </c>
      <c r="Z675">
        <v>4.2</v>
      </c>
      <c r="AA675">
        <f>VALUE(SUBSTITUTE(DACS19___Pfizer’s_Personalised_Medicine_in[[#This Row],[Dose]],"mg",""))</f>
        <v>50</v>
      </c>
      <c r="AB675">
        <f t="shared" si="70"/>
        <v>50</v>
      </c>
      <c r="AC675" t="s">
        <v>67</v>
      </c>
      <c r="AD675">
        <f t="shared" si="71"/>
        <v>2</v>
      </c>
      <c r="AE675">
        <f t="shared" si="72"/>
        <v>3</v>
      </c>
      <c r="AF675" t="e">
        <f t="shared" si="73"/>
        <v>#N/A</v>
      </c>
      <c r="AG675" t="e">
        <f t="shared" si="74"/>
        <v>#N/A</v>
      </c>
      <c r="AH675">
        <f t="shared" si="75"/>
        <v>2.65</v>
      </c>
      <c r="AI675" t="e">
        <f t="shared" si="76"/>
        <v>#N/A</v>
      </c>
    </row>
    <row r="676" spans="1:35" x14ac:dyDescent="0.45">
      <c r="A676" t="s">
        <v>2009</v>
      </c>
      <c r="B676">
        <v>53</v>
      </c>
      <c r="C676" t="s">
        <v>27</v>
      </c>
      <c r="D676" t="s">
        <v>106</v>
      </c>
      <c r="E676" t="s">
        <v>78</v>
      </c>
      <c r="F676" t="s">
        <v>88</v>
      </c>
      <c r="G676" t="s">
        <v>194</v>
      </c>
      <c r="H676" t="s">
        <v>32</v>
      </c>
      <c r="I676" t="s">
        <v>132</v>
      </c>
      <c r="J676" t="s">
        <v>1282</v>
      </c>
      <c r="K676" t="s">
        <v>917</v>
      </c>
      <c r="L676" t="s">
        <v>52</v>
      </c>
      <c r="M676" t="s">
        <v>67</v>
      </c>
      <c r="N676" t="s">
        <v>1062</v>
      </c>
      <c r="O676" t="s">
        <v>52</v>
      </c>
      <c r="P676" t="s">
        <v>110</v>
      </c>
      <c r="Q676" t="s">
        <v>75</v>
      </c>
      <c r="R676">
        <v>100</v>
      </c>
      <c r="S676">
        <v>0</v>
      </c>
      <c r="T676" t="s">
        <v>85</v>
      </c>
      <c r="U676" t="s">
        <v>57</v>
      </c>
      <c r="V676">
        <v>2.58</v>
      </c>
      <c r="W676">
        <v>1.73</v>
      </c>
      <c r="X676">
        <v>2.4</v>
      </c>
      <c r="Y676">
        <v>20.9</v>
      </c>
      <c r="Z676">
        <v>3.7</v>
      </c>
      <c r="AA676">
        <f>VALUE(SUBSTITUTE(DACS19___Pfizer’s_Personalised_Medicine_in[[#This Row],[Dose]],"mg",""))</f>
        <v>100</v>
      </c>
      <c r="AB676">
        <f t="shared" si="70"/>
        <v>100</v>
      </c>
      <c r="AC676" t="s">
        <v>75</v>
      </c>
      <c r="AD676">
        <f t="shared" si="71"/>
        <v>1</v>
      </c>
      <c r="AE676">
        <f t="shared" si="72"/>
        <v>1</v>
      </c>
      <c r="AF676" t="e">
        <f t="shared" si="73"/>
        <v>#N/A</v>
      </c>
      <c r="AG676" t="e">
        <f t="shared" si="74"/>
        <v>#N/A</v>
      </c>
      <c r="AH676">
        <f t="shared" si="75"/>
        <v>1.73</v>
      </c>
      <c r="AI676" t="e">
        <f t="shared" si="76"/>
        <v>#N/A</v>
      </c>
    </row>
    <row r="677" spans="1:35" x14ac:dyDescent="0.45">
      <c r="A677" t="s">
        <v>2010</v>
      </c>
      <c r="B677">
        <v>85</v>
      </c>
      <c r="C677" t="s">
        <v>45</v>
      </c>
      <c r="D677" t="s">
        <v>45</v>
      </c>
      <c r="E677" t="s">
        <v>29</v>
      </c>
      <c r="F677" t="s">
        <v>88</v>
      </c>
      <c r="G677" t="s">
        <v>440</v>
      </c>
      <c r="H677" t="s">
        <v>32</v>
      </c>
      <c r="I677" t="s">
        <v>33</v>
      </c>
      <c r="J677" t="s">
        <v>728</v>
      </c>
      <c r="K677" t="s">
        <v>2011</v>
      </c>
      <c r="L677" t="s">
        <v>36</v>
      </c>
      <c r="M677" t="s">
        <v>723</v>
      </c>
      <c r="N677" t="s">
        <v>971</v>
      </c>
      <c r="O677" t="s">
        <v>36</v>
      </c>
      <c r="P677" t="s">
        <v>110</v>
      </c>
      <c r="Q677" t="s">
        <v>75</v>
      </c>
      <c r="R677">
        <v>89</v>
      </c>
      <c r="S677">
        <v>0</v>
      </c>
      <c r="T677" t="s">
        <v>137</v>
      </c>
      <c r="U677" t="s">
        <v>42</v>
      </c>
      <c r="V677">
        <v>2.68</v>
      </c>
      <c r="W677">
        <v>1.67</v>
      </c>
      <c r="X677">
        <v>8.9</v>
      </c>
      <c r="Y677">
        <v>16</v>
      </c>
      <c r="Z677">
        <v>6.9</v>
      </c>
      <c r="AA677">
        <f>VALUE(SUBSTITUTE(DACS19___Pfizer’s_Personalised_Medicine_in[[#This Row],[Dose]],"mg",""))</f>
        <v>200</v>
      </c>
      <c r="AB677">
        <f t="shared" si="70"/>
        <v>200</v>
      </c>
      <c r="AC677" t="s">
        <v>75</v>
      </c>
      <c r="AD677">
        <f t="shared" si="71"/>
        <v>1</v>
      </c>
      <c r="AE677">
        <f t="shared" si="72"/>
        <v>1</v>
      </c>
      <c r="AF677" t="e">
        <f t="shared" si="73"/>
        <v>#N/A</v>
      </c>
      <c r="AG677" t="e">
        <f t="shared" si="74"/>
        <v>#N/A</v>
      </c>
      <c r="AH677">
        <f t="shared" si="75"/>
        <v>1.67</v>
      </c>
      <c r="AI677" t="e">
        <f t="shared" si="76"/>
        <v>#N/A</v>
      </c>
    </row>
    <row r="678" spans="1:35" x14ac:dyDescent="0.45">
      <c r="A678" t="s">
        <v>2012</v>
      </c>
      <c r="B678">
        <v>75</v>
      </c>
      <c r="C678" t="s">
        <v>44</v>
      </c>
      <c r="D678" t="s">
        <v>28</v>
      </c>
      <c r="E678" t="s">
        <v>163</v>
      </c>
      <c r="F678" t="s">
        <v>2614</v>
      </c>
      <c r="G678" t="s">
        <v>80</v>
      </c>
      <c r="H678" t="s">
        <v>32</v>
      </c>
      <c r="I678" t="s">
        <v>33</v>
      </c>
      <c r="J678" t="s">
        <v>1984</v>
      </c>
      <c r="K678" t="s">
        <v>1652</v>
      </c>
      <c r="L678" t="s">
        <v>92</v>
      </c>
      <c r="M678" t="s">
        <v>40</v>
      </c>
      <c r="N678" t="s">
        <v>852</v>
      </c>
      <c r="O678" t="s">
        <v>92</v>
      </c>
      <c r="P678" t="s">
        <v>55</v>
      </c>
      <c r="Q678" t="s">
        <v>129</v>
      </c>
      <c r="R678">
        <v>140</v>
      </c>
      <c r="S678">
        <v>0</v>
      </c>
      <c r="T678" t="s">
        <v>123</v>
      </c>
      <c r="U678" t="s">
        <v>42</v>
      </c>
      <c r="V678">
        <v>3.01</v>
      </c>
      <c r="W678">
        <v>3.93</v>
      </c>
      <c r="X678">
        <v>9.6</v>
      </c>
      <c r="Y678">
        <v>10</v>
      </c>
      <c r="Z678">
        <v>18.100000000000001</v>
      </c>
      <c r="AA678">
        <f>VALUE(SUBSTITUTE(DACS19___Pfizer’s_Personalised_Medicine_in[[#This Row],[Dose]],"mg",""))</f>
        <v>50</v>
      </c>
      <c r="AB678">
        <f t="shared" si="70"/>
        <v>50</v>
      </c>
      <c r="AC678" t="s">
        <v>129</v>
      </c>
      <c r="AD678">
        <f t="shared" si="71"/>
        <v>4</v>
      </c>
      <c r="AE678">
        <f t="shared" si="72"/>
        <v>2</v>
      </c>
      <c r="AF678" t="e">
        <f t="shared" si="73"/>
        <v>#N/A</v>
      </c>
      <c r="AG678" t="e">
        <f t="shared" si="74"/>
        <v>#N/A</v>
      </c>
      <c r="AH678">
        <f t="shared" si="75"/>
        <v>3.93</v>
      </c>
      <c r="AI678" t="e">
        <f t="shared" si="76"/>
        <v>#N/A</v>
      </c>
    </row>
    <row r="679" spans="1:35" x14ac:dyDescent="0.45">
      <c r="A679" t="s">
        <v>2013</v>
      </c>
      <c r="B679">
        <v>53</v>
      </c>
      <c r="C679" t="s">
        <v>45</v>
      </c>
      <c r="D679" t="s">
        <v>45</v>
      </c>
      <c r="E679" t="s">
        <v>78</v>
      </c>
      <c r="F679" t="s">
        <v>59</v>
      </c>
      <c r="G679" t="s">
        <v>152</v>
      </c>
      <c r="H679" t="s">
        <v>61</v>
      </c>
      <c r="I679" t="s">
        <v>33</v>
      </c>
      <c r="J679" t="s">
        <v>385</v>
      </c>
      <c r="K679" t="s">
        <v>1725</v>
      </c>
      <c r="L679" t="s">
        <v>64</v>
      </c>
      <c r="M679" t="s">
        <v>67</v>
      </c>
      <c r="N679" t="s">
        <v>582</v>
      </c>
      <c r="O679" t="s">
        <v>64</v>
      </c>
      <c r="P679" t="s">
        <v>110</v>
      </c>
      <c r="Q679" t="s">
        <v>2614</v>
      </c>
      <c r="R679">
        <v>75</v>
      </c>
      <c r="S679">
        <v>0</v>
      </c>
      <c r="T679" t="s">
        <v>85</v>
      </c>
      <c r="U679" t="s">
        <v>42</v>
      </c>
      <c r="V679">
        <v>4.74</v>
      </c>
      <c r="W679">
        <v>4.67</v>
      </c>
      <c r="X679">
        <v>6.7</v>
      </c>
      <c r="Y679">
        <v>17.3</v>
      </c>
      <c r="Z679">
        <v>9.9</v>
      </c>
      <c r="AA679">
        <f>VALUE(SUBSTITUTE(DACS19___Pfizer’s_Personalised_Medicine_in[[#This Row],[Dose]],"mg",""))</f>
        <v>150</v>
      </c>
      <c r="AB679">
        <f t="shared" si="70"/>
        <v>150</v>
      </c>
      <c r="AC679" t="s">
        <v>2614</v>
      </c>
      <c r="AD679">
        <f t="shared" si="71"/>
        <v>0</v>
      </c>
      <c r="AE679">
        <f t="shared" si="72"/>
        <v>1</v>
      </c>
      <c r="AF679">
        <f t="shared" si="73"/>
        <v>4.67</v>
      </c>
      <c r="AG679" t="e">
        <f t="shared" si="74"/>
        <v>#N/A</v>
      </c>
      <c r="AH679" t="e">
        <f t="shared" si="75"/>
        <v>#N/A</v>
      </c>
      <c r="AI679" t="e">
        <f t="shared" si="76"/>
        <v>#N/A</v>
      </c>
    </row>
    <row r="680" spans="1:35" x14ac:dyDescent="0.45">
      <c r="A680" t="s">
        <v>2014</v>
      </c>
      <c r="B680">
        <v>19</v>
      </c>
      <c r="C680" t="s">
        <v>45</v>
      </c>
      <c r="D680" t="s">
        <v>95</v>
      </c>
      <c r="E680" t="s">
        <v>163</v>
      </c>
      <c r="F680" t="s">
        <v>79</v>
      </c>
      <c r="G680" t="s">
        <v>70</v>
      </c>
      <c r="H680" t="s">
        <v>61</v>
      </c>
      <c r="I680" t="s">
        <v>49</v>
      </c>
      <c r="J680" t="s">
        <v>482</v>
      </c>
      <c r="K680" t="s">
        <v>2015</v>
      </c>
      <c r="L680" t="s">
        <v>52</v>
      </c>
      <c r="M680" t="s">
        <v>2653</v>
      </c>
      <c r="N680" t="s">
        <v>1083</v>
      </c>
      <c r="O680" t="s">
        <v>52</v>
      </c>
      <c r="P680" t="s">
        <v>55</v>
      </c>
      <c r="Q680" t="s">
        <v>67</v>
      </c>
      <c r="R680">
        <v>71</v>
      </c>
      <c r="S680">
        <v>0</v>
      </c>
      <c r="T680" t="s">
        <v>137</v>
      </c>
      <c r="U680" t="s">
        <v>42</v>
      </c>
      <c r="V680">
        <v>4.01</v>
      </c>
      <c r="W680">
        <v>3.13</v>
      </c>
      <c r="X680">
        <v>7.1</v>
      </c>
      <c r="Y680">
        <v>13.7</v>
      </c>
      <c r="Z680">
        <v>15.4</v>
      </c>
      <c r="AA680">
        <f>VALUE(SUBSTITUTE(DACS19___Pfizer’s_Personalised_Medicine_in[[#This Row],[Dose]],"mg",""))</f>
        <v>100</v>
      </c>
      <c r="AB680">
        <f t="shared" si="70"/>
        <v>100</v>
      </c>
      <c r="AC680" t="s">
        <v>67</v>
      </c>
      <c r="AD680">
        <f t="shared" si="71"/>
        <v>2</v>
      </c>
      <c r="AE680">
        <f t="shared" si="72"/>
        <v>2</v>
      </c>
      <c r="AF680">
        <f t="shared" si="73"/>
        <v>3.13</v>
      </c>
      <c r="AG680" t="e">
        <f t="shared" si="74"/>
        <v>#N/A</v>
      </c>
      <c r="AH680" t="e">
        <f t="shared" si="75"/>
        <v>#N/A</v>
      </c>
      <c r="AI680" t="e">
        <f t="shared" si="76"/>
        <v>#N/A</v>
      </c>
    </row>
    <row r="681" spans="1:35" x14ac:dyDescent="0.45">
      <c r="A681" t="s">
        <v>2016</v>
      </c>
      <c r="B681">
        <v>54</v>
      </c>
      <c r="C681" t="s">
        <v>44</v>
      </c>
      <c r="D681" t="s">
        <v>45</v>
      </c>
      <c r="E681" t="s">
        <v>29</v>
      </c>
      <c r="F681" t="s">
        <v>2614</v>
      </c>
      <c r="G681" t="s">
        <v>125</v>
      </c>
      <c r="H681" t="s">
        <v>71</v>
      </c>
      <c r="I681" t="s">
        <v>49</v>
      </c>
      <c r="J681" t="s">
        <v>2017</v>
      </c>
      <c r="K681" t="s">
        <v>2018</v>
      </c>
      <c r="L681" t="s">
        <v>64</v>
      </c>
      <c r="M681" t="s">
        <v>129</v>
      </c>
      <c r="N681" t="s">
        <v>930</v>
      </c>
      <c r="O681" t="s">
        <v>64</v>
      </c>
      <c r="P681" t="s">
        <v>55</v>
      </c>
      <c r="Q681" t="s">
        <v>2614</v>
      </c>
      <c r="R681">
        <v>61</v>
      </c>
      <c r="S681">
        <v>0</v>
      </c>
      <c r="T681" t="s">
        <v>85</v>
      </c>
      <c r="U681" t="s">
        <v>57</v>
      </c>
      <c r="V681">
        <v>4.3</v>
      </c>
      <c r="W681">
        <v>1.59</v>
      </c>
      <c r="X681">
        <v>8.5</v>
      </c>
      <c r="Y681">
        <v>15.7</v>
      </c>
      <c r="Z681">
        <v>17.399999999999999</v>
      </c>
      <c r="AA681">
        <f>VALUE(SUBSTITUTE(DACS19___Pfizer’s_Personalised_Medicine_in[[#This Row],[Dose]],"mg",""))</f>
        <v>150</v>
      </c>
      <c r="AB681">
        <f t="shared" si="70"/>
        <v>150</v>
      </c>
      <c r="AC681" t="s">
        <v>2614</v>
      </c>
      <c r="AD681">
        <f t="shared" si="71"/>
        <v>0</v>
      </c>
      <c r="AE681">
        <f t="shared" si="72"/>
        <v>2</v>
      </c>
      <c r="AF681" t="e">
        <f t="shared" si="73"/>
        <v>#N/A</v>
      </c>
      <c r="AG681">
        <f t="shared" si="74"/>
        <v>1.59</v>
      </c>
      <c r="AH681" t="e">
        <f t="shared" si="75"/>
        <v>#N/A</v>
      </c>
      <c r="AI681" t="e">
        <f t="shared" si="76"/>
        <v>#N/A</v>
      </c>
    </row>
    <row r="682" spans="1:35" x14ac:dyDescent="0.45">
      <c r="A682" t="s">
        <v>2019</v>
      </c>
      <c r="B682">
        <v>83</v>
      </c>
      <c r="C682" t="s">
        <v>27</v>
      </c>
      <c r="D682" t="s">
        <v>95</v>
      </c>
      <c r="E682" t="s">
        <v>29</v>
      </c>
      <c r="F682" t="s">
        <v>88</v>
      </c>
      <c r="G682" t="s">
        <v>194</v>
      </c>
      <c r="H682" t="s">
        <v>61</v>
      </c>
      <c r="I682" t="s">
        <v>132</v>
      </c>
      <c r="J682" t="s">
        <v>2020</v>
      </c>
      <c r="K682" t="s">
        <v>539</v>
      </c>
      <c r="L682" t="s">
        <v>64</v>
      </c>
      <c r="M682" t="s">
        <v>446</v>
      </c>
      <c r="N682" t="s">
        <v>1083</v>
      </c>
      <c r="O682" t="s">
        <v>64</v>
      </c>
      <c r="P682" t="s">
        <v>39</v>
      </c>
      <c r="Q682" t="s">
        <v>2614</v>
      </c>
      <c r="R682">
        <v>71</v>
      </c>
      <c r="S682">
        <v>1</v>
      </c>
      <c r="T682" t="s">
        <v>85</v>
      </c>
      <c r="U682" t="s">
        <v>42</v>
      </c>
      <c r="V682">
        <v>2.73</v>
      </c>
      <c r="W682">
        <v>2.52</v>
      </c>
      <c r="X682">
        <v>9.1999999999999993</v>
      </c>
      <c r="Y682">
        <v>10.5</v>
      </c>
      <c r="Z682">
        <v>17.399999999999999</v>
      </c>
      <c r="AA682">
        <f>VALUE(SUBSTITUTE(DACS19___Pfizer’s_Personalised_Medicine_in[[#This Row],[Dose]],"mg",""))</f>
        <v>150</v>
      </c>
      <c r="AB682">
        <f t="shared" si="70"/>
        <v>150</v>
      </c>
      <c r="AC682" t="s">
        <v>2614</v>
      </c>
      <c r="AD682">
        <f t="shared" si="71"/>
        <v>0</v>
      </c>
      <c r="AE682">
        <f t="shared" si="72"/>
        <v>3</v>
      </c>
      <c r="AF682">
        <f t="shared" si="73"/>
        <v>2.52</v>
      </c>
      <c r="AG682" t="e">
        <f t="shared" si="74"/>
        <v>#N/A</v>
      </c>
      <c r="AH682" t="e">
        <f t="shared" si="75"/>
        <v>#N/A</v>
      </c>
      <c r="AI682" t="e">
        <f t="shared" si="76"/>
        <v>#N/A</v>
      </c>
    </row>
    <row r="683" spans="1:35" x14ac:dyDescent="0.45">
      <c r="A683" t="s">
        <v>2021</v>
      </c>
      <c r="B683">
        <v>79</v>
      </c>
      <c r="C683" t="s">
        <v>45</v>
      </c>
      <c r="D683" t="s">
        <v>28</v>
      </c>
      <c r="E683" t="s">
        <v>163</v>
      </c>
      <c r="F683" t="s">
        <v>47</v>
      </c>
      <c r="G683" t="s">
        <v>48</v>
      </c>
      <c r="H683" t="s">
        <v>61</v>
      </c>
      <c r="I683" t="s">
        <v>33</v>
      </c>
      <c r="J683" t="s">
        <v>1728</v>
      </c>
      <c r="K683" t="s">
        <v>2022</v>
      </c>
      <c r="L683" t="s">
        <v>36</v>
      </c>
      <c r="M683" t="s">
        <v>2641</v>
      </c>
      <c r="N683" t="s">
        <v>412</v>
      </c>
      <c r="O683" t="s">
        <v>36</v>
      </c>
      <c r="P683" t="s">
        <v>55</v>
      </c>
      <c r="Q683" t="s">
        <v>75</v>
      </c>
      <c r="R683">
        <v>147</v>
      </c>
      <c r="S683">
        <v>0</v>
      </c>
      <c r="T683" t="s">
        <v>56</v>
      </c>
      <c r="U683" t="s">
        <v>57</v>
      </c>
      <c r="V683">
        <v>2.94</v>
      </c>
      <c r="W683">
        <v>3.06</v>
      </c>
      <c r="X683">
        <v>3.8</v>
      </c>
      <c r="Y683">
        <v>16.3</v>
      </c>
      <c r="Z683">
        <v>8.5</v>
      </c>
      <c r="AA683">
        <f>VALUE(SUBSTITUTE(DACS19___Pfizer’s_Personalised_Medicine_in[[#This Row],[Dose]],"mg",""))</f>
        <v>200</v>
      </c>
      <c r="AB683">
        <f t="shared" si="70"/>
        <v>200</v>
      </c>
      <c r="AC683" t="s">
        <v>75</v>
      </c>
      <c r="AD683">
        <f t="shared" si="71"/>
        <v>1</v>
      </c>
      <c r="AE683">
        <f t="shared" si="72"/>
        <v>2</v>
      </c>
      <c r="AF683">
        <f t="shared" si="73"/>
        <v>3.06</v>
      </c>
      <c r="AG683" t="e">
        <f t="shared" si="74"/>
        <v>#N/A</v>
      </c>
      <c r="AH683" t="e">
        <f t="shared" si="75"/>
        <v>#N/A</v>
      </c>
      <c r="AI683" t="e">
        <f t="shared" si="76"/>
        <v>#N/A</v>
      </c>
    </row>
    <row r="684" spans="1:35" x14ac:dyDescent="0.45">
      <c r="A684" t="s">
        <v>2023</v>
      </c>
      <c r="B684">
        <v>65</v>
      </c>
      <c r="C684" t="s">
        <v>27</v>
      </c>
      <c r="D684" t="s">
        <v>87</v>
      </c>
      <c r="E684" t="s">
        <v>163</v>
      </c>
      <c r="F684" t="s">
        <v>88</v>
      </c>
      <c r="G684" t="s">
        <v>80</v>
      </c>
      <c r="H684" t="s">
        <v>32</v>
      </c>
      <c r="I684" t="s">
        <v>49</v>
      </c>
      <c r="J684" t="s">
        <v>1168</v>
      </c>
      <c r="K684" t="s">
        <v>1882</v>
      </c>
      <c r="L684" t="s">
        <v>92</v>
      </c>
      <c r="M684" t="s">
        <v>187</v>
      </c>
      <c r="N684" t="s">
        <v>227</v>
      </c>
      <c r="O684" t="s">
        <v>92</v>
      </c>
      <c r="P684" t="s">
        <v>39</v>
      </c>
      <c r="Q684" t="s">
        <v>75</v>
      </c>
      <c r="R684">
        <v>163</v>
      </c>
      <c r="S684">
        <v>1</v>
      </c>
      <c r="T684" t="s">
        <v>85</v>
      </c>
      <c r="U684" t="s">
        <v>42</v>
      </c>
      <c r="V684">
        <v>1.1599999999999999</v>
      </c>
      <c r="W684">
        <v>2.09</v>
      </c>
      <c r="X684">
        <v>1.1000000000000001</v>
      </c>
      <c r="Y684">
        <v>23.6</v>
      </c>
      <c r="Z684">
        <v>19.399999999999999</v>
      </c>
      <c r="AA684">
        <f>VALUE(SUBSTITUTE(DACS19___Pfizer’s_Personalised_Medicine_in[[#This Row],[Dose]],"mg",""))</f>
        <v>50</v>
      </c>
      <c r="AB684">
        <f t="shared" si="70"/>
        <v>50</v>
      </c>
      <c r="AC684" t="s">
        <v>75</v>
      </c>
      <c r="AD684">
        <f t="shared" si="71"/>
        <v>1</v>
      </c>
      <c r="AE684">
        <f t="shared" si="72"/>
        <v>3</v>
      </c>
      <c r="AF684" t="e">
        <f t="shared" si="73"/>
        <v>#N/A</v>
      </c>
      <c r="AG684" t="e">
        <f t="shared" si="74"/>
        <v>#N/A</v>
      </c>
      <c r="AH684">
        <f t="shared" si="75"/>
        <v>2.09</v>
      </c>
      <c r="AI684" t="e">
        <f t="shared" si="76"/>
        <v>#N/A</v>
      </c>
    </row>
    <row r="685" spans="1:35" x14ac:dyDescent="0.45">
      <c r="A685" t="s">
        <v>2024</v>
      </c>
      <c r="B685">
        <v>35</v>
      </c>
      <c r="C685" t="s">
        <v>44</v>
      </c>
      <c r="D685" t="s">
        <v>95</v>
      </c>
      <c r="E685" t="s">
        <v>29</v>
      </c>
      <c r="F685" t="s">
        <v>2614</v>
      </c>
      <c r="G685" t="s">
        <v>31</v>
      </c>
      <c r="H685" t="s">
        <v>61</v>
      </c>
      <c r="I685" t="s">
        <v>49</v>
      </c>
      <c r="J685" t="s">
        <v>597</v>
      </c>
      <c r="K685" t="s">
        <v>1606</v>
      </c>
      <c r="L685" t="s">
        <v>36</v>
      </c>
      <c r="M685" t="s">
        <v>451</v>
      </c>
      <c r="N685" t="s">
        <v>296</v>
      </c>
      <c r="O685" t="s">
        <v>36</v>
      </c>
      <c r="P685" t="s">
        <v>55</v>
      </c>
      <c r="Q685" t="s">
        <v>67</v>
      </c>
      <c r="R685">
        <v>96</v>
      </c>
      <c r="S685">
        <v>0</v>
      </c>
      <c r="T685" t="s">
        <v>56</v>
      </c>
      <c r="U685" t="s">
        <v>42</v>
      </c>
      <c r="V685">
        <v>2.58</v>
      </c>
      <c r="W685">
        <v>3.91</v>
      </c>
      <c r="X685">
        <v>4.0999999999999996</v>
      </c>
      <c r="Y685">
        <v>18.100000000000001</v>
      </c>
      <c r="Z685">
        <v>16.7</v>
      </c>
      <c r="AA685">
        <f>VALUE(SUBSTITUTE(DACS19___Pfizer’s_Personalised_Medicine_in[[#This Row],[Dose]],"mg",""))</f>
        <v>200</v>
      </c>
      <c r="AB685">
        <f t="shared" si="70"/>
        <v>200</v>
      </c>
      <c r="AC685" t="s">
        <v>67</v>
      </c>
      <c r="AD685">
        <f t="shared" si="71"/>
        <v>2</v>
      </c>
      <c r="AE685">
        <f t="shared" si="72"/>
        <v>2</v>
      </c>
      <c r="AF685">
        <f t="shared" si="73"/>
        <v>3.91</v>
      </c>
      <c r="AG685" t="e">
        <f t="shared" si="74"/>
        <v>#N/A</v>
      </c>
      <c r="AH685" t="e">
        <f t="shared" si="75"/>
        <v>#N/A</v>
      </c>
      <c r="AI685" t="e">
        <f t="shared" si="76"/>
        <v>#N/A</v>
      </c>
    </row>
    <row r="686" spans="1:35" x14ac:dyDescent="0.45">
      <c r="A686" t="s">
        <v>2025</v>
      </c>
      <c r="B686">
        <v>53</v>
      </c>
      <c r="C686" t="s">
        <v>44</v>
      </c>
      <c r="D686" t="s">
        <v>95</v>
      </c>
      <c r="E686" t="s">
        <v>163</v>
      </c>
      <c r="F686" t="s">
        <v>2614</v>
      </c>
      <c r="G686" t="s">
        <v>194</v>
      </c>
      <c r="H686" t="s">
        <v>61</v>
      </c>
      <c r="I686" t="s">
        <v>33</v>
      </c>
      <c r="J686" t="s">
        <v>1910</v>
      </c>
      <c r="K686" t="s">
        <v>2026</v>
      </c>
      <c r="L686" t="s">
        <v>92</v>
      </c>
      <c r="M686" t="s">
        <v>2614</v>
      </c>
      <c r="N686" t="s">
        <v>222</v>
      </c>
      <c r="O686" t="s">
        <v>92</v>
      </c>
      <c r="P686" t="s">
        <v>39</v>
      </c>
      <c r="Q686" t="s">
        <v>129</v>
      </c>
      <c r="R686">
        <v>65</v>
      </c>
      <c r="S686">
        <v>1</v>
      </c>
      <c r="T686" t="s">
        <v>85</v>
      </c>
      <c r="U686" t="s">
        <v>42</v>
      </c>
      <c r="V686">
        <v>4.79</v>
      </c>
      <c r="W686">
        <v>2.6</v>
      </c>
      <c r="X686">
        <v>8</v>
      </c>
      <c r="Y686">
        <v>10.8</v>
      </c>
      <c r="Z686">
        <v>19.8</v>
      </c>
      <c r="AA686">
        <f>VALUE(SUBSTITUTE(DACS19___Pfizer’s_Personalised_Medicine_in[[#This Row],[Dose]],"mg",""))</f>
        <v>50</v>
      </c>
      <c r="AB686">
        <f t="shared" si="70"/>
        <v>50</v>
      </c>
      <c r="AC686" t="s">
        <v>129</v>
      </c>
      <c r="AD686">
        <f t="shared" si="71"/>
        <v>4</v>
      </c>
      <c r="AE686">
        <f t="shared" si="72"/>
        <v>3</v>
      </c>
      <c r="AF686">
        <f t="shared" si="73"/>
        <v>2.6</v>
      </c>
      <c r="AG686" t="e">
        <f t="shared" si="74"/>
        <v>#N/A</v>
      </c>
      <c r="AH686" t="e">
        <f t="shared" si="75"/>
        <v>#N/A</v>
      </c>
      <c r="AI686" t="e">
        <f t="shared" si="76"/>
        <v>#N/A</v>
      </c>
    </row>
    <row r="687" spans="1:35" x14ac:dyDescent="0.45">
      <c r="A687" t="s">
        <v>2027</v>
      </c>
      <c r="B687">
        <v>64</v>
      </c>
      <c r="C687" t="s">
        <v>27</v>
      </c>
      <c r="D687" t="s">
        <v>87</v>
      </c>
      <c r="E687" t="s">
        <v>2614</v>
      </c>
      <c r="F687" t="s">
        <v>2614</v>
      </c>
      <c r="G687" t="s">
        <v>31</v>
      </c>
      <c r="H687" t="s">
        <v>61</v>
      </c>
      <c r="I687" t="s">
        <v>72</v>
      </c>
      <c r="J687" t="s">
        <v>1759</v>
      </c>
      <c r="K687" t="s">
        <v>1792</v>
      </c>
      <c r="L687" t="s">
        <v>92</v>
      </c>
      <c r="M687" t="s">
        <v>129</v>
      </c>
      <c r="N687" t="s">
        <v>398</v>
      </c>
      <c r="O687" t="s">
        <v>92</v>
      </c>
      <c r="P687" t="s">
        <v>55</v>
      </c>
      <c r="Q687" t="s">
        <v>75</v>
      </c>
      <c r="R687">
        <v>168</v>
      </c>
      <c r="S687">
        <v>0</v>
      </c>
      <c r="T687" t="s">
        <v>123</v>
      </c>
      <c r="U687" t="s">
        <v>57</v>
      </c>
      <c r="V687">
        <v>1.1000000000000001</v>
      </c>
      <c r="W687">
        <v>3.41</v>
      </c>
      <c r="X687">
        <v>6.9</v>
      </c>
      <c r="Y687">
        <v>18.399999999999999</v>
      </c>
      <c r="Z687">
        <v>5</v>
      </c>
      <c r="AA687">
        <f>VALUE(SUBSTITUTE(DACS19___Pfizer’s_Personalised_Medicine_in[[#This Row],[Dose]],"mg",""))</f>
        <v>50</v>
      </c>
      <c r="AB687">
        <f t="shared" si="70"/>
        <v>50</v>
      </c>
      <c r="AC687" t="s">
        <v>75</v>
      </c>
      <c r="AD687">
        <f t="shared" si="71"/>
        <v>1</v>
      </c>
      <c r="AE687">
        <f t="shared" si="72"/>
        <v>2</v>
      </c>
      <c r="AF687">
        <f t="shared" si="73"/>
        <v>3.41</v>
      </c>
      <c r="AG687" t="e">
        <f t="shared" si="74"/>
        <v>#N/A</v>
      </c>
      <c r="AH687" t="e">
        <f t="shared" si="75"/>
        <v>#N/A</v>
      </c>
      <c r="AI687" t="e">
        <f t="shared" si="76"/>
        <v>#N/A</v>
      </c>
    </row>
    <row r="688" spans="1:35" x14ac:dyDescent="0.45">
      <c r="A688" t="s">
        <v>2028</v>
      </c>
      <c r="B688">
        <v>56</v>
      </c>
      <c r="C688" t="s">
        <v>27</v>
      </c>
      <c r="D688" t="s">
        <v>95</v>
      </c>
      <c r="E688" t="s">
        <v>163</v>
      </c>
      <c r="F688" t="s">
        <v>47</v>
      </c>
      <c r="G688" t="s">
        <v>125</v>
      </c>
      <c r="H688" t="s">
        <v>32</v>
      </c>
      <c r="I688" t="s">
        <v>132</v>
      </c>
      <c r="J688" t="s">
        <v>2029</v>
      </c>
      <c r="K688" t="s">
        <v>2030</v>
      </c>
      <c r="L688" t="s">
        <v>92</v>
      </c>
      <c r="M688" t="s">
        <v>40</v>
      </c>
      <c r="N688" t="s">
        <v>459</v>
      </c>
      <c r="O688" t="s">
        <v>92</v>
      </c>
      <c r="P688" t="s">
        <v>55</v>
      </c>
      <c r="Q688" t="s">
        <v>2614</v>
      </c>
      <c r="R688">
        <v>133</v>
      </c>
      <c r="S688">
        <v>0</v>
      </c>
      <c r="T688" t="s">
        <v>85</v>
      </c>
      <c r="U688" t="s">
        <v>42</v>
      </c>
      <c r="V688">
        <v>4.75</v>
      </c>
      <c r="W688">
        <v>1.72</v>
      </c>
      <c r="X688">
        <v>6.6</v>
      </c>
      <c r="Y688">
        <v>10</v>
      </c>
      <c r="Z688">
        <v>8.1999999999999993</v>
      </c>
      <c r="AA688">
        <f>VALUE(SUBSTITUTE(DACS19___Pfizer’s_Personalised_Medicine_in[[#This Row],[Dose]],"mg",""))</f>
        <v>50</v>
      </c>
      <c r="AB688">
        <f t="shared" si="70"/>
        <v>50</v>
      </c>
      <c r="AC688" t="s">
        <v>2614</v>
      </c>
      <c r="AD688">
        <f t="shared" si="71"/>
        <v>0</v>
      </c>
      <c r="AE688">
        <f t="shared" si="72"/>
        <v>2</v>
      </c>
      <c r="AF688" t="e">
        <f t="shared" si="73"/>
        <v>#N/A</v>
      </c>
      <c r="AG688" t="e">
        <f t="shared" si="74"/>
        <v>#N/A</v>
      </c>
      <c r="AH688">
        <f t="shared" si="75"/>
        <v>1.72</v>
      </c>
      <c r="AI688" t="e">
        <f t="shared" si="76"/>
        <v>#N/A</v>
      </c>
    </row>
    <row r="689" spans="1:35" x14ac:dyDescent="0.45">
      <c r="A689" t="s">
        <v>2031</v>
      </c>
      <c r="B689">
        <v>51</v>
      </c>
      <c r="C689" t="s">
        <v>27</v>
      </c>
      <c r="D689" t="s">
        <v>45</v>
      </c>
      <c r="E689" t="s">
        <v>29</v>
      </c>
      <c r="F689" t="s">
        <v>2614</v>
      </c>
      <c r="G689" t="s">
        <v>60</v>
      </c>
      <c r="H689" t="s">
        <v>61</v>
      </c>
      <c r="I689" t="s">
        <v>132</v>
      </c>
      <c r="J689" t="s">
        <v>373</v>
      </c>
      <c r="K689" t="s">
        <v>2032</v>
      </c>
      <c r="L689" t="s">
        <v>92</v>
      </c>
      <c r="M689" t="s">
        <v>304</v>
      </c>
      <c r="N689" t="s">
        <v>1215</v>
      </c>
      <c r="O689" t="s">
        <v>92</v>
      </c>
      <c r="P689" t="s">
        <v>110</v>
      </c>
      <c r="Q689" t="s">
        <v>67</v>
      </c>
      <c r="R689">
        <v>73</v>
      </c>
      <c r="S689">
        <v>0</v>
      </c>
      <c r="T689" t="s">
        <v>85</v>
      </c>
      <c r="U689" t="s">
        <v>42</v>
      </c>
      <c r="V689">
        <v>3.19</v>
      </c>
      <c r="W689">
        <v>2.67</v>
      </c>
      <c r="X689">
        <v>2.4</v>
      </c>
      <c r="Y689">
        <v>9.1</v>
      </c>
      <c r="Z689">
        <v>10.1</v>
      </c>
      <c r="AA689">
        <f>VALUE(SUBSTITUTE(DACS19___Pfizer’s_Personalised_Medicine_in[[#This Row],[Dose]],"mg",""))</f>
        <v>50</v>
      </c>
      <c r="AB689">
        <f t="shared" si="70"/>
        <v>50</v>
      </c>
      <c r="AC689" t="s">
        <v>67</v>
      </c>
      <c r="AD689">
        <f t="shared" si="71"/>
        <v>2</v>
      </c>
      <c r="AE689">
        <f t="shared" si="72"/>
        <v>1</v>
      </c>
      <c r="AF689">
        <f t="shared" si="73"/>
        <v>2.67</v>
      </c>
      <c r="AG689" t="e">
        <f t="shared" si="74"/>
        <v>#N/A</v>
      </c>
      <c r="AH689" t="e">
        <f t="shared" si="75"/>
        <v>#N/A</v>
      </c>
      <c r="AI689" t="e">
        <f t="shared" si="76"/>
        <v>#N/A</v>
      </c>
    </row>
    <row r="690" spans="1:35" x14ac:dyDescent="0.45">
      <c r="A690" t="s">
        <v>2033</v>
      </c>
      <c r="B690">
        <v>70</v>
      </c>
      <c r="C690" t="s">
        <v>27</v>
      </c>
      <c r="D690" t="s">
        <v>45</v>
      </c>
      <c r="E690" t="s">
        <v>2614</v>
      </c>
      <c r="F690" t="s">
        <v>2614</v>
      </c>
      <c r="G690" t="s">
        <v>89</v>
      </c>
      <c r="H690" t="s">
        <v>81</v>
      </c>
      <c r="I690" t="s">
        <v>72</v>
      </c>
      <c r="J690" t="s">
        <v>1127</v>
      </c>
      <c r="K690" t="s">
        <v>2034</v>
      </c>
      <c r="L690" t="s">
        <v>36</v>
      </c>
      <c r="M690" t="s">
        <v>75</v>
      </c>
      <c r="N690" t="s">
        <v>198</v>
      </c>
      <c r="O690" t="s">
        <v>36</v>
      </c>
      <c r="P690" t="s">
        <v>55</v>
      </c>
      <c r="Q690" t="s">
        <v>67</v>
      </c>
      <c r="R690">
        <v>133</v>
      </c>
      <c r="S690">
        <v>0</v>
      </c>
      <c r="T690" t="s">
        <v>85</v>
      </c>
      <c r="U690" t="s">
        <v>57</v>
      </c>
      <c r="V690">
        <v>4.03</v>
      </c>
      <c r="W690">
        <v>4.59</v>
      </c>
      <c r="X690">
        <v>1.8</v>
      </c>
      <c r="Y690">
        <v>13.1</v>
      </c>
      <c r="Z690">
        <v>4.7</v>
      </c>
      <c r="AA690">
        <f>VALUE(SUBSTITUTE(DACS19___Pfizer’s_Personalised_Medicine_in[[#This Row],[Dose]],"mg",""))</f>
        <v>200</v>
      </c>
      <c r="AB690">
        <f t="shared" si="70"/>
        <v>200</v>
      </c>
      <c r="AC690" t="s">
        <v>67</v>
      </c>
      <c r="AD690">
        <f t="shared" si="71"/>
        <v>2</v>
      </c>
      <c r="AE690">
        <f t="shared" si="72"/>
        <v>2</v>
      </c>
      <c r="AF690" t="e">
        <f t="shared" si="73"/>
        <v>#N/A</v>
      </c>
      <c r="AG690" t="e">
        <f t="shared" si="74"/>
        <v>#N/A</v>
      </c>
      <c r="AH690" t="e">
        <f t="shared" si="75"/>
        <v>#N/A</v>
      </c>
      <c r="AI690">
        <f t="shared" si="76"/>
        <v>4.59</v>
      </c>
    </row>
    <row r="691" spans="1:35" x14ac:dyDescent="0.45">
      <c r="A691" t="s">
        <v>2035</v>
      </c>
      <c r="B691">
        <v>54</v>
      </c>
      <c r="C691" t="s">
        <v>44</v>
      </c>
      <c r="D691" t="s">
        <v>106</v>
      </c>
      <c r="E691" t="s">
        <v>29</v>
      </c>
      <c r="F691" t="s">
        <v>2614</v>
      </c>
      <c r="G691" t="s">
        <v>102</v>
      </c>
      <c r="H691" t="s">
        <v>81</v>
      </c>
      <c r="I691" t="s">
        <v>132</v>
      </c>
      <c r="J691" t="s">
        <v>334</v>
      </c>
      <c r="K691" t="s">
        <v>1368</v>
      </c>
      <c r="L691" t="s">
        <v>36</v>
      </c>
      <c r="M691" t="s">
        <v>2654</v>
      </c>
      <c r="N691" t="s">
        <v>1124</v>
      </c>
      <c r="O691" t="s">
        <v>36</v>
      </c>
      <c r="P691" t="s">
        <v>110</v>
      </c>
      <c r="Q691" t="s">
        <v>67</v>
      </c>
      <c r="R691">
        <v>178</v>
      </c>
      <c r="S691">
        <v>0</v>
      </c>
      <c r="T691" t="s">
        <v>123</v>
      </c>
      <c r="U691" t="s">
        <v>42</v>
      </c>
      <c r="V691">
        <v>1.07</v>
      </c>
      <c r="W691">
        <v>3.65</v>
      </c>
      <c r="X691">
        <v>6.4</v>
      </c>
      <c r="Y691">
        <v>8.9</v>
      </c>
      <c r="Z691">
        <v>7</v>
      </c>
      <c r="AA691">
        <f>VALUE(SUBSTITUTE(DACS19___Pfizer’s_Personalised_Medicine_in[[#This Row],[Dose]],"mg",""))</f>
        <v>200</v>
      </c>
      <c r="AB691">
        <f t="shared" si="70"/>
        <v>200</v>
      </c>
      <c r="AC691" t="s">
        <v>67</v>
      </c>
      <c r="AD691">
        <f t="shared" si="71"/>
        <v>2</v>
      </c>
      <c r="AE691">
        <f t="shared" si="72"/>
        <v>1</v>
      </c>
      <c r="AF691" t="e">
        <f t="shared" si="73"/>
        <v>#N/A</v>
      </c>
      <c r="AG691" t="e">
        <f t="shared" si="74"/>
        <v>#N/A</v>
      </c>
      <c r="AH691" t="e">
        <f t="shared" si="75"/>
        <v>#N/A</v>
      </c>
      <c r="AI691">
        <f t="shared" si="76"/>
        <v>3.65</v>
      </c>
    </row>
    <row r="692" spans="1:35" x14ac:dyDescent="0.45">
      <c r="A692" t="s">
        <v>2036</v>
      </c>
      <c r="B692">
        <v>34</v>
      </c>
      <c r="C692" t="s">
        <v>45</v>
      </c>
      <c r="D692" t="s">
        <v>87</v>
      </c>
      <c r="E692" t="s">
        <v>46</v>
      </c>
      <c r="F692" t="s">
        <v>2614</v>
      </c>
      <c r="G692" t="s">
        <v>118</v>
      </c>
      <c r="H692" t="s">
        <v>61</v>
      </c>
      <c r="I692" t="s">
        <v>33</v>
      </c>
      <c r="J692" t="s">
        <v>1146</v>
      </c>
      <c r="K692" t="s">
        <v>2037</v>
      </c>
      <c r="L692" t="s">
        <v>92</v>
      </c>
      <c r="M692" t="s">
        <v>2647</v>
      </c>
      <c r="N692" t="s">
        <v>182</v>
      </c>
      <c r="O692" t="s">
        <v>92</v>
      </c>
      <c r="P692" t="s">
        <v>55</v>
      </c>
      <c r="Q692" t="s">
        <v>129</v>
      </c>
      <c r="R692">
        <v>117</v>
      </c>
      <c r="S692">
        <v>0</v>
      </c>
      <c r="T692" t="s">
        <v>41</v>
      </c>
      <c r="U692" t="s">
        <v>57</v>
      </c>
      <c r="V692">
        <v>1.0900000000000001</v>
      </c>
      <c r="W692">
        <v>4.34</v>
      </c>
      <c r="X692">
        <v>9.8000000000000007</v>
      </c>
      <c r="Y692">
        <v>8.4</v>
      </c>
      <c r="Z692">
        <v>6.9</v>
      </c>
      <c r="AA692">
        <f>VALUE(SUBSTITUTE(DACS19___Pfizer’s_Personalised_Medicine_in[[#This Row],[Dose]],"mg",""))</f>
        <v>50</v>
      </c>
      <c r="AB692">
        <f t="shared" si="70"/>
        <v>50</v>
      </c>
      <c r="AC692" t="s">
        <v>129</v>
      </c>
      <c r="AD692">
        <f t="shared" si="71"/>
        <v>4</v>
      </c>
      <c r="AE692">
        <f t="shared" si="72"/>
        <v>2</v>
      </c>
      <c r="AF692">
        <f t="shared" si="73"/>
        <v>4.34</v>
      </c>
      <c r="AG692" t="e">
        <f t="shared" si="74"/>
        <v>#N/A</v>
      </c>
      <c r="AH692" t="e">
        <f t="shared" si="75"/>
        <v>#N/A</v>
      </c>
      <c r="AI692" t="e">
        <f t="shared" si="76"/>
        <v>#N/A</v>
      </c>
    </row>
    <row r="693" spans="1:35" x14ac:dyDescent="0.45">
      <c r="A693" t="s">
        <v>2038</v>
      </c>
      <c r="B693">
        <v>36</v>
      </c>
      <c r="C693" t="s">
        <v>27</v>
      </c>
      <c r="D693" t="s">
        <v>87</v>
      </c>
      <c r="E693" t="s">
        <v>2614</v>
      </c>
      <c r="F693" t="s">
        <v>47</v>
      </c>
      <c r="G693" t="s">
        <v>131</v>
      </c>
      <c r="H693" t="s">
        <v>32</v>
      </c>
      <c r="I693" t="s">
        <v>33</v>
      </c>
      <c r="J693" t="s">
        <v>2039</v>
      </c>
      <c r="K693" t="s">
        <v>2040</v>
      </c>
      <c r="L693" t="s">
        <v>36</v>
      </c>
      <c r="M693" t="s">
        <v>339</v>
      </c>
      <c r="N693" t="s">
        <v>408</v>
      </c>
      <c r="O693" t="s">
        <v>36</v>
      </c>
      <c r="P693" t="s">
        <v>55</v>
      </c>
      <c r="Q693" t="s">
        <v>2614</v>
      </c>
      <c r="R693">
        <v>141</v>
      </c>
      <c r="S693">
        <v>0</v>
      </c>
      <c r="T693" t="s">
        <v>123</v>
      </c>
      <c r="U693" t="s">
        <v>57</v>
      </c>
      <c r="V693">
        <v>4.47</v>
      </c>
      <c r="W693">
        <v>4.71</v>
      </c>
      <c r="X693">
        <v>4.8</v>
      </c>
      <c r="Y693">
        <v>6.9</v>
      </c>
      <c r="Z693">
        <v>3.7</v>
      </c>
      <c r="AA693">
        <f>VALUE(SUBSTITUTE(DACS19___Pfizer’s_Personalised_Medicine_in[[#This Row],[Dose]],"mg",""))</f>
        <v>200</v>
      </c>
      <c r="AB693">
        <f t="shared" si="70"/>
        <v>200</v>
      </c>
      <c r="AC693" t="s">
        <v>2614</v>
      </c>
      <c r="AD693">
        <f t="shared" si="71"/>
        <v>0</v>
      </c>
      <c r="AE693">
        <f t="shared" si="72"/>
        <v>2</v>
      </c>
      <c r="AF693" t="e">
        <f t="shared" si="73"/>
        <v>#N/A</v>
      </c>
      <c r="AG693" t="e">
        <f t="shared" si="74"/>
        <v>#N/A</v>
      </c>
      <c r="AH693">
        <f t="shared" si="75"/>
        <v>4.71</v>
      </c>
      <c r="AI693" t="e">
        <f t="shared" si="76"/>
        <v>#N/A</v>
      </c>
    </row>
    <row r="694" spans="1:35" x14ac:dyDescent="0.45">
      <c r="A694" t="s">
        <v>2041</v>
      </c>
      <c r="B694">
        <v>18</v>
      </c>
      <c r="C694" t="s">
        <v>44</v>
      </c>
      <c r="D694" t="s">
        <v>95</v>
      </c>
      <c r="E694" t="s">
        <v>46</v>
      </c>
      <c r="F694" t="s">
        <v>88</v>
      </c>
      <c r="G694" t="s">
        <v>440</v>
      </c>
      <c r="H694" t="s">
        <v>32</v>
      </c>
      <c r="I694" t="s">
        <v>72</v>
      </c>
      <c r="J694" t="s">
        <v>165</v>
      </c>
      <c r="K694" t="s">
        <v>166</v>
      </c>
      <c r="L694" t="s">
        <v>64</v>
      </c>
      <c r="M694" t="s">
        <v>469</v>
      </c>
      <c r="N694" t="s">
        <v>571</v>
      </c>
      <c r="O694" t="s">
        <v>64</v>
      </c>
      <c r="P694" t="s">
        <v>39</v>
      </c>
      <c r="Q694" t="s">
        <v>40</v>
      </c>
      <c r="R694">
        <v>165</v>
      </c>
      <c r="S694">
        <v>1</v>
      </c>
      <c r="T694" t="s">
        <v>123</v>
      </c>
      <c r="U694" t="s">
        <v>57</v>
      </c>
      <c r="V694">
        <v>3.3</v>
      </c>
      <c r="W694">
        <v>2.57</v>
      </c>
      <c r="X694">
        <v>1.3</v>
      </c>
      <c r="Y694">
        <v>16.5</v>
      </c>
      <c r="Z694">
        <v>3.2</v>
      </c>
      <c r="AA694">
        <f>VALUE(SUBSTITUTE(DACS19___Pfizer’s_Personalised_Medicine_in[[#This Row],[Dose]],"mg",""))</f>
        <v>150</v>
      </c>
      <c r="AB694">
        <f t="shared" si="70"/>
        <v>150</v>
      </c>
      <c r="AC694" t="s">
        <v>40</v>
      </c>
      <c r="AD694">
        <f t="shared" si="71"/>
        <v>3</v>
      </c>
      <c r="AE694">
        <f t="shared" si="72"/>
        <v>3</v>
      </c>
      <c r="AF694" t="e">
        <f t="shared" si="73"/>
        <v>#N/A</v>
      </c>
      <c r="AG694" t="e">
        <f t="shared" si="74"/>
        <v>#N/A</v>
      </c>
      <c r="AH694">
        <f t="shared" si="75"/>
        <v>2.57</v>
      </c>
      <c r="AI694" t="e">
        <f t="shared" si="76"/>
        <v>#N/A</v>
      </c>
    </row>
    <row r="695" spans="1:35" x14ac:dyDescent="0.45">
      <c r="A695" t="s">
        <v>2042</v>
      </c>
      <c r="B695">
        <v>62</v>
      </c>
      <c r="C695" t="s">
        <v>44</v>
      </c>
      <c r="D695" t="s">
        <v>106</v>
      </c>
      <c r="E695" t="s">
        <v>78</v>
      </c>
      <c r="F695" t="s">
        <v>59</v>
      </c>
      <c r="G695" t="s">
        <v>70</v>
      </c>
      <c r="H695" t="s">
        <v>81</v>
      </c>
      <c r="I695" t="s">
        <v>132</v>
      </c>
      <c r="J695" t="s">
        <v>2043</v>
      </c>
      <c r="K695" t="s">
        <v>1570</v>
      </c>
      <c r="L695" t="s">
        <v>52</v>
      </c>
      <c r="M695" t="s">
        <v>67</v>
      </c>
      <c r="N695" t="s">
        <v>122</v>
      </c>
      <c r="O695" t="s">
        <v>52</v>
      </c>
      <c r="P695" t="s">
        <v>55</v>
      </c>
      <c r="Q695" t="s">
        <v>40</v>
      </c>
      <c r="R695">
        <v>86</v>
      </c>
      <c r="S695">
        <v>0</v>
      </c>
      <c r="T695" t="s">
        <v>85</v>
      </c>
      <c r="U695" t="s">
        <v>42</v>
      </c>
      <c r="V695">
        <v>4.1500000000000004</v>
      </c>
      <c r="W695">
        <v>2.23</v>
      </c>
      <c r="X695">
        <v>1.4</v>
      </c>
      <c r="Y695">
        <v>16.600000000000001</v>
      </c>
      <c r="Z695">
        <v>9.8000000000000007</v>
      </c>
      <c r="AA695">
        <f>VALUE(SUBSTITUTE(DACS19___Pfizer’s_Personalised_Medicine_in[[#This Row],[Dose]],"mg",""))</f>
        <v>100</v>
      </c>
      <c r="AB695">
        <f t="shared" si="70"/>
        <v>100</v>
      </c>
      <c r="AC695" t="s">
        <v>40</v>
      </c>
      <c r="AD695">
        <f t="shared" si="71"/>
        <v>3</v>
      </c>
      <c r="AE695">
        <f t="shared" si="72"/>
        <v>2</v>
      </c>
      <c r="AF695" t="e">
        <f t="shared" si="73"/>
        <v>#N/A</v>
      </c>
      <c r="AG695" t="e">
        <f t="shared" si="74"/>
        <v>#N/A</v>
      </c>
      <c r="AH695" t="e">
        <f t="shared" si="75"/>
        <v>#N/A</v>
      </c>
      <c r="AI695">
        <f t="shared" si="76"/>
        <v>2.23</v>
      </c>
    </row>
    <row r="696" spans="1:35" x14ac:dyDescent="0.45">
      <c r="A696" t="s">
        <v>2044</v>
      </c>
      <c r="B696">
        <v>32</v>
      </c>
      <c r="C696" t="s">
        <v>44</v>
      </c>
      <c r="D696" t="s">
        <v>28</v>
      </c>
      <c r="E696" t="s">
        <v>29</v>
      </c>
      <c r="F696" t="s">
        <v>88</v>
      </c>
      <c r="G696" t="s">
        <v>184</v>
      </c>
      <c r="H696" t="s">
        <v>32</v>
      </c>
      <c r="I696" t="s">
        <v>33</v>
      </c>
      <c r="J696" t="s">
        <v>2045</v>
      </c>
      <c r="K696" t="s">
        <v>914</v>
      </c>
      <c r="L696" t="s">
        <v>52</v>
      </c>
      <c r="M696" t="s">
        <v>2615</v>
      </c>
      <c r="N696" t="s">
        <v>168</v>
      </c>
      <c r="O696" t="s">
        <v>52</v>
      </c>
      <c r="P696" t="s">
        <v>110</v>
      </c>
      <c r="Q696" t="s">
        <v>75</v>
      </c>
      <c r="R696">
        <v>177</v>
      </c>
      <c r="S696">
        <v>0</v>
      </c>
      <c r="T696" t="s">
        <v>85</v>
      </c>
      <c r="U696" t="s">
        <v>42</v>
      </c>
      <c r="V696">
        <v>4.9000000000000004</v>
      </c>
      <c r="W696">
        <v>3.18</v>
      </c>
      <c r="X696">
        <v>3.5</v>
      </c>
      <c r="Y696">
        <v>18.8</v>
      </c>
      <c r="Z696">
        <v>7.6</v>
      </c>
      <c r="AA696">
        <f>VALUE(SUBSTITUTE(DACS19___Pfizer’s_Personalised_Medicine_in[[#This Row],[Dose]],"mg",""))</f>
        <v>100</v>
      </c>
      <c r="AB696">
        <f t="shared" si="70"/>
        <v>100</v>
      </c>
      <c r="AC696" t="s">
        <v>75</v>
      </c>
      <c r="AD696">
        <f t="shared" si="71"/>
        <v>1</v>
      </c>
      <c r="AE696">
        <f t="shared" si="72"/>
        <v>1</v>
      </c>
      <c r="AF696" t="e">
        <f t="shared" si="73"/>
        <v>#N/A</v>
      </c>
      <c r="AG696" t="e">
        <f t="shared" si="74"/>
        <v>#N/A</v>
      </c>
      <c r="AH696">
        <f t="shared" si="75"/>
        <v>3.18</v>
      </c>
      <c r="AI696" t="e">
        <f t="shared" si="76"/>
        <v>#N/A</v>
      </c>
    </row>
    <row r="697" spans="1:35" x14ac:dyDescent="0.45">
      <c r="A697" t="s">
        <v>2046</v>
      </c>
      <c r="B697">
        <v>81</v>
      </c>
      <c r="C697" t="s">
        <v>45</v>
      </c>
      <c r="D697" t="s">
        <v>87</v>
      </c>
      <c r="E697" t="s">
        <v>46</v>
      </c>
      <c r="F697" t="s">
        <v>2614</v>
      </c>
      <c r="G697" t="s">
        <v>31</v>
      </c>
      <c r="H697" t="s">
        <v>81</v>
      </c>
      <c r="I697" t="s">
        <v>132</v>
      </c>
      <c r="J697" t="s">
        <v>2047</v>
      </c>
      <c r="K697" t="s">
        <v>600</v>
      </c>
      <c r="L697" t="s">
        <v>92</v>
      </c>
      <c r="M697" t="s">
        <v>2617</v>
      </c>
      <c r="N697" t="s">
        <v>156</v>
      </c>
      <c r="O697" t="s">
        <v>92</v>
      </c>
      <c r="P697" t="s">
        <v>55</v>
      </c>
      <c r="Q697" t="s">
        <v>75</v>
      </c>
      <c r="R697">
        <v>81</v>
      </c>
      <c r="S697">
        <v>0</v>
      </c>
      <c r="T697" t="s">
        <v>56</v>
      </c>
      <c r="U697" t="s">
        <v>57</v>
      </c>
      <c r="V697">
        <v>4.62</v>
      </c>
      <c r="W697">
        <v>2.5</v>
      </c>
      <c r="X697">
        <v>5.9</v>
      </c>
      <c r="Y697">
        <v>6.9</v>
      </c>
      <c r="Z697">
        <v>10.199999999999999</v>
      </c>
      <c r="AA697">
        <f>VALUE(SUBSTITUTE(DACS19___Pfizer’s_Personalised_Medicine_in[[#This Row],[Dose]],"mg",""))</f>
        <v>50</v>
      </c>
      <c r="AB697">
        <f t="shared" si="70"/>
        <v>50</v>
      </c>
      <c r="AC697" t="s">
        <v>75</v>
      </c>
      <c r="AD697">
        <f t="shared" si="71"/>
        <v>1</v>
      </c>
      <c r="AE697">
        <f t="shared" si="72"/>
        <v>2</v>
      </c>
      <c r="AF697" t="e">
        <f t="shared" si="73"/>
        <v>#N/A</v>
      </c>
      <c r="AG697" t="e">
        <f t="shared" si="74"/>
        <v>#N/A</v>
      </c>
      <c r="AH697" t="e">
        <f t="shared" si="75"/>
        <v>#N/A</v>
      </c>
      <c r="AI697">
        <f t="shared" si="76"/>
        <v>2.5</v>
      </c>
    </row>
    <row r="698" spans="1:35" x14ac:dyDescent="0.45">
      <c r="A698" t="s">
        <v>2048</v>
      </c>
      <c r="B698">
        <v>30</v>
      </c>
      <c r="C698" t="s">
        <v>44</v>
      </c>
      <c r="D698" t="s">
        <v>95</v>
      </c>
      <c r="E698" t="s">
        <v>29</v>
      </c>
      <c r="F698" t="s">
        <v>79</v>
      </c>
      <c r="G698" t="s">
        <v>31</v>
      </c>
      <c r="H698" t="s">
        <v>61</v>
      </c>
      <c r="I698" t="s">
        <v>132</v>
      </c>
      <c r="J698" t="s">
        <v>2049</v>
      </c>
      <c r="K698" t="s">
        <v>257</v>
      </c>
      <c r="L698" t="s">
        <v>64</v>
      </c>
      <c r="M698" t="s">
        <v>469</v>
      </c>
      <c r="N698" t="s">
        <v>578</v>
      </c>
      <c r="O698" t="s">
        <v>64</v>
      </c>
      <c r="P698" t="s">
        <v>39</v>
      </c>
      <c r="Q698" t="s">
        <v>129</v>
      </c>
      <c r="R698">
        <v>56</v>
      </c>
      <c r="S698">
        <v>1</v>
      </c>
      <c r="T698" t="s">
        <v>85</v>
      </c>
      <c r="U698" t="s">
        <v>42</v>
      </c>
      <c r="V698">
        <v>4.33</v>
      </c>
      <c r="W698">
        <v>4.22</v>
      </c>
      <c r="X698">
        <v>3</v>
      </c>
      <c r="Y698">
        <v>10.1</v>
      </c>
      <c r="Z698">
        <v>16.899999999999999</v>
      </c>
      <c r="AA698">
        <f>VALUE(SUBSTITUTE(DACS19___Pfizer’s_Personalised_Medicine_in[[#This Row],[Dose]],"mg",""))</f>
        <v>150</v>
      </c>
      <c r="AB698">
        <f t="shared" si="70"/>
        <v>150</v>
      </c>
      <c r="AC698" t="s">
        <v>129</v>
      </c>
      <c r="AD698">
        <f t="shared" si="71"/>
        <v>4</v>
      </c>
      <c r="AE698">
        <f t="shared" si="72"/>
        <v>3</v>
      </c>
      <c r="AF698">
        <f t="shared" si="73"/>
        <v>4.22</v>
      </c>
      <c r="AG698" t="e">
        <f t="shared" si="74"/>
        <v>#N/A</v>
      </c>
      <c r="AH698" t="e">
        <f t="shared" si="75"/>
        <v>#N/A</v>
      </c>
      <c r="AI698" t="e">
        <f t="shared" si="76"/>
        <v>#N/A</v>
      </c>
    </row>
    <row r="699" spans="1:35" x14ac:dyDescent="0.45">
      <c r="A699" t="s">
        <v>2050</v>
      </c>
      <c r="B699">
        <v>47</v>
      </c>
      <c r="C699" t="s">
        <v>44</v>
      </c>
      <c r="D699" t="s">
        <v>87</v>
      </c>
      <c r="E699" t="s">
        <v>46</v>
      </c>
      <c r="F699" t="s">
        <v>69</v>
      </c>
      <c r="G699" t="s">
        <v>125</v>
      </c>
      <c r="H699" t="s">
        <v>61</v>
      </c>
      <c r="I699" t="s">
        <v>33</v>
      </c>
      <c r="J699" t="s">
        <v>2051</v>
      </c>
      <c r="K699" t="s">
        <v>2052</v>
      </c>
      <c r="L699" t="s">
        <v>52</v>
      </c>
      <c r="M699" t="s">
        <v>451</v>
      </c>
      <c r="N699" t="s">
        <v>818</v>
      </c>
      <c r="O699" t="s">
        <v>52</v>
      </c>
      <c r="P699" t="s">
        <v>39</v>
      </c>
      <c r="Q699" t="s">
        <v>75</v>
      </c>
      <c r="R699">
        <v>134</v>
      </c>
      <c r="S699">
        <v>1</v>
      </c>
      <c r="T699" t="s">
        <v>123</v>
      </c>
      <c r="U699" t="s">
        <v>57</v>
      </c>
      <c r="V699">
        <v>4.72</v>
      </c>
      <c r="W699">
        <v>1.38</v>
      </c>
      <c r="X699">
        <v>5.0999999999999996</v>
      </c>
      <c r="Y699">
        <v>12.1</v>
      </c>
      <c r="Z699">
        <v>17.8</v>
      </c>
      <c r="AA699">
        <f>VALUE(SUBSTITUTE(DACS19___Pfizer’s_Personalised_Medicine_in[[#This Row],[Dose]],"mg",""))</f>
        <v>100</v>
      </c>
      <c r="AB699">
        <f t="shared" si="70"/>
        <v>100</v>
      </c>
      <c r="AC699" t="s">
        <v>75</v>
      </c>
      <c r="AD699">
        <f t="shared" si="71"/>
        <v>1</v>
      </c>
      <c r="AE699">
        <f t="shared" si="72"/>
        <v>3</v>
      </c>
      <c r="AF699">
        <f t="shared" si="73"/>
        <v>1.38</v>
      </c>
      <c r="AG699" t="e">
        <f t="shared" si="74"/>
        <v>#N/A</v>
      </c>
      <c r="AH699" t="e">
        <f t="shared" si="75"/>
        <v>#N/A</v>
      </c>
      <c r="AI699" t="e">
        <f t="shared" si="76"/>
        <v>#N/A</v>
      </c>
    </row>
    <row r="700" spans="1:35" x14ac:dyDescent="0.45">
      <c r="A700" t="s">
        <v>2053</v>
      </c>
      <c r="B700">
        <v>75</v>
      </c>
      <c r="C700" t="s">
        <v>27</v>
      </c>
      <c r="D700" t="s">
        <v>87</v>
      </c>
      <c r="E700" t="s">
        <v>2614</v>
      </c>
      <c r="F700" t="s">
        <v>2614</v>
      </c>
      <c r="G700" t="s">
        <v>152</v>
      </c>
      <c r="H700" t="s">
        <v>61</v>
      </c>
      <c r="I700" t="s">
        <v>49</v>
      </c>
      <c r="J700" t="s">
        <v>2054</v>
      </c>
      <c r="K700" t="s">
        <v>214</v>
      </c>
      <c r="L700" t="s">
        <v>52</v>
      </c>
      <c r="M700" t="s">
        <v>40</v>
      </c>
      <c r="N700" t="s">
        <v>447</v>
      </c>
      <c r="O700" t="s">
        <v>52</v>
      </c>
      <c r="P700" t="s">
        <v>55</v>
      </c>
      <c r="Q700" t="s">
        <v>75</v>
      </c>
      <c r="R700">
        <v>72</v>
      </c>
      <c r="S700">
        <v>0</v>
      </c>
      <c r="T700" t="s">
        <v>123</v>
      </c>
      <c r="U700" t="s">
        <v>57</v>
      </c>
      <c r="V700">
        <v>1.33</v>
      </c>
      <c r="W700">
        <v>1.84</v>
      </c>
      <c r="X700">
        <v>7.8</v>
      </c>
      <c r="Y700">
        <v>6.9</v>
      </c>
      <c r="Z700">
        <v>11.4</v>
      </c>
      <c r="AA700">
        <f>VALUE(SUBSTITUTE(DACS19___Pfizer’s_Personalised_Medicine_in[[#This Row],[Dose]],"mg",""))</f>
        <v>100</v>
      </c>
      <c r="AB700">
        <f t="shared" si="70"/>
        <v>100</v>
      </c>
      <c r="AC700" t="s">
        <v>75</v>
      </c>
      <c r="AD700">
        <f t="shared" si="71"/>
        <v>1</v>
      </c>
      <c r="AE700">
        <f t="shared" si="72"/>
        <v>2</v>
      </c>
      <c r="AF700">
        <f t="shared" si="73"/>
        <v>1.84</v>
      </c>
      <c r="AG700" t="e">
        <f t="shared" si="74"/>
        <v>#N/A</v>
      </c>
      <c r="AH700" t="e">
        <f t="shared" si="75"/>
        <v>#N/A</v>
      </c>
      <c r="AI700" t="e">
        <f t="shared" si="76"/>
        <v>#N/A</v>
      </c>
    </row>
    <row r="701" spans="1:35" x14ac:dyDescent="0.45">
      <c r="A701" t="s">
        <v>2055</v>
      </c>
      <c r="B701">
        <v>45</v>
      </c>
      <c r="C701" t="s">
        <v>44</v>
      </c>
      <c r="D701" t="s">
        <v>28</v>
      </c>
      <c r="E701" t="s">
        <v>163</v>
      </c>
      <c r="F701" t="s">
        <v>69</v>
      </c>
      <c r="G701" t="s">
        <v>60</v>
      </c>
      <c r="H701" t="s">
        <v>32</v>
      </c>
      <c r="I701" t="s">
        <v>49</v>
      </c>
      <c r="J701" t="s">
        <v>790</v>
      </c>
      <c r="K701" t="s">
        <v>2056</v>
      </c>
      <c r="L701" t="s">
        <v>36</v>
      </c>
      <c r="M701" t="s">
        <v>2647</v>
      </c>
      <c r="N701" t="s">
        <v>212</v>
      </c>
      <c r="O701" t="s">
        <v>36</v>
      </c>
      <c r="P701" t="s">
        <v>110</v>
      </c>
      <c r="Q701" t="s">
        <v>75</v>
      </c>
      <c r="R701">
        <v>35</v>
      </c>
      <c r="S701">
        <v>0</v>
      </c>
      <c r="T701" t="s">
        <v>137</v>
      </c>
      <c r="U701" t="s">
        <v>42</v>
      </c>
      <c r="V701">
        <v>2.77</v>
      </c>
      <c r="W701">
        <v>2.34</v>
      </c>
      <c r="X701">
        <v>4.5999999999999996</v>
      </c>
      <c r="Y701">
        <v>15.5</v>
      </c>
      <c r="Z701">
        <v>5.7</v>
      </c>
      <c r="AA701">
        <f>VALUE(SUBSTITUTE(DACS19___Pfizer’s_Personalised_Medicine_in[[#This Row],[Dose]],"mg",""))</f>
        <v>200</v>
      </c>
      <c r="AB701">
        <f t="shared" si="70"/>
        <v>200</v>
      </c>
      <c r="AC701" t="s">
        <v>75</v>
      </c>
      <c r="AD701">
        <f t="shared" si="71"/>
        <v>1</v>
      </c>
      <c r="AE701">
        <f t="shared" si="72"/>
        <v>1</v>
      </c>
      <c r="AF701" t="e">
        <f t="shared" si="73"/>
        <v>#N/A</v>
      </c>
      <c r="AG701" t="e">
        <f t="shared" si="74"/>
        <v>#N/A</v>
      </c>
      <c r="AH701">
        <f t="shared" si="75"/>
        <v>2.34</v>
      </c>
      <c r="AI701" t="e">
        <f t="shared" si="76"/>
        <v>#N/A</v>
      </c>
    </row>
    <row r="702" spans="1:35" x14ac:dyDescent="0.45">
      <c r="A702" t="s">
        <v>2057</v>
      </c>
      <c r="B702">
        <v>40</v>
      </c>
      <c r="C702" t="s">
        <v>27</v>
      </c>
      <c r="D702" t="s">
        <v>106</v>
      </c>
      <c r="E702" t="s">
        <v>163</v>
      </c>
      <c r="F702" t="s">
        <v>2614</v>
      </c>
      <c r="G702" t="s">
        <v>89</v>
      </c>
      <c r="H702" t="s">
        <v>71</v>
      </c>
      <c r="I702" t="s">
        <v>72</v>
      </c>
      <c r="J702" t="s">
        <v>1618</v>
      </c>
      <c r="K702" t="s">
        <v>1395</v>
      </c>
      <c r="L702" t="s">
        <v>36</v>
      </c>
      <c r="M702" t="s">
        <v>75</v>
      </c>
      <c r="N702" t="s">
        <v>227</v>
      </c>
      <c r="O702" t="s">
        <v>36</v>
      </c>
      <c r="P702" t="s">
        <v>39</v>
      </c>
      <c r="Q702" t="s">
        <v>129</v>
      </c>
      <c r="R702">
        <v>82</v>
      </c>
      <c r="S702">
        <v>1</v>
      </c>
      <c r="T702" t="s">
        <v>137</v>
      </c>
      <c r="U702" t="s">
        <v>57</v>
      </c>
      <c r="V702">
        <v>3.29</v>
      </c>
      <c r="W702">
        <v>4.22</v>
      </c>
      <c r="X702">
        <v>7.8</v>
      </c>
      <c r="Y702">
        <v>8.8000000000000007</v>
      </c>
      <c r="Z702">
        <v>5.5</v>
      </c>
      <c r="AA702">
        <f>VALUE(SUBSTITUTE(DACS19___Pfizer’s_Personalised_Medicine_in[[#This Row],[Dose]],"mg",""))</f>
        <v>200</v>
      </c>
      <c r="AB702">
        <f t="shared" si="70"/>
        <v>200</v>
      </c>
      <c r="AC702" t="s">
        <v>129</v>
      </c>
      <c r="AD702">
        <f t="shared" si="71"/>
        <v>4</v>
      </c>
      <c r="AE702">
        <f t="shared" si="72"/>
        <v>3</v>
      </c>
      <c r="AF702" t="e">
        <f t="shared" si="73"/>
        <v>#N/A</v>
      </c>
      <c r="AG702">
        <f t="shared" si="74"/>
        <v>4.22</v>
      </c>
      <c r="AH702" t="e">
        <f t="shared" si="75"/>
        <v>#N/A</v>
      </c>
      <c r="AI702" t="e">
        <f t="shared" si="76"/>
        <v>#N/A</v>
      </c>
    </row>
    <row r="703" spans="1:35" x14ac:dyDescent="0.45">
      <c r="A703" t="s">
        <v>2058</v>
      </c>
      <c r="B703">
        <v>73</v>
      </c>
      <c r="C703" t="s">
        <v>27</v>
      </c>
      <c r="D703" t="s">
        <v>87</v>
      </c>
      <c r="E703" t="s">
        <v>46</v>
      </c>
      <c r="F703" t="s">
        <v>88</v>
      </c>
      <c r="G703" t="s">
        <v>112</v>
      </c>
      <c r="H703" t="s">
        <v>32</v>
      </c>
      <c r="I703" t="s">
        <v>49</v>
      </c>
      <c r="J703" t="s">
        <v>1993</v>
      </c>
      <c r="K703" t="s">
        <v>2059</v>
      </c>
      <c r="L703" t="s">
        <v>92</v>
      </c>
      <c r="M703" t="s">
        <v>67</v>
      </c>
      <c r="N703" t="s">
        <v>335</v>
      </c>
      <c r="O703" t="s">
        <v>92</v>
      </c>
      <c r="P703" t="s">
        <v>39</v>
      </c>
      <c r="Q703" t="s">
        <v>67</v>
      </c>
      <c r="R703">
        <v>136</v>
      </c>
      <c r="S703">
        <v>1</v>
      </c>
      <c r="T703" t="s">
        <v>123</v>
      </c>
      <c r="U703" t="s">
        <v>57</v>
      </c>
      <c r="V703">
        <v>2.0699999999999998</v>
      </c>
      <c r="W703">
        <v>2.44</v>
      </c>
      <c r="X703">
        <v>4.7</v>
      </c>
      <c r="Y703">
        <v>18.2</v>
      </c>
      <c r="Z703">
        <v>4</v>
      </c>
      <c r="AA703">
        <f>VALUE(SUBSTITUTE(DACS19___Pfizer’s_Personalised_Medicine_in[[#This Row],[Dose]],"mg",""))</f>
        <v>50</v>
      </c>
      <c r="AB703">
        <f t="shared" si="70"/>
        <v>50</v>
      </c>
      <c r="AC703" t="s">
        <v>67</v>
      </c>
      <c r="AD703">
        <f t="shared" si="71"/>
        <v>2</v>
      </c>
      <c r="AE703">
        <f t="shared" si="72"/>
        <v>3</v>
      </c>
      <c r="AF703" t="e">
        <f t="shared" si="73"/>
        <v>#N/A</v>
      </c>
      <c r="AG703" t="e">
        <f t="shared" si="74"/>
        <v>#N/A</v>
      </c>
      <c r="AH703">
        <f t="shared" si="75"/>
        <v>2.44</v>
      </c>
      <c r="AI703" t="e">
        <f t="shared" si="76"/>
        <v>#N/A</v>
      </c>
    </row>
    <row r="704" spans="1:35" x14ac:dyDescent="0.45">
      <c r="A704" t="s">
        <v>2060</v>
      </c>
      <c r="B704">
        <v>47</v>
      </c>
      <c r="C704" t="s">
        <v>45</v>
      </c>
      <c r="D704" t="s">
        <v>106</v>
      </c>
      <c r="E704" t="s">
        <v>2614</v>
      </c>
      <c r="F704" t="s">
        <v>2614</v>
      </c>
      <c r="G704" t="s">
        <v>178</v>
      </c>
      <c r="H704" t="s">
        <v>32</v>
      </c>
      <c r="I704" t="s">
        <v>33</v>
      </c>
      <c r="J704" t="s">
        <v>779</v>
      </c>
      <c r="K704" t="s">
        <v>493</v>
      </c>
      <c r="L704" t="s">
        <v>52</v>
      </c>
      <c r="M704" t="s">
        <v>1291</v>
      </c>
      <c r="N704" t="s">
        <v>484</v>
      </c>
      <c r="O704" t="s">
        <v>52</v>
      </c>
      <c r="P704" t="s">
        <v>55</v>
      </c>
      <c r="Q704" t="s">
        <v>2614</v>
      </c>
      <c r="R704">
        <v>110</v>
      </c>
      <c r="S704">
        <v>0</v>
      </c>
      <c r="T704" t="s">
        <v>137</v>
      </c>
      <c r="U704" t="s">
        <v>42</v>
      </c>
      <c r="V704">
        <v>1.1399999999999999</v>
      </c>
      <c r="W704">
        <v>2.57</v>
      </c>
      <c r="X704">
        <v>7.3</v>
      </c>
      <c r="Y704">
        <v>9.5</v>
      </c>
      <c r="Z704">
        <v>13.9</v>
      </c>
      <c r="AA704">
        <f>VALUE(SUBSTITUTE(DACS19___Pfizer’s_Personalised_Medicine_in[[#This Row],[Dose]],"mg",""))</f>
        <v>100</v>
      </c>
      <c r="AB704">
        <f t="shared" si="70"/>
        <v>100</v>
      </c>
      <c r="AC704" t="s">
        <v>2614</v>
      </c>
      <c r="AD704">
        <f t="shared" si="71"/>
        <v>0</v>
      </c>
      <c r="AE704">
        <f t="shared" si="72"/>
        <v>2</v>
      </c>
      <c r="AF704" t="e">
        <f t="shared" si="73"/>
        <v>#N/A</v>
      </c>
      <c r="AG704" t="e">
        <f t="shared" si="74"/>
        <v>#N/A</v>
      </c>
      <c r="AH704">
        <f t="shared" si="75"/>
        <v>2.57</v>
      </c>
      <c r="AI704" t="e">
        <f t="shared" si="76"/>
        <v>#N/A</v>
      </c>
    </row>
    <row r="705" spans="1:35" x14ac:dyDescent="0.45">
      <c r="A705" t="s">
        <v>2061</v>
      </c>
      <c r="B705">
        <v>20</v>
      </c>
      <c r="C705" t="s">
        <v>27</v>
      </c>
      <c r="D705" t="s">
        <v>95</v>
      </c>
      <c r="E705" t="s">
        <v>2614</v>
      </c>
      <c r="F705" t="s">
        <v>69</v>
      </c>
      <c r="G705" t="s">
        <v>440</v>
      </c>
      <c r="H705" t="s">
        <v>61</v>
      </c>
      <c r="I705" t="s">
        <v>49</v>
      </c>
      <c r="J705" t="s">
        <v>1344</v>
      </c>
      <c r="K705" t="s">
        <v>2062</v>
      </c>
      <c r="L705" t="s">
        <v>92</v>
      </c>
      <c r="M705" t="s">
        <v>2631</v>
      </c>
      <c r="N705" t="s">
        <v>788</v>
      </c>
      <c r="O705" t="s">
        <v>92</v>
      </c>
      <c r="P705" t="s">
        <v>110</v>
      </c>
      <c r="Q705" t="s">
        <v>67</v>
      </c>
      <c r="R705">
        <v>43</v>
      </c>
      <c r="S705">
        <v>0</v>
      </c>
      <c r="T705" t="s">
        <v>85</v>
      </c>
      <c r="U705" t="s">
        <v>42</v>
      </c>
      <c r="V705">
        <v>2.04</v>
      </c>
      <c r="W705">
        <v>4.54</v>
      </c>
      <c r="X705">
        <v>9.1</v>
      </c>
      <c r="Y705">
        <v>11.4</v>
      </c>
      <c r="Z705">
        <v>6.9</v>
      </c>
      <c r="AA705">
        <f>VALUE(SUBSTITUTE(DACS19___Pfizer’s_Personalised_Medicine_in[[#This Row],[Dose]],"mg",""))</f>
        <v>50</v>
      </c>
      <c r="AB705">
        <f t="shared" si="70"/>
        <v>50</v>
      </c>
      <c r="AC705" t="s">
        <v>67</v>
      </c>
      <c r="AD705">
        <f t="shared" si="71"/>
        <v>2</v>
      </c>
      <c r="AE705">
        <f t="shared" si="72"/>
        <v>1</v>
      </c>
      <c r="AF705">
        <f t="shared" si="73"/>
        <v>4.54</v>
      </c>
      <c r="AG705" t="e">
        <f t="shared" si="74"/>
        <v>#N/A</v>
      </c>
      <c r="AH705" t="e">
        <f t="shared" si="75"/>
        <v>#N/A</v>
      </c>
      <c r="AI705" t="e">
        <f t="shared" si="76"/>
        <v>#N/A</v>
      </c>
    </row>
    <row r="706" spans="1:35" x14ac:dyDescent="0.45">
      <c r="A706" t="s">
        <v>2063</v>
      </c>
      <c r="B706">
        <v>47</v>
      </c>
      <c r="C706" t="s">
        <v>27</v>
      </c>
      <c r="D706" t="s">
        <v>106</v>
      </c>
      <c r="E706" t="s">
        <v>163</v>
      </c>
      <c r="F706" t="s">
        <v>2614</v>
      </c>
      <c r="G706" t="s">
        <v>152</v>
      </c>
      <c r="H706" t="s">
        <v>61</v>
      </c>
      <c r="I706" t="s">
        <v>72</v>
      </c>
      <c r="J706" t="s">
        <v>2064</v>
      </c>
      <c r="K706" t="s">
        <v>2065</v>
      </c>
      <c r="L706" t="s">
        <v>92</v>
      </c>
      <c r="M706" t="s">
        <v>2633</v>
      </c>
      <c r="N706" t="s">
        <v>1836</v>
      </c>
      <c r="O706" t="s">
        <v>92</v>
      </c>
      <c r="P706" t="s">
        <v>39</v>
      </c>
      <c r="Q706" t="s">
        <v>67</v>
      </c>
      <c r="R706">
        <v>41</v>
      </c>
      <c r="S706">
        <v>1</v>
      </c>
      <c r="T706" t="s">
        <v>56</v>
      </c>
      <c r="U706" t="s">
        <v>57</v>
      </c>
      <c r="V706">
        <v>2.65</v>
      </c>
      <c r="W706">
        <v>1.96</v>
      </c>
      <c r="X706">
        <v>7.1</v>
      </c>
      <c r="Y706">
        <v>20.9</v>
      </c>
      <c r="Z706">
        <v>14.4</v>
      </c>
      <c r="AA706">
        <f>VALUE(SUBSTITUTE(DACS19___Pfizer’s_Personalised_Medicine_in[[#This Row],[Dose]],"mg",""))</f>
        <v>50</v>
      </c>
      <c r="AB706">
        <f t="shared" ref="AB706:AB769" si="77">VALUE(SUBSTITUTE(O706,"mg",""))</f>
        <v>50</v>
      </c>
      <c r="AC706" t="s">
        <v>67</v>
      </c>
      <c r="AD706">
        <f t="shared" ref="AD706:AD769" si="78">IF(Q706="","",IF(Q706="Dizziness",1,IF(Q706="Fatigue",2,IF(Q706="Headache",3,IF(Q706="Nausea",4,IF(Q706="Not Reported",0,""))))))</f>
        <v>2</v>
      </c>
      <c r="AE706">
        <f t="shared" ref="AE706:AE769" si="79">IF(P706="Deteriorated",1,IF(P706="No Change",2,IF(P706="Improved",3,0)))</f>
        <v>3</v>
      </c>
      <c r="AF706">
        <f t="shared" ref="AF706:AF769" si="80">IF($H706="DrugA",$W706,NA())</f>
        <v>1.96</v>
      </c>
      <c r="AG706" t="e">
        <f t="shared" ref="AG706:AG769" si="81">IF($H706="DrugB",$W706,NA())</f>
        <v>#N/A</v>
      </c>
      <c r="AH706" t="e">
        <f t="shared" ref="AH706:AH769" si="82">IF($H706="DrugC",$W706,NA())</f>
        <v>#N/A</v>
      </c>
      <c r="AI706" t="e">
        <f t="shared" ref="AI706:AI769" si="83">IF($H706="DrugD",$W706,NA())</f>
        <v>#N/A</v>
      </c>
    </row>
    <row r="707" spans="1:35" x14ac:dyDescent="0.45">
      <c r="A707" t="s">
        <v>2066</v>
      </c>
      <c r="B707">
        <v>44</v>
      </c>
      <c r="C707" t="s">
        <v>27</v>
      </c>
      <c r="D707" t="s">
        <v>106</v>
      </c>
      <c r="E707" t="s">
        <v>163</v>
      </c>
      <c r="F707" t="s">
        <v>2614</v>
      </c>
      <c r="G707" t="s">
        <v>152</v>
      </c>
      <c r="H707" t="s">
        <v>81</v>
      </c>
      <c r="I707" t="s">
        <v>49</v>
      </c>
      <c r="J707" t="s">
        <v>475</v>
      </c>
      <c r="K707" t="s">
        <v>2067</v>
      </c>
      <c r="L707" t="s">
        <v>92</v>
      </c>
      <c r="M707" t="s">
        <v>2634</v>
      </c>
      <c r="N707" t="s">
        <v>654</v>
      </c>
      <c r="O707" t="s">
        <v>92</v>
      </c>
      <c r="P707" t="s">
        <v>55</v>
      </c>
      <c r="Q707" t="s">
        <v>2614</v>
      </c>
      <c r="R707">
        <v>37</v>
      </c>
      <c r="S707">
        <v>0</v>
      </c>
      <c r="T707" t="s">
        <v>123</v>
      </c>
      <c r="U707" t="s">
        <v>42</v>
      </c>
      <c r="V707">
        <v>4.3</v>
      </c>
      <c r="W707">
        <v>2.59</v>
      </c>
      <c r="X707">
        <v>2.4</v>
      </c>
      <c r="Y707">
        <v>19.3</v>
      </c>
      <c r="Z707">
        <v>9.1</v>
      </c>
      <c r="AA707">
        <f>VALUE(SUBSTITUTE(DACS19___Pfizer’s_Personalised_Medicine_in[[#This Row],[Dose]],"mg",""))</f>
        <v>50</v>
      </c>
      <c r="AB707">
        <f t="shared" si="77"/>
        <v>50</v>
      </c>
      <c r="AC707" t="s">
        <v>2614</v>
      </c>
      <c r="AD707">
        <f t="shared" si="78"/>
        <v>0</v>
      </c>
      <c r="AE707">
        <f t="shared" si="79"/>
        <v>2</v>
      </c>
      <c r="AF707" t="e">
        <f t="shared" si="80"/>
        <v>#N/A</v>
      </c>
      <c r="AG707" t="e">
        <f t="shared" si="81"/>
        <v>#N/A</v>
      </c>
      <c r="AH707" t="e">
        <f t="shared" si="82"/>
        <v>#N/A</v>
      </c>
      <c r="AI707">
        <f t="shared" si="83"/>
        <v>2.59</v>
      </c>
    </row>
    <row r="708" spans="1:35" x14ac:dyDescent="0.45">
      <c r="A708" t="s">
        <v>2068</v>
      </c>
      <c r="B708">
        <v>21</v>
      </c>
      <c r="C708" t="s">
        <v>45</v>
      </c>
      <c r="D708" t="s">
        <v>87</v>
      </c>
      <c r="E708" t="s">
        <v>163</v>
      </c>
      <c r="F708" t="s">
        <v>79</v>
      </c>
      <c r="G708" t="s">
        <v>80</v>
      </c>
      <c r="H708" t="s">
        <v>61</v>
      </c>
      <c r="I708" t="s">
        <v>49</v>
      </c>
      <c r="J708" t="s">
        <v>2069</v>
      </c>
      <c r="K708" t="s">
        <v>2070</v>
      </c>
      <c r="L708" t="s">
        <v>36</v>
      </c>
      <c r="M708" t="s">
        <v>2630</v>
      </c>
      <c r="N708" t="s">
        <v>2071</v>
      </c>
      <c r="O708" t="s">
        <v>36</v>
      </c>
      <c r="P708" t="s">
        <v>110</v>
      </c>
      <c r="Q708" t="s">
        <v>129</v>
      </c>
      <c r="R708">
        <v>68</v>
      </c>
      <c r="S708">
        <v>0</v>
      </c>
      <c r="T708" t="s">
        <v>137</v>
      </c>
      <c r="U708" t="s">
        <v>57</v>
      </c>
      <c r="V708">
        <v>3.69</v>
      </c>
      <c r="W708">
        <v>2.08</v>
      </c>
      <c r="X708">
        <v>1.7</v>
      </c>
      <c r="Y708">
        <v>23.9</v>
      </c>
      <c r="Z708">
        <v>5.7</v>
      </c>
      <c r="AA708">
        <f>VALUE(SUBSTITUTE(DACS19___Pfizer’s_Personalised_Medicine_in[[#This Row],[Dose]],"mg",""))</f>
        <v>200</v>
      </c>
      <c r="AB708">
        <f t="shared" si="77"/>
        <v>200</v>
      </c>
      <c r="AC708" t="s">
        <v>129</v>
      </c>
      <c r="AD708">
        <f t="shared" si="78"/>
        <v>4</v>
      </c>
      <c r="AE708">
        <f t="shared" si="79"/>
        <v>1</v>
      </c>
      <c r="AF708">
        <f t="shared" si="80"/>
        <v>2.08</v>
      </c>
      <c r="AG708" t="e">
        <f t="shared" si="81"/>
        <v>#N/A</v>
      </c>
      <c r="AH708" t="e">
        <f t="shared" si="82"/>
        <v>#N/A</v>
      </c>
      <c r="AI708" t="e">
        <f t="shared" si="83"/>
        <v>#N/A</v>
      </c>
    </row>
    <row r="709" spans="1:35" x14ac:dyDescent="0.45">
      <c r="A709" t="s">
        <v>2072</v>
      </c>
      <c r="B709">
        <v>66</v>
      </c>
      <c r="C709" t="s">
        <v>45</v>
      </c>
      <c r="D709" t="s">
        <v>87</v>
      </c>
      <c r="E709" t="s">
        <v>29</v>
      </c>
      <c r="F709" t="s">
        <v>2614</v>
      </c>
      <c r="G709" t="s">
        <v>276</v>
      </c>
      <c r="H709" t="s">
        <v>32</v>
      </c>
      <c r="I709" t="s">
        <v>72</v>
      </c>
      <c r="J709" t="s">
        <v>2073</v>
      </c>
      <c r="K709" t="s">
        <v>1332</v>
      </c>
      <c r="L709" t="s">
        <v>36</v>
      </c>
      <c r="M709" t="s">
        <v>187</v>
      </c>
      <c r="N709" t="s">
        <v>116</v>
      </c>
      <c r="O709" t="s">
        <v>36</v>
      </c>
      <c r="P709" t="s">
        <v>39</v>
      </c>
      <c r="Q709" t="s">
        <v>2614</v>
      </c>
      <c r="R709">
        <v>158</v>
      </c>
      <c r="S709">
        <v>1</v>
      </c>
      <c r="T709" t="s">
        <v>85</v>
      </c>
      <c r="U709" t="s">
        <v>42</v>
      </c>
      <c r="V709">
        <v>4.95</v>
      </c>
      <c r="W709">
        <v>4.91</v>
      </c>
      <c r="X709">
        <v>8.1</v>
      </c>
      <c r="Y709">
        <v>17.899999999999999</v>
      </c>
      <c r="Z709">
        <v>12.8</v>
      </c>
      <c r="AA709">
        <f>VALUE(SUBSTITUTE(DACS19___Pfizer’s_Personalised_Medicine_in[[#This Row],[Dose]],"mg",""))</f>
        <v>200</v>
      </c>
      <c r="AB709">
        <f t="shared" si="77"/>
        <v>200</v>
      </c>
      <c r="AC709" t="s">
        <v>2614</v>
      </c>
      <c r="AD709">
        <f t="shared" si="78"/>
        <v>0</v>
      </c>
      <c r="AE709">
        <f t="shared" si="79"/>
        <v>3</v>
      </c>
      <c r="AF709" t="e">
        <f t="shared" si="80"/>
        <v>#N/A</v>
      </c>
      <c r="AG709" t="e">
        <f t="shared" si="81"/>
        <v>#N/A</v>
      </c>
      <c r="AH709">
        <f t="shared" si="82"/>
        <v>4.91</v>
      </c>
      <c r="AI709" t="e">
        <f t="shared" si="83"/>
        <v>#N/A</v>
      </c>
    </row>
    <row r="710" spans="1:35" x14ac:dyDescent="0.45">
      <c r="A710" t="s">
        <v>2074</v>
      </c>
      <c r="B710">
        <v>58</v>
      </c>
      <c r="C710" t="s">
        <v>44</v>
      </c>
      <c r="D710" t="s">
        <v>95</v>
      </c>
      <c r="E710" t="s">
        <v>163</v>
      </c>
      <c r="F710" t="s">
        <v>2614</v>
      </c>
      <c r="G710" t="s">
        <v>440</v>
      </c>
      <c r="H710" t="s">
        <v>61</v>
      </c>
      <c r="I710" t="s">
        <v>49</v>
      </c>
      <c r="J710" t="s">
        <v>1003</v>
      </c>
      <c r="K710" t="s">
        <v>2075</v>
      </c>
      <c r="L710" t="s">
        <v>64</v>
      </c>
      <c r="M710" t="s">
        <v>40</v>
      </c>
      <c r="N710" t="s">
        <v>291</v>
      </c>
      <c r="O710" t="s">
        <v>64</v>
      </c>
      <c r="P710" t="s">
        <v>110</v>
      </c>
      <c r="Q710" t="s">
        <v>2614</v>
      </c>
      <c r="R710">
        <v>52</v>
      </c>
      <c r="S710">
        <v>0</v>
      </c>
      <c r="T710" t="s">
        <v>137</v>
      </c>
      <c r="U710" t="s">
        <v>57</v>
      </c>
      <c r="V710">
        <v>4.46</v>
      </c>
      <c r="W710">
        <v>2.16</v>
      </c>
      <c r="X710">
        <v>5.2</v>
      </c>
      <c r="Y710">
        <v>17.100000000000001</v>
      </c>
      <c r="Z710">
        <v>10</v>
      </c>
      <c r="AA710">
        <f>VALUE(SUBSTITUTE(DACS19___Pfizer’s_Personalised_Medicine_in[[#This Row],[Dose]],"mg",""))</f>
        <v>150</v>
      </c>
      <c r="AB710">
        <f t="shared" si="77"/>
        <v>150</v>
      </c>
      <c r="AC710" t="s">
        <v>2614</v>
      </c>
      <c r="AD710">
        <f t="shared" si="78"/>
        <v>0</v>
      </c>
      <c r="AE710">
        <f t="shared" si="79"/>
        <v>1</v>
      </c>
      <c r="AF710">
        <f t="shared" si="80"/>
        <v>2.16</v>
      </c>
      <c r="AG710" t="e">
        <f t="shared" si="81"/>
        <v>#N/A</v>
      </c>
      <c r="AH710" t="e">
        <f t="shared" si="82"/>
        <v>#N/A</v>
      </c>
      <c r="AI710" t="e">
        <f t="shared" si="83"/>
        <v>#N/A</v>
      </c>
    </row>
    <row r="711" spans="1:35" x14ac:dyDescent="0.45">
      <c r="A711" t="s">
        <v>2076</v>
      </c>
      <c r="B711">
        <v>85</v>
      </c>
      <c r="C711" t="s">
        <v>27</v>
      </c>
      <c r="D711" t="s">
        <v>95</v>
      </c>
      <c r="E711" t="s">
        <v>78</v>
      </c>
      <c r="F711" t="s">
        <v>2614</v>
      </c>
      <c r="G711" t="s">
        <v>60</v>
      </c>
      <c r="H711" t="s">
        <v>81</v>
      </c>
      <c r="I711" t="s">
        <v>72</v>
      </c>
      <c r="J711" t="s">
        <v>1570</v>
      </c>
      <c r="K711" t="s">
        <v>2077</v>
      </c>
      <c r="L711" t="s">
        <v>64</v>
      </c>
      <c r="M711" t="s">
        <v>2616</v>
      </c>
      <c r="N711" t="s">
        <v>958</v>
      </c>
      <c r="O711" t="s">
        <v>64</v>
      </c>
      <c r="P711" t="s">
        <v>110</v>
      </c>
      <c r="Q711" t="s">
        <v>40</v>
      </c>
      <c r="R711">
        <v>40</v>
      </c>
      <c r="S711">
        <v>0</v>
      </c>
      <c r="T711" t="s">
        <v>85</v>
      </c>
      <c r="U711" t="s">
        <v>42</v>
      </c>
      <c r="V711">
        <v>2.71</v>
      </c>
      <c r="W711">
        <v>2.3199999999999998</v>
      </c>
      <c r="X711">
        <v>6.1</v>
      </c>
      <c r="Y711">
        <v>21.3</v>
      </c>
      <c r="Z711">
        <v>6.4</v>
      </c>
      <c r="AA711">
        <f>VALUE(SUBSTITUTE(DACS19___Pfizer’s_Personalised_Medicine_in[[#This Row],[Dose]],"mg",""))</f>
        <v>150</v>
      </c>
      <c r="AB711">
        <f t="shared" si="77"/>
        <v>150</v>
      </c>
      <c r="AC711" t="s">
        <v>40</v>
      </c>
      <c r="AD711">
        <f t="shared" si="78"/>
        <v>3</v>
      </c>
      <c r="AE711">
        <f t="shared" si="79"/>
        <v>1</v>
      </c>
      <c r="AF711" t="e">
        <f t="shared" si="80"/>
        <v>#N/A</v>
      </c>
      <c r="AG711" t="e">
        <f t="shared" si="81"/>
        <v>#N/A</v>
      </c>
      <c r="AH711" t="e">
        <f t="shared" si="82"/>
        <v>#N/A</v>
      </c>
      <c r="AI711">
        <f t="shared" si="83"/>
        <v>2.3199999999999998</v>
      </c>
    </row>
    <row r="712" spans="1:35" x14ac:dyDescent="0.45">
      <c r="A712" t="s">
        <v>2078</v>
      </c>
      <c r="B712">
        <v>78</v>
      </c>
      <c r="C712" t="s">
        <v>27</v>
      </c>
      <c r="D712" t="s">
        <v>95</v>
      </c>
      <c r="E712" t="s">
        <v>46</v>
      </c>
      <c r="F712" t="s">
        <v>69</v>
      </c>
      <c r="G712" t="s">
        <v>152</v>
      </c>
      <c r="H712" t="s">
        <v>81</v>
      </c>
      <c r="I712" t="s">
        <v>132</v>
      </c>
      <c r="J712" t="s">
        <v>902</v>
      </c>
      <c r="K712" t="s">
        <v>2079</v>
      </c>
      <c r="L712" t="s">
        <v>52</v>
      </c>
      <c r="M712" t="s">
        <v>129</v>
      </c>
      <c r="N712" t="s">
        <v>244</v>
      </c>
      <c r="O712" t="s">
        <v>52</v>
      </c>
      <c r="P712" t="s">
        <v>55</v>
      </c>
      <c r="Q712" t="s">
        <v>129</v>
      </c>
      <c r="R712">
        <v>61</v>
      </c>
      <c r="S712">
        <v>0</v>
      </c>
      <c r="T712" t="s">
        <v>56</v>
      </c>
      <c r="U712" t="s">
        <v>57</v>
      </c>
      <c r="V712">
        <v>4.74</v>
      </c>
      <c r="W712">
        <v>3.76</v>
      </c>
      <c r="X712">
        <v>8.4</v>
      </c>
      <c r="Y712">
        <v>16</v>
      </c>
      <c r="Z712">
        <v>16.3</v>
      </c>
      <c r="AA712">
        <f>VALUE(SUBSTITUTE(DACS19___Pfizer’s_Personalised_Medicine_in[[#This Row],[Dose]],"mg",""))</f>
        <v>100</v>
      </c>
      <c r="AB712">
        <f t="shared" si="77"/>
        <v>100</v>
      </c>
      <c r="AC712" t="s">
        <v>129</v>
      </c>
      <c r="AD712">
        <f t="shared" si="78"/>
        <v>4</v>
      </c>
      <c r="AE712">
        <f t="shared" si="79"/>
        <v>2</v>
      </c>
      <c r="AF712" t="e">
        <f t="shared" si="80"/>
        <v>#N/A</v>
      </c>
      <c r="AG712" t="e">
        <f t="shared" si="81"/>
        <v>#N/A</v>
      </c>
      <c r="AH712" t="e">
        <f t="shared" si="82"/>
        <v>#N/A</v>
      </c>
      <c r="AI712">
        <f t="shared" si="83"/>
        <v>3.76</v>
      </c>
    </row>
    <row r="713" spans="1:35" x14ac:dyDescent="0.45">
      <c r="A713" t="s">
        <v>2080</v>
      </c>
      <c r="B713">
        <v>85</v>
      </c>
      <c r="C713" t="s">
        <v>27</v>
      </c>
      <c r="D713" t="s">
        <v>45</v>
      </c>
      <c r="E713" t="s">
        <v>29</v>
      </c>
      <c r="F713" t="s">
        <v>2614</v>
      </c>
      <c r="G713" t="s">
        <v>184</v>
      </c>
      <c r="H713" t="s">
        <v>32</v>
      </c>
      <c r="I713" t="s">
        <v>72</v>
      </c>
      <c r="J713" t="s">
        <v>2081</v>
      </c>
      <c r="K713" t="s">
        <v>35</v>
      </c>
      <c r="L713" t="s">
        <v>52</v>
      </c>
      <c r="M713" t="s">
        <v>37</v>
      </c>
      <c r="N713" t="s">
        <v>780</v>
      </c>
      <c r="O713" t="s">
        <v>52</v>
      </c>
      <c r="P713" t="s">
        <v>55</v>
      </c>
      <c r="Q713" t="s">
        <v>67</v>
      </c>
      <c r="R713">
        <v>69</v>
      </c>
      <c r="S713">
        <v>0</v>
      </c>
      <c r="T713" t="s">
        <v>123</v>
      </c>
      <c r="U713" t="s">
        <v>42</v>
      </c>
      <c r="V713">
        <v>1.06</v>
      </c>
      <c r="W713">
        <v>4.2699999999999996</v>
      </c>
      <c r="X713">
        <v>1.4</v>
      </c>
      <c r="Y713">
        <v>22</v>
      </c>
      <c r="Z713">
        <v>19.899999999999999</v>
      </c>
      <c r="AA713">
        <f>VALUE(SUBSTITUTE(DACS19___Pfizer’s_Personalised_Medicine_in[[#This Row],[Dose]],"mg",""))</f>
        <v>100</v>
      </c>
      <c r="AB713">
        <f t="shared" si="77"/>
        <v>100</v>
      </c>
      <c r="AC713" t="s">
        <v>67</v>
      </c>
      <c r="AD713">
        <f t="shared" si="78"/>
        <v>2</v>
      </c>
      <c r="AE713">
        <f t="shared" si="79"/>
        <v>2</v>
      </c>
      <c r="AF713" t="e">
        <f t="shared" si="80"/>
        <v>#N/A</v>
      </c>
      <c r="AG713" t="e">
        <f t="shared" si="81"/>
        <v>#N/A</v>
      </c>
      <c r="AH713">
        <f t="shared" si="82"/>
        <v>4.2699999999999996</v>
      </c>
      <c r="AI713" t="e">
        <f t="shared" si="83"/>
        <v>#N/A</v>
      </c>
    </row>
    <row r="714" spans="1:35" x14ac:dyDescent="0.45">
      <c r="A714" t="s">
        <v>2082</v>
      </c>
      <c r="B714">
        <v>69</v>
      </c>
      <c r="C714" t="s">
        <v>45</v>
      </c>
      <c r="D714" t="s">
        <v>28</v>
      </c>
      <c r="E714" t="s">
        <v>46</v>
      </c>
      <c r="F714" t="s">
        <v>2614</v>
      </c>
      <c r="G714" t="s">
        <v>276</v>
      </c>
      <c r="H714" t="s">
        <v>81</v>
      </c>
      <c r="I714" t="s">
        <v>132</v>
      </c>
      <c r="J714" t="s">
        <v>1344</v>
      </c>
      <c r="K714" t="s">
        <v>548</v>
      </c>
      <c r="L714" t="s">
        <v>52</v>
      </c>
      <c r="M714" t="s">
        <v>378</v>
      </c>
      <c r="N714" t="s">
        <v>335</v>
      </c>
      <c r="O714" t="s">
        <v>52</v>
      </c>
      <c r="P714" t="s">
        <v>39</v>
      </c>
      <c r="Q714" t="s">
        <v>2614</v>
      </c>
      <c r="R714">
        <v>94</v>
      </c>
      <c r="S714">
        <v>1</v>
      </c>
      <c r="T714" t="s">
        <v>123</v>
      </c>
      <c r="U714" t="s">
        <v>57</v>
      </c>
      <c r="V714">
        <v>2.1800000000000002</v>
      </c>
      <c r="W714">
        <v>1.84</v>
      </c>
      <c r="X714">
        <v>7.9</v>
      </c>
      <c r="Y714">
        <v>10.6</v>
      </c>
      <c r="Z714">
        <v>17.7</v>
      </c>
      <c r="AA714">
        <f>VALUE(SUBSTITUTE(DACS19___Pfizer’s_Personalised_Medicine_in[[#This Row],[Dose]],"mg",""))</f>
        <v>100</v>
      </c>
      <c r="AB714">
        <f t="shared" si="77"/>
        <v>100</v>
      </c>
      <c r="AC714" t="s">
        <v>2614</v>
      </c>
      <c r="AD714">
        <f t="shared" si="78"/>
        <v>0</v>
      </c>
      <c r="AE714">
        <f t="shared" si="79"/>
        <v>3</v>
      </c>
      <c r="AF714" t="e">
        <f t="shared" si="80"/>
        <v>#N/A</v>
      </c>
      <c r="AG714" t="e">
        <f t="shared" si="81"/>
        <v>#N/A</v>
      </c>
      <c r="AH714" t="e">
        <f t="shared" si="82"/>
        <v>#N/A</v>
      </c>
      <c r="AI714">
        <f t="shared" si="83"/>
        <v>1.84</v>
      </c>
    </row>
    <row r="715" spans="1:35" x14ac:dyDescent="0.45">
      <c r="A715" t="s">
        <v>2083</v>
      </c>
      <c r="B715">
        <v>23</v>
      </c>
      <c r="C715" t="s">
        <v>44</v>
      </c>
      <c r="D715" t="s">
        <v>28</v>
      </c>
      <c r="E715" t="s">
        <v>78</v>
      </c>
      <c r="F715" t="s">
        <v>59</v>
      </c>
      <c r="G715" t="s">
        <v>276</v>
      </c>
      <c r="H715" t="s">
        <v>61</v>
      </c>
      <c r="I715" t="s">
        <v>72</v>
      </c>
      <c r="J715" t="s">
        <v>2084</v>
      </c>
      <c r="K715" t="s">
        <v>2085</v>
      </c>
      <c r="L715" t="s">
        <v>64</v>
      </c>
      <c r="M715" t="s">
        <v>155</v>
      </c>
      <c r="N715" t="s">
        <v>491</v>
      </c>
      <c r="O715" t="s">
        <v>64</v>
      </c>
      <c r="P715" t="s">
        <v>39</v>
      </c>
      <c r="Q715" t="s">
        <v>129</v>
      </c>
      <c r="R715">
        <v>51</v>
      </c>
      <c r="S715">
        <v>1</v>
      </c>
      <c r="T715" t="s">
        <v>56</v>
      </c>
      <c r="U715" t="s">
        <v>57</v>
      </c>
      <c r="V715">
        <v>1.41</v>
      </c>
      <c r="W715">
        <v>1.5</v>
      </c>
      <c r="X715">
        <v>9.8000000000000007</v>
      </c>
      <c r="Y715">
        <v>18.100000000000001</v>
      </c>
      <c r="Z715">
        <v>17.399999999999999</v>
      </c>
      <c r="AA715">
        <f>VALUE(SUBSTITUTE(DACS19___Pfizer’s_Personalised_Medicine_in[[#This Row],[Dose]],"mg",""))</f>
        <v>150</v>
      </c>
      <c r="AB715">
        <f t="shared" si="77"/>
        <v>150</v>
      </c>
      <c r="AC715" t="s">
        <v>129</v>
      </c>
      <c r="AD715">
        <f t="shared" si="78"/>
        <v>4</v>
      </c>
      <c r="AE715">
        <f t="shared" si="79"/>
        <v>3</v>
      </c>
      <c r="AF715">
        <f t="shared" si="80"/>
        <v>1.5</v>
      </c>
      <c r="AG715" t="e">
        <f t="shared" si="81"/>
        <v>#N/A</v>
      </c>
      <c r="AH715" t="e">
        <f t="shared" si="82"/>
        <v>#N/A</v>
      </c>
      <c r="AI715" t="e">
        <f t="shared" si="83"/>
        <v>#N/A</v>
      </c>
    </row>
    <row r="716" spans="1:35" x14ac:dyDescent="0.45">
      <c r="A716" t="s">
        <v>2086</v>
      </c>
      <c r="B716">
        <v>57</v>
      </c>
      <c r="C716" t="s">
        <v>44</v>
      </c>
      <c r="D716" t="s">
        <v>28</v>
      </c>
      <c r="E716" t="s">
        <v>2614</v>
      </c>
      <c r="F716" t="s">
        <v>2614</v>
      </c>
      <c r="G716" t="s">
        <v>246</v>
      </c>
      <c r="H716" t="s">
        <v>61</v>
      </c>
      <c r="I716" t="s">
        <v>72</v>
      </c>
      <c r="J716" t="s">
        <v>2087</v>
      </c>
      <c r="K716" t="s">
        <v>2043</v>
      </c>
      <c r="L716" t="s">
        <v>52</v>
      </c>
      <c r="M716" t="s">
        <v>2615</v>
      </c>
      <c r="N716" t="s">
        <v>305</v>
      </c>
      <c r="O716" t="s">
        <v>52</v>
      </c>
      <c r="P716" t="s">
        <v>110</v>
      </c>
      <c r="Q716" t="s">
        <v>129</v>
      </c>
      <c r="R716">
        <v>117</v>
      </c>
      <c r="S716">
        <v>0</v>
      </c>
      <c r="T716" t="s">
        <v>123</v>
      </c>
      <c r="U716" t="s">
        <v>57</v>
      </c>
      <c r="V716">
        <v>2.2999999999999998</v>
      </c>
      <c r="W716">
        <v>3.71</v>
      </c>
      <c r="X716">
        <v>6.3</v>
      </c>
      <c r="Y716">
        <v>16.899999999999999</v>
      </c>
      <c r="Z716">
        <v>14.6</v>
      </c>
      <c r="AA716">
        <f>VALUE(SUBSTITUTE(DACS19___Pfizer’s_Personalised_Medicine_in[[#This Row],[Dose]],"mg",""))</f>
        <v>100</v>
      </c>
      <c r="AB716">
        <f t="shared" si="77"/>
        <v>100</v>
      </c>
      <c r="AC716" t="s">
        <v>129</v>
      </c>
      <c r="AD716">
        <f t="shared" si="78"/>
        <v>4</v>
      </c>
      <c r="AE716">
        <f t="shared" si="79"/>
        <v>1</v>
      </c>
      <c r="AF716">
        <f t="shared" si="80"/>
        <v>3.71</v>
      </c>
      <c r="AG716" t="e">
        <f t="shared" si="81"/>
        <v>#N/A</v>
      </c>
      <c r="AH716" t="e">
        <f t="shared" si="82"/>
        <v>#N/A</v>
      </c>
      <c r="AI716" t="e">
        <f t="shared" si="83"/>
        <v>#N/A</v>
      </c>
    </row>
    <row r="717" spans="1:35" x14ac:dyDescent="0.45">
      <c r="A717" t="s">
        <v>2088</v>
      </c>
      <c r="B717">
        <v>25</v>
      </c>
      <c r="C717" t="s">
        <v>44</v>
      </c>
      <c r="D717" t="s">
        <v>106</v>
      </c>
      <c r="E717" t="s">
        <v>46</v>
      </c>
      <c r="F717" t="s">
        <v>2614</v>
      </c>
      <c r="G717" t="s">
        <v>89</v>
      </c>
      <c r="H717" t="s">
        <v>32</v>
      </c>
      <c r="I717" t="s">
        <v>72</v>
      </c>
      <c r="J717" t="s">
        <v>2089</v>
      </c>
      <c r="K717" t="s">
        <v>2090</v>
      </c>
      <c r="L717" t="s">
        <v>92</v>
      </c>
      <c r="M717" t="s">
        <v>339</v>
      </c>
      <c r="N717" t="s">
        <v>1199</v>
      </c>
      <c r="O717" t="s">
        <v>92</v>
      </c>
      <c r="P717" t="s">
        <v>39</v>
      </c>
      <c r="Q717" t="s">
        <v>129</v>
      </c>
      <c r="R717">
        <v>146</v>
      </c>
      <c r="S717">
        <v>1</v>
      </c>
      <c r="T717" t="s">
        <v>85</v>
      </c>
      <c r="U717" t="s">
        <v>57</v>
      </c>
      <c r="V717">
        <v>3.3</v>
      </c>
      <c r="W717">
        <v>2.72</v>
      </c>
      <c r="X717">
        <v>3.5</v>
      </c>
      <c r="Y717">
        <v>19.8</v>
      </c>
      <c r="Z717">
        <v>6.8</v>
      </c>
      <c r="AA717">
        <f>VALUE(SUBSTITUTE(DACS19___Pfizer’s_Personalised_Medicine_in[[#This Row],[Dose]],"mg",""))</f>
        <v>50</v>
      </c>
      <c r="AB717">
        <f t="shared" si="77"/>
        <v>50</v>
      </c>
      <c r="AC717" t="s">
        <v>129</v>
      </c>
      <c r="AD717">
        <f t="shared" si="78"/>
        <v>4</v>
      </c>
      <c r="AE717">
        <f t="shared" si="79"/>
        <v>3</v>
      </c>
      <c r="AF717" t="e">
        <f t="shared" si="80"/>
        <v>#N/A</v>
      </c>
      <c r="AG717" t="e">
        <f t="shared" si="81"/>
        <v>#N/A</v>
      </c>
      <c r="AH717">
        <f t="shared" si="82"/>
        <v>2.72</v>
      </c>
      <c r="AI717" t="e">
        <f t="shared" si="83"/>
        <v>#N/A</v>
      </c>
    </row>
    <row r="718" spans="1:35" x14ac:dyDescent="0.45">
      <c r="A718" t="s">
        <v>2091</v>
      </c>
      <c r="B718">
        <v>33</v>
      </c>
      <c r="C718" t="s">
        <v>45</v>
      </c>
      <c r="D718" t="s">
        <v>87</v>
      </c>
      <c r="E718" t="s">
        <v>29</v>
      </c>
      <c r="F718" t="s">
        <v>2614</v>
      </c>
      <c r="G718" t="s">
        <v>60</v>
      </c>
      <c r="H718" t="s">
        <v>61</v>
      </c>
      <c r="I718" t="s">
        <v>72</v>
      </c>
      <c r="J718" t="s">
        <v>982</v>
      </c>
      <c r="K718" t="s">
        <v>660</v>
      </c>
      <c r="L718" t="s">
        <v>64</v>
      </c>
      <c r="M718" t="s">
        <v>129</v>
      </c>
      <c r="N718" t="s">
        <v>1544</v>
      </c>
      <c r="O718" t="s">
        <v>64</v>
      </c>
      <c r="P718" t="s">
        <v>39</v>
      </c>
      <c r="Q718" t="s">
        <v>129</v>
      </c>
      <c r="R718">
        <v>51</v>
      </c>
      <c r="S718">
        <v>1</v>
      </c>
      <c r="T718" t="s">
        <v>85</v>
      </c>
      <c r="U718" t="s">
        <v>57</v>
      </c>
      <c r="V718">
        <v>3.77</v>
      </c>
      <c r="W718">
        <v>1.93</v>
      </c>
      <c r="X718">
        <v>6.6</v>
      </c>
      <c r="Y718">
        <v>19.399999999999999</v>
      </c>
      <c r="Z718">
        <v>6.7</v>
      </c>
      <c r="AA718">
        <f>VALUE(SUBSTITUTE(DACS19___Pfizer’s_Personalised_Medicine_in[[#This Row],[Dose]],"mg",""))</f>
        <v>150</v>
      </c>
      <c r="AB718">
        <f t="shared" si="77"/>
        <v>150</v>
      </c>
      <c r="AC718" t="s">
        <v>129</v>
      </c>
      <c r="AD718">
        <f t="shared" si="78"/>
        <v>4</v>
      </c>
      <c r="AE718">
        <f t="shared" si="79"/>
        <v>3</v>
      </c>
      <c r="AF718">
        <f t="shared" si="80"/>
        <v>1.93</v>
      </c>
      <c r="AG718" t="e">
        <f t="shared" si="81"/>
        <v>#N/A</v>
      </c>
      <c r="AH718" t="e">
        <f t="shared" si="82"/>
        <v>#N/A</v>
      </c>
      <c r="AI718" t="e">
        <f t="shared" si="83"/>
        <v>#N/A</v>
      </c>
    </row>
    <row r="719" spans="1:35" x14ac:dyDescent="0.45">
      <c r="A719" t="s">
        <v>2092</v>
      </c>
      <c r="B719">
        <v>59</v>
      </c>
      <c r="C719" t="s">
        <v>44</v>
      </c>
      <c r="D719" t="s">
        <v>87</v>
      </c>
      <c r="E719" t="s">
        <v>78</v>
      </c>
      <c r="F719" t="s">
        <v>2614</v>
      </c>
      <c r="G719" t="s">
        <v>48</v>
      </c>
      <c r="H719" t="s">
        <v>61</v>
      </c>
      <c r="I719" t="s">
        <v>49</v>
      </c>
      <c r="J719" t="s">
        <v>2093</v>
      </c>
      <c r="K719" t="s">
        <v>530</v>
      </c>
      <c r="L719" t="s">
        <v>92</v>
      </c>
      <c r="M719" t="s">
        <v>2616</v>
      </c>
      <c r="N719" t="s">
        <v>76</v>
      </c>
      <c r="O719" t="s">
        <v>92</v>
      </c>
      <c r="P719" t="s">
        <v>110</v>
      </c>
      <c r="Q719" t="s">
        <v>67</v>
      </c>
      <c r="R719">
        <v>164</v>
      </c>
      <c r="S719">
        <v>0</v>
      </c>
      <c r="T719" t="s">
        <v>123</v>
      </c>
      <c r="U719" t="s">
        <v>42</v>
      </c>
      <c r="V719">
        <v>1.24</v>
      </c>
      <c r="W719">
        <v>1.52</v>
      </c>
      <c r="X719">
        <v>6.5</v>
      </c>
      <c r="Y719">
        <v>21.3</v>
      </c>
      <c r="Z719">
        <v>3.8</v>
      </c>
      <c r="AA719">
        <f>VALUE(SUBSTITUTE(DACS19___Pfizer’s_Personalised_Medicine_in[[#This Row],[Dose]],"mg",""))</f>
        <v>50</v>
      </c>
      <c r="AB719">
        <f t="shared" si="77"/>
        <v>50</v>
      </c>
      <c r="AC719" t="s">
        <v>67</v>
      </c>
      <c r="AD719">
        <f t="shared" si="78"/>
        <v>2</v>
      </c>
      <c r="AE719">
        <f t="shared" si="79"/>
        <v>1</v>
      </c>
      <c r="AF719">
        <f t="shared" si="80"/>
        <v>1.52</v>
      </c>
      <c r="AG719" t="e">
        <f t="shared" si="81"/>
        <v>#N/A</v>
      </c>
      <c r="AH719" t="e">
        <f t="shared" si="82"/>
        <v>#N/A</v>
      </c>
      <c r="AI719" t="e">
        <f t="shared" si="83"/>
        <v>#N/A</v>
      </c>
    </row>
    <row r="720" spans="1:35" x14ac:dyDescent="0.45">
      <c r="A720" t="s">
        <v>2094</v>
      </c>
      <c r="B720">
        <v>66</v>
      </c>
      <c r="C720" t="s">
        <v>44</v>
      </c>
      <c r="D720" t="s">
        <v>95</v>
      </c>
      <c r="E720" t="s">
        <v>78</v>
      </c>
      <c r="F720" t="s">
        <v>59</v>
      </c>
      <c r="G720" t="s">
        <v>152</v>
      </c>
      <c r="H720" t="s">
        <v>61</v>
      </c>
      <c r="I720" t="s">
        <v>33</v>
      </c>
      <c r="J720" t="s">
        <v>608</v>
      </c>
      <c r="K720" t="s">
        <v>2095</v>
      </c>
      <c r="L720" t="s">
        <v>36</v>
      </c>
      <c r="M720" t="s">
        <v>2625</v>
      </c>
      <c r="N720" t="s">
        <v>227</v>
      </c>
      <c r="O720" t="s">
        <v>36</v>
      </c>
      <c r="P720" t="s">
        <v>39</v>
      </c>
      <c r="Q720" t="s">
        <v>129</v>
      </c>
      <c r="R720">
        <v>109</v>
      </c>
      <c r="S720">
        <v>1</v>
      </c>
      <c r="T720" t="s">
        <v>85</v>
      </c>
      <c r="U720" t="s">
        <v>42</v>
      </c>
      <c r="V720">
        <v>3.94</v>
      </c>
      <c r="W720">
        <v>2.37</v>
      </c>
      <c r="X720">
        <v>5.3</v>
      </c>
      <c r="Y720">
        <v>22.7</v>
      </c>
      <c r="Z720">
        <v>8.6</v>
      </c>
      <c r="AA720">
        <f>VALUE(SUBSTITUTE(DACS19___Pfizer’s_Personalised_Medicine_in[[#This Row],[Dose]],"mg",""))</f>
        <v>200</v>
      </c>
      <c r="AB720">
        <f t="shared" si="77"/>
        <v>200</v>
      </c>
      <c r="AC720" t="s">
        <v>129</v>
      </c>
      <c r="AD720">
        <f t="shared" si="78"/>
        <v>4</v>
      </c>
      <c r="AE720">
        <f t="shared" si="79"/>
        <v>3</v>
      </c>
      <c r="AF720">
        <f t="shared" si="80"/>
        <v>2.37</v>
      </c>
      <c r="AG720" t="e">
        <f t="shared" si="81"/>
        <v>#N/A</v>
      </c>
      <c r="AH720" t="e">
        <f t="shared" si="82"/>
        <v>#N/A</v>
      </c>
      <c r="AI720" t="e">
        <f t="shared" si="83"/>
        <v>#N/A</v>
      </c>
    </row>
    <row r="721" spans="1:35" x14ac:dyDescent="0.45">
      <c r="A721" t="s">
        <v>2096</v>
      </c>
      <c r="B721">
        <v>33</v>
      </c>
      <c r="C721" t="s">
        <v>45</v>
      </c>
      <c r="D721" t="s">
        <v>45</v>
      </c>
      <c r="E721" t="s">
        <v>2614</v>
      </c>
      <c r="F721" t="s">
        <v>59</v>
      </c>
      <c r="G721" t="s">
        <v>60</v>
      </c>
      <c r="H721" t="s">
        <v>71</v>
      </c>
      <c r="I721" t="s">
        <v>33</v>
      </c>
      <c r="J721" t="s">
        <v>2097</v>
      </c>
      <c r="K721" t="s">
        <v>875</v>
      </c>
      <c r="L721" t="s">
        <v>52</v>
      </c>
      <c r="M721" t="s">
        <v>339</v>
      </c>
      <c r="N721" t="s">
        <v>812</v>
      </c>
      <c r="O721" t="s">
        <v>52</v>
      </c>
      <c r="P721" t="s">
        <v>39</v>
      </c>
      <c r="Q721" t="s">
        <v>67</v>
      </c>
      <c r="R721">
        <v>159</v>
      </c>
      <c r="S721">
        <v>1</v>
      </c>
      <c r="T721" t="s">
        <v>41</v>
      </c>
      <c r="U721" t="s">
        <v>42</v>
      </c>
      <c r="V721">
        <v>2.86</v>
      </c>
      <c r="W721">
        <v>1.05</v>
      </c>
      <c r="X721">
        <v>1.7</v>
      </c>
      <c r="Y721">
        <v>10.7</v>
      </c>
      <c r="Z721">
        <v>3.5</v>
      </c>
      <c r="AA721">
        <f>VALUE(SUBSTITUTE(DACS19___Pfizer’s_Personalised_Medicine_in[[#This Row],[Dose]],"mg",""))</f>
        <v>100</v>
      </c>
      <c r="AB721">
        <f t="shared" si="77"/>
        <v>100</v>
      </c>
      <c r="AC721" t="s">
        <v>67</v>
      </c>
      <c r="AD721">
        <f t="shared" si="78"/>
        <v>2</v>
      </c>
      <c r="AE721">
        <f t="shared" si="79"/>
        <v>3</v>
      </c>
      <c r="AF721" t="e">
        <f t="shared" si="80"/>
        <v>#N/A</v>
      </c>
      <c r="AG721">
        <f t="shared" si="81"/>
        <v>1.05</v>
      </c>
      <c r="AH721" t="e">
        <f t="shared" si="82"/>
        <v>#N/A</v>
      </c>
      <c r="AI721" t="e">
        <f t="shared" si="83"/>
        <v>#N/A</v>
      </c>
    </row>
    <row r="722" spans="1:35" x14ac:dyDescent="0.45">
      <c r="A722" t="s">
        <v>2098</v>
      </c>
      <c r="B722">
        <v>48</v>
      </c>
      <c r="C722" t="s">
        <v>44</v>
      </c>
      <c r="D722" t="s">
        <v>28</v>
      </c>
      <c r="E722" t="s">
        <v>2614</v>
      </c>
      <c r="F722" t="s">
        <v>88</v>
      </c>
      <c r="G722" t="s">
        <v>125</v>
      </c>
      <c r="H722" t="s">
        <v>32</v>
      </c>
      <c r="I722" t="s">
        <v>49</v>
      </c>
      <c r="J722" t="s">
        <v>2099</v>
      </c>
      <c r="K722" t="s">
        <v>2100</v>
      </c>
      <c r="L722" t="s">
        <v>36</v>
      </c>
      <c r="M722" t="s">
        <v>2622</v>
      </c>
      <c r="N722" t="s">
        <v>626</v>
      </c>
      <c r="O722" t="s">
        <v>36</v>
      </c>
      <c r="P722" t="s">
        <v>55</v>
      </c>
      <c r="Q722" t="s">
        <v>67</v>
      </c>
      <c r="R722">
        <v>156</v>
      </c>
      <c r="S722">
        <v>0</v>
      </c>
      <c r="T722" t="s">
        <v>56</v>
      </c>
      <c r="U722" t="s">
        <v>57</v>
      </c>
      <c r="V722">
        <v>3.53</v>
      </c>
      <c r="W722">
        <v>2.71</v>
      </c>
      <c r="X722">
        <v>5.9</v>
      </c>
      <c r="Y722">
        <v>9.1</v>
      </c>
      <c r="Z722">
        <v>8</v>
      </c>
      <c r="AA722">
        <f>VALUE(SUBSTITUTE(DACS19___Pfizer’s_Personalised_Medicine_in[[#This Row],[Dose]],"mg",""))</f>
        <v>200</v>
      </c>
      <c r="AB722">
        <f t="shared" si="77"/>
        <v>200</v>
      </c>
      <c r="AC722" t="s">
        <v>67</v>
      </c>
      <c r="AD722">
        <f t="shared" si="78"/>
        <v>2</v>
      </c>
      <c r="AE722">
        <f t="shared" si="79"/>
        <v>2</v>
      </c>
      <c r="AF722" t="e">
        <f t="shared" si="80"/>
        <v>#N/A</v>
      </c>
      <c r="AG722" t="e">
        <f t="shared" si="81"/>
        <v>#N/A</v>
      </c>
      <c r="AH722">
        <f t="shared" si="82"/>
        <v>2.71</v>
      </c>
      <c r="AI722" t="e">
        <f t="shared" si="83"/>
        <v>#N/A</v>
      </c>
    </row>
    <row r="723" spans="1:35" x14ac:dyDescent="0.45">
      <c r="A723" t="s">
        <v>2101</v>
      </c>
      <c r="B723">
        <v>73</v>
      </c>
      <c r="C723" t="s">
        <v>45</v>
      </c>
      <c r="D723" t="s">
        <v>87</v>
      </c>
      <c r="E723" t="s">
        <v>29</v>
      </c>
      <c r="F723" t="s">
        <v>2614</v>
      </c>
      <c r="G723" t="s">
        <v>102</v>
      </c>
      <c r="H723" t="s">
        <v>71</v>
      </c>
      <c r="I723" t="s">
        <v>33</v>
      </c>
      <c r="J723" t="s">
        <v>2102</v>
      </c>
      <c r="K723" t="s">
        <v>1127</v>
      </c>
      <c r="L723" t="s">
        <v>52</v>
      </c>
      <c r="M723" t="s">
        <v>500</v>
      </c>
      <c r="N723" t="s">
        <v>567</v>
      </c>
      <c r="O723" t="s">
        <v>52</v>
      </c>
      <c r="P723" t="s">
        <v>39</v>
      </c>
      <c r="Q723" t="s">
        <v>129</v>
      </c>
      <c r="R723">
        <v>128</v>
      </c>
      <c r="S723">
        <v>1</v>
      </c>
      <c r="T723" t="s">
        <v>41</v>
      </c>
      <c r="U723" t="s">
        <v>57</v>
      </c>
      <c r="V723">
        <v>3.66</v>
      </c>
      <c r="W723">
        <v>4.8600000000000003</v>
      </c>
      <c r="X723">
        <v>1.5</v>
      </c>
      <c r="Y723">
        <v>22</v>
      </c>
      <c r="Z723">
        <v>12.8</v>
      </c>
      <c r="AA723">
        <f>VALUE(SUBSTITUTE(DACS19___Pfizer’s_Personalised_Medicine_in[[#This Row],[Dose]],"mg",""))</f>
        <v>100</v>
      </c>
      <c r="AB723">
        <f t="shared" si="77"/>
        <v>100</v>
      </c>
      <c r="AC723" t="s">
        <v>129</v>
      </c>
      <c r="AD723">
        <f t="shared" si="78"/>
        <v>4</v>
      </c>
      <c r="AE723">
        <f t="shared" si="79"/>
        <v>3</v>
      </c>
      <c r="AF723" t="e">
        <f t="shared" si="80"/>
        <v>#N/A</v>
      </c>
      <c r="AG723">
        <f t="shared" si="81"/>
        <v>4.8600000000000003</v>
      </c>
      <c r="AH723" t="e">
        <f t="shared" si="82"/>
        <v>#N/A</v>
      </c>
      <c r="AI723" t="e">
        <f t="shared" si="83"/>
        <v>#N/A</v>
      </c>
    </row>
    <row r="724" spans="1:35" x14ac:dyDescent="0.45">
      <c r="A724" t="s">
        <v>2103</v>
      </c>
      <c r="B724">
        <v>27</v>
      </c>
      <c r="C724" t="s">
        <v>44</v>
      </c>
      <c r="D724" t="s">
        <v>106</v>
      </c>
      <c r="E724" t="s">
        <v>163</v>
      </c>
      <c r="F724" t="s">
        <v>2614</v>
      </c>
      <c r="G724" t="s">
        <v>89</v>
      </c>
      <c r="H724" t="s">
        <v>32</v>
      </c>
      <c r="I724" t="s">
        <v>132</v>
      </c>
      <c r="J724" t="s">
        <v>2104</v>
      </c>
      <c r="K724" t="s">
        <v>2105</v>
      </c>
      <c r="L724" t="s">
        <v>52</v>
      </c>
      <c r="M724" t="s">
        <v>536</v>
      </c>
      <c r="N724" t="s">
        <v>1565</v>
      </c>
      <c r="O724" t="s">
        <v>52</v>
      </c>
      <c r="P724" t="s">
        <v>110</v>
      </c>
      <c r="Q724" t="s">
        <v>40</v>
      </c>
      <c r="R724">
        <v>138</v>
      </c>
      <c r="S724">
        <v>0</v>
      </c>
      <c r="T724" t="s">
        <v>85</v>
      </c>
      <c r="U724" t="s">
        <v>42</v>
      </c>
      <c r="V724">
        <v>3.26</v>
      </c>
      <c r="W724">
        <v>3</v>
      </c>
      <c r="X724">
        <v>1.6</v>
      </c>
      <c r="Y724">
        <v>7.6</v>
      </c>
      <c r="Z724">
        <v>13.2</v>
      </c>
      <c r="AA724">
        <f>VALUE(SUBSTITUTE(DACS19___Pfizer’s_Personalised_Medicine_in[[#This Row],[Dose]],"mg",""))</f>
        <v>100</v>
      </c>
      <c r="AB724">
        <f t="shared" si="77"/>
        <v>100</v>
      </c>
      <c r="AC724" t="s">
        <v>40</v>
      </c>
      <c r="AD724">
        <f t="shared" si="78"/>
        <v>3</v>
      </c>
      <c r="AE724">
        <f t="shared" si="79"/>
        <v>1</v>
      </c>
      <c r="AF724" t="e">
        <f t="shared" si="80"/>
        <v>#N/A</v>
      </c>
      <c r="AG724" t="e">
        <f t="shared" si="81"/>
        <v>#N/A</v>
      </c>
      <c r="AH724">
        <f t="shared" si="82"/>
        <v>3</v>
      </c>
      <c r="AI724" t="e">
        <f t="shared" si="83"/>
        <v>#N/A</v>
      </c>
    </row>
    <row r="725" spans="1:35" x14ac:dyDescent="0.45">
      <c r="A725" t="s">
        <v>2106</v>
      </c>
      <c r="B725">
        <v>44</v>
      </c>
      <c r="C725" t="s">
        <v>45</v>
      </c>
      <c r="D725" t="s">
        <v>28</v>
      </c>
      <c r="E725" t="s">
        <v>2614</v>
      </c>
      <c r="F725" t="s">
        <v>2614</v>
      </c>
      <c r="G725" t="s">
        <v>118</v>
      </c>
      <c r="H725" t="s">
        <v>61</v>
      </c>
      <c r="I725" t="s">
        <v>72</v>
      </c>
      <c r="J725" t="s">
        <v>1612</v>
      </c>
      <c r="K725" t="s">
        <v>1410</v>
      </c>
      <c r="L725" t="s">
        <v>36</v>
      </c>
      <c r="M725" t="s">
        <v>2614</v>
      </c>
      <c r="N725" t="s">
        <v>100</v>
      </c>
      <c r="O725" t="s">
        <v>36</v>
      </c>
      <c r="P725" t="s">
        <v>39</v>
      </c>
      <c r="Q725" t="s">
        <v>40</v>
      </c>
      <c r="R725">
        <v>170</v>
      </c>
      <c r="S725">
        <v>1</v>
      </c>
      <c r="T725" t="s">
        <v>85</v>
      </c>
      <c r="U725" t="s">
        <v>42</v>
      </c>
      <c r="V725">
        <v>2.36</v>
      </c>
      <c r="W725">
        <v>4.67</v>
      </c>
      <c r="X725">
        <v>4.7</v>
      </c>
      <c r="Y725">
        <v>8.6</v>
      </c>
      <c r="Z725">
        <v>15.2</v>
      </c>
      <c r="AA725">
        <f>VALUE(SUBSTITUTE(DACS19___Pfizer’s_Personalised_Medicine_in[[#This Row],[Dose]],"mg",""))</f>
        <v>200</v>
      </c>
      <c r="AB725">
        <f t="shared" si="77"/>
        <v>200</v>
      </c>
      <c r="AC725" t="s">
        <v>40</v>
      </c>
      <c r="AD725">
        <f t="shared" si="78"/>
        <v>3</v>
      </c>
      <c r="AE725">
        <f t="shared" si="79"/>
        <v>3</v>
      </c>
      <c r="AF725">
        <f t="shared" si="80"/>
        <v>4.67</v>
      </c>
      <c r="AG725" t="e">
        <f t="shared" si="81"/>
        <v>#N/A</v>
      </c>
      <c r="AH725" t="e">
        <f t="shared" si="82"/>
        <v>#N/A</v>
      </c>
      <c r="AI725" t="e">
        <f t="shared" si="83"/>
        <v>#N/A</v>
      </c>
    </row>
    <row r="726" spans="1:35" x14ac:dyDescent="0.45">
      <c r="A726" t="s">
        <v>2107</v>
      </c>
      <c r="B726">
        <v>70</v>
      </c>
      <c r="C726" t="s">
        <v>27</v>
      </c>
      <c r="D726" t="s">
        <v>106</v>
      </c>
      <c r="E726" t="s">
        <v>46</v>
      </c>
      <c r="F726" t="s">
        <v>2614</v>
      </c>
      <c r="G726" t="s">
        <v>152</v>
      </c>
      <c r="H726" t="s">
        <v>61</v>
      </c>
      <c r="I726" t="s">
        <v>49</v>
      </c>
      <c r="J726" t="s">
        <v>2108</v>
      </c>
      <c r="K726" t="s">
        <v>2109</v>
      </c>
      <c r="L726" t="s">
        <v>92</v>
      </c>
      <c r="M726" t="s">
        <v>2622</v>
      </c>
      <c r="N726" t="s">
        <v>788</v>
      </c>
      <c r="O726" t="s">
        <v>92</v>
      </c>
      <c r="P726" t="s">
        <v>110</v>
      </c>
      <c r="Q726" t="s">
        <v>129</v>
      </c>
      <c r="R726">
        <v>104</v>
      </c>
      <c r="S726">
        <v>0</v>
      </c>
      <c r="T726" t="s">
        <v>137</v>
      </c>
      <c r="U726" t="s">
        <v>42</v>
      </c>
      <c r="V726">
        <v>2.17</v>
      </c>
      <c r="W726">
        <v>3.1</v>
      </c>
      <c r="X726">
        <v>7.3</v>
      </c>
      <c r="Y726">
        <v>22.2</v>
      </c>
      <c r="Z726">
        <v>16.5</v>
      </c>
      <c r="AA726">
        <f>VALUE(SUBSTITUTE(DACS19___Pfizer’s_Personalised_Medicine_in[[#This Row],[Dose]],"mg",""))</f>
        <v>50</v>
      </c>
      <c r="AB726">
        <f t="shared" si="77"/>
        <v>50</v>
      </c>
      <c r="AC726" t="s">
        <v>129</v>
      </c>
      <c r="AD726">
        <f t="shared" si="78"/>
        <v>4</v>
      </c>
      <c r="AE726">
        <f t="shared" si="79"/>
        <v>1</v>
      </c>
      <c r="AF726">
        <f t="shared" si="80"/>
        <v>3.1</v>
      </c>
      <c r="AG726" t="e">
        <f t="shared" si="81"/>
        <v>#N/A</v>
      </c>
      <c r="AH726" t="e">
        <f t="shared" si="82"/>
        <v>#N/A</v>
      </c>
      <c r="AI726" t="e">
        <f t="shared" si="83"/>
        <v>#N/A</v>
      </c>
    </row>
    <row r="727" spans="1:35" x14ac:dyDescent="0.45">
      <c r="A727" t="s">
        <v>2110</v>
      </c>
      <c r="B727">
        <v>20</v>
      </c>
      <c r="C727" t="s">
        <v>45</v>
      </c>
      <c r="D727" t="s">
        <v>95</v>
      </c>
      <c r="E727" t="s">
        <v>2614</v>
      </c>
      <c r="F727" t="s">
        <v>2614</v>
      </c>
      <c r="G727" t="s">
        <v>112</v>
      </c>
      <c r="H727" t="s">
        <v>81</v>
      </c>
      <c r="I727" t="s">
        <v>33</v>
      </c>
      <c r="J727" t="s">
        <v>159</v>
      </c>
      <c r="K727" t="s">
        <v>2111</v>
      </c>
      <c r="L727" t="s">
        <v>64</v>
      </c>
      <c r="M727" t="s">
        <v>566</v>
      </c>
      <c r="N727" t="s">
        <v>1132</v>
      </c>
      <c r="O727" t="s">
        <v>64</v>
      </c>
      <c r="P727" t="s">
        <v>55</v>
      </c>
      <c r="Q727" t="s">
        <v>67</v>
      </c>
      <c r="R727">
        <v>167</v>
      </c>
      <c r="S727">
        <v>0</v>
      </c>
      <c r="T727" t="s">
        <v>137</v>
      </c>
      <c r="U727" t="s">
        <v>57</v>
      </c>
      <c r="V727">
        <v>3.71</v>
      </c>
      <c r="W727">
        <v>3.72</v>
      </c>
      <c r="X727">
        <v>9.5</v>
      </c>
      <c r="Y727">
        <v>11.3</v>
      </c>
      <c r="Z727">
        <v>3</v>
      </c>
      <c r="AA727">
        <f>VALUE(SUBSTITUTE(DACS19___Pfizer’s_Personalised_Medicine_in[[#This Row],[Dose]],"mg",""))</f>
        <v>150</v>
      </c>
      <c r="AB727">
        <f t="shared" si="77"/>
        <v>150</v>
      </c>
      <c r="AC727" t="s">
        <v>67</v>
      </c>
      <c r="AD727">
        <f t="shared" si="78"/>
        <v>2</v>
      </c>
      <c r="AE727">
        <f t="shared" si="79"/>
        <v>2</v>
      </c>
      <c r="AF727" t="e">
        <f t="shared" si="80"/>
        <v>#N/A</v>
      </c>
      <c r="AG727" t="e">
        <f t="shared" si="81"/>
        <v>#N/A</v>
      </c>
      <c r="AH727" t="e">
        <f t="shared" si="82"/>
        <v>#N/A</v>
      </c>
      <c r="AI727">
        <f t="shared" si="83"/>
        <v>3.72</v>
      </c>
    </row>
    <row r="728" spans="1:35" x14ac:dyDescent="0.45">
      <c r="A728" t="s">
        <v>2112</v>
      </c>
      <c r="B728">
        <v>49</v>
      </c>
      <c r="C728" t="s">
        <v>27</v>
      </c>
      <c r="D728" t="s">
        <v>28</v>
      </c>
      <c r="E728" t="s">
        <v>29</v>
      </c>
      <c r="F728" t="s">
        <v>88</v>
      </c>
      <c r="G728" t="s">
        <v>246</v>
      </c>
      <c r="H728" t="s">
        <v>32</v>
      </c>
      <c r="I728" t="s">
        <v>72</v>
      </c>
      <c r="J728" t="s">
        <v>1101</v>
      </c>
      <c r="K728" t="s">
        <v>855</v>
      </c>
      <c r="L728" t="s">
        <v>52</v>
      </c>
      <c r="M728" t="s">
        <v>469</v>
      </c>
      <c r="N728" t="s">
        <v>217</v>
      </c>
      <c r="O728" t="s">
        <v>52</v>
      </c>
      <c r="P728" t="s">
        <v>110</v>
      </c>
      <c r="Q728" t="s">
        <v>75</v>
      </c>
      <c r="R728">
        <v>44</v>
      </c>
      <c r="S728">
        <v>0</v>
      </c>
      <c r="T728" t="s">
        <v>56</v>
      </c>
      <c r="U728" t="s">
        <v>42</v>
      </c>
      <c r="V728">
        <v>2.09</v>
      </c>
      <c r="W728">
        <v>1.87</v>
      </c>
      <c r="X728">
        <v>7</v>
      </c>
      <c r="Y728">
        <v>17.399999999999999</v>
      </c>
      <c r="Z728">
        <v>13.1</v>
      </c>
      <c r="AA728">
        <f>VALUE(SUBSTITUTE(DACS19___Pfizer’s_Personalised_Medicine_in[[#This Row],[Dose]],"mg",""))</f>
        <v>100</v>
      </c>
      <c r="AB728">
        <f t="shared" si="77"/>
        <v>100</v>
      </c>
      <c r="AC728" t="s">
        <v>75</v>
      </c>
      <c r="AD728">
        <f t="shared" si="78"/>
        <v>1</v>
      </c>
      <c r="AE728">
        <f t="shared" si="79"/>
        <v>1</v>
      </c>
      <c r="AF728" t="e">
        <f t="shared" si="80"/>
        <v>#N/A</v>
      </c>
      <c r="AG728" t="e">
        <f t="shared" si="81"/>
        <v>#N/A</v>
      </c>
      <c r="AH728">
        <f t="shared" si="82"/>
        <v>1.87</v>
      </c>
      <c r="AI728" t="e">
        <f t="shared" si="83"/>
        <v>#N/A</v>
      </c>
    </row>
    <row r="729" spans="1:35" x14ac:dyDescent="0.45">
      <c r="A729" t="s">
        <v>2113</v>
      </c>
      <c r="B729">
        <v>78</v>
      </c>
      <c r="C729" t="s">
        <v>27</v>
      </c>
      <c r="D729" t="s">
        <v>95</v>
      </c>
      <c r="E729" t="s">
        <v>163</v>
      </c>
      <c r="F729" t="s">
        <v>47</v>
      </c>
      <c r="G729" t="s">
        <v>164</v>
      </c>
      <c r="H729" t="s">
        <v>81</v>
      </c>
      <c r="I729" t="s">
        <v>72</v>
      </c>
      <c r="J729" t="s">
        <v>2114</v>
      </c>
      <c r="K729" t="s">
        <v>2054</v>
      </c>
      <c r="L729" t="s">
        <v>52</v>
      </c>
      <c r="M729" t="s">
        <v>207</v>
      </c>
      <c r="N729" t="s">
        <v>532</v>
      </c>
      <c r="O729" t="s">
        <v>52</v>
      </c>
      <c r="P729" t="s">
        <v>110</v>
      </c>
      <c r="Q729" t="s">
        <v>75</v>
      </c>
      <c r="R729">
        <v>122</v>
      </c>
      <c r="S729">
        <v>0</v>
      </c>
      <c r="T729" t="s">
        <v>41</v>
      </c>
      <c r="U729" t="s">
        <v>42</v>
      </c>
      <c r="V729">
        <v>1.06</v>
      </c>
      <c r="W729">
        <v>3.92</v>
      </c>
      <c r="X729">
        <v>3.9</v>
      </c>
      <c r="Y729">
        <v>18</v>
      </c>
      <c r="Z729">
        <v>12.5</v>
      </c>
      <c r="AA729">
        <f>VALUE(SUBSTITUTE(DACS19___Pfizer’s_Personalised_Medicine_in[[#This Row],[Dose]],"mg",""))</f>
        <v>100</v>
      </c>
      <c r="AB729">
        <f t="shared" si="77"/>
        <v>100</v>
      </c>
      <c r="AC729" t="s">
        <v>75</v>
      </c>
      <c r="AD729">
        <f t="shared" si="78"/>
        <v>1</v>
      </c>
      <c r="AE729">
        <f t="shared" si="79"/>
        <v>1</v>
      </c>
      <c r="AF729" t="e">
        <f t="shared" si="80"/>
        <v>#N/A</v>
      </c>
      <c r="AG729" t="e">
        <f t="shared" si="81"/>
        <v>#N/A</v>
      </c>
      <c r="AH729" t="e">
        <f t="shared" si="82"/>
        <v>#N/A</v>
      </c>
      <c r="AI729">
        <f t="shared" si="83"/>
        <v>3.92</v>
      </c>
    </row>
    <row r="730" spans="1:35" x14ac:dyDescent="0.45">
      <c r="A730" t="s">
        <v>2115</v>
      </c>
      <c r="B730">
        <v>20</v>
      </c>
      <c r="C730" t="s">
        <v>44</v>
      </c>
      <c r="D730" t="s">
        <v>87</v>
      </c>
      <c r="E730" t="s">
        <v>2614</v>
      </c>
      <c r="F730" t="s">
        <v>2614</v>
      </c>
      <c r="G730" t="s">
        <v>102</v>
      </c>
      <c r="H730" t="s">
        <v>71</v>
      </c>
      <c r="I730" t="s">
        <v>33</v>
      </c>
      <c r="J730" t="s">
        <v>2116</v>
      </c>
      <c r="K730" t="s">
        <v>2117</v>
      </c>
      <c r="L730" t="s">
        <v>52</v>
      </c>
      <c r="M730" t="s">
        <v>2625</v>
      </c>
      <c r="N730" t="s">
        <v>2118</v>
      </c>
      <c r="O730" t="s">
        <v>52</v>
      </c>
      <c r="P730" t="s">
        <v>110</v>
      </c>
      <c r="Q730" t="s">
        <v>67</v>
      </c>
      <c r="R730">
        <v>141</v>
      </c>
      <c r="S730">
        <v>0</v>
      </c>
      <c r="T730" t="s">
        <v>137</v>
      </c>
      <c r="U730" t="s">
        <v>42</v>
      </c>
      <c r="V730">
        <v>2.37</v>
      </c>
      <c r="W730">
        <v>1.54</v>
      </c>
      <c r="X730">
        <v>1.8</v>
      </c>
      <c r="Y730">
        <v>21</v>
      </c>
      <c r="Z730">
        <v>18.600000000000001</v>
      </c>
      <c r="AA730">
        <f>VALUE(SUBSTITUTE(DACS19___Pfizer’s_Personalised_Medicine_in[[#This Row],[Dose]],"mg",""))</f>
        <v>100</v>
      </c>
      <c r="AB730">
        <f t="shared" si="77"/>
        <v>100</v>
      </c>
      <c r="AC730" t="s">
        <v>67</v>
      </c>
      <c r="AD730">
        <f t="shared" si="78"/>
        <v>2</v>
      </c>
      <c r="AE730">
        <f t="shared" si="79"/>
        <v>1</v>
      </c>
      <c r="AF730" t="e">
        <f t="shared" si="80"/>
        <v>#N/A</v>
      </c>
      <c r="AG730">
        <f t="shared" si="81"/>
        <v>1.54</v>
      </c>
      <c r="AH730" t="e">
        <f t="shared" si="82"/>
        <v>#N/A</v>
      </c>
      <c r="AI730" t="e">
        <f t="shared" si="83"/>
        <v>#N/A</v>
      </c>
    </row>
    <row r="731" spans="1:35" x14ac:dyDescent="0.45">
      <c r="A731" t="s">
        <v>2119</v>
      </c>
      <c r="B731">
        <v>66</v>
      </c>
      <c r="C731" t="s">
        <v>45</v>
      </c>
      <c r="D731" t="s">
        <v>95</v>
      </c>
      <c r="E731" t="s">
        <v>2614</v>
      </c>
      <c r="F731" t="s">
        <v>88</v>
      </c>
      <c r="G731" t="s">
        <v>89</v>
      </c>
      <c r="H731" t="s">
        <v>61</v>
      </c>
      <c r="I731" t="s">
        <v>33</v>
      </c>
      <c r="J731" t="s">
        <v>1297</v>
      </c>
      <c r="K731" t="s">
        <v>2120</v>
      </c>
      <c r="L731" t="s">
        <v>52</v>
      </c>
      <c r="M731" t="s">
        <v>75</v>
      </c>
      <c r="N731" t="s">
        <v>521</v>
      </c>
      <c r="O731" t="s">
        <v>52</v>
      </c>
      <c r="P731" t="s">
        <v>110</v>
      </c>
      <c r="Q731" t="s">
        <v>2614</v>
      </c>
      <c r="R731">
        <v>60</v>
      </c>
      <c r="S731">
        <v>0</v>
      </c>
      <c r="T731" t="s">
        <v>137</v>
      </c>
      <c r="U731" t="s">
        <v>42</v>
      </c>
      <c r="V731">
        <v>3.6</v>
      </c>
      <c r="W731">
        <v>1.41</v>
      </c>
      <c r="X731">
        <v>4.5999999999999996</v>
      </c>
      <c r="Y731">
        <v>19.100000000000001</v>
      </c>
      <c r="Z731">
        <v>16.3</v>
      </c>
      <c r="AA731">
        <f>VALUE(SUBSTITUTE(DACS19___Pfizer’s_Personalised_Medicine_in[[#This Row],[Dose]],"mg",""))</f>
        <v>100</v>
      </c>
      <c r="AB731">
        <f t="shared" si="77"/>
        <v>100</v>
      </c>
      <c r="AC731" t="s">
        <v>2614</v>
      </c>
      <c r="AD731">
        <f t="shared" si="78"/>
        <v>0</v>
      </c>
      <c r="AE731">
        <f t="shared" si="79"/>
        <v>1</v>
      </c>
      <c r="AF731">
        <f t="shared" si="80"/>
        <v>1.41</v>
      </c>
      <c r="AG731" t="e">
        <f t="shared" si="81"/>
        <v>#N/A</v>
      </c>
      <c r="AH731" t="e">
        <f t="shared" si="82"/>
        <v>#N/A</v>
      </c>
      <c r="AI731" t="e">
        <f t="shared" si="83"/>
        <v>#N/A</v>
      </c>
    </row>
    <row r="732" spans="1:35" x14ac:dyDescent="0.45">
      <c r="A732" t="s">
        <v>2121</v>
      </c>
      <c r="B732">
        <v>52</v>
      </c>
      <c r="C732" t="s">
        <v>44</v>
      </c>
      <c r="D732" t="s">
        <v>45</v>
      </c>
      <c r="E732" t="s">
        <v>46</v>
      </c>
      <c r="F732" t="s">
        <v>59</v>
      </c>
      <c r="G732" t="s">
        <v>246</v>
      </c>
      <c r="H732" t="s">
        <v>32</v>
      </c>
      <c r="I732" t="s">
        <v>49</v>
      </c>
      <c r="J732" t="s">
        <v>2122</v>
      </c>
      <c r="K732" t="s">
        <v>735</v>
      </c>
      <c r="L732" t="s">
        <v>52</v>
      </c>
      <c r="M732" t="s">
        <v>129</v>
      </c>
      <c r="N732" t="s">
        <v>254</v>
      </c>
      <c r="O732" t="s">
        <v>52</v>
      </c>
      <c r="P732" t="s">
        <v>110</v>
      </c>
      <c r="Q732" t="s">
        <v>40</v>
      </c>
      <c r="R732">
        <v>130</v>
      </c>
      <c r="S732">
        <v>0</v>
      </c>
      <c r="T732" t="s">
        <v>56</v>
      </c>
      <c r="U732" t="s">
        <v>42</v>
      </c>
      <c r="V732">
        <v>1.47</v>
      </c>
      <c r="W732">
        <v>1</v>
      </c>
      <c r="X732">
        <v>7.4</v>
      </c>
      <c r="Y732">
        <v>12.4</v>
      </c>
      <c r="Z732">
        <v>7.3</v>
      </c>
      <c r="AA732">
        <f>VALUE(SUBSTITUTE(DACS19___Pfizer’s_Personalised_Medicine_in[[#This Row],[Dose]],"mg",""))</f>
        <v>100</v>
      </c>
      <c r="AB732">
        <f t="shared" si="77"/>
        <v>100</v>
      </c>
      <c r="AC732" t="s">
        <v>40</v>
      </c>
      <c r="AD732">
        <f t="shared" si="78"/>
        <v>3</v>
      </c>
      <c r="AE732">
        <f t="shared" si="79"/>
        <v>1</v>
      </c>
      <c r="AF732" t="e">
        <f t="shared" si="80"/>
        <v>#N/A</v>
      </c>
      <c r="AG732" t="e">
        <f t="shared" si="81"/>
        <v>#N/A</v>
      </c>
      <c r="AH732">
        <f t="shared" si="82"/>
        <v>1</v>
      </c>
      <c r="AI732" t="e">
        <f t="shared" si="83"/>
        <v>#N/A</v>
      </c>
    </row>
    <row r="733" spans="1:35" x14ac:dyDescent="0.45">
      <c r="A733" t="s">
        <v>2123</v>
      </c>
      <c r="B733">
        <v>25</v>
      </c>
      <c r="C733" t="s">
        <v>27</v>
      </c>
      <c r="D733" t="s">
        <v>95</v>
      </c>
      <c r="E733" t="s">
        <v>29</v>
      </c>
      <c r="F733" t="s">
        <v>88</v>
      </c>
      <c r="G733" t="s">
        <v>89</v>
      </c>
      <c r="H733" t="s">
        <v>32</v>
      </c>
      <c r="I733" t="s">
        <v>49</v>
      </c>
      <c r="J733" t="s">
        <v>2124</v>
      </c>
      <c r="K733" t="s">
        <v>2125</v>
      </c>
      <c r="L733" t="s">
        <v>92</v>
      </c>
      <c r="M733" t="s">
        <v>2656</v>
      </c>
      <c r="N733" t="s">
        <v>340</v>
      </c>
      <c r="O733" t="s">
        <v>92</v>
      </c>
      <c r="P733" t="s">
        <v>110</v>
      </c>
      <c r="Q733" t="s">
        <v>129</v>
      </c>
      <c r="R733">
        <v>112</v>
      </c>
      <c r="S733">
        <v>0</v>
      </c>
      <c r="T733" t="s">
        <v>123</v>
      </c>
      <c r="U733" t="s">
        <v>57</v>
      </c>
      <c r="V733">
        <v>1.05</v>
      </c>
      <c r="W733">
        <v>3.16</v>
      </c>
      <c r="X733">
        <v>8.6999999999999993</v>
      </c>
      <c r="Y733">
        <v>23.2</v>
      </c>
      <c r="Z733">
        <v>12.6</v>
      </c>
      <c r="AA733">
        <f>VALUE(SUBSTITUTE(DACS19___Pfizer’s_Personalised_Medicine_in[[#This Row],[Dose]],"mg",""))</f>
        <v>50</v>
      </c>
      <c r="AB733">
        <f t="shared" si="77"/>
        <v>50</v>
      </c>
      <c r="AC733" t="s">
        <v>129</v>
      </c>
      <c r="AD733">
        <f t="shared" si="78"/>
        <v>4</v>
      </c>
      <c r="AE733">
        <f t="shared" si="79"/>
        <v>1</v>
      </c>
      <c r="AF733" t="e">
        <f t="shared" si="80"/>
        <v>#N/A</v>
      </c>
      <c r="AG733" t="e">
        <f t="shared" si="81"/>
        <v>#N/A</v>
      </c>
      <c r="AH733">
        <f t="shared" si="82"/>
        <v>3.16</v>
      </c>
      <c r="AI733" t="e">
        <f t="shared" si="83"/>
        <v>#N/A</v>
      </c>
    </row>
    <row r="734" spans="1:35" x14ac:dyDescent="0.45">
      <c r="A734" t="s">
        <v>2127</v>
      </c>
      <c r="B734">
        <v>70</v>
      </c>
      <c r="C734" t="s">
        <v>27</v>
      </c>
      <c r="D734" t="s">
        <v>45</v>
      </c>
      <c r="E734" t="s">
        <v>46</v>
      </c>
      <c r="F734" t="s">
        <v>2614</v>
      </c>
      <c r="G734" t="s">
        <v>440</v>
      </c>
      <c r="H734" t="s">
        <v>81</v>
      </c>
      <c r="I734" t="s">
        <v>72</v>
      </c>
      <c r="J734" t="s">
        <v>1663</v>
      </c>
      <c r="K734" t="s">
        <v>1085</v>
      </c>
      <c r="L734" t="s">
        <v>64</v>
      </c>
      <c r="M734" t="s">
        <v>135</v>
      </c>
      <c r="N734" t="s">
        <v>366</v>
      </c>
      <c r="O734" t="s">
        <v>64</v>
      </c>
      <c r="P734" t="s">
        <v>55</v>
      </c>
      <c r="Q734" t="s">
        <v>75</v>
      </c>
      <c r="R734">
        <v>102</v>
      </c>
      <c r="S734">
        <v>0</v>
      </c>
      <c r="T734" t="s">
        <v>56</v>
      </c>
      <c r="U734" t="s">
        <v>42</v>
      </c>
      <c r="V734">
        <v>3.06</v>
      </c>
      <c r="W734">
        <v>1.34</v>
      </c>
      <c r="X734">
        <v>5.9</v>
      </c>
      <c r="Y734">
        <v>12.8</v>
      </c>
      <c r="Z734">
        <v>13.3</v>
      </c>
      <c r="AA734">
        <f>VALUE(SUBSTITUTE(DACS19___Pfizer’s_Personalised_Medicine_in[[#This Row],[Dose]],"mg",""))</f>
        <v>150</v>
      </c>
      <c r="AB734">
        <f t="shared" si="77"/>
        <v>150</v>
      </c>
      <c r="AC734" t="s">
        <v>75</v>
      </c>
      <c r="AD734">
        <f t="shared" si="78"/>
        <v>1</v>
      </c>
      <c r="AE734">
        <f t="shared" si="79"/>
        <v>2</v>
      </c>
      <c r="AF734" t="e">
        <f t="shared" si="80"/>
        <v>#N/A</v>
      </c>
      <c r="AG734" t="e">
        <f t="shared" si="81"/>
        <v>#N/A</v>
      </c>
      <c r="AH734" t="e">
        <f t="shared" si="82"/>
        <v>#N/A</v>
      </c>
      <c r="AI734">
        <f t="shared" si="83"/>
        <v>1.34</v>
      </c>
    </row>
    <row r="735" spans="1:35" x14ac:dyDescent="0.45">
      <c r="A735" t="s">
        <v>2128</v>
      </c>
      <c r="B735">
        <v>25</v>
      </c>
      <c r="C735" t="s">
        <v>45</v>
      </c>
      <c r="D735" t="s">
        <v>95</v>
      </c>
      <c r="E735" t="s">
        <v>46</v>
      </c>
      <c r="F735" t="s">
        <v>2614</v>
      </c>
      <c r="G735" t="s">
        <v>48</v>
      </c>
      <c r="H735" t="s">
        <v>71</v>
      </c>
      <c r="I735" t="s">
        <v>72</v>
      </c>
      <c r="J735" t="s">
        <v>2116</v>
      </c>
      <c r="K735" t="s">
        <v>2117</v>
      </c>
      <c r="L735" t="s">
        <v>92</v>
      </c>
      <c r="M735" t="s">
        <v>1398</v>
      </c>
      <c r="N735" t="s">
        <v>1904</v>
      </c>
      <c r="O735" t="s">
        <v>92</v>
      </c>
      <c r="P735" t="s">
        <v>39</v>
      </c>
      <c r="Q735" t="s">
        <v>75</v>
      </c>
      <c r="R735">
        <v>47</v>
      </c>
      <c r="S735">
        <v>1</v>
      </c>
      <c r="T735" t="s">
        <v>137</v>
      </c>
      <c r="U735" t="s">
        <v>42</v>
      </c>
      <c r="V735">
        <v>2.5499999999999998</v>
      </c>
      <c r="W735">
        <v>1.96</v>
      </c>
      <c r="X735">
        <v>1.9</v>
      </c>
      <c r="Y735">
        <v>11.7</v>
      </c>
      <c r="Z735">
        <v>4.5999999999999996</v>
      </c>
      <c r="AA735">
        <f>VALUE(SUBSTITUTE(DACS19___Pfizer’s_Personalised_Medicine_in[[#This Row],[Dose]],"mg",""))</f>
        <v>50</v>
      </c>
      <c r="AB735">
        <f t="shared" si="77"/>
        <v>50</v>
      </c>
      <c r="AC735" t="s">
        <v>75</v>
      </c>
      <c r="AD735">
        <f t="shared" si="78"/>
        <v>1</v>
      </c>
      <c r="AE735">
        <f t="shared" si="79"/>
        <v>3</v>
      </c>
      <c r="AF735" t="e">
        <f t="shared" si="80"/>
        <v>#N/A</v>
      </c>
      <c r="AG735">
        <f t="shared" si="81"/>
        <v>1.96</v>
      </c>
      <c r="AH735" t="e">
        <f t="shared" si="82"/>
        <v>#N/A</v>
      </c>
      <c r="AI735" t="e">
        <f t="shared" si="83"/>
        <v>#N/A</v>
      </c>
    </row>
    <row r="736" spans="1:35" x14ac:dyDescent="0.45">
      <c r="A736" t="s">
        <v>2129</v>
      </c>
      <c r="B736">
        <v>68</v>
      </c>
      <c r="C736" t="s">
        <v>45</v>
      </c>
      <c r="D736" t="s">
        <v>45</v>
      </c>
      <c r="E736" t="s">
        <v>2614</v>
      </c>
      <c r="F736" t="s">
        <v>79</v>
      </c>
      <c r="G736" t="s">
        <v>89</v>
      </c>
      <c r="H736" t="s">
        <v>71</v>
      </c>
      <c r="I736" t="s">
        <v>33</v>
      </c>
      <c r="J736" t="s">
        <v>795</v>
      </c>
      <c r="K736" t="s">
        <v>842</v>
      </c>
      <c r="L736" t="s">
        <v>64</v>
      </c>
      <c r="M736" t="s">
        <v>352</v>
      </c>
      <c r="N736" t="s">
        <v>780</v>
      </c>
      <c r="O736" t="s">
        <v>64</v>
      </c>
      <c r="P736" t="s">
        <v>39</v>
      </c>
      <c r="Q736" t="s">
        <v>40</v>
      </c>
      <c r="R736">
        <v>169</v>
      </c>
      <c r="S736">
        <v>1</v>
      </c>
      <c r="T736" t="s">
        <v>123</v>
      </c>
      <c r="U736" t="s">
        <v>57</v>
      </c>
      <c r="V736">
        <v>1.71</v>
      </c>
      <c r="W736">
        <v>4.95</v>
      </c>
      <c r="X736">
        <v>5</v>
      </c>
      <c r="Y736">
        <v>15.6</v>
      </c>
      <c r="Z736">
        <v>17.899999999999999</v>
      </c>
      <c r="AA736">
        <f>VALUE(SUBSTITUTE(DACS19___Pfizer’s_Personalised_Medicine_in[[#This Row],[Dose]],"mg",""))</f>
        <v>150</v>
      </c>
      <c r="AB736">
        <f t="shared" si="77"/>
        <v>150</v>
      </c>
      <c r="AC736" t="s">
        <v>40</v>
      </c>
      <c r="AD736">
        <f t="shared" si="78"/>
        <v>3</v>
      </c>
      <c r="AE736">
        <f t="shared" si="79"/>
        <v>3</v>
      </c>
      <c r="AF736" t="e">
        <f t="shared" si="80"/>
        <v>#N/A</v>
      </c>
      <c r="AG736">
        <f t="shared" si="81"/>
        <v>4.95</v>
      </c>
      <c r="AH736" t="e">
        <f t="shared" si="82"/>
        <v>#N/A</v>
      </c>
      <c r="AI736" t="e">
        <f t="shared" si="83"/>
        <v>#N/A</v>
      </c>
    </row>
    <row r="737" spans="1:35" x14ac:dyDescent="0.45">
      <c r="A737" t="s">
        <v>2130</v>
      </c>
      <c r="B737">
        <v>19</v>
      </c>
      <c r="C737" t="s">
        <v>27</v>
      </c>
      <c r="D737" t="s">
        <v>106</v>
      </c>
      <c r="E737" t="s">
        <v>163</v>
      </c>
      <c r="F737" t="s">
        <v>79</v>
      </c>
      <c r="G737" t="s">
        <v>164</v>
      </c>
      <c r="H737" t="s">
        <v>81</v>
      </c>
      <c r="I737" t="s">
        <v>49</v>
      </c>
      <c r="J737" t="s">
        <v>2131</v>
      </c>
      <c r="K737" t="s">
        <v>1570</v>
      </c>
      <c r="L737" t="s">
        <v>64</v>
      </c>
      <c r="M737" t="s">
        <v>40</v>
      </c>
      <c r="N737" t="s">
        <v>1444</v>
      </c>
      <c r="O737" t="s">
        <v>64</v>
      </c>
      <c r="P737" t="s">
        <v>110</v>
      </c>
      <c r="Q737" t="s">
        <v>75</v>
      </c>
      <c r="R737">
        <v>118</v>
      </c>
      <c r="S737">
        <v>0</v>
      </c>
      <c r="T737" t="s">
        <v>56</v>
      </c>
      <c r="U737" t="s">
        <v>42</v>
      </c>
      <c r="V737">
        <v>4.9800000000000004</v>
      </c>
      <c r="W737">
        <v>3.33</v>
      </c>
      <c r="X737">
        <v>8.3000000000000007</v>
      </c>
      <c r="Y737">
        <v>11.9</v>
      </c>
      <c r="Z737">
        <v>8.1999999999999993</v>
      </c>
      <c r="AA737">
        <f>VALUE(SUBSTITUTE(DACS19___Pfizer’s_Personalised_Medicine_in[[#This Row],[Dose]],"mg",""))</f>
        <v>150</v>
      </c>
      <c r="AB737">
        <f t="shared" si="77"/>
        <v>150</v>
      </c>
      <c r="AC737" t="s">
        <v>75</v>
      </c>
      <c r="AD737">
        <f t="shared" si="78"/>
        <v>1</v>
      </c>
      <c r="AE737">
        <f t="shared" si="79"/>
        <v>1</v>
      </c>
      <c r="AF737" t="e">
        <f t="shared" si="80"/>
        <v>#N/A</v>
      </c>
      <c r="AG737" t="e">
        <f t="shared" si="81"/>
        <v>#N/A</v>
      </c>
      <c r="AH737" t="e">
        <f t="shared" si="82"/>
        <v>#N/A</v>
      </c>
      <c r="AI737">
        <f t="shared" si="83"/>
        <v>3.33</v>
      </c>
    </row>
    <row r="738" spans="1:35" x14ac:dyDescent="0.45">
      <c r="A738" t="s">
        <v>2132</v>
      </c>
      <c r="B738">
        <v>42</v>
      </c>
      <c r="C738" t="s">
        <v>27</v>
      </c>
      <c r="D738" t="s">
        <v>95</v>
      </c>
      <c r="E738" t="s">
        <v>163</v>
      </c>
      <c r="F738" t="s">
        <v>2614</v>
      </c>
      <c r="G738" t="s">
        <v>178</v>
      </c>
      <c r="H738" t="s">
        <v>32</v>
      </c>
      <c r="I738" t="s">
        <v>132</v>
      </c>
      <c r="J738" t="s">
        <v>2133</v>
      </c>
      <c r="K738" t="s">
        <v>2134</v>
      </c>
      <c r="L738" t="s">
        <v>52</v>
      </c>
      <c r="M738" t="s">
        <v>2643</v>
      </c>
      <c r="N738" t="s">
        <v>525</v>
      </c>
      <c r="O738" t="s">
        <v>52</v>
      </c>
      <c r="P738" t="s">
        <v>55</v>
      </c>
      <c r="Q738" t="s">
        <v>75</v>
      </c>
      <c r="R738">
        <v>41</v>
      </c>
      <c r="S738">
        <v>0</v>
      </c>
      <c r="T738" t="s">
        <v>123</v>
      </c>
      <c r="U738" t="s">
        <v>57</v>
      </c>
      <c r="V738">
        <v>2.61</v>
      </c>
      <c r="W738">
        <v>3.69</v>
      </c>
      <c r="X738">
        <v>7.1</v>
      </c>
      <c r="Y738">
        <v>11.7</v>
      </c>
      <c r="Z738">
        <v>5.3</v>
      </c>
      <c r="AA738">
        <f>VALUE(SUBSTITUTE(DACS19___Pfizer’s_Personalised_Medicine_in[[#This Row],[Dose]],"mg",""))</f>
        <v>100</v>
      </c>
      <c r="AB738">
        <f t="shared" si="77"/>
        <v>100</v>
      </c>
      <c r="AC738" t="s">
        <v>75</v>
      </c>
      <c r="AD738">
        <f t="shared" si="78"/>
        <v>1</v>
      </c>
      <c r="AE738">
        <f t="shared" si="79"/>
        <v>2</v>
      </c>
      <c r="AF738" t="e">
        <f t="shared" si="80"/>
        <v>#N/A</v>
      </c>
      <c r="AG738" t="e">
        <f t="shared" si="81"/>
        <v>#N/A</v>
      </c>
      <c r="AH738">
        <f t="shared" si="82"/>
        <v>3.69</v>
      </c>
      <c r="AI738" t="e">
        <f t="shared" si="83"/>
        <v>#N/A</v>
      </c>
    </row>
    <row r="739" spans="1:35" x14ac:dyDescent="0.45">
      <c r="A739" t="s">
        <v>2135</v>
      </c>
      <c r="B739">
        <v>53</v>
      </c>
      <c r="C739" t="s">
        <v>44</v>
      </c>
      <c r="D739" t="s">
        <v>87</v>
      </c>
      <c r="E739" t="s">
        <v>46</v>
      </c>
      <c r="F739" t="s">
        <v>59</v>
      </c>
      <c r="G739" t="s">
        <v>102</v>
      </c>
      <c r="H739" t="s">
        <v>81</v>
      </c>
      <c r="I739" t="s">
        <v>33</v>
      </c>
      <c r="J739" t="s">
        <v>2006</v>
      </c>
      <c r="K739" t="s">
        <v>1040</v>
      </c>
      <c r="L739" t="s">
        <v>36</v>
      </c>
      <c r="M739" t="s">
        <v>309</v>
      </c>
      <c r="N739" t="s">
        <v>331</v>
      </c>
      <c r="O739" t="s">
        <v>36</v>
      </c>
      <c r="P739" t="s">
        <v>39</v>
      </c>
      <c r="Q739" t="s">
        <v>67</v>
      </c>
      <c r="R739">
        <v>53</v>
      </c>
      <c r="S739">
        <v>1</v>
      </c>
      <c r="T739" t="s">
        <v>56</v>
      </c>
      <c r="U739" t="s">
        <v>42</v>
      </c>
      <c r="V739">
        <v>3.53</v>
      </c>
      <c r="W739">
        <v>1.51</v>
      </c>
      <c r="X739">
        <v>6.2</v>
      </c>
      <c r="Y739">
        <v>18.5</v>
      </c>
      <c r="Z739">
        <v>14.9</v>
      </c>
      <c r="AA739">
        <f>VALUE(SUBSTITUTE(DACS19___Pfizer’s_Personalised_Medicine_in[[#This Row],[Dose]],"mg",""))</f>
        <v>200</v>
      </c>
      <c r="AB739">
        <f t="shared" si="77"/>
        <v>200</v>
      </c>
      <c r="AC739" t="s">
        <v>67</v>
      </c>
      <c r="AD739">
        <f t="shared" si="78"/>
        <v>2</v>
      </c>
      <c r="AE739">
        <f t="shared" si="79"/>
        <v>3</v>
      </c>
      <c r="AF739" t="e">
        <f t="shared" si="80"/>
        <v>#N/A</v>
      </c>
      <c r="AG739" t="e">
        <f t="shared" si="81"/>
        <v>#N/A</v>
      </c>
      <c r="AH739" t="e">
        <f t="shared" si="82"/>
        <v>#N/A</v>
      </c>
      <c r="AI739">
        <f t="shared" si="83"/>
        <v>1.51</v>
      </c>
    </row>
    <row r="740" spans="1:35" x14ac:dyDescent="0.45">
      <c r="A740" t="s">
        <v>2136</v>
      </c>
      <c r="B740">
        <v>31</v>
      </c>
      <c r="C740" t="s">
        <v>45</v>
      </c>
      <c r="D740" t="s">
        <v>106</v>
      </c>
      <c r="E740" t="s">
        <v>2614</v>
      </c>
      <c r="F740" t="s">
        <v>2614</v>
      </c>
      <c r="G740" t="s">
        <v>48</v>
      </c>
      <c r="H740" t="s">
        <v>71</v>
      </c>
      <c r="I740" t="s">
        <v>132</v>
      </c>
      <c r="J740" t="s">
        <v>2137</v>
      </c>
      <c r="K740" t="s">
        <v>2059</v>
      </c>
      <c r="L740" t="s">
        <v>36</v>
      </c>
      <c r="M740" t="s">
        <v>40</v>
      </c>
      <c r="N740" t="s">
        <v>661</v>
      </c>
      <c r="O740" t="s">
        <v>36</v>
      </c>
      <c r="P740" t="s">
        <v>110</v>
      </c>
      <c r="Q740" t="s">
        <v>67</v>
      </c>
      <c r="R740">
        <v>59</v>
      </c>
      <c r="S740">
        <v>0</v>
      </c>
      <c r="T740" t="s">
        <v>85</v>
      </c>
      <c r="U740" t="s">
        <v>42</v>
      </c>
      <c r="V740">
        <v>4.01</v>
      </c>
      <c r="W740">
        <v>4.49</v>
      </c>
      <c r="X740">
        <v>5.5</v>
      </c>
      <c r="Y740">
        <v>19.100000000000001</v>
      </c>
      <c r="Z740">
        <v>13.5</v>
      </c>
      <c r="AA740">
        <f>VALUE(SUBSTITUTE(DACS19___Pfizer’s_Personalised_Medicine_in[[#This Row],[Dose]],"mg",""))</f>
        <v>200</v>
      </c>
      <c r="AB740">
        <f t="shared" si="77"/>
        <v>200</v>
      </c>
      <c r="AC740" t="s">
        <v>67</v>
      </c>
      <c r="AD740">
        <f t="shared" si="78"/>
        <v>2</v>
      </c>
      <c r="AE740">
        <f t="shared" si="79"/>
        <v>1</v>
      </c>
      <c r="AF740" t="e">
        <f t="shared" si="80"/>
        <v>#N/A</v>
      </c>
      <c r="AG740">
        <f t="shared" si="81"/>
        <v>4.49</v>
      </c>
      <c r="AH740" t="e">
        <f t="shared" si="82"/>
        <v>#N/A</v>
      </c>
      <c r="AI740" t="e">
        <f t="shared" si="83"/>
        <v>#N/A</v>
      </c>
    </row>
    <row r="741" spans="1:35" x14ac:dyDescent="0.45">
      <c r="A741" t="s">
        <v>2138</v>
      </c>
      <c r="B741">
        <v>58</v>
      </c>
      <c r="C741" t="s">
        <v>44</v>
      </c>
      <c r="D741" t="s">
        <v>87</v>
      </c>
      <c r="E741" t="s">
        <v>2614</v>
      </c>
      <c r="F741" t="s">
        <v>47</v>
      </c>
      <c r="G741" t="s">
        <v>164</v>
      </c>
      <c r="H741" t="s">
        <v>81</v>
      </c>
      <c r="I741" t="s">
        <v>33</v>
      </c>
      <c r="J741" t="s">
        <v>50</v>
      </c>
      <c r="K741" t="s">
        <v>1583</v>
      </c>
      <c r="L741" t="s">
        <v>36</v>
      </c>
      <c r="M741" t="s">
        <v>723</v>
      </c>
      <c r="N741" t="s">
        <v>387</v>
      </c>
      <c r="O741" t="s">
        <v>36</v>
      </c>
      <c r="P741" t="s">
        <v>55</v>
      </c>
      <c r="Q741" t="s">
        <v>75</v>
      </c>
      <c r="R741">
        <v>67</v>
      </c>
      <c r="S741">
        <v>0</v>
      </c>
      <c r="T741" t="s">
        <v>123</v>
      </c>
      <c r="U741" t="s">
        <v>57</v>
      </c>
      <c r="V741">
        <v>1.75</v>
      </c>
      <c r="W741">
        <v>1.1000000000000001</v>
      </c>
      <c r="X741">
        <v>3.6</v>
      </c>
      <c r="Y741">
        <v>14</v>
      </c>
      <c r="Z741">
        <v>13.5</v>
      </c>
      <c r="AA741">
        <f>VALUE(SUBSTITUTE(DACS19___Pfizer’s_Personalised_Medicine_in[[#This Row],[Dose]],"mg",""))</f>
        <v>200</v>
      </c>
      <c r="AB741">
        <f t="shared" si="77"/>
        <v>200</v>
      </c>
      <c r="AC741" t="s">
        <v>75</v>
      </c>
      <c r="AD741">
        <f t="shared" si="78"/>
        <v>1</v>
      </c>
      <c r="AE741">
        <f t="shared" si="79"/>
        <v>2</v>
      </c>
      <c r="AF741" t="e">
        <f t="shared" si="80"/>
        <v>#N/A</v>
      </c>
      <c r="AG741" t="e">
        <f t="shared" si="81"/>
        <v>#N/A</v>
      </c>
      <c r="AH741" t="e">
        <f t="shared" si="82"/>
        <v>#N/A</v>
      </c>
      <c r="AI741">
        <f t="shared" si="83"/>
        <v>1.1000000000000001</v>
      </c>
    </row>
    <row r="742" spans="1:35" x14ac:dyDescent="0.45">
      <c r="A742" t="s">
        <v>2139</v>
      </c>
      <c r="B742">
        <v>18</v>
      </c>
      <c r="C742" t="s">
        <v>44</v>
      </c>
      <c r="D742" t="s">
        <v>45</v>
      </c>
      <c r="E742" t="s">
        <v>46</v>
      </c>
      <c r="F742" t="s">
        <v>79</v>
      </c>
      <c r="G742" t="s">
        <v>112</v>
      </c>
      <c r="H742" t="s">
        <v>71</v>
      </c>
      <c r="I742" t="s">
        <v>132</v>
      </c>
      <c r="J742" t="s">
        <v>1055</v>
      </c>
      <c r="K742" t="s">
        <v>2140</v>
      </c>
      <c r="L742" t="s">
        <v>36</v>
      </c>
      <c r="M742" t="s">
        <v>2656</v>
      </c>
      <c r="N742" t="s">
        <v>1074</v>
      </c>
      <c r="O742" t="s">
        <v>36</v>
      </c>
      <c r="P742" t="s">
        <v>55</v>
      </c>
      <c r="Q742" t="s">
        <v>129</v>
      </c>
      <c r="R742">
        <v>97</v>
      </c>
      <c r="S742">
        <v>0</v>
      </c>
      <c r="T742" t="s">
        <v>56</v>
      </c>
      <c r="U742" t="s">
        <v>42</v>
      </c>
      <c r="V742">
        <v>4.4000000000000004</v>
      </c>
      <c r="W742">
        <v>1.78</v>
      </c>
      <c r="X742">
        <v>2.1</v>
      </c>
      <c r="Y742">
        <v>23.3</v>
      </c>
      <c r="Z742">
        <v>4.8</v>
      </c>
      <c r="AA742">
        <f>VALUE(SUBSTITUTE(DACS19___Pfizer’s_Personalised_Medicine_in[[#This Row],[Dose]],"mg",""))</f>
        <v>200</v>
      </c>
      <c r="AB742">
        <f t="shared" si="77"/>
        <v>200</v>
      </c>
      <c r="AC742" t="s">
        <v>129</v>
      </c>
      <c r="AD742">
        <f t="shared" si="78"/>
        <v>4</v>
      </c>
      <c r="AE742">
        <f t="shared" si="79"/>
        <v>2</v>
      </c>
      <c r="AF742" t="e">
        <f t="shared" si="80"/>
        <v>#N/A</v>
      </c>
      <c r="AG742">
        <f t="shared" si="81"/>
        <v>1.78</v>
      </c>
      <c r="AH742" t="e">
        <f t="shared" si="82"/>
        <v>#N/A</v>
      </c>
      <c r="AI742" t="e">
        <f t="shared" si="83"/>
        <v>#N/A</v>
      </c>
    </row>
    <row r="743" spans="1:35" x14ac:dyDescent="0.45">
      <c r="A743" t="s">
        <v>2141</v>
      </c>
      <c r="B743">
        <v>27</v>
      </c>
      <c r="C743" t="s">
        <v>45</v>
      </c>
      <c r="D743" t="s">
        <v>106</v>
      </c>
      <c r="E743" t="s">
        <v>163</v>
      </c>
      <c r="F743" t="s">
        <v>2614</v>
      </c>
      <c r="G743" t="s">
        <v>96</v>
      </c>
      <c r="H743" t="s">
        <v>32</v>
      </c>
      <c r="I743" t="s">
        <v>33</v>
      </c>
      <c r="J743" t="s">
        <v>2142</v>
      </c>
      <c r="K743" t="s">
        <v>935</v>
      </c>
      <c r="L743" t="s">
        <v>64</v>
      </c>
      <c r="M743" t="s">
        <v>40</v>
      </c>
      <c r="N743" t="s">
        <v>797</v>
      </c>
      <c r="O743" t="s">
        <v>64</v>
      </c>
      <c r="P743" t="s">
        <v>110</v>
      </c>
      <c r="Q743" t="s">
        <v>75</v>
      </c>
      <c r="R743">
        <v>103</v>
      </c>
      <c r="S743">
        <v>0</v>
      </c>
      <c r="T743" t="s">
        <v>85</v>
      </c>
      <c r="U743" t="s">
        <v>42</v>
      </c>
      <c r="V743">
        <v>2.91</v>
      </c>
      <c r="W743">
        <v>3.34</v>
      </c>
      <c r="X743">
        <v>5.9</v>
      </c>
      <c r="Y743">
        <v>7.5</v>
      </c>
      <c r="Z743">
        <v>4</v>
      </c>
      <c r="AA743">
        <f>VALUE(SUBSTITUTE(DACS19___Pfizer’s_Personalised_Medicine_in[[#This Row],[Dose]],"mg",""))</f>
        <v>150</v>
      </c>
      <c r="AB743">
        <f t="shared" si="77"/>
        <v>150</v>
      </c>
      <c r="AC743" t="s">
        <v>75</v>
      </c>
      <c r="AD743">
        <f t="shared" si="78"/>
        <v>1</v>
      </c>
      <c r="AE743">
        <f t="shared" si="79"/>
        <v>1</v>
      </c>
      <c r="AF743" t="e">
        <f t="shared" si="80"/>
        <v>#N/A</v>
      </c>
      <c r="AG743" t="e">
        <f t="shared" si="81"/>
        <v>#N/A</v>
      </c>
      <c r="AH743">
        <f t="shared" si="82"/>
        <v>3.34</v>
      </c>
      <c r="AI743" t="e">
        <f t="shared" si="83"/>
        <v>#N/A</v>
      </c>
    </row>
    <row r="744" spans="1:35" x14ac:dyDescent="0.45">
      <c r="A744" t="s">
        <v>2143</v>
      </c>
      <c r="B744">
        <v>38</v>
      </c>
      <c r="C744" t="s">
        <v>27</v>
      </c>
      <c r="D744" t="s">
        <v>87</v>
      </c>
      <c r="E744" t="s">
        <v>2614</v>
      </c>
      <c r="F744" t="s">
        <v>2614</v>
      </c>
      <c r="G744" t="s">
        <v>152</v>
      </c>
      <c r="H744" t="s">
        <v>71</v>
      </c>
      <c r="I744" t="s">
        <v>33</v>
      </c>
      <c r="J744" t="s">
        <v>2144</v>
      </c>
      <c r="K744" t="s">
        <v>2145</v>
      </c>
      <c r="L744" t="s">
        <v>64</v>
      </c>
      <c r="M744" t="s">
        <v>2654</v>
      </c>
      <c r="N744" t="s">
        <v>962</v>
      </c>
      <c r="O744" t="s">
        <v>64</v>
      </c>
      <c r="P744" t="s">
        <v>110</v>
      </c>
      <c r="Q744" t="s">
        <v>75</v>
      </c>
      <c r="R744">
        <v>161</v>
      </c>
      <c r="S744">
        <v>0</v>
      </c>
      <c r="T744" t="s">
        <v>85</v>
      </c>
      <c r="U744" t="s">
        <v>42</v>
      </c>
      <c r="V744">
        <v>1.42</v>
      </c>
      <c r="W744">
        <v>3.34</v>
      </c>
      <c r="X744">
        <v>5.9</v>
      </c>
      <c r="Y744">
        <v>10.199999999999999</v>
      </c>
      <c r="Z744">
        <v>13.8</v>
      </c>
      <c r="AA744">
        <f>VALUE(SUBSTITUTE(DACS19___Pfizer’s_Personalised_Medicine_in[[#This Row],[Dose]],"mg",""))</f>
        <v>150</v>
      </c>
      <c r="AB744">
        <f t="shared" si="77"/>
        <v>150</v>
      </c>
      <c r="AC744" t="s">
        <v>75</v>
      </c>
      <c r="AD744">
        <f t="shared" si="78"/>
        <v>1</v>
      </c>
      <c r="AE744">
        <f t="shared" si="79"/>
        <v>1</v>
      </c>
      <c r="AF744" t="e">
        <f t="shared" si="80"/>
        <v>#N/A</v>
      </c>
      <c r="AG744">
        <f t="shared" si="81"/>
        <v>3.34</v>
      </c>
      <c r="AH744" t="e">
        <f t="shared" si="82"/>
        <v>#N/A</v>
      </c>
      <c r="AI744" t="e">
        <f t="shared" si="83"/>
        <v>#N/A</v>
      </c>
    </row>
    <row r="745" spans="1:35" x14ac:dyDescent="0.45">
      <c r="A745" t="s">
        <v>2146</v>
      </c>
      <c r="B745">
        <v>28</v>
      </c>
      <c r="C745" t="s">
        <v>44</v>
      </c>
      <c r="D745" t="s">
        <v>28</v>
      </c>
      <c r="E745" t="s">
        <v>78</v>
      </c>
      <c r="F745" t="s">
        <v>2614</v>
      </c>
      <c r="G745" t="s">
        <v>246</v>
      </c>
      <c r="H745" t="s">
        <v>81</v>
      </c>
      <c r="I745" t="s">
        <v>49</v>
      </c>
      <c r="J745" t="s">
        <v>2147</v>
      </c>
      <c r="K745" t="s">
        <v>707</v>
      </c>
      <c r="L745" t="s">
        <v>52</v>
      </c>
      <c r="M745" t="s">
        <v>1398</v>
      </c>
      <c r="N745" t="s">
        <v>192</v>
      </c>
      <c r="O745" t="s">
        <v>52</v>
      </c>
      <c r="P745" t="s">
        <v>39</v>
      </c>
      <c r="Q745" t="s">
        <v>75</v>
      </c>
      <c r="R745">
        <v>77</v>
      </c>
      <c r="S745">
        <v>1</v>
      </c>
      <c r="T745" t="s">
        <v>123</v>
      </c>
      <c r="U745" t="s">
        <v>57</v>
      </c>
      <c r="V745">
        <v>4.28</v>
      </c>
      <c r="W745">
        <v>1.17</v>
      </c>
      <c r="X745">
        <v>5.5</v>
      </c>
      <c r="Y745">
        <v>18.399999999999999</v>
      </c>
      <c r="Z745">
        <v>7.3</v>
      </c>
      <c r="AA745">
        <f>VALUE(SUBSTITUTE(DACS19___Pfizer’s_Personalised_Medicine_in[[#This Row],[Dose]],"mg",""))</f>
        <v>100</v>
      </c>
      <c r="AB745">
        <f t="shared" si="77"/>
        <v>100</v>
      </c>
      <c r="AC745" t="s">
        <v>75</v>
      </c>
      <c r="AD745">
        <f t="shared" si="78"/>
        <v>1</v>
      </c>
      <c r="AE745">
        <f t="shared" si="79"/>
        <v>3</v>
      </c>
      <c r="AF745" t="e">
        <f t="shared" si="80"/>
        <v>#N/A</v>
      </c>
      <c r="AG745" t="e">
        <f t="shared" si="81"/>
        <v>#N/A</v>
      </c>
      <c r="AH745" t="e">
        <f t="shared" si="82"/>
        <v>#N/A</v>
      </c>
      <c r="AI745">
        <f t="shared" si="83"/>
        <v>1.17</v>
      </c>
    </row>
    <row r="746" spans="1:35" x14ac:dyDescent="0.45">
      <c r="A746" t="s">
        <v>2148</v>
      </c>
      <c r="B746">
        <v>53</v>
      </c>
      <c r="C746" t="s">
        <v>44</v>
      </c>
      <c r="D746" t="s">
        <v>87</v>
      </c>
      <c r="E746" t="s">
        <v>29</v>
      </c>
      <c r="F746" t="s">
        <v>47</v>
      </c>
      <c r="G746" t="s">
        <v>70</v>
      </c>
      <c r="H746" t="s">
        <v>81</v>
      </c>
      <c r="I746" t="s">
        <v>33</v>
      </c>
      <c r="J746" t="s">
        <v>127</v>
      </c>
      <c r="K746" t="s">
        <v>430</v>
      </c>
      <c r="L746" t="s">
        <v>36</v>
      </c>
      <c r="M746" t="s">
        <v>676</v>
      </c>
      <c r="N746" t="s">
        <v>358</v>
      </c>
      <c r="O746" t="s">
        <v>36</v>
      </c>
      <c r="P746" t="s">
        <v>110</v>
      </c>
      <c r="Q746" t="s">
        <v>75</v>
      </c>
      <c r="R746">
        <v>80</v>
      </c>
      <c r="S746">
        <v>0</v>
      </c>
      <c r="T746" t="s">
        <v>56</v>
      </c>
      <c r="U746" t="s">
        <v>42</v>
      </c>
      <c r="V746">
        <v>2.23</v>
      </c>
      <c r="W746">
        <v>3.45</v>
      </c>
      <c r="X746">
        <v>9.1</v>
      </c>
      <c r="Y746">
        <v>20.6</v>
      </c>
      <c r="Z746">
        <v>12.9</v>
      </c>
      <c r="AA746">
        <f>VALUE(SUBSTITUTE(DACS19___Pfizer’s_Personalised_Medicine_in[[#This Row],[Dose]],"mg",""))</f>
        <v>200</v>
      </c>
      <c r="AB746">
        <f t="shared" si="77"/>
        <v>200</v>
      </c>
      <c r="AC746" t="s">
        <v>75</v>
      </c>
      <c r="AD746">
        <f t="shared" si="78"/>
        <v>1</v>
      </c>
      <c r="AE746">
        <f t="shared" si="79"/>
        <v>1</v>
      </c>
      <c r="AF746" t="e">
        <f t="shared" si="80"/>
        <v>#N/A</v>
      </c>
      <c r="AG746" t="e">
        <f t="shared" si="81"/>
        <v>#N/A</v>
      </c>
      <c r="AH746" t="e">
        <f t="shared" si="82"/>
        <v>#N/A</v>
      </c>
      <c r="AI746">
        <f t="shared" si="83"/>
        <v>3.45</v>
      </c>
    </row>
    <row r="747" spans="1:35" x14ac:dyDescent="0.45">
      <c r="A747" t="s">
        <v>2149</v>
      </c>
      <c r="B747">
        <v>58</v>
      </c>
      <c r="C747" t="s">
        <v>45</v>
      </c>
      <c r="D747" t="s">
        <v>45</v>
      </c>
      <c r="E747" t="s">
        <v>163</v>
      </c>
      <c r="F747" t="s">
        <v>79</v>
      </c>
      <c r="G747" t="s">
        <v>60</v>
      </c>
      <c r="H747" t="s">
        <v>32</v>
      </c>
      <c r="I747" t="s">
        <v>49</v>
      </c>
      <c r="J747" t="s">
        <v>1892</v>
      </c>
      <c r="K747" t="s">
        <v>2150</v>
      </c>
      <c r="L747" t="s">
        <v>36</v>
      </c>
      <c r="M747" t="s">
        <v>2625</v>
      </c>
      <c r="N747" t="s">
        <v>501</v>
      </c>
      <c r="O747" t="s">
        <v>36</v>
      </c>
      <c r="P747" t="s">
        <v>55</v>
      </c>
      <c r="Q747" t="s">
        <v>75</v>
      </c>
      <c r="R747">
        <v>39</v>
      </c>
      <c r="S747">
        <v>0</v>
      </c>
      <c r="T747" t="s">
        <v>123</v>
      </c>
      <c r="U747" t="s">
        <v>42</v>
      </c>
      <c r="V747">
        <v>3.92</v>
      </c>
      <c r="W747">
        <v>2.46</v>
      </c>
      <c r="X747">
        <v>6.8</v>
      </c>
      <c r="Y747">
        <v>14.4</v>
      </c>
      <c r="Z747">
        <v>6.2</v>
      </c>
      <c r="AA747">
        <f>VALUE(SUBSTITUTE(DACS19___Pfizer’s_Personalised_Medicine_in[[#This Row],[Dose]],"mg",""))</f>
        <v>200</v>
      </c>
      <c r="AB747">
        <f t="shared" si="77"/>
        <v>200</v>
      </c>
      <c r="AC747" t="s">
        <v>75</v>
      </c>
      <c r="AD747">
        <f t="shared" si="78"/>
        <v>1</v>
      </c>
      <c r="AE747">
        <f t="shared" si="79"/>
        <v>2</v>
      </c>
      <c r="AF747" t="e">
        <f t="shared" si="80"/>
        <v>#N/A</v>
      </c>
      <c r="AG747" t="e">
        <f t="shared" si="81"/>
        <v>#N/A</v>
      </c>
      <c r="AH747">
        <f t="shared" si="82"/>
        <v>2.46</v>
      </c>
      <c r="AI747" t="e">
        <f t="shared" si="83"/>
        <v>#N/A</v>
      </c>
    </row>
    <row r="748" spans="1:35" x14ac:dyDescent="0.45">
      <c r="A748" t="s">
        <v>2151</v>
      </c>
      <c r="B748">
        <v>39</v>
      </c>
      <c r="C748" t="s">
        <v>44</v>
      </c>
      <c r="D748" t="s">
        <v>45</v>
      </c>
      <c r="E748" t="s">
        <v>46</v>
      </c>
      <c r="F748" t="s">
        <v>2614</v>
      </c>
      <c r="G748" t="s">
        <v>31</v>
      </c>
      <c r="H748" t="s">
        <v>32</v>
      </c>
      <c r="I748" t="s">
        <v>132</v>
      </c>
      <c r="J748" t="s">
        <v>2099</v>
      </c>
      <c r="K748" t="s">
        <v>2152</v>
      </c>
      <c r="L748" t="s">
        <v>36</v>
      </c>
      <c r="M748" t="s">
        <v>676</v>
      </c>
      <c r="N748" t="s">
        <v>1552</v>
      </c>
      <c r="O748" t="s">
        <v>36</v>
      </c>
      <c r="P748" t="s">
        <v>110</v>
      </c>
      <c r="Q748" t="s">
        <v>2614</v>
      </c>
      <c r="R748">
        <v>77</v>
      </c>
      <c r="S748">
        <v>0</v>
      </c>
      <c r="T748" t="s">
        <v>41</v>
      </c>
      <c r="U748" t="s">
        <v>42</v>
      </c>
      <c r="V748">
        <v>3.81</v>
      </c>
      <c r="W748">
        <v>3.23</v>
      </c>
      <c r="X748">
        <v>4.2</v>
      </c>
      <c r="Y748">
        <v>22.4</v>
      </c>
      <c r="Z748">
        <v>3.4</v>
      </c>
      <c r="AA748">
        <f>VALUE(SUBSTITUTE(DACS19___Pfizer’s_Personalised_Medicine_in[[#This Row],[Dose]],"mg",""))</f>
        <v>200</v>
      </c>
      <c r="AB748">
        <f t="shared" si="77"/>
        <v>200</v>
      </c>
      <c r="AC748" t="s">
        <v>2614</v>
      </c>
      <c r="AD748">
        <f t="shared" si="78"/>
        <v>0</v>
      </c>
      <c r="AE748">
        <f t="shared" si="79"/>
        <v>1</v>
      </c>
      <c r="AF748" t="e">
        <f t="shared" si="80"/>
        <v>#N/A</v>
      </c>
      <c r="AG748" t="e">
        <f t="shared" si="81"/>
        <v>#N/A</v>
      </c>
      <c r="AH748">
        <f t="shared" si="82"/>
        <v>3.23</v>
      </c>
      <c r="AI748" t="e">
        <f t="shared" si="83"/>
        <v>#N/A</v>
      </c>
    </row>
    <row r="749" spans="1:35" x14ac:dyDescent="0.45">
      <c r="A749" t="s">
        <v>2153</v>
      </c>
      <c r="B749">
        <v>52</v>
      </c>
      <c r="C749" t="s">
        <v>44</v>
      </c>
      <c r="D749" t="s">
        <v>106</v>
      </c>
      <c r="E749" t="s">
        <v>46</v>
      </c>
      <c r="F749" t="s">
        <v>2614</v>
      </c>
      <c r="G749" t="s">
        <v>80</v>
      </c>
      <c r="H749" t="s">
        <v>61</v>
      </c>
      <c r="I749" t="s">
        <v>132</v>
      </c>
      <c r="J749" t="s">
        <v>2154</v>
      </c>
      <c r="K749" t="s">
        <v>461</v>
      </c>
      <c r="L749" t="s">
        <v>64</v>
      </c>
      <c r="M749" t="s">
        <v>75</v>
      </c>
      <c r="N749" t="s">
        <v>136</v>
      </c>
      <c r="O749" t="s">
        <v>64</v>
      </c>
      <c r="P749" t="s">
        <v>55</v>
      </c>
      <c r="Q749" t="s">
        <v>40</v>
      </c>
      <c r="R749">
        <v>75</v>
      </c>
      <c r="S749">
        <v>0</v>
      </c>
      <c r="T749" t="s">
        <v>137</v>
      </c>
      <c r="U749" t="s">
        <v>57</v>
      </c>
      <c r="V749">
        <v>2.2599999999999998</v>
      </c>
      <c r="W749">
        <v>1.23</v>
      </c>
      <c r="X749">
        <v>7.9</v>
      </c>
      <c r="Y749">
        <v>18.600000000000001</v>
      </c>
      <c r="Z749">
        <v>8.6</v>
      </c>
      <c r="AA749">
        <f>VALUE(SUBSTITUTE(DACS19___Pfizer’s_Personalised_Medicine_in[[#This Row],[Dose]],"mg",""))</f>
        <v>150</v>
      </c>
      <c r="AB749">
        <f t="shared" si="77"/>
        <v>150</v>
      </c>
      <c r="AC749" t="s">
        <v>40</v>
      </c>
      <c r="AD749">
        <f t="shared" si="78"/>
        <v>3</v>
      </c>
      <c r="AE749">
        <f t="shared" si="79"/>
        <v>2</v>
      </c>
      <c r="AF749">
        <f t="shared" si="80"/>
        <v>1.23</v>
      </c>
      <c r="AG749" t="e">
        <f t="shared" si="81"/>
        <v>#N/A</v>
      </c>
      <c r="AH749" t="e">
        <f t="shared" si="82"/>
        <v>#N/A</v>
      </c>
      <c r="AI749" t="e">
        <f t="shared" si="83"/>
        <v>#N/A</v>
      </c>
    </row>
    <row r="750" spans="1:35" x14ac:dyDescent="0.45">
      <c r="A750" t="s">
        <v>2155</v>
      </c>
      <c r="B750">
        <v>39</v>
      </c>
      <c r="C750" t="s">
        <v>45</v>
      </c>
      <c r="D750" t="s">
        <v>106</v>
      </c>
      <c r="E750" t="s">
        <v>78</v>
      </c>
      <c r="F750" t="s">
        <v>2614</v>
      </c>
      <c r="G750" t="s">
        <v>60</v>
      </c>
      <c r="H750" t="s">
        <v>71</v>
      </c>
      <c r="I750" t="s">
        <v>132</v>
      </c>
      <c r="J750" t="s">
        <v>159</v>
      </c>
      <c r="K750" t="s">
        <v>2156</v>
      </c>
      <c r="L750" t="s">
        <v>64</v>
      </c>
      <c r="M750" t="s">
        <v>67</v>
      </c>
      <c r="N750" t="s">
        <v>759</v>
      </c>
      <c r="O750" t="s">
        <v>64</v>
      </c>
      <c r="P750" t="s">
        <v>39</v>
      </c>
      <c r="Q750" t="s">
        <v>75</v>
      </c>
      <c r="R750">
        <v>130</v>
      </c>
      <c r="S750">
        <v>1</v>
      </c>
      <c r="T750" t="s">
        <v>137</v>
      </c>
      <c r="U750" t="s">
        <v>57</v>
      </c>
      <c r="V750">
        <v>3.7</v>
      </c>
      <c r="W750">
        <v>2.58</v>
      </c>
      <c r="X750">
        <v>7.8</v>
      </c>
      <c r="Y750">
        <v>14.2</v>
      </c>
      <c r="Z750">
        <v>10</v>
      </c>
      <c r="AA750">
        <f>VALUE(SUBSTITUTE(DACS19___Pfizer’s_Personalised_Medicine_in[[#This Row],[Dose]],"mg",""))</f>
        <v>150</v>
      </c>
      <c r="AB750">
        <f t="shared" si="77"/>
        <v>150</v>
      </c>
      <c r="AC750" t="s">
        <v>75</v>
      </c>
      <c r="AD750">
        <f t="shared" si="78"/>
        <v>1</v>
      </c>
      <c r="AE750">
        <f t="shared" si="79"/>
        <v>3</v>
      </c>
      <c r="AF750" t="e">
        <f t="shared" si="80"/>
        <v>#N/A</v>
      </c>
      <c r="AG750">
        <f t="shared" si="81"/>
        <v>2.58</v>
      </c>
      <c r="AH750" t="e">
        <f t="shared" si="82"/>
        <v>#N/A</v>
      </c>
      <c r="AI750" t="e">
        <f t="shared" si="83"/>
        <v>#N/A</v>
      </c>
    </row>
    <row r="751" spans="1:35" x14ac:dyDescent="0.45">
      <c r="A751" t="s">
        <v>2157</v>
      </c>
      <c r="B751">
        <v>21</v>
      </c>
      <c r="C751" t="s">
        <v>45</v>
      </c>
      <c r="D751" t="s">
        <v>95</v>
      </c>
      <c r="E751" t="s">
        <v>29</v>
      </c>
      <c r="F751" t="s">
        <v>47</v>
      </c>
      <c r="G751" t="s">
        <v>178</v>
      </c>
      <c r="H751" t="s">
        <v>32</v>
      </c>
      <c r="I751" t="s">
        <v>49</v>
      </c>
      <c r="J751" t="s">
        <v>1234</v>
      </c>
      <c r="K751" t="s">
        <v>2158</v>
      </c>
      <c r="L751" t="s">
        <v>64</v>
      </c>
      <c r="M751" t="s">
        <v>37</v>
      </c>
      <c r="N751" t="s">
        <v>537</v>
      </c>
      <c r="O751" t="s">
        <v>64</v>
      </c>
      <c r="P751" t="s">
        <v>55</v>
      </c>
      <c r="Q751" t="s">
        <v>75</v>
      </c>
      <c r="R751">
        <v>60</v>
      </c>
      <c r="S751">
        <v>0</v>
      </c>
      <c r="T751" t="s">
        <v>85</v>
      </c>
      <c r="U751" t="s">
        <v>42</v>
      </c>
      <c r="V751">
        <v>4.74</v>
      </c>
      <c r="W751">
        <v>2</v>
      </c>
      <c r="X751">
        <v>2.1</v>
      </c>
      <c r="Y751">
        <v>16.5</v>
      </c>
      <c r="Z751">
        <v>19.5</v>
      </c>
      <c r="AA751">
        <f>VALUE(SUBSTITUTE(DACS19___Pfizer’s_Personalised_Medicine_in[[#This Row],[Dose]],"mg",""))</f>
        <v>150</v>
      </c>
      <c r="AB751">
        <f t="shared" si="77"/>
        <v>150</v>
      </c>
      <c r="AC751" t="s">
        <v>75</v>
      </c>
      <c r="AD751">
        <f t="shared" si="78"/>
        <v>1</v>
      </c>
      <c r="AE751">
        <f t="shared" si="79"/>
        <v>2</v>
      </c>
      <c r="AF751" t="e">
        <f t="shared" si="80"/>
        <v>#N/A</v>
      </c>
      <c r="AG751" t="e">
        <f t="shared" si="81"/>
        <v>#N/A</v>
      </c>
      <c r="AH751">
        <f t="shared" si="82"/>
        <v>2</v>
      </c>
      <c r="AI751" t="e">
        <f t="shared" si="83"/>
        <v>#N/A</v>
      </c>
    </row>
    <row r="752" spans="1:35" x14ac:dyDescent="0.45">
      <c r="A752" t="s">
        <v>2159</v>
      </c>
      <c r="B752">
        <v>32</v>
      </c>
      <c r="C752" t="s">
        <v>44</v>
      </c>
      <c r="D752" t="s">
        <v>45</v>
      </c>
      <c r="E752" t="s">
        <v>78</v>
      </c>
      <c r="F752" t="s">
        <v>79</v>
      </c>
      <c r="G752" t="s">
        <v>246</v>
      </c>
      <c r="H752" t="s">
        <v>32</v>
      </c>
      <c r="I752" t="s">
        <v>72</v>
      </c>
      <c r="J752" t="s">
        <v>2160</v>
      </c>
      <c r="K752" t="s">
        <v>1361</v>
      </c>
      <c r="L752" t="s">
        <v>52</v>
      </c>
      <c r="M752" t="s">
        <v>2639</v>
      </c>
      <c r="N752" t="s">
        <v>222</v>
      </c>
      <c r="O752" t="s">
        <v>52</v>
      </c>
      <c r="P752" t="s">
        <v>55</v>
      </c>
      <c r="Q752" t="s">
        <v>40</v>
      </c>
      <c r="R752">
        <v>57</v>
      </c>
      <c r="S752">
        <v>0</v>
      </c>
      <c r="T752" t="s">
        <v>137</v>
      </c>
      <c r="U752" t="s">
        <v>57</v>
      </c>
      <c r="V752">
        <v>2.5099999999999998</v>
      </c>
      <c r="W752">
        <v>1.25</v>
      </c>
      <c r="X752">
        <v>4.0999999999999996</v>
      </c>
      <c r="Y752">
        <v>15.1</v>
      </c>
      <c r="Z752">
        <v>5.8</v>
      </c>
      <c r="AA752">
        <f>VALUE(SUBSTITUTE(DACS19___Pfizer’s_Personalised_Medicine_in[[#This Row],[Dose]],"mg",""))</f>
        <v>100</v>
      </c>
      <c r="AB752">
        <f t="shared" si="77"/>
        <v>100</v>
      </c>
      <c r="AC752" t="s">
        <v>40</v>
      </c>
      <c r="AD752">
        <f t="shared" si="78"/>
        <v>3</v>
      </c>
      <c r="AE752">
        <f t="shared" si="79"/>
        <v>2</v>
      </c>
      <c r="AF752" t="e">
        <f t="shared" si="80"/>
        <v>#N/A</v>
      </c>
      <c r="AG752" t="e">
        <f t="shared" si="81"/>
        <v>#N/A</v>
      </c>
      <c r="AH752">
        <f t="shared" si="82"/>
        <v>1.25</v>
      </c>
      <c r="AI752" t="e">
        <f t="shared" si="83"/>
        <v>#N/A</v>
      </c>
    </row>
    <row r="753" spans="1:35" x14ac:dyDescent="0.45">
      <c r="A753" t="s">
        <v>2161</v>
      </c>
      <c r="B753">
        <v>43</v>
      </c>
      <c r="C753" t="s">
        <v>27</v>
      </c>
      <c r="D753" t="s">
        <v>106</v>
      </c>
      <c r="E753" t="s">
        <v>46</v>
      </c>
      <c r="F753" t="s">
        <v>79</v>
      </c>
      <c r="G753" t="s">
        <v>48</v>
      </c>
      <c r="H753" t="s">
        <v>81</v>
      </c>
      <c r="I753" t="s">
        <v>49</v>
      </c>
      <c r="J753" t="s">
        <v>561</v>
      </c>
      <c r="K753" t="s">
        <v>210</v>
      </c>
      <c r="L753" t="s">
        <v>92</v>
      </c>
      <c r="M753" t="s">
        <v>75</v>
      </c>
      <c r="N753" t="s">
        <v>1025</v>
      </c>
      <c r="O753" t="s">
        <v>92</v>
      </c>
      <c r="P753" t="s">
        <v>39</v>
      </c>
      <c r="Q753" t="s">
        <v>129</v>
      </c>
      <c r="R753">
        <v>102</v>
      </c>
      <c r="S753">
        <v>1</v>
      </c>
      <c r="T753" t="s">
        <v>123</v>
      </c>
      <c r="U753" t="s">
        <v>42</v>
      </c>
      <c r="V753">
        <v>3.63</v>
      </c>
      <c r="W753">
        <v>4.99</v>
      </c>
      <c r="X753">
        <v>5.0999999999999996</v>
      </c>
      <c r="Y753">
        <v>12.4</v>
      </c>
      <c r="Z753">
        <v>9.8000000000000007</v>
      </c>
      <c r="AA753">
        <f>VALUE(SUBSTITUTE(DACS19___Pfizer’s_Personalised_Medicine_in[[#This Row],[Dose]],"mg",""))</f>
        <v>50</v>
      </c>
      <c r="AB753">
        <f t="shared" si="77"/>
        <v>50</v>
      </c>
      <c r="AC753" t="s">
        <v>129</v>
      </c>
      <c r="AD753">
        <f t="shared" si="78"/>
        <v>4</v>
      </c>
      <c r="AE753">
        <f t="shared" si="79"/>
        <v>3</v>
      </c>
      <c r="AF753" t="e">
        <f t="shared" si="80"/>
        <v>#N/A</v>
      </c>
      <c r="AG753" t="e">
        <f t="shared" si="81"/>
        <v>#N/A</v>
      </c>
      <c r="AH753" t="e">
        <f t="shared" si="82"/>
        <v>#N/A</v>
      </c>
      <c r="AI753">
        <f t="shared" si="83"/>
        <v>4.99</v>
      </c>
    </row>
    <row r="754" spans="1:35" x14ac:dyDescent="0.45">
      <c r="A754" t="s">
        <v>2162</v>
      </c>
      <c r="B754">
        <v>63</v>
      </c>
      <c r="C754" t="s">
        <v>27</v>
      </c>
      <c r="D754" t="s">
        <v>95</v>
      </c>
      <c r="E754" t="s">
        <v>78</v>
      </c>
      <c r="F754" t="s">
        <v>2614</v>
      </c>
      <c r="G754" t="s">
        <v>102</v>
      </c>
      <c r="H754" t="s">
        <v>81</v>
      </c>
      <c r="I754" t="s">
        <v>49</v>
      </c>
      <c r="J754" t="s">
        <v>2163</v>
      </c>
      <c r="K754" t="s">
        <v>2164</v>
      </c>
      <c r="L754" t="s">
        <v>36</v>
      </c>
      <c r="M754" t="s">
        <v>2614</v>
      </c>
      <c r="N754" t="s">
        <v>188</v>
      </c>
      <c r="O754" t="s">
        <v>36</v>
      </c>
      <c r="P754" t="s">
        <v>39</v>
      </c>
      <c r="Q754" t="s">
        <v>67</v>
      </c>
      <c r="R754">
        <v>161</v>
      </c>
      <c r="S754">
        <v>1</v>
      </c>
      <c r="T754" t="s">
        <v>85</v>
      </c>
      <c r="U754" t="s">
        <v>57</v>
      </c>
      <c r="V754">
        <v>1.46</v>
      </c>
      <c r="W754">
        <v>4.53</v>
      </c>
      <c r="X754">
        <v>4.7</v>
      </c>
      <c r="Y754">
        <v>13</v>
      </c>
      <c r="Z754">
        <v>14.2</v>
      </c>
      <c r="AA754">
        <f>VALUE(SUBSTITUTE(DACS19___Pfizer’s_Personalised_Medicine_in[[#This Row],[Dose]],"mg",""))</f>
        <v>200</v>
      </c>
      <c r="AB754">
        <f t="shared" si="77"/>
        <v>200</v>
      </c>
      <c r="AC754" t="s">
        <v>67</v>
      </c>
      <c r="AD754">
        <f t="shared" si="78"/>
        <v>2</v>
      </c>
      <c r="AE754">
        <f t="shared" si="79"/>
        <v>3</v>
      </c>
      <c r="AF754" t="e">
        <f t="shared" si="80"/>
        <v>#N/A</v>
      </c>
      <c r="AG754" t="e">
        <f t="shared" si="81"/>
        <v>#N/A</v>
      </c>
      <c r="AH754" t="e">
        <f t="shared" si="82"/>
        <v>#N/A</v>
      </c>
      <c r="AI754">
        <f t="shared" si="83"/>
        <v>4.53</v>
      </c>
    </row>
    <row r="755" spans="1:35" x14ac:dyDescent="0.45">
      <c r="A755" t="s">
        <v>2165</v>
      </c>
      <c r="B755">
        <v>69</v>
      </c>
      <c r="C755" t="s">
        <v>27</v>
      </c>
      <c r="D755" t="s">
        <v>106</v>
      </c>
      <c r="E755" t="s">
        <v>2614</v>
      </c>
      <c r="F755" t="s">
        <v>2614</v>
      </c>
      <c r="G755" t="s">
        <v>48</v>
      </c>
      <c r="H755" t="s">
        <v>81</v>
      </c>
      <c r="I755" t="s">
        <v>49</v>
      </c>
      <c r="J755" t="s">
        <v>1652</v>
      </c>
      <c r="K755" t="s">
        <v>2166</v>
      </c>
      <c r="L755" t="s">
        <v>36</v>
      </c>
      <c r="M755" t="s">
        <v>2620</v>
      </c>
      <c r="N755" t="s">
        <v>2167</v>
      </c>
      <c r="O755" t="s">
        <v>36</v>
      </c>
      <c r="P755" t="s">
        <v>39</v>
      </c>
      <c r="Q755" t="s">
        <v>40</v>
      </c>
      <c r="R755">
        <v>116</v>
      </c>
      <c r="S755">
        <v>1</v>
      </c>
      <c r="T755" t="s">
        <v>85</v>
      </c>
      <c r="U755" t="s">
        <v>57</v>
      </c>
      <c r="V755">
        <v>2.77</v>
      </c>
      <c r="W755">
        <v>3.59</v>
      </c>
      <c r="X755">
        <v>1.6</v>
      </c>
      <c r="Y755">
        <v>20.6</v>
      </c>
      <c r="Z755">
        <v>19</v>
      </c>
      <c r="AA755">
        <f>VALUE(SUBSTITUTE(DACS19___Pfizer’s_Personalised_Medicine_in[[#This Row],[Dose]],"mg",""))</f>
        <v>200</v>
      </c>
      <c r="AB755">
        <f t="shared" si="77"/>
        <v>200</v>
      </c>
      <c r="AC755" t="s">
        <v>40</v>
      </c>
      <c r="AD755">
        <f t="shared" si="78"/>
        <v>3</v>
      </c>
      <c r="AE755">
        <f t="shared" si="79"/>
        <v>3</v>
      </c>
      <c r="AF755" t="e">
        <f t="shared" si="80"/>
        <v>#N/A</v>
      </c>
      <c r="AG755" t="e">
        <f t="shared" si="81"/>
        <v>#N/A</v>
      </c>
      <c r="AH755" t="e">
        <f t="shared" si="82"/>
        <v>#N/A</v>
      </c>
      <c r="AI755">
        <f t="shared" si="83"/>
        <v>3.59</v>
      </c>
    </row>
    <row r="756" spans="1:35" x14ac:dyDescent="0.45">
      <c r="A756" t="s">
        <v>2168</v>
      </c>
      <c r="B756">
        <v>53</v>
      </c>
      <c r="C756" t="s">
        <v>45</v>
      </c>
      <c r="D756" t="s">
        <v>28</v>
      </c>
      <c r="E756" t="s">
        <v>29</v>
      </c>
      <c r="F756" t="s">
        <v>59</v>
      </c>
      <c r="G756" t="s">
        <v>31</v>
      </c>
      <c r="H756" t="s">
        <v>32</v>
      </c>
      <c r="I756" t="s">
        <v>72</v>
      </c>
      <c r="J756" t="s">
        <v>2169</v>
      </c>
      <c r="K756" t="s">
        <v>2170</v>
      </c>
      <c r="L756" t="s">
        <v>92</v>
      </c>
      <c r="M756" t="s">
        <v>40</v>
      </c>
      <c r="N756" t="s">
        <v>1062</v>
      </c>
      <c r="O756" t="s">
        <v>92</v>
      </c>
      <c r="P756" t="s">
        <v>39</v>
      </c>
      <c r="Q756" t="s">
        <v>67</v>
      </c>
      <c r="R756">
        <v>31</v>
      </c>
      <c r="S756">
        <v>1</v>
      </c>
      <c r="T756" t="s">
        <v>123</v>
      </c>
      <c r="U756" t="s">
        <v>42</v>
      </c>
      <c r="V756">
        <v>3.6</v>
      </c>
      <c r="W756">
        <v>4.82</v>
      </c>
      <c r="X756">
        <v>2.4</v>
      </c>
      <c r="Y756">
        <v>14.6</v>
      </c>
      <c r="Z756">
        <v>13.2</v>
      </c>
      <c r="AA756">
        <f>VALUE(SUBSTITUTE(DACS19___Pfizer’s_Personalised_Medicine_in[[#This Row],[Dose]],"mg",""))</f>
        <v>50</v>
      </c>
      <c r="AB756">
        <f t="shared" si="77"/>
        <v>50</v>
      </c>
      <c r="AC756" t="s">
        <v>67</v>
      </c>
      <c r="AD756">
        <f t="shared" si="78"/>
        <v>2</v>
      </c>
      <c r="AE756">
        <f t="shared" si="79"/>
        <v>3</v>
      </c>
      <c r="AF756" t="e">
        <f t="shared" si="80"/>
        <v>#N/A</v>
      </c>
      <c r="AG756" t="e">
        <f t="shared" si="81"/>
        <v>#N/A</v>
      </c>
      <c r="AH756">
        <f t="shared" si="82"/>
        <v>4.82</v>
      </c>
      <c r="AI756" t="e">
        <f t="shared" si="83"/>
        <v>#N/A</v>
      </c>
    </row>
    <row r="757" spans="1:35" x14ac:dyDescent="0.45">
      <c r="A757" t="s">
        <v>2171</v>
      </c>
      <c r="B757">
        <v>37</v>
      </c>
      <c r="C757" t="s">
        <v>44</v>
      </c>
      <c r="D757" t="s">
        <v>28</v>
      </c>
      <c r="E757" t="s">
        <v>46</v>
      </c>
      <c r="F757" t="s">
        <v>2614</v>
      </c>
      <c r="G757" t="s">
        <v>60</v>
      </c>
      <c r="H757" t="s">
        <v>61</v>
      </c>
      <c r="I757" t="s">
        <v>72</v>
      </c>
      <c r="J757" t="s">
        <v>2172</v>
      </c>
      <c r="K757" t="s">
        <v>771</v>
      </c>
      <c r="L757" t="s">
        <v>64</v>
      </c>
      <c r="M757" t="s">
        <v>274</v>
      </c>
      <c r="N757" t="s">
        <v>54</v>
      </c>
      <c r="O757" t="s">
        <v>64</v>
      </c>
      <c r="P757" t="s">
        <v>55</v>
      </c>
      <c r="Q757" t="s">
        <v>2614</v>
      </c>
      <c r="R757">
        <v>153</v>
      </c>
      <c r="S757">
        <v>0</v>
      </c>
      <c r="T757" t="s">
        <v>123</v>
      </c>
      <c r="U757" t="s">
        <v>42</v>
      </c>
      <c r="V757">
        <v>3.33</v>
      </c>
      <c r="W757">
        <v>2.61</v>
      </c>
      <c r="X757">
        <v>4</v>
      </c>
      <c r="Y757">
        <v>8.3000000000000007</v>
      </c>
      <c r="Z757">
        <v>9.6999999999999993</v>
      </c>
      <c r="AA757">
        <f>VALUE(SUBSTITUTE(DACS19___Pfizer’s_Personalised_Medicine_in[[#This Row],[Dose]],"mg",""))</f>
        <v>150</v>
      </c>
      <c r="AB757">
        <f t="shared" si="77"/>
        <v>150</v>
      </c>
      <c r="AC757" t="s">
        <v>2614</v>
      </c>
      <c r="AD757">
        <f t="shared" si="78"/>
        <v>0</v>
      </c>
      <c r="AE757">
        <f t="shared" si="79"/>
        <v>2</v>
      </c>
      <c r="AF757">
        <f t="shared" si="80"/>
        <v>2.61</v>
      </c>
      <c r="AG757" t="e">
        <f t="shared" si="81"/>
        <v>#N/A</v>
      </c>
      <c r="AH757" t="e">
        <f t="shared" si="82"/>
        <v>#N/A</v>
      </c>
      <c r="AI757" t="e">
        <f t="shared" si="83"/>
        <v>#N/A</v>
      </c>
    </row>
    <row r="758" spans="1:35" x14ac:dyDescent="0.45">
      <c r="A758" t="s">
        <v>2173</v>
      </c>
      <c r="B758">
        <v>72</v>
      </c>
      <c r="C758" t="s">
        <v>45</v>
      </c>
      <c r="D758" t="s">
        <v>106</v>
      </c>
      <c r="E758" t="s">
        <v>163</v>
      </c>
      <c r="F758" t="s">
        <v>59</v>
      </c>
      <c r="G758" t="s">
        <v>246</v>
      </c>
      <c r="H758" t="s">
        <v>81</v>
      </c>
      <c r="I758" t="s">
        <v>33</v>
      </c>
      <c r="J758" t="s">
        <v>2174</v>
      </c>
      <c r="K758" t="s">
        <v>1240</v>
      </c>
      <c r="L758" t="s">
        <v>52</v>
      </c>
      <c r="M758" t="s">
        <v>469</v>
      </c>
      <c r="N758" t="s">
        <v>711</v>
      </c>
      <c r="O758" t="s">
        <v>52</v>
      </c>
      <c r="P758" t="s">
        <v>110</v>
      </c>
      <c r="Q758" t="s">
        <v>40</v>
      </c>
      <c r="R758">
        <v>104</v>
      </c>
      <c r="S758">
        <v>0</v>
      </c>
      <c r="T758" t="s">
        <v>56</v>
      </c>
      <c r="U758" t="s">
        <v>42</v>
      </c>
      <c r="V758">
        <v>1.65</v>
      </c>
      <c r="W758">
        <v>3.94</v>
      </c>
      <c r="X758">
        <v>2.9</v>
      </c>
      <c r="Y758">
        <v>7.1</v>
      </c>
      <c r="Z758">
        <v>12.4</v>
      </c>
      <c r="AA758">
        <f>VALUE(SUBSTITUTE(DACS19___Pfizer’s_Personalised_Medicine_in[[#This Row],[Dose]],"mg",""))</f>
        <v>100</v>
      </c>
      <c r="AB758">
        <f t="shared" si="77"/>
        <v>100</v>
      </c>
      <c r="AC758" t="s">
        <v>40</v>
      </c>
      <c r="AD758">
        <f t="shared" si="78"/>
        <v>3</v>
      </c>
      <c r="AE758">
        <f t="shared" si="79"/>
        <v>1</v>
      </c>
      <c r="AF758" t="e">
        <f t="shared" si="80"/>
        <v>#N/A</v>
      </c>
      <c r="AG758" t="e">
        <f t="shared" si="81"/>
        <v>#N/A</v>
      </c>
      <c r="AH758" t="e">
        <f t="shared" si="82"/>
        <v>#N/A</v>
      </c>
      <c r="AI758">
        <f t="shared" si="83"/>
        <v>3.94</v>
      </c>
    </row>
    <row r="759" spans="1:35" x14ac:dyDescent="0.45">
      <c r="A759" t="s">
        <v>2175</v>
      </c>
      <c r="B759">
        <v>18</v>
      </c>
      <c r="C759" t="s">
        <v>27</v>
      </c>
      <c r="D759" t="s">
        <v>28</v>
      </c>
      <c r="E759" t="s">
        <v>29</v>
      </c>
      <c r="F759" t="s">
        <v>2614</v>
      </c>
      <c r="G759" t="s">
        <v>112</v>
      </c>
      <c r="H759" t="s">
        <v>32</v>
      </c>
      <c r="I759" t="s">
        <v>132</v>
      </c>
      <c r="J759" t="s">
        <v>2176</v>
      </c>
      <c r="K759" t="s">
        <v>666</v>
      </c>
      <c r="L759" t="s">
        <v>52</v>
      </c>
      <c r="M759" t="s">
        <v>2623</v>
      </c>
      <c r="N759" t="s">
        <v>227</v>
      </c>
      <c r="O759" t="s">
        <v>52</v>
      </c>
      <c r="P759" t="s">
        <v>39</v>
      </c>
      <c r="Q759" t="s">
        <v>129</v>
      </c>
      <c r="R759">
        <v>62</v>
      </c>
      <c r="S759">
        <v>1</v>
      </c>
      <c r="T759" t="s">
        <v>41</v>
      </c>
      <c r="U759" t="s">
        <v>42</v>
      </c>
      <c r="V759">
        <v>3.38</v>
      </c>
      <c r="W759">
        <v>4.49</v>
      </c>
      <c r="X759">
        <v>6.2</v>
      </c>
      <c r="Y759">
        <v>12.2</v>
      </c>
      <c r="Z759">
        <v>16.7</v>
      </c>
      <c r="AA759">
        <f>VALUE(SUBSTITUTE(DACS19___Pfizer’s_Personalised_Medicine_in[[#This Row],[Dose]],"mg",""))</f>
        <v>100</v>
      </c>
      <c r="AB759">
        <f t="shared" si="77"/>
        <v>100</v>
      </c>
      <c r="AC759" t="s">
        <v>129</v>
      </c>
      <c r="AD759">
        <f t="shared" si="78"/>
        <v>4</v>
      </c>
      <c r="AE759">
        <f t="shared" si="79"/>
        <v>3</v>
      </c>
      <c r="AF759" t="e">
        <f t="shared" si="80"/>
        <v>#N/A</v>
      </c>
      <c r="AG759" t="e">
        <f t="shared" si="81"/>
        <v>#N/A</v>
      </c>
      <c r="AH759">
        <f t="shared" si="82"/>
        <v>4.49</v>
      </c>
      <c r="AI759" t="e">
        <f t="shared" si="83"/>
        <v>#N/A</v>
      </c>
    </row>
    <row r="760" spans="1:35" x14ac:dyDescent="0.45">
      <c r="A760" t="s">
        <v>2177</v>
      </c>
      <c r="B760">
        <v>18</v>
      </c>
      <c r="C760" t="s">
        <v>45</v>
      </c>
      <c r="D760" t="s">
        <v>28</v>
      </c>
      <c r="E760" t="s">
        <v>29</v>
      </c>
      <c r="F760" t="s">
        <v>47</v>
      </c>
      <c r="G760" t="s">
        <v>164</v>
      </c>
      <c r="H760" t="s">
        <v>61</v>
      </c>
      <c r="I760" t="s">
        <v>72</v>
      </c>
      <c r="J760" t="s">
        <v>2178</v>
      </c>
      <c r="K760" t="s">
        <v>2179</v>
      </c>
      <c r="L760" t="s">
        <v>52</v>
      </c>
      <c r="M760" t="s">
        <v>1526</v>
      </c>
      <c r="N760" t="s">
        <v>513</v>
      </c>
      <c r="O760" t="s">
        <v>52</v>
      </c>
      <c r="P760" t="s">
        <v>110</v>
      </c>
      <c r="Q760" t="s">
        <v>67</v>
      </c>
      <c r="R760">
        <v>150</v>
      </c>
      <c r="S760">
        <v>0</v>
      </c>
      <c r="T760" t="s">
        <v>56</v>
      </c>
      <c r="U760" t="s">
        <v>42</v>
      </c>
      <c r="V760">
        <v>3.16</v>
      </c>
      <c r="W760">
        <v>1.32</v>
      </c>
      <c r="X760">
        <v>6.1</v>
      </c>
      <c r="Y760">
        <v>22.3</v>
      </c>
      <c r="Z760">
        <v>9.6999999999999993</v>
      </c>
      <c r="AA760">
        <f>VALUE(SUBSTITUTE(DACS19___Pfizer’s_Personalised_Medicine_in[[#This Row],[Dose]],"mg",""))</f>
        <v>100</v>
      </c>
      <c r="AB760">
        <f t="shared" si="77"/>
        <v>100</v>
      </c>
      <c r="AC760" t="s">
        <v>67</v>
      </c>
      <c r="AD760">
        <f t="shared" si="78"/>
        <v>2</v>
      </c>
      <c r="AE760">
        <f t="shared" si="79"/>
        <v>1</v>
      </c>
      <c r="AF760">
        <f t="shared" si="80"/>
        <v>1.32</v>
      </c>
      <c r="AG760" t="e">
        <f t="shared" si="81"/>
        <v>#N/A</v>
      </c>
      <c r="AH760" t="e">
        <f t="shared" si="82"/>
        <v>#N/A</v>
      </c>
      <c r="AI760" t="e">
        <f t="shared" si="83"/>
        <v>#N/A</v>
      </c>
    </row>
    <row r="761" spans="1:35" x14ac:dyDescent="0.45">
      <c r="A761" t="s">
        <v>2180</v>
      </c>
      <c r="B761">
        <v>76</v>
      </c>
      <c r="C761" t="s">
        <v>27</v>
      </c>
      <c r="D761" t="s">
        <v>106</v>
      </c>
      <c r="E761" t="s">
        <v>2614</v>
      </c>
      <c r="F761" t="s">
        <v>59</v>
      </c>
      <c r="G761" t="s">
        <v>184</v>
      </c>
      <c r="H761" t="s">
        <v>32</v>
      </c>
      <c r="I761" t="s">
        <v>132</v>
      </c>
      <c r="J761" t="s">
        <v>580</v>
      </c>
      <c r="K761" t="s">
        <v>2181</v>
      </c>
      <c r="L761" t="s">
        <v>92</v>
      </c>
      <c r="M761" t="s">
        <v>37</v>
      </c>
      <c r="N761" t="s">
        <v>1220</v>
      </c>
      <c r="O761" t="s">
        <v>92</v>
      </c>
      <c r="P761" t="s">
        <v>110</v>
      </c>
      <c r="Q761" t="s">
        <v>40</v>
      </c>
      <c r="R761">
        <v>127</v>
      </c>
      <c r="S761">
        <v>0</v>
      </c>
      <c r="T761" t="s">
        <v>85</v>
      </c>
      <c r="U761" t="s">
        <v>42</v>
      </c>
      <c r="V761">
        <v>2.19</v>
      </c>
      <c r="W761">
        <v>1.57</v>
      </c>
      <c r="X761">
        <v>2.4</v>
      </c>
      <c r="Y761">
        <v>13.8</v>
      </c>
      <c r="Z761">
        <v>13.1</v>
      </c>
      <c r="AA761">
        <f>VALUE(SUBSTITUTE(DACS19___Pfizer’s_Personalised_Medicine_in[[#This Row],[Dose]],"mg",""))</f>
        <v>50</v>
      </c>
      <c r="AB761">
        <f t="shared" si="77"/>
        <v>50</v>
      </c>
      <c r="AC761" t="s">
        <v>40</v>
      </c>
      <c r="AD761">
        <f t="shared" si="78"/>
        <v>3</v>
      </c>
      <c r="AE761">
        <f t="shared" si="79"/>
        <v>1</v>
      </c>
      <c r="AF761" t="e">
        <f t="shared" si="80"/>
        <v>#N/A</v>
      </c>
      <c r="AG761" t="e">
        <f t="shared" si="81"/>
        <v>#N/A</v>
      </c>
      <c r="AH761">
        <f t="shared" si="82"/>
        <v>1.57</v>
      </c>
      <c r="AI761" t="e">
        <f t="shared" si="83"/>
        <v>#N/A</v>
      </c>
    </row>
    <row r="762" spans="1:35" x14ac:dyDescent="0.45">
      <c r="A762" t="s">
        <v>2182</v>
      </c>
      <c r="B762">
        <v>31</v>
      </c>
      <c r="C762" t="s">
        <v>44</v>
      </c>
      <c r="D762" t="s">
        <v>87</v>
      </c>
      <c r="E762" t="s">
        <v>29</v>
      </c>
      <c r="F762" t="s">
        <v>2614</v>
      </c>
      <c r="G762" t="s">
        <v>440</v>
      </c>
      <c r="H762" t="s">
        <v>61</v>
      </c>
      <c r="I762" t="s">
        <v>33</v>
      </c>
      <c r="J762" t="s">
        <v>1810</v>
      </c>
      <c r="K762" t="s">
        <v>210</v>
      </c>
      <c r="L762" t="s">
        <v>52</v>
      </c>
      <c r="M762" t="s">
        <v>40</v>
      </c>
      <c r="N762" t="s">
        <v>353</v>
      </c>
      <c r="O762" t="s">
        <v>52</v>
      </c>
      <c r="P762" t="s">
        <v>110</v>
      </c>
      <c r="Q762" t="s">
        <v>67</v>
      </c>
      <c r="R762">
        <v>174</v>
      </c>
      <c r="S762">
        <v>0</v>
      </c>
      <c r="T762" t="s">
        <v>85</v>
      </c>
      <c r="U762" t="s">
        <v>42</v>
      </c>
      <c r="V762">
        <v>1.32</v>
      </c>
      <c r="W762">
        <v>4.76</v>
      </c>
      <c r="X762">
        <v>7.8</v>
      </c>
      <c r="Y762">
        <v>16.600000000000001</v>
      </c>
      <c r="Z762">
        <v>17.100000000000001</v>
      </c>
      <c r="AA762">
        <f>VALUE(SUBSTITUTE(DACS19___Pfizer’s_Personalised_Medicine_in[[#This Row],[Dose]],"mg",""))</f>
        <v>100</v>
      </c>
      <c r="AB762">
        <f t="shared" si="77"/>
        <v>100</v>
      </c>
      <c r="AC762" t="s">
        <v>67</v>
      </c>
      <c r="AD762">
        <f t="shared" si="78"/>
        <v>2</v>
      </c>
      <c r="AE762">
        <f t="shared" si="79"/>
        <v>1</v>
      </c>
      <c r="AF762">
        <f t="shared" si="80"/>
        <v>4.76</v>
      </c>
      <c r="AG762" t="e">
        <f t="shared" si="81"/>
        <v>#N/A</v>
      </c>
      <c r="AH762" t="e">
        <f t="shared" si="82"/>
        <v>#N/A</v>
      </c>
      <c r="AI762" t="e">
        <f t="shared" si="83"/>
        <v>#N/A</v>
      </c>
    </row>
    <row r="763" spans="1:35" x14ac:dyDescent="0.45">
      <c r="A763" t="s">
        <v>2183</v>
      </c>
      <c r="B763">
        <v>21</v>
      </c>
      <c r="C763" t="s">
        <v>44</v>
      </c>
      <c r="D763" t="s">
        <v>106</v>
      </c>
      <c r="E763" t="s">
        <v>46</v>
      </c>
      <c r="F763" t="s">
        <v>69</v>
      </c>
      <c r="G763" t="s">
        <v>152</v>
      </c>
      <c r="H763" t="s">
        <v>71</v>
      </c>
      <c r="I763" t="s">
        <v>33</v>
      </c>
      <c r="J763" t="s">
        <v>2184</v>
      </c>
      <c r="K763" t="s">
        <v>2185</v>
      </c>
      <c r="L763" t="s">
        <v>64</v>
      </c>
      <c r="M763" t="s">
        <v>2623</v>
      </c>
      <c r="N763" t="s">
        <v>1038</v>
      </c>
      <c r="O763" t="s">
        <v>64</v>
      </c>
      <c r="P763" t="s">
        <v>39</v>
      </c>
      <c r="Q763" t="s">
        <v>75</v>
      </c>
      <c r="R763">
        <v>170</v>
      </c>
      <c r="S763">
        <v>1</v>
      </c>
      <c r="T763" t="s">
        <v>41</v>
      </c>
      <c r="U763" t="s">
        <v>42</v>
      </c>
      <c r="V763">
        <v>1.32</v>
      </c>
      <c r="W763">
        <v>2.91</v>
      </c>
      <c r="X763">
        <v>6.7</v>
      </c>
      <c r="Y763">
        <v>20.9</v>
      </c>
      <c r="Z763">
        <v>16.3</v>
      </c>
      <c r="AA763">
        <f>VALUE(SUBSTITUTE(DACS19___Pfizer’s_Personalised_Medicine_in[[#This Row],[Dose]],"mg",""))</f>
        <v>150</v>
      </c>
      <c r="AB763">
        <f t="shared" si="77"/>
        <v>150</v>
      </c>
      <c r="AC763" t="s">
        <v>75</v>
      </c>
      <c r="AD763">
        <f t="shared" si="78"/>
        <v>1</v>
      </c>
      <c r="AE763">
        <f t="shared" si="79"/>
        <v>3</v>
      </c>
      <c r="AF763" t="e">
        <f t="shared" si="80"/>
        <v>#N/A</v>
      </c>
      <c r="AG763">
        <f t="shared" si="81"/>
        <v>2.91</v>
      </c>
      <c r="AH763" t="e">
        <f t="shared" si="82"/>
        <v>#N/A</v>
      </c>
      <c r="AI763" t="e">
        <f t="shared" si="83"/>
        <v>#N/A</v>
      </c>
    </row>
    <row r="764" spans="1:35" x14ac:dyDescent="0.45">
      <c r="A764" t="s">
        <v>2186</v>
      </c>
      <c r="B764">
        <v>39</v>
      </c>
      <c r="C764" t="s">
        <v>44</v>
      </c>
      <c r="D764" t="s">
        <v>28</v>
      </c>
      <c r="E764" t="s">
        <v>46</v>
      </c>
      <c r="F764" t="s">
        <v>2614</v>
      </c>
      <c r="G764" t="s">
        <v>178</v>
      </c>
      <c r="H764" t="s">
        <v>71</v>
      </c>
      <c r="I764" t="s">
        <v>132</v>
      </c>
      <c r="J764" t="s">
        <v>248</v>
      </c>
      <c r="K764" t="s">
        <v>2187</v>
      </c>
      <c r="L764" t="s">
        <v>92</v>
      </c>
      <c r="M764" t="s">
        <v>500</v>
      </c>
      <c r="N764" t="s">
        <v>1253</v>
      </c>
      <c r="O764" t="s">
        <v>92</v>
      </c>
      <c r="P764" t="s">
        <v>39</v>
      </c>
      <c r="Q764" t="s">
        <v>40</v>
      </c>
      <c r="R764">
        <v>104</v>
      </c>
      <c r="S764">
        <v>1</v>
      </c>
      <c r="T764" t="s">
        <v>41</v>
      </c>
      <c r="U764" t="s">
        <v>42</v>
      </c>
      <c r="V764">
        <v>2.11</v>
      </c>
      <c r="W764">
        <v>4.76</v>
      </c>
      <c r="X764">
        <v>2.1</v>
      </c>
      <c r="Y764">
        <v>21.8</v>
      </c>
      <c r="Z764">
        <v>19.5</v>
      </c>
      <c r="AA764">
        <f>VALUE(SUBSTITUTE(DACS19___Pfizer’s_Personalised_Medicine_in[[#This Row],[Dose]],"mg",""))</f>
        <v>50</v>
      </c>
      <c r="AB764">
        <f t="shared" si="77"/>
        <v>50</v>
      </c>
      <c r="AC764" t="s">
        <v>40</v>
      </c>
      <c r="AD764">
        <f t="shared" si="78"/>
        <v>3</v>
      </c>
      <c r="AE764">
        <f t="shared" si="79"/>
        <v>3</v>
      </c>
      <c r="AF764" t="e">
        <f t="shared" si="80"/>
        <v>#N/A</v>
      </c>
      <c r="AG764">
        <f t="shared" si="81"/>
        <v>4.76</v>
      </c>
      <c r="AH764" t="e">
        <f t="shared" si="82"/>
        <v>#N/A</v>
      </c>
      <c r="AI764" t="e">
        <f t="shared" si="83"/>
        <v>#N/A</v>
      </c>
    </row>
    <row r="765" spans="1:35" x14ac:dyDescent="0.45">
      <c r="A765" t="s">
        <v>2188</v>
      </c>
      <c r="B765">
        <v>60</v>
      </c>
      <c r="C765" t="s">
        <v>44</v>
      </c>
      <c r="D765" t="s">
        <v>28</v>
      </c>
      <c r="E765" t="s">
        <v>29</v>
      </c>
      <c r="F765" t="s">
        <v>2614</v>
      </c>
      <c r="G765" t="s">
        <v>70</v>
      </c>
      <c r="H765" t="s">
        <v>61</v>
      </c>
      <c r="I765" t="s">
        <v>72</v>
      </c>
      <c r="J765" t="s">
        <v>1815</v>
      </c>
      <c r="K765" t="s">
        <v>1093</v>
      </c>
      <c r="L765" t="s">
        <v>36</v>
      </c>
      <c r="M765" t="s">
        <v>67</v>
      </c>
      <c r="N765" t="s">
        <v>507</v>
      </c>
      <c r="O765" t="s">
        <v>36</v>
      </c>
      <c r="P765" t="s">
        <v>39</v>
      </c>
      <c r="Q765" t="s">
        <v>40</v>
      </c>
      <c r="R765">
        <v>47</v>
      </c>
      <c r="S765">
        <v>1</v>
      </c>
      <c r="T765" t="s">
        <v>41</v>
      </c>
      <c r="U765" t="s">
        <v>42</v>
      </c>
      <c r="V765">
        <v>1.71</v>
      </c>
      <c r="W765">
        <v>3.89</v>
      </c>
      <c r="X765">
        <v>1.4</v>
      </c>
      <c r="Y765">
        <v>13.3</v>
      </c>
      <c r="Z765">
        <v>11.8</v>
      </c>
      <c r="AA765">
        <f>VALUE(SUBSTITUTE(DACS19___Pfizer’s_Personalised_Medicine_in[[#This Row],[Dose]],"mg",""))</f>
        <v>200</v>
      </c>
      <c r="AB765">
        <f t="shared" si="77"/>
        <v>200</v>
      </c>
      <c r="AC765" t="s">
        <v>40</v>
      </c>
      <c r="AD765">
        <f t="shared" si="78"/>
        <v>3</v>
      </c>
      <c r="AE765">
        <f t="shared" si="79"/>
        <v>3</v>
      </c>
      <c r="AF765">
        <f t="shared" si="80"/>
        <v>3.89</v>
      </c>
      <c r="AG765" t="e">
        <f t="shared" si="81"/>
        <v>#N/A</v>
      </c>
      <c r="AH765" t="e">
        <f t="shared" si="82"/>
        <v>#N/A</v>
      </c>
      <c r="AI765" t="e">
        <f t="shared" si="83"/>
        <v>#N/A</v>
      </c>
    </row>
    <row r="766" spans="1:35" x14ac:dyDescent="0.45">
      <c r="A766" t="s">
        <v>2189</v>
      </c>
      <c r="B766">
        <v>60</v>
      </c>
      <c r="C766" t="s">
        <v>27</v>
      </c>
      <c r="D766" t="s">
        <v>45</v>
      </c>
      <c r="E766" t="s">
        <v>78</v>
      </c>
      <c r="F766" t="s">
        <v>2614</v>
      </c>
      <c r="G766" t="s">
        <v>70</v>
      </c>
      <c r="H766" t="s">
        <v>61</v>
      </c>
      <c r="I766" t="s">
        <v>72</v>
      </c>
      <c r="J766" t="s">
        <v>980</v>
      </c>
      <c r="K766" t="s">
        <v>2190</v>
      </c>
      <c r="L766" t="s">
        <v>52</v>
      </c>
      <c r="M766" t="s">
        <v>309</v>
      </c>
      <c r="N766" t="s">
        <v>116</v>
      </c>
      <c r="O766" t="s">
        <v>52</v>
      </c>
      <c r="P766" t="s">
        <v>39</v>
      </c>
      <c r="Q766" t="s">
        <v>129</v>
      </c>
      <c r="R766">
        <v>64</v>
      </c>
      <c r="S766">
        <v>1</v>
      </c>
      <c r="T766" t="s">
        <v>137</v>
      </c>
      <c r="U766" t="s">
        <v>57</v>
      </c>
      <c r="V766">
        <v>3.32</v>
      </c>
      <c r="W766">
        <v>4.74</v>
      </c>
      <c r="X766">
        <v>7.1</v>
      </c>
      <c r="Y766">
        <v>14.7</v>
      </c>
      <c r="Z766">
        <v>16.8</v>
      </c>
      <c r="AA766">
        <f>VALUE(SUBSTITUTE(DACS19___Pfizer’s_Personalised_Medicine_in[[#This Row],[Dose]],"mg",""))</f>
        <v>100</v>
      </c>
      <c r="AB766">
        <f t="shared" si="77"/>
        <v>100</v>
      </c>
      <c r="AC766" t="s">
        <v>129</v>
      </c>
      <c r="AD766">
        <f t="shared" si="78"/>
        <v>4</v>
      </c>
      <c r="AE766">
        <f t="shared" si="79"/>
        <v>3</v>
      </c>
      <c r="AF766">
        <f t="shared" si="80"/>
        <v>4.74</v>
      </c>
      <c r="AG766" t="e">
        <f t="shared" si="81"/>
        <v>#N/A</v>
      </c>
      <c r="AH766" t="e">
        <f t="shared" si="82"/>
        <v>#N/A</v>
      </c>
      <c r="AI766" t="e">
        <f t="shared" si="83"/>
        <v>#N/A</v>
      </c>
    </row>
    <row r="767" spans="1:35" x14ac:dyDescent="0.45">
      <c r="A767" t="s">
        <v>2191</v>
      </c>
      <c r="B767">
        <v>24</v>
      </c>
      <c r="C767" t="s">
        <v>45</v>
      </c>
      <c r="D767" t="s">
        <v>106</v>
      </c>
      <c r="E767" t="s">
        <v>46</v>
      </c>
      <c r="F767" t="s">
        <v>88</v>
      </c>
      <c r="G767" t="s">
        <v>184</v>
      </c>
      <c r="H767" t="s">
        <v>81</v>
      </c>
      <c r="I767" t="s">
        <v>33</v>
      </c>
      <c r="J767" t="s">
        <v>2192</v>
      </c>
      <c r="K767" t="s">
        <v>2193</v>
      </c>
      <c r="L767" t="s">
        <v>36</v>
      </c>
      <c r="M767" t="s">
        <v>2618</v>
      </c>
      <c r="N767" t="s">
        <v>254</v>
      </c>
      <c r="O767" t="s">
        <v>36</v>
      </c>
      <c r="P767" t="s">
        <v>110</v>
      </c>
      <c r="Q767" t="s">
        <v>2614</v>
      </c>
      <c r="R767">
        <v>77</v>
      </c>
      <c r="S767">
        <v>0</v>
      </c>
      <c r="T767" t="s">
        <v>41</v>
      </c>
      <c r="U767" t="s">
        <v>57</v>
      </c>
      <c r="V767">
        <v>4.8</v>
      </c>
      <c r="W767">
        <v>1.0900000000000001</v>
      </c>
      <c r="X767">
        <v>9.8000000000000007</v>
      </c>
      <c r="Y767">
        <v>7.6</v>
      </c>
      <c r="Z767">
        <v>16.8</v>
      </c>
      <c r="AA767">
        <f>VALUE(SUBSTITUTE(DACS19___Pfizer’s_Personalised_Medicine_in[[#This Row],[Dose]],"mg",""))</f>
        <v>200</v>
      </c>
      <c r="AB767">
        <f t="shared" si="77"/>
        <v>200</v>
      </c>
      <c r="AC767" t="s">
        <v>2614</v>
      </c>
      <c r="AD767">
        <f t="shared" si="78"/>
        <v>0</v>
      </c>
      <c r="AE767">
        <f t="shared" si="79"/>
        <v>1</v>
      </c>
      <c r="AF767" t="e">
        <f t="shared" si="80"/>
        <v>#N/A</v>
      </c>
      <c r="AG767" t="e">
        <f t="shared" si="81"/>
        <v>#N/A</v>
      </c>
      <c r="AH767" t="e">
        <f t="shared" si="82"/>
        <v>#N/A</v>
      </c>
      <c r="AI767">
        <f t="shared" si="83"/>
        <v>1.0900000000000001</v>
      </c>
    </row>
    <row r="768" spans="1:35" x14ac:dyDescent="0.45">
      <c r="A768" t="s">
        <v>2194</v>
      </c>
      <c r="B768">
        <v>25</v>
      </c>
      <c r="C768" t="s">
        <v>27</v>
      </c>
      <c r="D768" t="s">
        <v>106</v>
      </c>
      <c r="E768" t="s">
        <v>163</v>
      </c>
      <c r="F768" t="s">
        <v>59</v>
      </c>
      <c r="G768" t="s">
        <v>60</v>
      </c>
      <c r="H768" t="s">
        <v>81</v>
      </c>
      <c r="I768" t="s">
        <v>49</v>
      </c>
      <c r="J768" t="s">
        <v>1158</v>
      </c>
      <c r="K768" t="s">
        <v>2195</v>
      </c>
      <c r="L768" t="s">
        <v>36</v>
      </c>
      <c r="M768" t="s">
        <v>2614</v>
      </c>
      <c r="N768" t="s">
        <v>1083</v>
      </c>
      <c r="O768" t="s">
        <v>36</v>
      </c>
      <c r="P768" t="s">
        <v>39</v>
      </c>
      <c r="Q768" t="s">
        <v>75</v>
      </c>
      <c r="R768">
        <v>53</v>
      </c>
      <c r="S768">
        <v>1</v>
      </c>
      <c r="T768" t="s">
        <v>123</v>
      </c>
      <c r="U768" t="s">
        <v>42</v>
      </c>
      <c r="V768">
        <v>2.12</v>
      </c>
      <c r="W768">
        <v>1.53</v>
      </c>
      <c r="X768">
        <v>5</v>
      </c>
      <c r="Y768">
        <v>17.600000000000001</v>
      </c>
      <c r="Z768">
        <v>9.5</v>
      </c>
      <c r="AA768">
        <f>VALUE(SUBSTITUTE(DACS19___Pfizer’s_Personalised_Medicine_in[[#This Row],[Dose]],"mg",""))</f>
        <v>200</v>
      </c>
      <c r="AB768">
        <f t="shared" si="77"/>
        <v>200</v>
      </c>
      <c r="AC768" t="s">
        <v>75</v>
      </c>
      <c r="AD768">
        <f t="shared" si="78"/>
        <v>1</v>
      </c>
      <c r="AE768">
        <f t="shared" si="79"/>
        <v>3</v>
      </c>
      <c r="AF768" t="e">
        <f t="shared" si="80"/>
        <v>#N/A</v>
      </c>
      <c r="AG768" t="e">
        <f t="shared" si="81"/>
        <v>#N/A</v>
      </c>
      <c r="AH768" t="e">
        <f t="shared" si="82"/>
        <v>#N/A</v>
      </c>
      <c r="AI768">
        <f t="shared" si="83"/>
        <v>1.53</v>
      </c>
    </row>
    <row r="769" spans="1:35" x14ac:dyDescent="0.45">
      <c r="A769" t="s">
        <v>2196</v>
      </c>
      <c r="B769">
        <v>39</v>
      </c>
      <c r="C769" t="s">
        <v>45</v>
      </c>
      <c r="D769" t="s">
        <v>45</v>
      </c>
      <c r="E769" t="s">
        <v>2614</v>
      </c>
      <c r="F769" t="s">
        <v>2614</v>
      </c>
      <c r="G769" t="s">
        <v>125</v>
      </c>
      <c r="H769" t="s">
        <v>32</v>
      </c>
      <c r="I769" t="s">
        <v>72</v>
      </c>
      <c r="J769" t="s">
        <v>836</v>
      </c>
      <c r="K769" t="s">
        <v>1065</v>
      </c>
      <c r="L769" t="s">
        <v>52</v>
      </c>
      <c r="M769" t="s">
        <v>75</v>
      </c>
      <c r="N769" t="s">
        <v>997</v>
      </c>
      <c r="O769" t="s">
        <v>52</v>
      </c>
      <c r="P769" t="s">
        <v>39</v>
      </c>
      <c r="Q769" t="s">
        <v>75</v>
      </c>
      <c r="R769">
        <v>136</v>
      </c>
      <c r="S769">
        <v>1</v>
      </c>
      <c r="T769" t="s">
        <v>56</v>
      </c>
      <c r="U769" t="s">
        <v>42</v>
      </c>
      <c r="V769">
        <v>1.22</v>
      </c>
      <c r="W769">
        <v>3.4</v>
      </c>
      <c r="X769">
        <v>9.1</v>
      </c>
      <c r="Y769">
        <v>12.9</v>
      </c>
      <c r="Z769">
        <v>6.7</v>
      </c>
      <c r="AA769">
        <f>VALUE(SUBSTITUTE(DACS19___Pfizer’s_Personalised_Medicine_in[[#This Row],[Dose]],"mg",""))</f>
        <v>100</v>
      </c>
      <c r="AB769">
        <f t="shared" si="77"/>
        <v>100</v>
      </c>
      <c r="AC769" t="s">
        <v>75</v>
      </c>
      <c r="AD769">
        <f t="shared" si="78"/>
        <v>1</v>
      </c>
      <c r="AE769">
        <f t="shared" si="79"/>
        <v>3</v>
      </c>
      <c r="AF769" t="e">
        <f t="shared" si="80"/>
        <v>#N/A</v>
      </c>
      <c r="AG769" t="e">
        <f t="shared" si="81"/>
        <v>#N/A</v>
      </c>
      <c r="AH769">
        <f t="shared" si="82"/>
        <v>3.4</v>
      </c>
      <c r="AI769" t="e">
        <f t="shared" si="83"/>
        <v>#N/A</v>
      </c>
    </row>
    <row r="770" spans="1:35" x14ac:dyDescent="0.45">
      <c r="A770" t="s">
        <v>2197</v>
      </c>
      <c r="B770">
        <v>44</v>
      </c>
      <c r="C770" t="s">
        <v>45</v>
      </c>
      <c r="D770" t="s">
        <v>45</v>
      </c>
      <c r="E770" t="s">
        <v>78</v>
      </c>
      <c r="F770" t="s">
        <v>88</v>
      </c>
      <c r="G770" t="s">
        <v>96</v>
      </c>
      <c r="H770" t="s">
        <v>81</v>
      </c>
      <c r="I770" t="s">
        <v>49</v>
      </c>
      <c r="J770" t="s">
        <v>506</v>
      </c>
      <c r="K770" t="s">
        <v>2198</v>
      </c>
      <c r="L770" t="s">
        <v>52</v>
      </c>
      <c r="M770" t="s">
        <v>129</v>
      </c>
      <c r="N770" t="s">
        <v>501</v>
      </c>
      <c r="O770" t="s">
        <v>52</v>
      </c>
      <c r="P770" t="s">
        <v>110</v>
      </c>
      <c r="Q770" t="s">
        <v>40</v>
      </c>
      <c r="R770">
        <v>134</v>
      </c>
      <c r="S770">
        <v>0</v>
      </c>
      <c r="T770" t="s">
        <v>56</v>
      </c>
      <c r="U770" t="s">
        <v>42</v>
      </c>
      <c r="V770">
        <v>2.77</v>
      </c>
      <c r="W770">
        <v>1.19</v>
      </c>
      <c r="X770">
        <v>8.4</v>
      </c>
      <c r="Y770">
        <v>20.9</v>
      </c>
      <c r="Z770">
        <v>13</v>
      </c>
      <c r="AA770">
        <f>VALUE(SUBSTITUTE(DACS19___Pfizer’s_Personalised_Medicine_in[[#This Row],[Dose]],"mg",""))</f>
        <v>100</v>
      </c>
      <c r="AB770">
        <f t="shared" ref="AB770:AB833" si="84">VALUE(SUBSTITUTE(O770,"mg",""))</f>
        <v>100</v>
      </c>
      <c r="AC770" t="s">
        <v>40</v>
      </c>
      <c r="AD770">
        <f t="shared" ref="AD770:AD833" si="85">IF(Q770="","",IF(Q770="Dizziness",1,IF(Q770="Fatigue",2,IF(Q770="Headache",3,IF(Q770="Nausea",4,IF(Q770="Not Reported",0,""))))))</f>
        <v>3</v>
      </c>
      <c r="AE770">
        <f t="shared" ref="AE770:AE833" si="86">IF(P770="Deteriorated",1,IF(P770="No Change",2,IF(P770="Improved",3,0)))</f>
        <v>1</v>
      </c>
      <c r="AF770" t="e">
        <f t="shared" ref="AF770:AF833" si="87">IF($H770="DrugA",$W770,NA())</f>
        <v>#N/A</v>
      </c>
      <c r="AG770" t="e">
        <f t="shared" ref="AG770:AG833" si="88">IF($H770="DrugB",$W770,NA())</f>
        <v>#N/A</v>
      </c>
      <c r="AH770" t="e">
        <f t="shared" ref="AH770:AH833" si="89">IF($H770="DrugC",$W770,NA())</f>
        <v>#N/A</v>
      </c>
      <c r="AI770">
        <f t="shared" ref="AI770:AI833" si="90">IF($H770="DrugD",$W770,NA())</f>
        <v>1.19</v>
      </c>
    </row>
    <row r="771" spans="1:35" x14ac:dyDescent="0.45">
      <c r="A771" t="s">
        <v>2199</v>
      </c>
      <c r="B771">
        <v>24</v>
      </c>
      <c r="C771" t="s">
        <v>27</v>
      </c>
      <c r="D771" t="s">
        <v>45</v>
      </c>
      <c r="E771" t="s">
        <v>163</v>
      </c>
      <c r="F771" t="s">
        <v>47</v>
      </c>
      <c r="G771" t="s">
        <v>131</v>
      </c>
      <c r="H771" t="s">
        <v>61</v>
      </c>
      <c r="I771" t="s">
        <v>72</v>
      </c>
      <c r="J771" t="s">
        <v>1261</v>
      </c>
      <c r="K771" t="s">
        <v>675</v>
      </c>
      <c r="L771" t="s">
        <v>92</v>
      </c>
      <c r="M771" t="s">
        <v>2618</v>
      </c>
      <c r="N771" t="s">
        <v>1031</v>
      </c>
      <c r="O771" t="s">
        <v>92</v>
      </c>
      <c r="P771" t="s">
        <v>110</v>
      </c>
      <c r="Q771" t="s">
        <v>75</v>
      </c>
      <c r="R771">
        <v>142</v>
      </c>
      <c r="S771">
        <v>0</v>
      </c>
      <c r="T771" t="s">
        <v>41</v>
      </c>
      <c r="U771" t="s">
        <v>42</v>
      </c>
      <c r="V771">
        <v>2.41</v>
      </c>
      <c r="W771">
        <v>4.2</v>
      </c>
      <c r="X771">
        <v>6</v>
      </c>
      <c r="Y771">
        <v>20.9</v>
      </c>
      <c r="Z771">
        <v>13.7</v>
      </c>
      <c r="AA771">
        <f>VALUE(SUBSTITUTE(DACS19___Pfizer’s_Personalised_Medicine_in[[#This Row],[Dose]],"mg",""))</f>
        <v>50</v>
      </c>
      <c r="AB771">
        <f t="shared" si="84"/>
        <v>50</v>
      </c>
      <c r="AC771" t="s">
        <v>75</v>
      </c>
      <c r="AD771">
        <f t="shared" si="85"/>
        <v>1</v>
      </c>
      <c r="AE771">
        <f t="shared" si="86"/>
        <v>1</v>
      </c>
      <c r="AF771">
        <f t="shared" si="87"/>
        <v>4.2</v>
      </c>
      <c r="AG771" t="e">
        <f t="shared" si="88"/>
        <v>#N/A</v>
      </c>
      <c r="AH771" t="e">
        <f t="shared" si="89"/>
        <v>#N/A</v>
      </c>
      <c r="AI771" t="e">
        <f t="shared" si="90"/>
        <v>#N/A</v>
      </c>
    </row>
    <row r="772" spans="1:35" x14ac:dyDescent="0.45">
      <c r="A772" t="s">
        <v>2200</v>
      </c>
      <c r="B772">
        <v>45</v>
      </c>
      <c r="C772" t="s">
        <v>27</v>
      </c>
      <c r="D772" t="s">
        <v>28</v>
      </c>
      <c r="E772" t="s">
        <v>29</v>
      </c>
      <c r="F772" t="s">
        <v>47</v>
      </c>
      <c r="G772" t="s">
        <v>31</v>
      </c>
      <c r="H772" t="s">
        <v>71</v>
      </c>
      <c r="I772" t="s">
        <v>49</v>
      </c>
      <c r="J772" t="s">
        <v>229</v>
      </c>
      <c r="K772" t="s">
        <v>1972</v>
      </c>
      <c r="L772" t="s">
        <v>64</v>
      </c>
      <c r="M772" t="s">
        <v>221</v>
      </c>
      <c r="N772" t="s">
        <v>598</v>
      </c>
      <c r="O772" t="s">
        <v>64</v>
      </c>
      <c r="P772" t="s">
        <v>39</v>
      </c>
      <c r="Q772" t="s">
        <v>129</v>
      </c>
      <c r="R772">
        <v>102</v>
      </c>
      <c r="S772">
        <v>1</v>
      </c>
      <c r="T772" t="s">
        <v>123</v>
      </c>
      <c r="U772" t="s">
        <v>57</v>
      </c>
      <c r="V772">
        <v>4.1399999999999997</v>
      </c>
      <c r="W772">
        <v>3.39</v>
      </c>
      <c r="X772">
        <v>4.7</v>
      </c>
      <c r="Y772">
        <v>23.2</v>
      </c>
      <c r="Z772">
        <v>12.2</v>
      </c>
      <c r="AA772">
        <f>VALUE(SUBSTITUTE(DACS19___Pfizer’s_Personalised_Medicine_in[[#This Row],[Dose]],"mg",""))</f>
        <v>150</v>
      </c>
      <c r="AB772">
        <f t="shared" si="84"/>
        <v>150</v>
      </c>
      <c r="AC772" t="s">
        <v>129</v>
      </c>
      <c r="AD772">
        <f t="shared" si="85"/>
        <v>4</v>
      </c>
      <c r="AE772">
        <f t="shared" si="86"/>
        <v>3</v>
      </c>
      <c r="AF772" t="e">
        <f t="shared" si="87"/>
        <v>#N/A</v>
      </c>
      <c r="AG772">
        <f t="shared" si="88"/>
        <v>3.39</v>
      </c>
      <c r="AH772" t="e">
        <f t="shared" si="89"/>
        <v>#N/A</v>
      </c>
      <c r="AI772" t="e">
        <f t="shared" si="90"/>
        <v>#N/A</v>
      </c>
    </row>
    <row r="773" spans="1:35" x14ac:dyDescent="0.45">
      <c r="A773" t="s">
        <v>2201</v>
      </c>
      <c r="B773">
        <v>85</v>
      </c>
      <c r="C773" t="s">
        <v>27</v>
      </c>
      <c r="D773" t="s">
        <v>28</v>
      </c>
      <c r="E773" t="s">
        <v>163</v>
      </c>
      <c r="F773" t="s">
        <v>2614</v>
      </c>
      <c r="G773" t="s">
        <v>31</v>
      </c>
      <c r="H773" t="s">
        <v>71</v>
      </c>
      <c r="I773" t="s">
        <v>72</v>
      </c>
      <c r="J773" t="s">
        <v>604</v>
      </c>
      <c r="K773" t="s">
        <v>407</v>
      </c>
      <c r="L773" t="s">
        <v>92</v>
      </c>
      <c r="M773" t="s">
        <v>2642</v>
      </c>
      <c r="N773" t="s">
        <v>150</v>
      </c>
      <c r="O773" t="s">
        <v>92</v>
      </c>
      <c r="P773" t="s">
        <v>55</v>
      </c>
      <c r="Q773" t="s">
        <v>129</v>
      </c>
      <c r="R773">
        <v>30</v>
      </c>
      <c r="S773">
        <v>0</v>
      </c>
      <c r="T773" t="s">
        <v>41</v>
      </c>
      <c r="U773" t="s">
        <v>57</v>
      </c>
      <c r="V773">
        <v>3.42</v>
      </c>
      <c r="W773">
        <v>1.88</v>
      </c>
      <c r="X773">
        <v>6.6</v>
      </c>
      <c r="Y773">
        <v>16.3</v>
      </c>
      <c r="Z773">
        <v>6.1</v>
      </c>
      <c r="AA773">
        <f>VALUE(SUBSTITUTE(DACS19___Pfizer’s_Personalised_Medicine_in[[#This Row],[Dose]],"mg",""))</f>
        <v>50</v>
      </c>
      <c r="AB773">
        <f t="shared" si="84"/>
        <v>50</v>
      </c>
      <c r="AC773" t="s">
        <v>129</v>
      </c>
      <c r="AD773">
        <f t="shared" si="85"/>
        <v>4</v>
      </c>
      <c r="AE773">
        <f t="shared" si="86"/>
        <v>2</v>
      </c>
      <c r="AF773" t="e">
        <f t="shared" si="87"/>
        <v>#N/A</v>
      </c>
      <c r="AG773">
        <f t="shared" si="88"/>
        <v>1.88</v>
      </c>
      <c r="AH773" t="e">
        <f t="shared" si="89"/>
        <v>#N/A</v>
      </c>
      <c r="AI773" t="e">
        <f t="shared" si="90"/>
        <v>#N/A</v>
      </c>
    </row>
    <row r="774" spans="1:35" x14ac:dyDescent="0.45">
      <c r="A774" t="s">
        <v>2202</v>
      </c>
      <c r="B774">
        <v>34</v>
      </c>
      <c r="C774" t="s">
        <v>45</v>
      </c>
      <c r="D774" t="s">
        <v>45</v>
      </c>
      <c r="E774" t="s">
        <v>78</v>
      </c>
      <c r="F774" t="s">
        <v>2614</v>
      </c>
      <c r="G774" t="s">
        <v>102</v>
      </c>
      <c r="H774" t="s">
        <v>71</v>
      </c>
      <c r="I774" t="s">
        <v>33</v>
      </c>
      <c r="J774" t="s">
        <v>1796</v>
      </c>
      <c r="K774" t="s">
        <v>1471</v>
      </c>
      <c r="L774" t="s">
        <v>36</v>
      </c>
      <c r="M774" t="s">
        <v>2625</v>
      </c>
      <c r="N774" t="s">
        <v>1074</v>
      </c>
      <c r="O774" t="s">
        <v>36</v>
      </c>
      <c r="P774" t="s">
        <v>55</v>
      </c>
      <c r="Q774" t="s">
        <v>40</v>
      </c>
      <c r="R774">
        <v>108</v>
      </c>
      <c r="S774">
        <v>0</v>
      </c>
      <c r="T774" t="s">
        <v>41</v>
      </c>
      <c r="U774" t="s">
        <v>42</v>
      </c>
      <c r="V774">
        <v>1.24</v>
      </c>
      <c r="W774">
        <v>3.42</v>
      </c>
      <c r="X774">
        <v>7.9</v>
      </c>
      <c r="Y774">
        <v>15.4</v>
      </c>
      <c r="Z774">
        <v>6.9</v>
      </c>
      <c r="AA774">
        <f>VALUE(SUBSTITUTE(DACS19___Pfizer’s_Personalised_Medicine_in[[#This Row],[Dose]],"mg",""))</f>
        <v>200</v>
      </c>
      <c r="AB774">
        <f t="shared" si="84"/>
        <v>200</v>
      </c>
      <c r="AC774" t="s">
        <v>40</v>
      </c>
      <c r="AD774">
        <f t="shared" si="85"/>
        <v>3</v>
      </c>
      <c r="AE774">
        <f t="shared" si="86"/>
        <v>2</v>
      </c>
      <c r="AF774" t="e">
        <f t="shared" si="87"/>
        <v>#N/A</v>
      </c>
      <c r="AG774">
        <f t="shared" si="88"/>
        <v>3.42</v>
      </c>
      <c r="AH774" t="e">
        <f t="shared" si="89"/>
        <v>#N/A</v>
      </c>
      <c r="AI774" t="e">
        <f t="shared" si="90"/>
        <v>#N/A</v>
      </c>
    </row>
    <row r="775" spans="1:35" x14ac:dyDescent="0.45">
      <c r="A775" t="s">
        <v>2203</v>
      </c>
      <c r="B775">
        <v>21</v>
      </c>
      <c r="C775" t="s">
        <v>44</v>
      </c>
      <c r="D775" t="s">
        <v>87</v>
      </c>
      <c r="E775" t="s">
        <v>46</v>
      </c>
      <c r="F775" t="s">
        <v>47</v>
      </c>
      <c r="G775" t="s">
        <v>118</v>
      </c>
      <c r="H775" t="s">
        <v>81</v>
      </c>
      <c r="I775" t="s">
        <v>49</v>
      </c>
      <c r="J775" t="s">
        <v>2204</v>
      </c>
      <c r="K775" t="s">
        <v>1438</v>
      </c>
      <c r="L775" t="s">
        <v>52</v>
      </c>
      <c r="M775" t="s">
        <v>2657</v>
      </c>
      <c r="N775" t="s">
        <v>2167</v>
      </c>
      <c r="O775" t="s">
        <v>52</v>
      </c>
      <c r="P775" t="s">
        <v>110</v>
      </c>
      <c r="Q775" t="s">
        <v>75</v>
      </c>
      <c r="R775">
        <v>45</v>
      </c>
      <c r="S775">
        <v>0</v>
      </c>
      <c r="T775" t="s">
        <v>56</v>
      </c>
      <c r="U775" t="s">
        <v>42</v>
      </c>
      <c r="V775">
        <v>3.67</v>
      </c>
      <c r="W775">
        <v>1.32</v>
      </c>
      <c r="X775">
        <v>5</v>
      </c>
      <c r="Y775">
        <v>8.9</v>
      </c>
      <c r="Z775">
        <v>6.1</v>
      </c>
      <c r="AA775">
        <f>VALUE(SUBSTITUTE(DACS19___Pfizer’s_Personalised_Medicine_in[[#This Row],[Dose]],"mg",""))</f>
        <v>100</v>
      </c>
      <c r="AB775">
        <f t="shared" si="84"/>
        <v>100</v>
      </c>
      <c r="AC775" t="s">
        <v>75</v>
      </c>
      <c r="AD775">
        <f t="shared" si="85"/>
        <v>1</v>
      </c>
      <c r="AE775">
        <f t="shared" si="86"/>
        <v>1</v>
      </c>
      <c r="AF775" t="e">
        <f t="shared" si="87"/>
        <v>#N/A</v>
      </c>
      <c r="AG775" t="e">
        <f t="shared" si="88"/>
        <v>#N/A</v>
      </c>
      <c r="AH775" t="e">
        <f t="shared" si="89"/>
        <v>#N/A</v>
      </c>
      <c r="AI775">
        <f t="shared" si="90"/>
        <v>1.32</v>
      </c>
    </row>
    <row r="776" spans="1:35" x14ac:dyDescent="0.45">
      <c r="A776" t="s">
        <v>2206</v>
      </c>
      <c r="B776">
        <v>73</v>
      </c>
      <c r="C776" t="s">
        <v>44</v>
      </c>
      <c r="D776" t="s">
        <v>45</v>
      </c>
      <c r="E776" t="s">
        <v>163</v>
      </c>
      <c r="F776" t="s">
        <v>79</v>
      </c>
      <c r="G776" t="s">
        <v>96</v>
      </c>
      <c r="H776" t="s">
        <v>32</v>
      </c>
      <c r="I776" t="s">
        <v>49</v>
      </c>
      <c r="J776" t="s">
        <v>858</v>
      </c>
      <c r="K776" t="s">
        <v>990</v>
      </c>
      <c r="L776" t="s">
        <v>92</v>
      </c>
      <c r="M776" t="s">
        <v>2614</v>
      </c>
      <c r="N776" t="s">
        <v>93</v>
      </c>
      <c r="O776" t="s">
        <v>92</v>
      </c>
      <c r="P776" t="s">
        <v>39</v>
      </c>
      <c r="Q776" t="s">
        <v>129</v>
      </c>
      <c r="R776">
        <v>61</v>
      </c>
      <c r="S776">
        <v>1</v>
      </c>
      <c r="T776" t="s">
        <v>123</v>
      </c>
      <c r="U776" t="s">
        <v>57</v>
      </c>
      <c r="V776">
        <v>1.81</v>
      </c>
      <c r="W776">
        <v>2.5499999999999998</v>
      </c>
      <c r="X776">
        <v>1.5</v>
      </c>
      <c r="Y776">
        <v>13.2</v>
      </c>
      <c r="Z776">
        <v>11.7</v>
      </c>
      <c r="AA776">
        <f>VALUE(SUBSTITUTE(DACS19___Pfizer’s_Personalised_Medicine_in[[#This Row],[Dose]],"mg",""))</f>
        <v>50</v>
      </c>
      <c r="AB776">
        <f t="shared" si="84"/>
        <v>50</v>
      </c>
      <c r="AC776" t="s">
        <v>129</v>
      </c>
      <c r="AD776">
        <f t="shared" si="85"/>
        <v>4</v>
      </c>
      <c r="AE776">
        <f t="shared" si="86"/>
        <v>3</v>
      </c>
      <c r="AF776" t="e">
        <f t="shared" si="87"/>
        <v>#N/A</v>
      </c>
      <c r="AG776" t="e">
        <f t="shared" si="88"/>
        <v>#N/A</v>
      </c>
      <c r="AH776">
        <f t="shared" si="89"/>
        <v>2.5499999999999998</v>
      </c>
      <c r="AI776" t="e">
        <f t="shared" si="90"/>
        <v>#N/A</v>
      </c>
    </row>
    <row r="777" spans="1:35" x14ac:dyDescent="0.45">
      <c r="A777" t="s">
        <v>2207</v>
      </c>
      <c r="B777">
        <v>69</v>
      </c>
      <c r="C777" t="s">
        <v>44</v>
      </c>
      <c r="D777" t="s">
        <v>45</v>
      </c>
      <c r="E777" t="s">
        <v>78</v>
      </c>
      <c r="F777" t="s">
        <v>59</v>
      </c>
      <c r="G777" t="s">
        <v>152</v>
      </c>
      <c r="H777" t="s">
        <v>61</v>
      </c>
      <c r="I777" t="s">
        <v>132</v>
      </c>
      <c r="J777" t="s">
        <v>1935</v>
      </c>
      <c r="K777" t="s">
        <v>1223</v>
      </c>
      <c r="L777" t="s">
        <v>64</v>
      </c>
      <c r="M777" t="s">
        <v>2628</v>
      </c>
      <c r="N777" t="s">
        <v>1211</v>
      </c>
      <c r="O777" t="s">
        <v>64</v>
      </c>
      <c r="P777" t="s">
        <v>39</v>
      </c>
      <c r="Q777" t="s">
        <v>2614</v>
      </c>
      <c r="R777">
        <v>152</v>
      </c>
      <c r="S777">
        <v>1</v>
      </c>
      <c r="T777" t="s">
        <v>123</v>
      </c>
      <c r="U777" t="s">
        <v>42</v>
      </c>
      <c r="V777">
        <v>2.93</v>
      </c>
      <c r="W777">
        <v>2.5299999999999998</v>
      </c>
      <c r="X777">
        <v>8.6</v>
      </c>
      <c r="Y777">
        <v>8.6</v>
      </c>
      <c r="Z777">
        <v>11.6</v>
      </c>
      <c r="AA777">
        <f>VALUE(SUBSTITUTE(DACS19___Pfizer’s_Personalised_Medicine_in[[#This Row],[Dose]],"mg",""))</f>
        <v>150</v>
      </c>
      <c r="AB777">
        <f t="shared" si="84"/>
        <v>150</v>
      </c>
      <c r="AC777" t="s">
        <v>2614</v>
      </c>
      <c r="AD777">
        <f t="shared" si="85"/>
        <v>0</v>
      </c>
      <c r="AE777">
        <f t="shared" si="86"/>
        <v>3</v>
      </c>
      <c r="AF777">
        <f t="shared" si="87"/>
        <v>2.5299999999999998</v>
      </c>
      <c r="AG777" t="e">
        <f t="shared" si="88"/>
        <v>#N/A</v>
      </c>
      <c r="AH777" t="e">
        <f t="shared" si="89"/>
        <v>#N/A</v>
      </c>
      <c r="AI777" t="e">
        <f t="shared" si="90"/>
        <v>#N/A</v>
      </c>
    </row>
    <row r="778" spans="1:35" x14ac:dyDescent="0.45">
      <c r="A778" t="s">
        <v>2208</v>
      </c>
      <c r="B778">
        <v>50</v>
      </c>
      <c r="C778" t="s">
        <v>44</v>
      </c>
      <c r="D778" t="s">
        <v>95</v>
      </c>
      <c r="E778" t="s">
        <v>163</v>
      </c>
      <c r="F778" t="s">
        <v>69</v>
      </c>
      <c r="G778" t="s">
        <v>118</v>
      </c>
      <c r="H778" t="s">
        <v>61</v>
      </c>
      <c r="I778" t="s">
        <v>49</v>
      </c>
      <c r="J778" t="s">
        <v>2209</v>
      </c>
      <c r="K778" t="s">
        <v>2210</v>
      </c>
      <c r="L778" t="s">
        <v>36</v>
      </c>
      <c r="M778" t="s">
        <v>834</v>
      </c>
      <c r="N778" t="s">
        <v>780</v>
      </c>
      <c r="O778" t="s">
        <v>36</v>
      </c>
      <c r="P778" t="s">
        <v>55</v>
      </c>
      <c r="Q778" t="s">
        <v>129</v>
      </c>
      <c r="R778">
        <v>155</v>
      </c>
      <c r="S778">
        <v>0</v>
      </c>
      <c r="T778" t="s">
        <v>41</v>
      </c>
      <c r="U778" t="s">
        <v>57</v>
      </c>
      <c r="V778">
        <v>1.25</v>
      </c>
      <c r="W778">
        <v>1.28</v>
      </c>
      <c r="X778">
        <v>6.2</v>
      </c>
      <c r="Y778">
        <v>16.2</v>
      </c>
      <c r="Z778">
        <v>17.899999999999999</v>
      </c>
      <c r="AA778">
        <f>VALUE(SUBSTITUTE(DACS19___Pfizer’s_Personalised_Medicine_in[[#This Row],[Dose]],"mg",""))</f>
        <v>200</v>
      </c>
      <c r="AB778">
        <f t="shared" si="84"/>
        <v>200</v>
      </c>
      <c r="AC778" t="s">
        <v>129</v>
      </c>
      <c r="AD778">
        <f t="shared" si="85"/>
        <v>4</v>
      </c>
      <c r="AE778">
        <f t="shared" si="86"/>
        <v>2</v>
      </c>
      <c r="AF778">
        <f t="shared" si="87"/>
        <v>1.28</v>
      </c>
      <c r="AG778" t="e">
        <f t="shared" si="88"/>
        <v>#N/A</v>
      </c>
      <c r="AH778" t="e">
        <f t="shared" si="89"/>
        <v>#N/A</v>
      </c>
      <c r="AI778" t="e">
        <f t="shared" si="90"/>
        <v>#N/A</v>
      </c>
    </row>
    <row r="779" spans="1:35" x14ac:dyDescent="0.45">
      <c r="A779" t="s">
        <v>2211</v>
      </c>
      <c r="B779">
        <v>84</v>
      </c>
      <c r="C779" t="s">
        <v>27</v>
      </c>
      <c r="D779" t="s">
        <v>45</v>
      </c>
      <c r="E779" t="s">
        <v>163</v>
      </c>
      <c r="F779" t="s">
        <v>2614</v>
      </c>
      <c r="G779" t="s">
        <v>194</v>
      </c>
      <c r="H779" t="s">
        <v>81</v>
      </c>
      <c r="I779" t="s">
        <v>49</v>
      </c>
      <c r="J779" t="s">
        <v>2210</v>
      </c>
      <c r="K779" t="s">
        <v>1002</v>
      </c>
      <c r="L779" t="s">
        <v>92</v>
      </c>
      <c r="M779" t="s">
        <v>135</v>
      </c>
      <c r="N779" t="s">
        <v>630</v>
      </c>
      <c r="O779" t="s">
        <v>92</v>
      </c>
      <c r="P779" t="s">
        <v>39</v>
      </c>
      <c r="Q779" t="s">
        <v>75</v>
      </c>
      <c r="R779">
        <v>40</v>
      </c>
      <c r="S779">
        <v>1</v>
      </c>
      <c r="T779" t="s">
        <v>56</v>
      </c>
      <c r="U779" t="s">
        <v>57</v>
      </c>
      <c r="V779">
        <v>3.23</v>
      </c>
      <c r="W779">
        <v>4.84</v>
      </c>
      <c r="X779">
        <v>1.4</v>
      </c>
      <c r="Y779">
        <v>7.8</v>
      </c>
      <c r="Z779">
        <v>3.7</v>
      </c>
      <c r="AA779">
        <f>VALUE(SUBSTITUTE(DACS19___Pfizer’s_Personalised_Medicine_in[[#This Row],[Dose]],"mg",""))</f>
        <v>50</v>
      </c>
      <c r="AB779">
        <f t="shared" si="84"/>
        <v>50</v>
      </c>
      <c r="AC779" t="s">
        <v>75</v>
      </c>
      <c r="AD779">
        <f t="shared" si="85"/>
        <v>1</v>
      </c>
      <c r="AE779">
        <f t="shared" si="86"/>
        <v>3</v>
      </c>
      <c r="AF779" t="e">
        <f t="shared" si="87"/>
        <v>#N/A</v>
      </c>
      <c r="AG779" t="e">
        <f t="shared" si="88"/>
        <v>#N/A</v>
      </c>
      <c r="AH779" t="e">
        <f t="shared" si="89"/>
        <v>#N/A</v>
      </c>
      <c r="AI779">
        <f t="shared" si="90"/>
        <v>4.84</v>
      </c>
    </row>
    <row r="780" spans="1:35" x14ac:dyDescent="0.45">
      <c r="A780" t="s">
        <v>2212</v>
      </c>
      <c r="B780">
        <v>31</v>
      </c>
      <c r="C780" t="s">
        <v>27</v>
      </c>
      <c r="D780" t="s">
        <v>87</v>
      </c>
      <c r="E780" t="s">
        <v>78</v>
      </c>
      <c r="F780" t="s">
        <v>2614</v>
      </c>
      <c r="G780" t="s">
        <v>31</v>
      </c>
      <c r="H780" t="s">
        <v>61</v>
      </c>
      <c r="I780" t="s">
        <v>49</v>
      </c>
      <c r="J780" t="s">
        <v>2213</v>
      </c>
      <c r="K780" t="s">
        <v>2214</v>
      </c>
      <c r="L780" t="s">
        <v>36</v>
      </c>
      <c r="M780" t="s">
        <v>469</v>
      </c>
      <c r="N780" t="s">
        <v>1211</v>
      </c>
      <c r="O780" t="s">
        <v>36</v>
      </c>
      <c r="P780" t="s">
        <v>39</v>
      </c>
      <c r="Q780" t="s">
        <v>67</v>
      </c>
      <c r="R780">
        <v>36</v>
      </c>
      <c r="S780">
        <v>1</v>
      </c>
      <c r="T780" t="s">
        <v>123</v>
      </c>
      <c r="U780" t="s">
        <v>57</v>
      </c>
      <c r="V780">
        <v>1.74</v>
      </c>
      <c r="W780">
        <v>3.17</v>
      </c>
      <c r="X780">
        <v>6.8</v>
      </c>
      <c r="Y780">
        <v>6.8</v>
      </c>
      <c r="Z780">
        <v>19.100000000000001</v>
      </c>
      <c r="AA780">
        <f>VALUE(SUBSTITUTE(DACS19___Pfizer’s_Personalised_Medicine_in[[#This Row],[Dose]],"mg",""))</f>
        <v>200</v>
      </c>
      <c r="AB780">
        <f t="shared" si="84"/>
        <v>200</v>
      </c>
      <c r="AC780" t="s">
        <v>67</v>
      </c>
      <c r="AD780">
        <f t="shared" si="85"/>
        <v>2</v>
      </c>
      <c r="AE780">
        <f t="shared" si="86"/>
        <v>3</v>
      </c>
      <c r="AF780">
        <f t="shared" si="87"/>
        <v>3.17</v>
      </c>
      <c r="AG780" t="e">
        <f t="shared" si="88"/>
        <v>#N/A</v>
      </c>
      <c r="AH780" t="e">
        <f t="shared" si="89"/>
        <v>#N/A</v>
      </c>
      <c r="AI780" t="e">
        <f t="shared" si="90"/>
        <v>#N/A</v>
      </c>
    </row>
    <row r="781" spans="1:35" x14ac:dyDescent="0.45">
      <c r="A781" t="s">
        <v>2215</v>
      </c>
      <c r="B781">
        <v>41</v>
      </c>
      <c r="C781" t="s">
        <v>44</v>
      </c>
      <c r="D781" t="s">
        <v>45</v>
      </c>
      <c r="E781" t="s">
        <v>29</v>
      </c>
      <c r="F781" t="s">
        <v>2614</v>
      </c>
      <c r="G781" t="s">
        <v>440</v>
      </c>
      <c r="H781" t="s">
        <v>81</v>
      </c>
      <c r="I781" t="s">
        <v>33</v>
      </c>
      <c r="J781" t="s">
        <v>1846</v>
      </c>
      <c r="K781" t="s">
        <v>2216</v>
      </c>
      <c r="L781" t="s">
        <v>52</v>
      </c>
      <c r="M781" t="s">
        <v>75</v>
      </c>
      <c r="N781" t="s">
        <v>54</v>
      </c>
      <c r="O781" t="s">
        <v>52</v>
      </c>
      <c r="P781" t="s">
        <v>55</v>
      </c>
      <c r="Q781" t="s">
        <v>67</v>
      </c>
      <c r="R781">
        <v>81</v>
      </c>
      <c r="S781">
        <v>0</v>
      </c>
      <c r="T781" t="s">
        <v>85</v>
      </c>
      <c r="U781" t="s">
        <v>57</v>
      </c>
      <c r="V781">
        <v>4.37</v>
      </c>
      <c r="W781">
        <v>2.19</v>
      </c>
      <c r="X781">
        <v>1.7</v>
      </c>
      <c r="Y781">
        <v>9.1</v>
      </c>
      <c r="Z781">
        <v>5.2</v>
      </c>
      <c r="AA781">
        <f>VALUE(SUBSTITUTE(DACS19___Pfizer’s_Personalised_Medicine_in[[#This Row],[Dose]],"mg",""))</f>
        <v>100</v>
      </c>
      <c r="AB781">
        <f t="shared" si="84"/>
        <v>100</v>
      </c>
      <c r="AC781" t="s">
        <v>67</v>
      </c>
      <c r="AD781">
        <f t="shared" si="85"/>
        <v>2</v>
      </c>
      <c r="AE781">
        <f t="shared" si="86"/>
        <v>2</v>
      </c>
      <c r="AF781" t="e">
        <f t="shared" si="87"/>
        <v>#N/A</v>
      </c>
      <c r="AG781" t="e">
        <f t="shared" si="88"/>
        <v>#N/A</v>
      </c>
      <c r="AH781" t="e">
        <f t="shared" si="89"/>
        <v>#N/A</v>
      </c>
      <c r="AI781">
        <f t="shared" si="90"/>
        <v>2.19</v>
      </c>
    </row>
    <row r="782" spans="1:35" x14ac:dyDescent="0.45">
      <c r="A782" t="s">
        <v>2217</v>
      </c>
      <c r="B782">
        <v>38</v>
      </c>
      <c r="C782" t="s">
        <v>44</v>
      </c>
      <c r="D782" t="s">
        <v>28</v>
      </c>
      <c r="E782" t="s">
        <v>78</v>
      </c>
      <c r="F782" t="s">
        <v>2614</v>
      </c>
      <c r="G782" t="s">
        <v>48</v>
      </c>
      <c r="H782" t="s">
        <v>71</v>
      </c>
      <c r="I782" t="s">
        <v>49</v>
      </c>
      <c r="J782" t="s">
        <v>956</v>
      </c>
      <c r="K782" t="s">
        <v>2218</v>
      </c>
      <c r="L782" t="s">
        <v>52</v>
      </c>
      <c r="M782" t="s">
        <v>40</v>
      </c>
      <c r="N782" t="s">
        <v>258</v>
      </c>
      <c r="O782" t="s">
        <v>52</v>
      </c>
      <c r="P782" t="s">
        <v>39</v>
      </c>
      <c r="Q782" t="s">
        <v>129</v>
      </c>
      <c r="R782">
        <v>98</v>
      </c>
      <c r="S782">
        <v>1</v>
      </c>
      <c r="T782" t="s">
        <v>56</v>
      </c>
      <c r="U782" t="s">
        <v>57</v>
      </c>
      <c r="V782">
        <v>1.49</v>
      </c>
      <c r="W782">
        <v>3.07</v>
      </c>
      <c r="X782">
        <v>3.2</v>
      </c>
      <c r="Y782">
        <v>12.4</v>
      </c>
      <c r="Z782">
        <v>19.8</v>
      </c>
      <c r="AA782">
        <f>VALUE(SUBSTITUTE(DACS19___Pfizer’s_Personalised_Medicine_in[[#This Row],[Dose]],"mg",""))</f>
        <v>100</v>
      </c>
      <c r="AB782">
        <f t="shared" si="84"/>
        <v>100</v>
      </c>
      <c r="AC782" t="s">
        <v>129</v>
      </c>
      <c r="AD782">
        <f t="shared" si="85"/>
        <v>4</v>
      </c>
      <c r="AE782">
        <f t="shared" si="86"/>
        <v>3</v>
      </c>
      <c r="AF782" t="e">
        <f t="shared" si="87"/>
        <v>#N/A</v>
      </c>
      <c r="AG782">
        <f t="shared" si="88"/>
        <v>3.07</v>
      </c>
      <c r="AH782" t="e">
        <f t="shared" si="89"/>
        <v>#N/A</v>
      </c>
      <c r="AI782" t="e">
        <f t="shared" si="90"/>
        <v>#N/A</v>
      </c>
    </row>
    <row r="783" spans="1:35" x14ac:dyDescent="0.45">
      <c r="A783" t="s">
        <v>2219</v>
      </c>
      <c r="B783">
        <v>72</v>
      </c>
      <c r="C783" t="s">
        <v>27</v>
      </c>
      <c r="D783" t="s">
        <v>28</v>
      </c>
      <c r="E783" t="s">
        <v>2614</v>
      </c>
      <c r="F783" t="s">
        <v>2614</v>
      </c>
      <c r="G783" t="s">
        <v>164</v>
      </c>
      <c r="H783" t="s">
        <v>61</v>
      </c>
      <c r="I783" t="s">
        <v>49</v>
      </c>
      <c r="J783" t="s">
        <v>1043</v>
      </c>
      <c r="K783" t="s">
        <v>1555</v>
      </c>
      <c r="L783" t="s">
        <v>36</v>
      </c>
      <c r="M783" t="s">
        <v>2614</v>
      </c>
      <c r="N783" t="s">
        <v>300</v>
      </c>
      <c r="O783" t="s">
        <v>36</v>
      </c>
      <c r="P783" t="s">
        <v>39</v>
      </c>
      <c r="Q783" t="s">
        <v>2614</v>
      </c>
      <c r="R783">
        <v>179</v>
      </c>
      <c r="S783">
        <v>1</v>
      </c>
      <c r="T783" t="s">
        <v>41</v>
      </c>
      <c r="U783" t="s">
        <v>42</v>
      </c>
      <c r="V783">
        <v>3.74</v>
      </c>
      <c r="W783">
        <v>4.8</v>
      </c>
      <c r="X783">
        <v>2.2999999999999998</v>
      </c>
      <c r="Y783">
        <v>12.9</v>
      </c>
      <c r="Z783">
        <v>12.4</v>
      </c>
      <c r="AA783">
        <f>VALUE(SUBSTITUTE(DACS19___Pfizer’s_Personalised_Medicine_in[[#This Row],[Dose]],"mg",""))</f>
        <v>200</v>
      </c>
      <c r="AB783">
        <f t="shared" si="84"/>
        <v>200</v>
      </c>
      <c r="AC783" t="s">
        <v>2614</v>
      </c>
      <c r="AD783">
        <f t="shared" si="85"/>
        <v>0</v>
      </c>
      <c r="AE783">
        <f t="shared" si="86"/>
        <v>3</v>
      </c>
      <c r="AF783">
        <f t="shared" si="87"/>
        <v>4.8</v>
      </c>
      <c r="AG783" t="e">
        <f t="shared" si="88"/>
        <v>#N/A</v>
      </c>
      <c r="AH783" t="e">
        <f t="shared" si="89"/>
        <v>#N/A</v>
      </c>
      <c r="AI783" t="e">
        <f t="shared" si="90"/>
        <v>#N/A</v>
      </c>
    </row>
    <row r="784" spans="1:35" x14ac:dyDescent="0.45">
      <c r="A784" t="s">
        <v>2220</v>
      </c>
      <c r="B784">
        <v>52</v>
      </c>
      <c r="C784" t="s">
        <v>45</v>
      </c>
      <c r="D784" t="s">
        <v>87</v>
      </c>
      <c r="E784" t="s">
        <v>2614</v>
      </c>
      <c r="F784" t="s">
        <v>88</v>
      </c>
      <c r="G784" t="s">
        <v>31</v>
      </c>
      <c r="H784" t="s">
        <v>71</v>
      </c>
      <c r="I784" t="s">
        <v>49</v>
      </c>
      <c r="J784" t="s">
        <v>2221</v>
      </c>
      <c r="K784" t="s">
        <v>1006</v>
      </c>
      <c r="L784" t="s">
        <v>92</v>
      </c>
      <c r="M784" t="s">
        <v>2617</v>
      </c>
      <c r="N784" t="s">
        <v>567</v>
      </c>
      <c r="O784" t="s">
        <v>92</v>
      </c>
      <c r="P784" t="s">
        <v>110</v>
      </c>
      <c r="Q784" t="s">
        <v>40</v>
      </c>
      <c r="R784">
        <v>87</v>
      </c>
      <c r="S784">
        <v>0</v>
      </c>
      <c r="T784" t="s">
        <v>123</v>
      </c>
      <c r="U784" t="s">
        <v>42</v>
      </c>
      <c r="V784">
        <v>1.31</v>
      </c>
      <c r="W784">
        <v>1.02</v>
      </c>
      <c r="X784">
        <v>7</v>
      </c>
      <c r="Y784">
        <v>17.600000000000001</v>
      </c>
      <c r="Z784">
        <v>10</v>
      </c>
      <c r="AA784">
        <f>VALUE(SUBSTITUTE(DACS19___Pfizer’s_Personalised_Medicine_in[[#This Row],[Dose]],"mg",""))</f>
        <v>50</v>
      </c>
      <c r="AB784">
        <f t="shared" si="84"/>
        <v>50</v>
      </c>
      <c r="AC784" t="s">
        <v>40</v>
      </c>
      <c r="AD784">
        <f t="shared" si="85"/>
        <v>3</v>
      </c>
      <c r="AE784">
        <f t="shared" si="86"/>
        <v>1</v>
      </c>
      <c r="AF784" t="e">
        <f t="shared" si="87"/>
        <v>#N/A</v>
      </c>
      <c r="AG784">
        <f t="shared" si="88"/>
        <v>1.02</v>
      </c>
      <c r="AH784" t="e">
        <f t="shared" si="89"/>
        <v>#N/A</v>
      </c>
      <c r="AI784" t="e">
        <f t="shared" si="90"/>
        <v>#N/A</v>
      </c>
    </row>
    <row r="785" spans="1:35" x14ac:dyDescent="0.45">
      <c r="A785" t="s">
        <v>2222</v>
      </c>
      <c r="B785">
        <v>77</v>
      </c>
      <c r="C785" t="s">
        <v>45</v>
      </c>
      <c r="D785" t="s">
        <v>95</v>
      </c>
      <c r="E785" t="s">
        <v>163</v>
      </c>
      <c r="F785" t="s">
        <v>2614</v>
      </c>
      <c r="G785" t="s">
        <v>131</v>
      </c>
      <c r="H785" t="s">
        <v>32</v>
      </c>
      <c r="I785" t="s">
        <v>49</v>
      </c>
      <c r="J785" t="s">
        <v>277</v>
      </c>
      <c r="K785" t="s">
        <v>1679</v>
      </c>
      <c r="L785" t="s">
        <v>52</v>
      </c>
      <c r="M785" t="s">
        <v>2639</v>
      </c>
      <c r="N785" t="s">
        <v>1565</v>
      </c>
      <c r="O785" t="s">
        <v>52</v>
      </c>
      <c r="P785" t="s">
        <v>55</v>
      </c>
      <c r="Q785" t="s">
        <v>75</v>
      </c>
      <c r="R785">
        <v>98</v>
      </c>
      <c r="S785">
        <v>0</v>
      </c>
      <c r="T785" t="s">
        <v>41</v>
      </c>
      <c r="U785" t="s">
        <v>42</v>
      </c>
      <c r="V785">
        <v>2.96</v>
      </c>
      <c r="W785">
        <v>2.66</v>
      </c>
      <c r="X785">
        <v>1.2</v>
      </c>
      <c r="Y785">
        <v>12</v>
      </c>
      <c r="Z785">
        <v>6</v>
      </c>
      <c r="AA785">
        <f>VALUE(SUBSTITUTE(DACS19___Pfizer’s_Personalised_Medicine_in[[#This Row],[Dose]],"mg",""))</f>
        <v>100</v>
      </c>
      <c r="AB785">
        <f t="shared" si="84"/>
        <v>100</v>
      </c>
      <c r="AC785" t="s">
        <v>75</v>
      </c>
      <c r="AD785">
        <f t="shared" si="85"/>
        <v>1</v>
      </c>
      <c r="AE785">
        <f t="shared" si="86"/>
        <v>2</v>
      </c>
      <c r="AF785" t="e">
        <f t="shared" si="87"/>
        <v>#N/A</v>
      </c>
      <c r="AG785" t="e">
        <f t="shared" si="88"/>
        <v>#N/A</v>
      </c>
      <c r="AH785">
        <f t="shared" si="89"/>
        <v>2.66</v>
      </c>
      <c r="AI785" t="e">
        <f t="shared" si="90"/>
        <v>#N/A</v>
      </c>
    </row>
    <row r="786" spans="1:35" x14ac:dyDescent="0.45">
      <c r="A786" t="s">
        <v>2223</v>
      </c>
      <c r="B786">
        <v>40</v>
      </c>
      <c r="C786" t="s">
        <v>44</v>
      </c>
      <c r="D786" t="s">
        <v>95</v>
      </c>
      <c r="E786" t="s">
        <v>46</v>
      </c>
      <c r="F786" t="s">
        <v>69</v>
      </c>
      <c r="G786" t="s">
        <v>80</v>
      </c>
      <c r="H786" t="s">
        <v>32</v>
      </c>
      <c r="I786" t="s">
        <v>49</v>
      </c>
      <c r="J786" t="s">
        <v>82</v>
      </c>
      <c r="K786" t="s">
        <v>83</v>
      </c>
      <c r="L786" t="s">
        <v>92</v>
      </c>
      <c r="M786" t="s">
        <v>2638</v>
      </c>
      <c r="N786" t="s">
        <v>1031</v>
      </c>
      <c r="O786" t="s">
        <v>92</v>
      </c>
      <c r="P786" t="s">
        <v>39</v>
      </c>
      <c r="Q786" t="s">
        <v>129</v>
      </c>
      <c r="R786">
        <v>84</v>
      </c>
      <c r="S786">
        <v>1</v>
      </c>
      <c r="T786" t="s">
        <v>56</v>
      </c>
      <c r="U786" t="s">
        <v>42</v>
      </c>
      <c r="V786">
        <v>1.39</v>
      </c>
      <c r="W786">
        <v>4.83</v>
      </c>
      <c r="X786">
        <v>6.4</v>
      </c>
      <c r="Y786">
        <v>19.100000000000001</v>
      </c>
      <c r="Z786">
        <v>8.4</v>
      </c>
      <c r="AA786">
        <f>VALUE(SUBSTITUTE(DACS19___Pfizer’s_Personalised_Medicine_in[[#This Row],[Dose]],"mg",""))</f>
        <v>50</v>
      </c>
      <c r="AB786">
        <f t="shared" si="84"/>
        <v>50</v>
      </c>
      <c r="AC786" t="s">
        <v>129</v>
      </c>
      <c r="AD786">
        <f t="shared" si="85"/>
        <v>4</v>
      </c>
      <c r="AE786">
        <f t="shared" si="86"/>
        <v>3</v>
      </c>
      <c r="AF786" t="e">
        <f t="shared" si="87"/>
        <v>#N/A</v>
      </c>
      <c r="AG786" t="e">
        <f t="shared" si="88"/>
        <v>#N/A</v>
      </c>
      <c r="AH786">
        <f t="shared" si="89"/>
        <v>4.83</v>
      </c>
      <c r="AI786" t="e">
        <f t="shared" si="90"/>
        <v>#N/A</v>
      </c>
    </row>
    <row r="787" spans="1:35" x14ac:dyDescent="0.45">
      <c r="A787" t="s">
        <v>2224</v>
      </c>
      <c r="B787">
        <v>83</v>
      </c>
      <c r="C787" t="s">
        <v>44</v>
      </c>
      <c r="D787" t="s">
        <v>45</v>
      </c>
      <c r="E787" t="s">
        <v>46</v>
      </c>
      <c r="F787" t="s">
        <v>47</v>
      </c>
      <c r="G787" t="s">
        <v>118</v>
      </c>
      <c r="H787" t="s">
        <v>71</v>
      </c>
      <c r="I787" t="s">
        <v>49</v>
      </c>
      <c r="J787" t="s">
        <v>1863</v>
      </c>
      <c r="K787" t="s">
        <v>126</v>
      </c>
      <c r="L787" t="s">
        <v>92</v>
      </c>
      <c r="M787" t="s">
        <v>2614</v>
      </c>
      <c r="N787" t="s">
        <v>501</v>
      </c>
      <c r="O787" t="s">
        <v>92</v>
      </c>
      <c r="P787" t="s">
        <v>110</v>
      </c>
      <c r="Q787" t="s">
        <v>75</v>
      </c>
      <c r="R787">
        <v>176</v>
      </c>
      <c r="S787">
        <v>0</v>
      </c>
      <c r="T787" t="s">
        <v>85</v>
      </c>
      <c r="U787" t="s">
        <v>57</v>
      </c>
      <c r="V787">
        <v>2.57</v>
      </c>
      <c r="W787">
        <v>1.95</v>
      </c>
      <c r="X787">
        <v>1.9</v>
      </c>
      <c r="Y787">
        <v>9.1999999999999993</v>
      </c>
      <c r="Z787">
        <v>16.600000000000001</v>
      </c>
      <c r="AA787">
        <f>VALUE(SUBSTITUTE(DACS19___Pfizer’s_Personalised_Medicine_in[[#This Row],[Dose]],"mg",""))</f>
        <v>50</v>
      </c>
      <c r="AB787">
        <f t="shared" si="84"/>
        <v>50</v>
      </c>
      <c r="AC787" t="s">
        <v>75</v>
      </c>
      <c r="AD787">
        <f t="shared" si="85"/>
        <v>1</v>
      </c>
      <c r="AE787">
        <f t="shared" si="86"/>
        <v>1</v>
      </c>
      <c r="AF787" t="e">
        <f t="shared" si="87"/>
        <v>#N/A</v>
      </c>
      <c r="AG787">
        <f t="shared" si="88"/>
        <v>1.95</v>
      </c>
      <c r="AH787" t="e">
        <f t="shared" si="89"/>
        <v>#N/A</v>
      </c>
      <c r="AI787" t="e">
        <f t="shared" si="90"/>
        <v>#N/A</v>
      </c>
    </row>
    <row r="788" spans="1:35" x14ac:dyDescent="0.45">
      <c r="A788" t="s">
        <v>2225</v>
      </c>
      <c r="B788">
        <v>36</v>
      </c>
      <c r="C788" t="s">
        <v>27</v>
      </c>
      <c r="D788" t="s">
        <v>87</v>
      </c>
      <c r="E788" t="s">
        <v>78</v>
      </c>
      <c r="F788" t="s">
        <v>2614</v>
      </c>
      <c r="G788" t="s">
        <v>178</v>
      </c>
      <c r="H788" t="s">
        <v>32</v>
      </c>
      <c r="I788" t="s">
        <v>49</v>
      </c>
      <c r="J788" t="s">
        <v>2226</v>
      </c>
      <c r="K788" t="s">
        <v>1735</v>
      </c>
      <c r="L788" t="s">
        <v>64</v>
      </c>
      <c r="M788" t="s">
        <v>249</v>
      </c>
      <c r="N788" t="s">
        <v>1004</v>
      </c>
      <c r="O788" t="s">
        <v>64</v>
      </c>
      <c r="P788" t="s">
        <v>55</v>
      </c>
      <c r="Q788" t="s">
        <v>75</v>
      </c>
      <c r="R788">
        <v>161</v>
      </c>
      <c r="S788">
        <v>0</v>
      </c>
      <c r="T788" t="s">
        <v>41</v>
      </c>
      <c r="U788" t="s">
        <v>57</v>
      </c>
      <c r="V788">
        <v>3.71</v>
      </c>
      <c r="W788">
        <v>3.19</v>
      </c>
      <c r="X788">
        <v>5.3</v>
      </c>
      <c r="Y788">
        <v>22.6</v>
      </c>
      <c r="Z788">
        <v>4.2</v>
      </c>
      <c r="AA788">
        <f>VALUE(SUBSTITUTE(DACS19___Pfizer’s_Personalised_Medicine_in[[#This Row],[Dose]],"mg",""))</f>
        <v>150</v>
      </c>
      <c r="AB788">
        <f t="shared" si="84"/>
        <v>150</v>
      </c>
      <c r="AC788" t="s">
        <v>75</v>
      </c>
      <c r="AD788">
        <f t="shared" si="85"/>
        <v>1</v>
      </c>
      <c r="AE788">
        <f t="shared" si="86"/>
        <v>2</v>
      </c>
      <c r="AF788" t="e">
        <f t="shared" si="87"/>
        <v>#N/A</v>
      </c>
      <c r="AG788" t="e">
        <f t="shared" si="88"/>
        <v>#N/A</v>
      </c>
      <c r="AH788">
        <f t="shared" si="89"/>
        <v>3.19</v>
      </c>
      <c r="AI788" t="e">
        <f t="shared" si="90"/>
        <v>#N/A</v>
      </c>
    </row>
    <row r="789" spans="1:35" x14ac:dyDescent="0.45">
      <c r="A789" t="s">
        <v>2227</v>
      </c>
      <c r="B789">
        <v>82</v>
      </c>
      <c r="C789" t="s">
        <v>44</v>
      </c>
      <c r="D789" t="s">
        <v>95</v>
      </c>
      <c r="E789" t="s">
        <v>163</v>
      </c>
      <c r="F789" t="s">
        <v>2614</v>
      </c>
      <c r="G789" t="s">
        <v>118</v>
      </c>
      <c r="H789" t="s">
        <v>61</v>
      </c>
      <c r="I789" t="s">
        <v>132</v>
      </c>
      <c r="J789" t="s">
        <v>2228</v>
      </c>
      <c r="K789" t="s">
        <v>643</v>
      </c>
      <c r="L789" t="s">
        <v>64</v>
      </c>
      <c r="M789" t="s">
        <v>274</v>
      </c>
      <c r="N789" t="s">
        <v>128</v>
      </c>
      <c r="O789" t="s">
        <v>64</v>
      </c>
      <c r="P789" t="s">
        <v>55</v>
      </c>
      <c r="Q789" t="s">
        <v>75</v>
      </c>
      <c r="R789">
        <v>51</v>
      </c>
      <c r="S789">
        <v>0</v>
      </c>
      <c r="T789" t="s">
        <v>137</v>
      </c>
      <c r="U789" t="s">
        <v>57</v>
      </c>
      <c r="V789">
        <v>2.12</v>
      </c>
      <c r="W789">
        <v>2.4</v>
      </c>
      <c r="X789">
        <v>8</v>
      </c>
      <c r="Y789">
        <v>23.9</v>
      </c>
      <c r="Z789">
        <v>7.1</v>
      </c>
      <c r="AA789">
        <f>VALUE(SUBSTITUTE(DACS19___Pfizer’s_Personalised_Medicine_in[[#This Row],[Dose]],"mg",""))</f>
        <v>150</v>
      </c>
      <c r="AB789">
        <f t="shared" si="84"/>
        <v>150</v>
      </c>
      <c r="AC789" t="s">
        <v>75</v>
      </c>
      <c r="AD789">
        <f t="shared" si="85"/>
        <v>1</v>
      </c>
      <c r="AE789">
        <f t="shared" si="86"/>
        <v>2</v>
      </c>
      <c r="AF789">
        <f t="shared" si="87"/>
        <v>2.4</v>
      </c>
      <c r="AG789" t="e">
        <f t="shared" si="88"/>
        <v>#N/A</v>
      </c>
      <c r="AH789" t="e">
        <f t="shared" si="89"/>
        <v>#N/A</v>
      </c>
      <c r="AI789" t="e">
        <f t="shared" si="90"/>
        <v>#N/A</v>
      </c>
    </row>
    <row r="790" spans="1:35" x14ac:dyDescent="0.45">
      <c r="A790" t="s">
        <v>2229</v>
      </c>
      <c r="B790">
        <v>29</v>
      </c>
      <c r="C790" t="s">
        <v>45</v>
      </c>
      <c r="D790" t="s">
        <v>87</v>
      </c>
      <c r="E790" t="s">
        <v>46</v>
      </c>
      <c r="F790" t="s">
        <v>2614</v>
      </c>
      <c r="G790" t="s">
        <v>70</v>
      </c>
      <c r="H790" t="s">
        <v>32</v>
      </c>
      <c r="I790" t="s">
        <v>72</v>
      </c>
      <c r="J790" t="s">
        <v>242</v>
      </c>
      <c r="K790" t="s">
        <v>2230</v>
      </c>
      <c r="L790" t="s">
        <v>52</v>
      </c>
      <c r="M790" t="s">
        <v>500</v>
      </c>
      <c r="N790" t="s">
        <v>254</v>
      </c>
      <c r="O790" t="s">
        <v>52</v>
      </c>
      <c r="P790" t="s">
        <v>110</v>
      </c>
      <c r="Q790" t="s">
        <v>129</v>
      </c>
      <c r="R790">
        <v>98</v>
      </c>
      <c r="S790">
        <v>0</v>
      </c>
      <c r="T790" t="s">
        <v>123</v>
      </c>
      <c r="U790" t="s">
        <v>57</v>
      </c>
      <c r="V790">
        <v>4.5</v>
      </c>
      <c r="W790">
        <v>4.32</v>
      </c>
      <c r="X790">
        <v>3</v>
      </c>
      <c r="Y790">
        <v>13.2</v>
      </c>
      <c r="Z790">
        <v>10</v>
      </c>
      <c r="AA790">
        <f>VALUE(SUBSTITUTE(DACS19___Pfizer’s_Personalised_Medicine_in[[#This Row],[Dose]],"mg",""))</f>
        <v>100</v>
      </c>
      <c r="AB790">
        <f t="shared" si="84"/>
        <v>100</v>
      </c>
      <c r="AC790" t="s">
        <v>129</v>
      </c>
      <c r="AD790">
        <f t="shared" si="85"/>
        <v>4</v>
      </c>
      <c r="AE790">
        <f t="shared" si="86"/>
        <v>1</v>
      </c>
      <c r="AF790" t="e">
        <f t="shared" si="87"/>
        <v>#N/A</v>
      </c>
      <c r="AG790" t="e">
        <f t="shared" si="88"/>
        <v>#N/A</v>
      </c>
      <c r="AH790">
        <f t="shared" si="89"/>
        <v>4.32</v>
      </c>
      <c r="AI790" t="e">
        <f t="shared" si="90"/>
        <v>#N/A</v>
      </c>
    </row>
    <row r="791" spans="1:35" x14ac:dyDescent="0.45">
      <c r="A791" t="s">
        <v>2231</v>
      </c>
      <c r="B791">
        <v>47</v>
      </c>
      <c r="C791" t="s">
        <v>45</v>
      </c>
      <c r="D791" t="s">
        <v>87</v>
      </c>
      <c r="E791" t="s">
        <v>2614</v>
      </c>
      <c r="F791" t="s">
        <v>2614</v>
      </c>
      <c r="G791" t="s">
        <v>125</v>
      </c>
      <c r="H791" t="s">
        <v>81</v>
      </c>
      <c r="I791" t="s">
        <v>49</v>
      </c>
      <c r="J791" t="s">
        <v>738</v>
      </c>
      <c r="K791" t="s">
        <v>2232</v>
      </c>
      <c r="L791" t="s">
        <v>52</v>
      </c>
      <c r="M791" t="s">
        <v>40</v>
      </c>
      <c r="N791" t="s">
        <v>452</v>
      </c>
      <c r="O791" t="s">
        <v>52</v>
      </c>
      <c r="P791" t="s">
        <v>110</v>
      </c>
      <c r="Q791" t="s">
        <v>75</v>
      </c>
      <c r="R791">
        <v>172</v>
      </c>
      <c r="S791">
        <v>0</v>
      </c>
      <c r="T791" t="s">
        <v>41</v>
      </c>
      <c r="U791" t="s">
        <v>57</v>
      </c>
      <c r="V791">
        <v>4.91</v>
      </c>
      <c r="W791">
        <v>1.72</v>
      </c>
      <c r="X791">
        <v>8.1999999999999993</v>
      </c>
      <c r="Y791">
        <v>12</v>
      </c>
      <c r="Z791">
        <v>15.4</v>
      </c>
      <c r="AA791">
        <f>VALUE(SUBSTITUTE(DACS19___Pfizer’s_Personalised_Medicine_in[[#This Row],[Dose]],"mg",""))</f>
        <v>100</v>
      </c>
      <c r="AB791">
        <f t="shared" si="84"/>
        <v>100</v>
      </c>
      <c r="AC791" t="s">
        <v>75</v>
      </c>
      <c r="AD791">
        <f t="shared" si="85"/>
        <v>1</v>
      </c>
      <c r="AE791">
        <f t="shared" si="86"/>
        <v>1</v>
      </c>
      <c r="AF791" t="e">
        <f t="shared" si="87"/>
        <v>#N/A</v>
      </c>
      <c r="AG791" t="e">
        <f t="shared" si="88"/>
        <v>#N/A</v>
      </c>
      <c r="AH791" t="e">
        <f t="shared" si="89"/>
        <v>#N/A</v>
      </c>
      <c r="AI791">
        <f t="shared" si="90"/>
        <v>1.72</v>
      </c>
    </row>
    <row r="792" spans="1:35" x14ac:dyDescent="0.45">
      <c r="A792" t="s">
        <v>2233</v>
      </c>
      <c r="B792">
        <v>66</v>
      </c>
      <c r="C792" t="s">
        <v>44</v>
      </c>
      <c r="D792" t="s">
        <v>87</v>
      </c>
      <c r="E792" t="s">
        <v>78</v>
      </c>
      <c r="F792" t="s">
        <v>2614</v>
      </c>
      <c r="G792" t="s">
        <v>131</v>
      </c>
      <c r="H792" t="s">
        <v>71</v>
      </c>
      <c r="I792" t="s">
        <v>132</v>
      </c>
      <c r="J792" t="s">
        <v>2234</v>
      </c>
      <c r="K792" t="s">
        <v>1103</v>
      </c>
      <c r="L792" t="s">
        <v>64</v>
      </c>
      <c r="M792" t="s">
        <v>2631</v>
      </c>
      <c r="N792" t="s">
        <v>1571</v>
      </c>
      <c r="O792" t="s">
        <v>64</v>
      </c>
      <c r="P792" t="s">
        <v>110</v>
      </c>
      <c r="Q792" t="s">
        <v>2614</v>
      </c>
      <c r="R792">
        <v>139</v>
      </c>
      <c r="S792">
        <v>0</v>
      </c>
      <c r="T792" t="s">
        <v>123</v>
      </c>
      <c r="U792" t="s">
        <v>57</v>
      </c>
      <c r="V792">
        <v>2.68</v>
      </c>
      <c r="W792">
        <v>3.31</v>
      </c>
      <c r="X792">
        <v>8.5</v>
      </c>
      <c r="Y792">
        <v>20.5</v>
      </c>
      <c r="Z792">
        <v>17.7</v>
      </c>
      <c r="AA792">
        <f>VALUE(SUBSTITUTE(DACS19___Pfizer’s_Personalised_Medicine_in[[#This Row],[Dose]],"mg",""))</f>
        <v>150</v>
      </c>
      <c r="AB792">
        <f t="shared" si="84"/>
        <v>150</v>
      </c>
      <c r="AC792" t="s">
        <v>2614</v>
      </c>
      <c r="AD792">
        <f t="shared" si="85"/>
        <v>0</v>
      </c>
      <c r="AE792">
        <f t="shared" si="86"/>
        <v>1</v>
      </c>
      <c r="AF792" t="e">
        <f t="shared" si="87"/>
        <v>#N/A</v>
      </c>
      <c r="AG792">
        <f t="shared" si="88"/>
        <v>3.31</v>
      </c>
      <c r="AH792" t="e">
        <f t="shared" si="89"/>
        <v>#N/A</v>
      </c>
      <c r="AI792" t="e">
        <f t="shared" si="90"/>
        <v>#N/A</v>
      </c>
    </row>
    <row r="793" spans="1:35" x14ac:dyDescent="0.45">
      <c r="A793" t="s">
        <v>2235</v>
      </c>
      <c r="B793">
        <v>75</v>
      </c>
      <c r="C793" t="s">
        <v>45</v>
      </c>
      <c r="D793" t="s">
        <v>28</v>
      </c>
      <c r="E793" t="s">
        <v>46</v>
      </c>
      <c r="F793" t="s">
        <v>88</v>
      </c>
      <c r="G793" t="s">
        <v>96</v>
      </c>
      <c r="H793" t="s">
        <v>32</v>
      </c>
      <c r="I793" t="s">
        <v>49</v>
      </c>
      <c r="J793" t="s">
        <v>389</v>
      </c>
      <c r="K793" t="s">
        <v>1021</v>
      </c>
      <c r="L793" t="s">
        <v>52</v>
      </c>
      <c r="M793" t="s">
        <v>2637</v>
      </c>
      <c r="N793" t="s">
        <v>2118</v>
      </c>
      <c r="O793" t="s">
        <v>52</v>
      </c>
      <c r="P793" t="s">
        <v>39</v>
      </c>
      <c r="Q793" t="s">
        <v>129</v>
      </c>
      <c r="R793">
        <v>158</v>
      </c>
      <c r="S793">
        <v>1</v>
      </c>
      <c r="T793" t="s">
        <v>85</v>
      </c>
      <c r="U793" t="s">
        <v>42</v>
      </c>
      <c r="V793">
        <v>1.24</v>
      </c>
      <c r="W793">
        <v>3.77</v>
      </c>
      <c r="X793">
        <v>2.2999999999999998</v>
      </c>
      <c r="Y793">
        <v>13.5</v>
      </c>
      <c r="Z793">
        <v>12.3</v>
      </c>
      <c r="AA793">
        <f>VALUE(SUBSTITUTE(DACS19___Pfizer’s_Personalised_Medicine_in[[#This Row],[Dose]],"mg",""))</f>
        <v>100</v>
      </c>
      <c r="AB793">
        <f t="shared" si="84"/>
        <v>100</v>
      </c>
      <c r="AC793" t="s">
        <v>129</v>
      </c>
      <c r="AD793">
        <f t="shared" si="85"/>
        <v>4</v>
      </c>
      <c r="AE793">
        <f t="shared" si="86"/>
        <v>3</v>
      </c>
      <c r="AF793" t="e">
        <f t="shared" si="87"/>
        <v>#N/A</v>
      </c>
      <c r="AG793" t="e">
        <f t="shared" si="88"/>
        <v>#N/A</v>
      </c>
      <c r="AH793">
        <f t="shared" si="89"/>
        <v>3.77</v>
      </c>
      <c r="AI793" t="e">
        <f t="shared" si="90"/>
        <v>#N/A</v>
      </c>
    </row>
    <row r="794" spans="1:35" x14ac:dyDescent="0.45">
      <c r="A794" t="s">
        <v>2236</v>
      </c>
      <c r="B794">
        <v>52</v>
      </c>
      <c r="C794" t="s">
        <v>45</v>
      </c>
      <c r="D794" t="s">
        <v>95</v>
      </c>
      <c r="E794" t="s">
        <v>29</v>
      </c>
      <c r="F794" t="s">
        <v>2614</v>
      </c>
      <c r="G794" t="s">
        <v>60</v>
      </c>
      <c r="H794" t="s">
        <v>61</v>
      </c>
      <c r="I794" t="s">
        <v>33</v>
      </c>
      <c r="J794" t="s">
        <v>2237</v>
      </c>
      <c r="K794" t="s">
        <v>1068</v>
      </c>
      <c r="L794" t="s">
        <v>52</v>
      </c>
      <c r="M794" t="s">
        <v>908</v>
      </c>
      <c r="N794" t="s">
        <v>626</v>
      </c>
      <c r="O794" t="s">
        <v>52</v>
      </c>
      <c r="P794" t="s">
        <v>110</v>
      </c>
      <c r="Q794" t="s">
        <v>129</v>
      </c>
      <c r="R794">
        <v>52</v>
      </c>
      <c r="S794">
        <v>0</v>
      </c>
      <c r="T794" t="s">
        <v>137</v>
      </c>
      <c r="U794" t="s">
        <v>42</v>
      </c>
      <c r="V794">
        <v>2.61</v>
      </c>
      <c r="W794">
        <v>3.08</v>
      </c>
      <c r="X794">
        <v>10</v>
      </c>
      <c r="Y794">
        <v>8.4</v>
      </c>
      <c r="Z794">
        <v>14.5</v>
      </c>
      <c r="AA794">
        <f>VALUE(SUBSTITUTE(DACS19___Pfizer’s_Personalised_Medicine_in[[#This Row],[Dose]],"mg",""))</f>
        <v>100</v>
      </c>
      <c r="AB794">
        <f t="shared" si="84"/>
        <v>100</v>
      </c>
      <c r="AC794" t="s">
        <v>129</v>
      </c>
      <c r="AD794">
        <f t="shared" si="85"/>
        <v>4</v>
      </c>
      <c r="AE794">
        <f t="shared" si="86"/>
        <v>1</v>
      </c>
      <c r="AF794">
        <f t="shared" si="87"/>
        <v>3.08</v>
      </c>
      <c r="AG794" t="e">
        <f t="shared" si="88"/>
        <v>#N/A</v>
      </c>
      <c r="AH794" t="e">
        <f t="shared" si="89"/>
        <v>#N/A</v>
      </c>
      <c r="AI794" t="e">
        <f t="shared" si="90"/>
        <v>#N/A</v>
      </c>
    </row>
    <row r="795" spans="1:35" x14ac:dyDescent="0.45">
      <c r="A795" t="s">
        <v>2238</v>
      </c>
      <c r="B795">
        <v>45</v>
      </c>
      <c r="C795" t="s">
        <v>27</v>
      </c>
      <c r="D795" t="s">
        <v>45</v>
      </c>
      <c r="E795" t="s">
        <v>46</v>
      </c>
      <c r="F795" t="s">
        <v>69</v>
      </c>
      <c r="G795" t="s">
        <v>112</v>
      </c>
      <c r="H795" t="s">
        <v>71</v>
      </c>
      <c r="I795" t="s">
        <v>33</v>
      </c>
      <c r="J795" t="s">
        <v>2239</v>
      </c>
      <c r="K795" t="s">
        <v>2240</v>
      </c>
      <c r="L795" t="s">
        <v>36</v>
      </c>
      <c r="M795" t="s">
        <v>2614</v>
      </c>
      <c r="N795" t="s">
        <v>383</v>
      </c>
      <c r="O795" t="s">
        <v>36</v>
      </c>
      <c r="P795" t="s">
        <v>39</v>
      </c>
      <c r="Q795" t="s">
        <v>129</v>
      </c>
      <c r="R795">
        <v>95</v>
      </c>
      <c r="S795">
        <v>1</v>
      </c>
      <c r="T795" t="s">
        <v>137</v>
      </c>
      <c r="U795" t="s">
        <v>42</v>
      </c>
      <c r="V795">
        <v>2.58</v>
      </c>
      <c r="W795">
        <v>1.53</v>
      </c>
      <c r="X795">
        <v>2.4</v>
      </c>
      <c r="Y795">
        <v>23.1</v>
      </c>
      <c r="Z795">
        <v>18</v>
      </c>
      <c r="AA795">
        <f>VALUE(SUBSTITUTE(DACS19___Pfizer’s_Personalised_Medicine_in[[#This Row],[Dose]],"mg",""))</f>
        <v>200</v>
      </c>
      <c r="AB795">
        <f t="shared" si="84"/>
        <v>200</v>
      </c>
      <c r="AC795" t="s">
        <v>129</v>
      </c>
      <c r="AD795">
        <f t="shared" si="85"/>
        <v>4</v>
      </c>
      <c r="AE795">
        <f t="shared" si="86"/>
        <v>3</v>
      </c>
      <c r="AF795" t="e">
        <f t="shared" si="87"/>
        <v>#N/A</v>
      </c>
      <c r="AG795">
        <f t="shared" si="88"/>
        <v>1.53</v>
      </c>
      <c r="AH795" t="e">
        <f t="shared" si="89"/>
        <v>#N/A</v>
      </c>
      <c r="AI795" t="e">
        <f t="shared" si="90"/>
        <v>#N/A</v>
      </c>
    </row>
    <row r="796" spans="1:35" x14ac:dyDescent="0.45">
      <c r="A796" t="s">
        <v>2241</v>
      </c>
      <c r="B796">
        <v>69</v>
      </c>
      <c r="C796" t="s">
        <v>44</v>
      </c>
      <c r="D796" t="s">
        <v>87</v>
      </c>
      <c r="E796" t="s">
        <v>46</v>
      </c>
      <c r="F796" t="s">
        <v>59</v>
      </c>
      <c r="G796" t="s">
        <v>276</v>
      </c>
      <c r="H796" t="s">
        <v>81</v>
      </c>
      <c r="I796" t="s">
        <v>72</v>
      </c>
      <c r="J796" t="s">
        <v>1988</v>
      </c>
      <c r="K796" t="s">
        <v>1071</v>
      </c>
      <c r="L796" t="s">
        <v>36</v>
      </c>
      <c r="M796" t="s">
        <v>274</v>
      </c>
      <c r="N796" t="s">
        <v>156</v>
      </c>
      <c r="O796" t="s">
        <v>36</v>
      </c>
      <c r="P796" t="s">
        <v>55</v>
      </c>
      <c r="Q796" t="s">
        <v>2614</v>
      </c>
      <c r="R796">
        <v>37</v>
      </c>
      <c r="S796">
        <v>0</v>
      </c>
      <c r="T796" t="s">
        <v>85</v>
      </c>
      <c r="U796" t="s">
        <v>57</v>
      </c>
      <c r="V796">
        <v>4.63</v>
      </c>
      <c r="W796">
        <v>4.97</v>
      </c>
      <c r="X796">
        <v>2.9</v>
      </c>
      <c r="Y796">
        <v>12.4</v>
      </c>
      <c r="Z796">
        <v>14.4</v>
      </c>
      <c r="AA796">
        <f>VALUE(SUBSTITUTE(DACS19___Pfizer’s_Personalised_Medicine_in[[#This Row],[Dose]],"mg",""))</f>
        <v>200</v>
      </c>
      <c r="AB796">
        <f t="shared" si="84"/>
        <v>200</v>
      </c>
      <c r="AC796" t="s">
        <v>2614</v>
      </c>
      <c r="AD796">
        <f t="shared" si="85"/>
        <v>0</v>
      </c>
      <c r="AE796">
        <f t="shared" si="86"/>
        <v>2</v>
      </c>
      <c r="AF796" t="e">
        <f t="shared" si="87"/>
        <v>#N/A</v>
      </c>
      <c r="AG796" t="e">
        <f t="shared" si="88"/>
        <v>#N/A</v>
      </c>
      <c r="AH796" t="e">
        <f t="shared" si="89"/>
        <v>#N/A</v>
      </c>
      <c r="AI796">
        <f t="shared" si="90"/>
        <v>4.97</v>
      </c>
    </row>
    <row r="797" spans="1:35" x14ac:dyDescent="0.45">
      <c r="A797" t="s">
        <v>2242</v>
      </c>
      <c r="B797">
        <v>69</v>
      </c>
      <c r="C797" t="s">
        <v>27</v>
      </c>
      <c r="D797" t="s">
        <v>95</v>
      </c>
      <c r="E797" t="s">
        <v>78</v>
      </c>
      <c r="F797" t="s">
        <v>2614</v>
      </c>
      <c r="G797" t="s">
        <v>125</v>
      </c>
      <c r="H797" t="s">
        <v>71</v>
      </c>
      <c r="I797" t="s">
        <v>132</v>
      </c>
      <c r="J797" t="s">
        <v>552</v>
      </c>
      <c r="K797" t="s">
        <v>722</v>
      </c>
      <c r="L797" t="s">
        <v>92</v>
      </c>
      <c r="M797" t="s">
        <v>362</v>
      </c>
      <c r="N797" t="s">
        <v>971</v>
      </c>
      <c r="O797" t="s">
        <v>92</v>
      </c>
      <c r="P797" t="s">
        <v>110</v>
      </c>
      <c r="Q797" t="s">
        <v>67</v>
      </c>
      <c r="R797">
        <v>54</v>
      </c>
      <c r="S797">
        <v>0</v>
      </c>
      <c r="T797" t="s">
        <v>137</v>
      </c>
      <c r="U797" t="s">
        <v>42</v>
      </c>
      <c r="V797">
        <v>2.94</v>
      </c>
      <c r="W797">
        <v>2.67</v>
      </c>
      <c r="X797">
        <v>4.2</v>
      </c>
      <c r="Y797">
        <v>16.7</v>
      </c>
      <c r="Z797">
        <v>12.8</v>
      </c>
      <c r="AA797">
        <f>VALUE(SUBSTITUTE(DACS19___Pfizer’s_Personalised_Medicine_in[[#This Row],[Dose]],"mg",""))</f>
        <v>50</v>
      </c>
      <c r="AB797">
        <f t="shared" si="84"/>
        <v>50</v>
      </c>
      <c r="AC797" t="s">
        <v>67</v>
      </c>
      <c r="AD797">
        <f t="shared" si="85"/>
        <v>2</v>
      </c>
      <c r="AE797">
        <f t="shared" si="86"/>
        <v>1</v>
      </c>
      <c r="AF797" t="e">
        <f t="shared" si="87"/>
        <v>#N/A</v>
      </c>
      <c r="AG797">
        <f t="shared" si="88"/>
        <v>2.67</v>
      </c>
      <c r="AH797" t="e">
        <f t="shared" si="89"/>
        <v>#N/A</v>
      </c>
      <c r="AI797" t="e">
        <f t="shared" si="90"/>
        <v>#N/A</v>
      </c>
    </row>
    <row r="798" spans="1:35" x14ac:dyDescent="0.45">
      <c r="A798" t="s">
        <v>2243</v>
      </c>
      <c r="B798">
        <v>74</v>
      </c>
      <c r="C798" t="s">
        <v>44</v>
      </c>
      <c r="D798" t="s">
        <v>95</v>
      </c>
      <c r="E798" t="s">
        <v>29</v>
      </c>
      <c r="F798" t="s">
        <v>2614</v>
      </c>
      <c r="G798" t="s">
        <v>102</v>
      </c>
      <c r="H798" t="s">
        <v>71</v>
      </c>
      <c r="I798" t="s">
        <v>132</v>
      </c>
      <c r="J798" t="s">
        <v>2244</v>
      </c>
      <c r="K798" t="s">
        <v>1183</v>
      </c>
      <c r="L798" t="s">
        <v>36</v>
      </c>
      <c r="M798" t="s">
        <v>378</v>
      </c>
      <c r="N798" t="s">
        <v>66</v>
      </c>
      <c r="O798" t="s">
        <v>36</v>
      </c>
      <c r="P798" t="s">
        <v>110</v>
      </c>
      <c r="Q798" t="s">
        <v>75</v>
      </c>
      <c r="R798">
        <v>93</v>
      </c>
      <c r="S798">
        <v>0</v>
      </c>
      <c r="T798" t="s">
        <v>85</v>
      </c>
      <c r="U798" t="s">
        <v>57</v>
      </c>
      <c r="V798">
        <v>1.65</v>
      </c>
      <c r="W798">
        <v>2.89</v>
      </c>
      <c r="X798">
        <v>6</v>
      </c>
      <c r="Y798">
        <v>16.3</v>
      </c>
      <c r="Z798">
        <v>6.6</v>
      </c>
      <c r="AA798">
        <f>VALUE(SUBSTITUTE(DACS19___Pfizer’s_Personalised_Medicine_in[[#This Row],[Dose]],"mg",""))</f>
        <v>200</v>
      </c>
      <c r="AB798">
        <f t="shared" si="84"/>
        <v>200</v>
      </c>
      <c r="AC798" t="s">
        <v>75</v>
      </c>
      <c r="AD798">
        <f t="shared" si="85"/>
        <v>1</v>
      </c>
      <c r="AE798">
        <f t="shared" si="86"/>
        <v>1</v>
      </c>
      <c r="AF798" t="e">
        <f t="shared" si="87"/>
        <v>#N/A</v>
      </c>
      <c r="AG798">
        <f t="shared" si="88"/>
        <v>2.89</v>
      </c>
      <c r="AH798" t="e">
        <f t="shared" si="89"/>
        <v>#N/A</v>
      </c>
      <c r="AI798" t="e">
        <f t="shared" si="90"/>
        <v>#N/A</v>
      </c>
    </row>
    <row r="799" spans="1:35" x14ac:dyDescent="0.45">
      <c r="A799" t="s">
        <v>2245</v>
      </c>
      <c r="B799">
        <v>74</v>
      </c>
      <c r="C799" t="s">
        <v>44</v>
      </c>
      <c r="D799" t="s">
        <v>45</v>
      </c>
      <c r="E799" t="s">
        <v>78</v>
      </c>
      <c r="F799" t="s">
        <v>2614</v>
      </c>
      <c r="G799" t="s">
        <v>125</v>
      </c>
      <c r="H799" t="s">
        <v>32</v>
      </c>
      <c r="I799" t="s">
        <v>132</v>
      </c>
      <c r="J799" t="s">
        <v>2246</v>
      </c>
      <c r="K799" t="s">
        <v>2247</v>
      </c>
      <c r="L799" t="s">
        <v>92</v>
      </c>
      <c r="M799" t="s">
        <v>129</v>
      </c>
      <c r="N799" t="s">
        <v>66</v>
      </c>
      <c r="O799" t="s">
        <v>92</v>
      </c>
      <c r="P799" t="s">
        <v>39</v>
      </c>
      <c r="Q799" t="s">
        <v>75</v>
      </c>
      <c r="R799">
        <v>76</v>
      </c>
      <c r="S799">
        <v>1</v>
      </c>
      <c r="T799" t="s">
        <v>123</v>
      </c>
      <c r="U799" t="s">
        <v>57</v>
      </c>
      <c r="V799">
        <v>3.97</v>
      </c>
      <c r="W799">
        <v>1.1000000000000001</v>
      </c>
      <c r="X799">
        <v>4.2</v>
      </c>
      <c r="Y799">
        <v>20</v>
      </c>
      <c r="Z799">
        <v>12.6</v>
      </c>
      <c r="AA799">
        <f>VALUE(SUBSTITUTE(DACS19___Pfizer’s_Personalised_Medicine_in[[#This Row],[Dose]],"mg",""))</f>
        <v>50</v>
      </c>
      <c r="AB799">
        <f t="shared" si="84"/>
        <v>50</v>
      </c>
      <c r="AC799" t="s">
        <v>75</v>
      </c>
      <c r="AD799">
        <f t="shared" si="85"/>
        <v>1</v>
      </c>
      <c r="AE799">
        <f t="shared" si="86"/>
        <v>3</v>
      </c>
      <c r="AF799" t="e">
        <f t="shared" si="87"/>
        <v>#N/A</v>
      </c>
      <c r="AG799" t="e">
        <f t="shared" si="88"/>
        <v>#N/A</v>
      </c>
      <c r="AH799">
        <f t="shared" si="89"/>
        <v>1.1000000000000001</v>
      </c>
      <c r="AI799" t="e">
        <f t="shared" si="90"/>
        <v>#N/A</v>
      </c>
    </row>
    <row r="800" spans="1:35" x14ac:dyDescent="0.45">
      <c r="A800" t="s">
        <v>2248</v>
      </c>
      <c r="B800">
        <v>64</v>
      </c>
      <c r="C800" t="s">
        <v>27</v>
      </c>
      <c r="D800" t="s">
        <v>95</v>
      </c>
      <c r="E800" t="s">
        <v>163</v>
      </c>
      <c r="F800" t="s">
        <v>88</v>
      </c>
      <c r="G800" t="s">
        <v>70</v>
      </c>
      <c r="H800" t="s">
        <v>61</v>
      </c>
      <c r="I800" t="s">
        <v>33</v>
      </c>
      <c r="J800" t="s">
        <v>2249</v>
      </c>
      <c r="K800" t="s">
        <v>1812</v>
      </c>
      <c r="L800" t="s">
        <v>36</v>
      </c>
      <c r="M800" t="s">
        <v>40</v>
      </c>
      <c r="N800" t="s">
        <v>521</v>
      </c>
      <c r="O800" t="s">
        <v>36</v>
      </c>
      <c r="P800" t="s">
        <v>39</v>
      </c>
      <c r="Q800" t="s">
        <v>40</v>
      </c>
      <c r="R800">
        <v>62</v>
      </c>
      <c r="S800">
        <v>1</v>
      </c>
      <c r="T800" t="s">
        <v>123</v>
      </c>
      <c r="U800" t="s">
        <v>57</v>
      </c>
      <c r="V800">
        <v>2.04</v>
      </c>
      <c r="W800">
        <v>3.78</v>
      </c>
      <c r="X800">
        <v>6.1</v>
      </c>
      <c r="Y800">
        <v>20.3</v>
      </c>
      <c r="Z800">
        <v>15.5</v>
      </c>
      <c r="AA800">
        <f>VALUE(SUBSTITUTE(DACS19___Pfizer’s_Personalised_Medicine_in[[#This Row],[Dose]],"mg",""))</f>
        <v>200</v>
      </c>
      <c r="AB800">
        <f t="shared" si="84"/>
        <v>200</v>
      </c>
      <c r="AC800" t="s">
        <v>40</v>
      </c>
      <c r="AD800">
        <f t="shared" si="85"/>
        <v>3</v>
      </c>
      <c r="AE800">
        <f t="shared" si="86"/>
        <v>3</v>
      </c>
      <c r="AF800">
        <f t="shared" si="87"/>
        <v>3.78</v>
      </c>
      <c r="AG800" t="e">
        <f t="shared" si="88"/>
        <v>#N/A</v>
      </c>
      <c r="AH800" t="e">
        <f t="shared" si="89"/>
        <v>#N/A</v>
      </c>
      <c r="AI800" t="e">
        <f t="shared" si="90"/>
        <v>#N/A</v>
      </c>
    </row>
    <row r="801" spans="1:35" x14ac:dyDescent="0.45">
      <c r="A801" t="s">
        <v>2250</v>
      </c>
      <c r="B801">
        <v>59</v>
      </c>
      <c r="C801" t="s">
        <v>44</v>
      </c>
      <c r="D801" t="s">
        <v>45</v>
      </c>
      <c r="E801" t="s">
        <v>163</v>
      </c>
      <c r="F801" t="s">
        <v>88</v>
      </c>
      <c r="G801" t="s">
        <v>118</v>
      </c>
      <c r="H801" t="s">
        <v>61</v>
      </c>
      <c r="I801" t="s">
        <v>132</v>
      </c>
      <c r="J801" t="s">
        <v>1983</v>
      </c>
      <c r="K801" t="s">
        <v>2251</v>
      </c>
      <c r="L801" t="s">
        <v>64</v>
      </c>
      <c r="M801" t="s">
        <v>129</v>
      </c>
      <c r="N801" t="s">
        <v>491</v>
      </c>
      <c r="O801" t="s">
        <v>64</v>
      </c>
      <c r="P801" t="s">
        <v>55</v>
      </c>
      <c r="Q801" t="s">
        <v>40</v>
      </c>
      <c r="R801">
        <v>100</v>
      </c>
      <c r="S801">
        <v>0</v>
      </c>
      <c r="T801" t="s">
        <v>85</v>
      </c>
      <c r="U801" t="s">
        <v>57</v>
      </c>
      <c r="V801">
        <v>3.44</v>
      </c>
      <c r="W801">
        <v>2.95</v>
      </c>
      <c r="X801">
        <v>2.2000000000000002</v>
      </c>
      <c r="Y801">
        <v>10.7</v>
      </c>
      <c r="Z801">
        <v>10.1</v>
      </c>
      <c r="AA801">
        <f>VALUE(SUBSTITUTE(DACS19___Pfizer’s_Personalised_Medicine_in[[#This Row],[Dose]],"mg",""))</f>
        <v>150</v>
      </c>
      <c r="AB801">
        <f t="shared" si="84"/>
        <v>150</v>
      </c>
      <c r="AC801" t="s">
        <v>40</v>
      </c>
      <c r="AD801">
        <f t="shared" si="85"/>
        <v>3</v>
      </c>
      <c r="AE801">
        <f t="shared" si="86"/>
        <v>2</v>
      </c>
      <c r="AF801">
        <f t="shared" si="87"/>
        <v>2.95</v>
      </c>
      <c r="AG801" t="e">
        <f t="shared" si="88"/>
        <v>#N/A</v>
      </c>
      <c r="AH801" t="e">
        <f t="shared" si="89"/>
        <v>#N/A</v>
      </c>
      <c r="AI801" t="e">
        <f t="shared" si="90"/>
        <v>#N/A</v>
      </c>
    </row>
    <row r="802" spans="1:35" x14ac:dyDescent="0.45">
      <c r="A802" t="s">
        <v>2252</v>
      </c>
      <c r="B802">
        <v>73</v>
      </c>
      <c r="C802" t="s">
        <v>44</v>
      </c>
      <c r="D802" t="s">
        <v>95</v>
      </c>
      <c r="E802" t="s">
        <v>163</v>
      </c>
      <c r="F802" t="s">
        <v>47</v>
      </c>
      <c r="G802" t="s">
        <v>184</v>
      </c>
      <c r="H802" t="s">
        <v>71</v>
      </c>
      <c r="I802" t="s">
        <v>49</v>
      </c>
      <c r="J802" t="s">
        <v>2253</v>
      </c>
      <c r="K802" t="s">
        <v>2254</v>
      </c>
      <c r="L802" t="s">
        <v>36</v>
      </c>
      <c r="M802" t="s">
        <v>2639</v>
      </c>
      <c r="N802" t="s">
        <v>507</v>
      </c>
      <c r="O802" t="s">
        <v>36</v>
      </c>
      <c r="P802" t="s">
        <v>55</v>
      </c>
      <c r="Q802" t="s">
        <v>2614</v>
      </c>
      <c r="R802">
        <v>111</v>
      </c>
      <c r="S802">
        <v>0</v>
      </c>
      <c r="T802" t="s">
        <v>41</v>
      </c>
      <c r="U802" t="s">
        <v>42</v>
      </c>
      <c r="V802">
        <v>3.4</v>
      </c>
      <c r="W802">
        <v>3.05</v>
      </c>
      <c r="X802">
        <v>3.6</v>
      </c>
      <c r="Y802">
        <v>6.1</v>
      </c>
      <c r="Z802">
        <v>11.4</v>
      </c>
      <c r="AA802">
        <f>VALUE(SUBSTITUTE(DACS19___Pfizer’s_Personalised_Medicine_in[[#This Row],[Dose]],"mg",""))</f>
        <v>200</v>
      </c>
      <c r="AB802">
        <f t="shared" si="84"/>
        <v>200</v>
      </c>
      <c r="AC802" t="s">
        <v>2614</v>
      </c>
      <c r="AD802">
        <f t="shared" si="85"/>
        <v>0</v>
      </c>
      <c r="AE802">
        <f t="shared" si="86"/>
        <v>2</v>
      </c>
      <c r="AF802" t="e">
        <f t="shared" si="87"/>
        <v>#N/A</v>
      </c>
      <c r="AG802">
        <f t="shared" si="88"/>
        <v>3.05</v>
      </c>
      <c r="AH802" t="e">
        <f t="shared" si="89"/>
        <v>#N/A</v>
      </c>
      <c r="AI802" t="e">
        <f t="shared" si="90"/>
        <v>#N/A</v>
      </c>
    </row>
    <row r="803" spans="1:35" x14ac:dyDescent="0.45">
      <c r="A803" t="s">
        <v>2255</v>
      </c>
      <c r="B803">
        <v>82</v>
      </c>
      <c r="C803" t="s">
        <v>45</v>
      </c>
      <c r="D803" t="s">
        <v>87</v>
      </c>
      <c r="E803" t="s">
        <v>78</v>
      </c>
      <c r="F803" t="s">
        <v>59</v>
      </c>
      <c r="G803" t="s">
        <v>184</v>
      </c>
      <c r="H803" t="s">
        <v>81</v>
      </c>
      <c r="I803" t="s">
        <v>33</v>
      </c>
      <c r="J803" t="s">
        <v>2256</v>
      </c>
      <c r="K803" t="s">
        <v>62</v>
      </c>
      <c r="L803" t="s">
        <v>36</v>
      </c>
      <c r="M803" t="s">
        <v>2639</v>
      </c>
      <c r="N803" t="s">
        <v>176</v>
      </c>
      <c r="O803" t="s">
        <v>36</v>
      </c>
      <c r="P803" t="s">
        <v>55</v>
      </c>
      <c r="Q803" t="s">
        <v>2614</v>
      </c>
      <c r="R803">
        <v>118</v>
      </c>
      <c r="S803">
        <v>0</v>
      </c>
      <c r="T803" t="s">
        <v>41</v>
      </c>
      <c r="U803" t="s">
        <v>42</v>
      </c>
      <c r="V803">
        <v>2.14</v>
      </c>
      <c r="W803">
        <v>3.94</v>
      </c>
      <c r="X803">
        <v>1.2</v>
      </c>
      <c r="Y803">
        <v>16.5</v>
      </c>
      <c r="Z803">
        <v>19</v>
      </c>
      <c r="AA803">
        <f>VALUE(SUBSTITUTE(DACS19___Pfizer’s_Personalised_Medicine_in[[#This Row],[Dose]],"mg",""))</f>
        <v>200</v>
      </c>
      <c r="AB803">
        <f t="shared" si="84"/>
        <v>200</v>
      </c>
      <c r="AC803" t="s">
        <v>2614</v>
      </c>
      <c r="AD803">
        <f t="shared" si="85"/>
        <v>0</v>
      </c>
      <c r="AE803">
        <f t="shared" si="86"/>
        <v>2</v>
      </c>
      <c r="AF803" t="e">
        <f t="shared" si="87"/>
        <v>#N/A</v>
      </c>
      <c r="AG803" t="e">
        <f t="shared" si="88"/>
        <v>#N/A</v>
      </c>
      <c r="AH803" t="e">
        <f t="shared" si="89"/>
        <v>#N/A</v>
      </c>
      <c r="AI803">
        <f t="shared" si="90"/>
        <v>3.94</v>
      </c>
    </row>
    <row r="804" spans="1:35" x14ac:dyDescent="0.45">
      <c r="A804" t="s">
        <v>2257</v>
      </c>
      <c r="B804">
        <v>19</v>
      </c>
      <c r="C804" t="s">
        <v>45</v>
      </c>
      <c r="D804" t="s">
        <v>95</v>
      </c>
      <c r="E804" t="s">
        <v>46</v>
      </c>
      <c r="F804" t="s">
        <v>2614</v>
      </c>
      <c r="G804" t="s">
        <v>102</v>
      </c>
      <c r="H804" t="s">
        <v>71</v>
      </c>
      <c r="I804" t="s">
        <v>72</v>
      </c>
      <c r="J804" t="s">
        <v>2258</v>
      </c>
      <c r="K804" t="s">
        <v>628</v>
      </c>
      <c r="L804" t="s">
        <v>36</v>
      </c>
      <c r="M804" t="s">
        <v>500</v>
      </c>
      <c r="N804" t="s">
        <v>763</v>
      </c>
      <c r="O804" t="s">
        <v>36</v>
      </c>
      <c r="P804" t="s">
        <v>55</v>
      </c>
      <c r="Q804" t="s">
        <v>67</v>
      </c>
      <c r="R804">
        <v>110</v>
      </c>
      <c r="S804">
        <v>0</v>
      </c>
      <c r="T804" t="s">
        <v>85</v>
      </c>
      <c r="U804" t="s">
        <v>42</v>
      </c>
      <c r="V804">
        <v>1.7</v>
      </c>
      <c r="W804">
        <v>2.89</v>
      </c>
      <c r="X804">
        <v>1.8</v>
      </c>
      <c r="Y804">
        <v>17.3</v>
      </c>
      <c r="Z804">
        <v>12.4</v>
      </c>
      <c r="AA804">
        <f>VALUE(SUBSTITUTE(DACS19___Pfizer’s_Personalised_Medicine_in[[#This Row],[Dose]],"mg",""))</f>
        <v>200</v>
      </c>
      <c r="AB804">
        <f t="shared" si="84"/>
        <v>200</v>
      </c>
      <c r="AC804" t="s">
        <v>67</v>
      </c>
      <c r="AD804">
        <f t="shared" si="85"/>
        <v>2</v>
      </c>
      <c r="AE804">
        <f t="shared" si="86"/>
        <v>2</v>
      </c>
      <c r="AF804" t="e">
        <f t="shared" si="87"/>
        <v>#N/A</v>
      </c>
      <c r="AG804">
        <f t="shared" si="88"/>
        <v>2.89</v>
      </c>
      <c r="AH804" t="e">
        <f t="shared" si="89"/>
        <v>#N/A</v>
      </c>
      <c r="AI804" t="e">
        <f t="shared" si="90"/>
        <v>#N/A</v>
      </c>
    </row>
    <row r="805" spans="1:35" x14ac:dyDescent="0.45">
      <c r="A805" t="s">
        <v>2259</v>
      </c>
      <c r="B805">
        <v>67</v>
      </c>
      <c r="C805" t="s">
        <v>27</v>
      </c>
      <c r="D805" t="s">
        <v>87</v>
      </c>
      <c r="E805" t="s">
        <v>163</v>
      </c>
      <c r="F805" t="s">
        <v>88</v>
      </c>
      <c r="G805" t="s">
        <v>125</v>
      </c>
      <c r="H805" t="s">
        <v>32</v>
      </c>
      <c r="I805" t="s">
        <v>132</v>
      </c>
      <c r="J805" t="s">
        <v>1265</v>
      </c>
      <c r="K805" t="s">
        <v>2260</v>
      </c>
      <c r="L805" t="s">
        <v>92</v>
      </c>
      <c r="M805" t="s">
        <v>75</v>
      </c>
      <c r="N805" t="s">
        <v>182</v>
      </c>
      <c r="O805" t="s">
        <v>92</v>
      </c>
      <c r="P805" t="s">
        <v>39</v>
      </c>
      <c r="Q805" t="s">
        <v>40</v>
      </c>
      <c r="R805">
        <v>180</v>
      </c>
      <c r="S805">
        <v>1</v>
      </c>
      <c r="T805" t="s">
        <v>85</v>
      </c>
      <c r="U805" t="s">
        <v>57</v>
      </c>
      <c r="V805">
        <v>2.63</v>
      </c>
      <c r="W805">
        <v>3.09</v>
      </c>
      <c r="X805">
        <v>9.1</v>
      </c>
      <c r="Y805">
        <v>9.5</v>
      </c>
      <c r="Z805">
        <v>3.4</v>
      </c>
      <c r="AA805">
        <f>VALUE(SUBSTITUTE(DACS19___Pfizer’s_Personalised_Medicine_in[[#This Row],[Dose]],"mg",""))</f>
        <v>50</v>
      </c>
      <c r="AB805">
        <f t="shared" si="84"/>
        <v>50</v>
      </c>
      <c r="AC805" t="s">
        <v>40</v>
      </c>
      <c r="AD805">
        <f t="shared" si="85"/>
        <v>3</v>
      </c>
      <c r="AE805">
        <f t="shared" si="86"/>
        <v>3</v>
      </c>
      <c r="AF805" t="e">
        <f t="shared" si="87"/>
        <v>#N/A</v>
      </c>
      <c r="AG805" t="e">
        <f t="shared" si="88"/>
        <v>#N/A</v>
      </c>
      <c r="AH805">
        <f t="shared" si="89"/>
        <v>3.09</v>
      </c>
      <c r="AI805" t="e">
        <f t="shared" si="90"/>
        <v>#N/A</v>
      </c>
    </row>
    <row r="806" spans="1:35" x14ac:dyDescent="0.45">
      <c r="A806" t="s">
        <v>2261</v>
      </c>
      <c r="B806">
        <v>79</v>
      </c>
      <c r="C806" t="s">
        <v>45</v>
      </c>
      <c r="D806" t="s">
        <v>95</v>
      </c>
      <c r="E806" t="s">
        <v>29</v>
      </c>
      <c r="F806" t="s">
        <v>88</v>
      </c>
      <c r="G806" t="s">
        <v>112</v>
      </c>
      <c r="H806" t="s">
        <v>32</v>
      </c>
      <c r="I806" t="s">
        <v>33</v>
      </c>
      <c r="J806" t="s">
        <v>2262</v>
      </c>
      <c r="K806" t="s">
        <v>2263</v>
      </c>
      <c r="L806" t="s">
        <v>36</v>
      </c>
      <c r="M806" t="s">
        <v>469</v>
      </c>
      <c r="N806" t="s">
        <v>331</v>
      </c>
      <c r="O806" t="s">
        <v>36</v>
      </c>
      <c r="P806" t="s">
        <v>39</v>
      </c>
      <c r="Q806" t="s">
        <v>129</v>
      </c>
      <c r="R806">
        <v>72</v>
      </c>
      <c r="S806">
        <v>1</v>
      </c>
      <c r="T806" t="s">
        <v>123</v>
      </c>
      <c r="U806" t="s">
        <v>42</v>
      </c>
      <c r="V806">
        <v>4.45</v>
      </c>
      <c r="W806">
        <v>3.31</v>
      </c>
      <c r="X806">
        <v>9</v>
      </c>
      <c r="Y806">
        <v>16.7</v>
      </c>
      <c r="Z806">
        <v>16.8</v>
      </c>
      <c r="AA806">
        <f>VALUE(SUBSTITUTE(DACS19___Pfizer’s_Personalised_Medicine_in[[#This Row],[Dose]],"mg",""))</f>
        <v>200</v>
      </c>
      <c r="AB806">
        <f t="shared" si="84"/>
        <v>200</v>
      </c>
      <c r="AC806" t="s">
        <v>129</v>
      </c>
      <c r="AD806">
        <f t="shared" si="85"/>
        <v>4</v>
      </c>
      <c r="AE806">
        <f t="shared" si="86"/>
        <v>3</v>
      </c>
      <c r="AF806" t="e">
        <f t="shared" si="87"/>
        <v>#N/A</v>
      </c>
      <c r="AG806" t="e">
        <f t="shared" si="88"/>
        <v>#N/A</v>
      </c>
      <c r="AH806">
        <f t="shared" si="89"/>
        <v>3.31</v>
      </c>
      <c r="AI806" t="e">
        <f t="shared" si="90"/>
        <v>#N/A</v>
      </c>
    </row>
    <row r="807" spans="1:35" x14ac:dyDescent="0.45">
      <c r="A807" t="s">
        <v>2264</v>
      </c>
      <c r="B807">
        <v>85</v>
      </c>
      <c r="C807" t="s">
        <v>44</v>
      </c>
      <c r="D807" t="s">
        <v>106</v>
      </c>
      <c r="E807" t="s">
        <v>78</v>
      </c>
      <c r="F807" t="s">
        <v>47</v>
      </c>
      <c r="G807" t="s">
        <v>194</v>
      </c>
      <c r="H807" t="s">
        <v>81</v>
      </c>
      <c r="I807" t="s">
        <v>49</v>
      </c>
      <c r="J807" t="s">
        <v>1630</v>
      </c>
      <c r="K807" t="s">
        <v>570</v>
      </c>
      <c r="L807" t="s">
        <v>52</v>
      </c>
      <c r="M807" t="s">
        <v>2615</v>
      </c>
      <c r="N807" t="s">
        <v>763</v>
      </c>
      <c r="O807" t="s">
        <v>52</v>
      </c>
      <c r="P807" t="s">
        <v>39</v>
      </c>
      <c r="Q807" t="s">
        <v>129</v>
      </c>
      <c r="R807">
        <v>172</v>
      </c>
      <c r="S807">
        <v>1</v>
      </c>
      <c r="T807" t="s">
        <v>41</v>
      </c>
      <c r="U807" t="s">
        <v>57</v>
      </c>
      <c r="V807">
        <v>2.72</v>
      </c>
      <c r="W807">
        <v>4</v>
      </c>
      <c r="X807">
        <v>9.1999999999999993</v>
      </c>
      <c r="Y807">
        <v>16.3</v>
      </c>
      <c r="Z807">
        <v>6.1</v>
      </c>
      <c r="AA807">
        <f>VALUE(SUBSTITUTE(DACS19___Pfizer’s_Personalised_Medicine_in[[#This Row],[Dose]],"mg",""))</f>
        <v>100</v>
      </c>
      <c r="AB807">
        <f t="shared" si="84"/>
        <v>100</v>
      </c>
      <c r="AC807" t="s">
        <v>129</v>
      </c>
      <c r="AD807">
        <f t="shared" si="85"/>
        <v>4</v>
      </c>
      <c r="AE807">
        <f t="shared" si="86"/>
        <v>3</v>
      </c>
      <c r="AF807" t="e">
        <f t="shared" si="87"/>
        <v>#N/A</v>
      </c>
      <c r="AG807" t="e">
        <f t="shared" si="88"/>
        <v>#N/A</v>
      </c>
      <c r="AH807" t="e">
        <f t="shared" si="89"/>
        <v>#N/A</v>
      </c>
      <c r="AI807">
        <f t="shared" si="90"/>
        <v>4</v>
      </c>
    </row>
    <row r="808" spans="1:35" x14ac:dyDescent="0.45">
      <c r="A808" t="s">
        <v>2265</v>
      </c>
      <c r="B808">
        <v>50</v>
      </c>
      <c r="C808" t="s">
        <v>44</v>
      </c>
      <c r="D808" t="s">
        <v>28</v>
      </c>
      <c r="E808" t="s">
        <v>163</v>
      </c>
      <c r="F808" t="s">
        <v>47</v>
      </c>
      <c r="G808" t="s">
        <v>184</v>
      </c>
      <c r="H808" t="s">
        <v>32</v>
      </c>
      <c r="I808" t="s">
        <v>132</v>
      </c>
      <c r="J808" t="s">
        <v>2266</v>
      </c>
      <c r="K808" t="s">
        <v>1341</v>
      </c>
      <c r="L808" t="s">
        <v>52</v>
      </c>
      <c r="M808" t="s">
        <v>129</v>
      </c>
      <c r="N808" t="s">
        <v>76</v>
      </c>
      <c r="O808" t="s">
        <v>52</v>
      </c>
      <c r="P808" t="s">
        <v>39</v>
      </c>
      <c r="Q808" t="s">
        <v>67</v>
      </c>
      <c r="R808">
        <v>69</v>
      </c>
      <c r="S808">
        <v>1</v>
      </c>
      <c r="T808" t="s">
        <v>56</v>
      </c>
      <c r="U808" t="s">
        <v>57</v>
      </c>
      <c r="V808">
        <v>2.08</v>
      </c>
      <c r="W808">
        <v>1.79</v>
      </c>
      <c r="X808">
        <v>3.2</v>
      </c>
      <c r="Y808">
        <v>11.5</v>
      </c>
      <c r="Z808">
        <v>12.4</v>
      </c>
      <c r="AA808">
        <f>VALUE(SUBSTITUTE(DACS19___Pfizer’s_Personalised_Medicine_in[[#This Row],[Dose]],"mg",""))</f>
        <v>100</v>
      </c>
      <c r="AB808">
        <f t="shared" si="84"/>
        <v>100</v>
      </c>
      <c r="AC808" t="s">
        <v>67</v>
      </c>
      <c r="AD808">
        <f t="shared" si="85"/>
        <v>2</v>
      </c>
      <c r="AE808">
        <f t="shared" si="86"/>
        <v>3</v>
      </c>
      <c r="AF808" t="e">
        <f t="shared" si="87"/>
        <v>#N/A</v>
      </c>
      <c r="AG808" t="e">
        <f t="shared" si="88"/>
        <v>#N/A</v>
      </c>
      <c r="AH808">
        <f t="shared" si="89"/>
        <v>1.79</v>
      </c>
      <c r="AI808" t="e">
        <f t="shared" si="90"/>
        <v>#N/A</v>
      </c>
    </row>
    <row r="809" spans="1:35" x14ac:dyDescent="0.45">
      <c r="A809" t="s">
        <v>2267</v>
      </c>
      <c r="B809">
        <v>80</v>
      </c>
      <c r="C809" t="s">
        <v>45</v>
      </c>
      <c r="D809" t="s">
        <v>45</v>
      </c>
      <c r="E809" t="s">
        <v>163</v>
      </c>
      <c r="F809" t="s">
        <v>47</v>
      </c>
      <c r="G809" t="s">
        <v>89</v>
      </c>
      <c r="H809" t="s">
        <v>71</v>
      </c>
      <c r="I809" t="s">
        <v>132</v>
      </c>
      <c r="J809" t="s">
        <v>2268</v>
      </c>
      <c r="K809" t="s">
        <v>2269</v>
      </c>
      <c r="L809" t="s">
        <v>52</v>
      </c>
      <c r="M809" t="s">
        <v>2655</v>
      </c>
      <c r="N809" t="s">
        <v>958</v>
      </c>
      <c r="O809" t="s">
        <v>52</v>
      </c>
      <c r="P809" t="s">
        <v>39</v>
      </c>
      <c r="Q809" t="s">
        <v>40</v>
      </c>
      <c r="R809">
        <v>120</v>
      </c>
      <c r="S809">
        <v>1</v>
      </c>
      <c r="T809" t="s">
        <v>123</v>
      </c>
      <c r="U809" t="s">
        <v>42</v>
      </c>
      <c r="V809">
        <v>3.35</v>
      </c>
      <c r="W809">
        <v>2.71</v>
      </c>
      <c r="X809">
        <v>6.5</v>
      </c>
      <c r="Y809">
        <v>7.5</v>
      </c>
      <c r="Z809">
        <v>4.5</v>
      </c>
      <c r="AA809">
        <f>VALUE(SUBSTITUTE(DACS19___Pfizer’s_Personalised_Medicine_in[[#This Row],[Dose]],"mg",""))</f>
        <v>100</v>
      </c>
      <c r="AB809">
        <f t="shared" si="84"/>
        <v>100</v>
      </c>
      <c r="AC809" t="s">
        <v>40</v>
      </c>
      <c r="AD809">
        <f t="shared" si="85"/>
        <v>3</v>
      </c>
      <c r="AE809">
        <f t="shared" si="86"/>
        <v>3</v>
      </c>
      <c r="AF809" t="e">
        <f t="shared" si="87"/>
        <v>#N/A</v>
      </c>
      <c r="AG809">
        <f t="shared" si="88"/>
        <v>2.71</v>
      </c>
      <c r="AH809" t="e">
        <f t="shared" si="89"/>
        <v>#N/A</v>
      </c>
      <c r="AI809" t="e">
        <f t="shared" si="90"/>
        <v>#N/A</v>
      </c>
    </row>
    <row r="810" spans="1:35" x14ac:dyDescent="0.45">
      <c r="A810" t="s">
        <v>2270</v>
      </c>
      <c r="B810">
        <v>26</v>
      </c>
      <c r="C810" t="s">
        <v>45</v>
      </c>
      <c r="D810" t="s">
        <v>95</v>
      </c>
      <c r="E810" t="s">
        <v>46</v>
      </c>
      <c r="F810" t="s">
        <v>2614</v>
      </c>
      <c r="G810" t="s">
        <v>184</v>
      </c>
      <c r="H810" t="s">
        <v>32</v>
      </c>
      <c r="I810" t="s">
        <v>72</v>
      </c>
      <c r="J810" t="s">
        <v>2271</v>
      </c>
      <c r="K810" t="s">
        <v>1300</v>
      </c>
      <c r="L810" t="s">
        <v>52</v>
      </c>
      <c r="M810" t="s">
        <v>155</v>
      </c>
      <c r="N810" t="s">
        <v>1025</v>
      </c>
      <c r="O810" t="s">
        <v>52</v>
      </c>
      <c r="P810" t="s">
        <v>110</v>
      </c>
      <c r="Q810" t="s">
        <v>67</v>
      </c>
      <c r="R810">
        <v>114</v>
      </c>
      <c r="S810">
        <v>0</v>
      </c>
      <c r="T810" t="s">
        <v>41</v>
      </c>
      <c r="U810" t="s">
        <v>57</v>
      </c>
      <c r="V810">
        <v>1.69</v>
      </c>
      <c r="W810">
        <v>3.07</v>
      </c>
      <c r="X810">
        <v>2.9</v>
      </c>
      <c r="Y810">
        <v>11.1</v>
      </c>
      <c r="Z810">
        <v>9.8000000000000007</v>
      </c>
      <c r="AA810">
        <f>VALUE(SUBSTITUTE(DACS19___Pfizer’s_Personalised_Medicine_in[[#This Row],[Dose]],"mg",""))</f>
        <v>100</v>
      </c>
      <c r="AB810">
        <f t="shared" si="84"/>
        <v>100</v>
      </c>
      <c r="AC810" t="s">
        <v>67</v>
      </c>
      <c r="AD810">
        <f t="shared" si="85"/>
        <v>2</v>
      </c>
      <c r="AE810">
        <f t="shared" si="86"/>
        <v>1</v>
      </c>
      <c r="AF810" t="e">
        <f t="shared" si="87"/>
        <v>#N/A</v>
      </c>
      <c r="AG810" t="e">
        <f t="shared" si="88"/>
        <v>#N/A</v>
      </c>
      <c r="AH810">
        <f t="shared" si="89"/>
        <v>3.07</v>
      </c>
      <c r="AI810" t="e">
        <f t="shared" si="90"/>
        <v>#N/A</v>
      </c>
    </row>
    <row r="811" spans="1:35" x14ac:dyDescent="0.45">
      <c r="A811" t="s">
        <v>2272</v>
      </c>
      <c r="B811">
        <v>19</v>
      </c>
      <c r="C811" t="s">
        <v>27</v>
      </c>
      <c r="D811" t="s">
        <v>87</v>
      </c>
      <c r="E811" t="s">
        <v>29</v>
      </c>
      <c r="F811" t="s">
        <v>47</v>
      </c>
      <c r="G811" t="s">
        <v>440</v>
      </c>
      <c r="H811" t="s">
        <v>81</v>
      </c>
      <c r="I811" t="s">
        <v>132</v>
      </c>
      <c r="J811" t="s">
        <v>2273</v>
      </c>
      <c r="K811" t="s">
        <v>2274</v>
      </c>
      <c r="L811" t="s">
        <v>64</v>
      </c>
      <c r="M811" t="s">
        <v>2614</v>
      </c>
      <c r="N811" t="s">
        <v>818</v>
      </c>
      <c r="O811" t="s">
        <v>64</v>
      </c>
      <c r="P811" t="s">
        <v>55</v>
      </c>
      <c r="Q811" t="s">
        <v>2614</v>
      </c>
      <c r="R811">
        <v>96</v>
      </c>
      <c r="S811">
        <v>0</v>
      </c>
      <c r="T811" t="s">
        <v>137</v>
      </c>
      <c r="U811" t="s">
        <v>57</v>
      </c>
      <c r="V811">
        <v>4.25</v>
      </c>
      <c r="W811">
        <v>1.06</v>
      </c>
      <c r="X811">
        <v>6.8</v>
      </c>
      <c r="Y811">
        <v>18</v>
      </c>
      <c r="Z811">
        <v>16.600000000000001</v>
      </c>
      <c r="AA811">
        <f>VALUE(SUBSTITUTE(DACS19___Pfizer’s_Personalised_Medicine_in[[#This Row],[Dose]],"mg",""))</f>
        <v>150</v>
      </c>
      <c r="AB811">
        <f t="shared" si="84"/>
        <v>150</v>
      </c>
      <c r="AC811" t="s">
        <v>2614</v>
      </c>
      <c r="AD811">
        <f t="shared" si="85"/>
        <v>0</v>
      </c>
      <c r="AE811">
        <f t="shared" si="86"/>
        <v>2</v>
      </c>
      <c r="AF811" t="e">
        <f t="shared" si="87"/>
        <v>#N/A</v>
      </c>
      <c r="AG811" t="e">
        <f t="shared" si="88"/>
        <v>#N/A</v>
      </c>
      <c r="AH811" t="e">
        <f t="shared" si="89"/>
        <v>#N/A</v>
      </c>
      <c r="AI811">
        <f t="shared" si="90"/>
        <v>1.06</v>
      </c>
    </row>
    <row r="812" spans="1:35" x14ac:dyDescent="0.45">
      <c r="A812" t="s">
        <v>2275</v>
      </c>
      <c r="B812">
        <v>24</v>
      </c>
      <c r="C812" t="s">
        <v>45</v>
      </c>
      <c r="D812" t="s">
        <v>106</v>
      </c>
      <c r="E812" t="s">
        <v>29</v>
      </c>
      <c r="F812" t="s">
        <v>2614</v>
      </c>
      <c r="G812" t="s">
        <v>125</v>
      </c>
      <c r="H812" t="s">
        <v>81</v>
      </c>
      <c r="I812" t="s">
        <v>72</v>
      </c>
      <c r="J812" t="s">
        <v>174</v>
      </c>
      <c r="K812" t="s">
        <v>83</v>
      </c>
      <c r="L812" t="s">
        <v>92</v>
      </c>
      <c r="M812" t="s">
        <v>2614</v>
      </c>
      <c r="N812" t="s">
        <v>852</v>
      </c>
      <c r="O812" t="s">
        <v>92</v>
      </c>
      <c r="P812" t="s">
        <v>110</v>
      </c>
      <c r="Q812" t="s">
        <v>75</v>
      </c>
      <c r="R812">
        <v>61</v>
      </c>
      <c r="S812">
        <v>0</v>
      </c>
      <c r="T812" t="s">
        <v>41</v>
      </c>
      <c r="U812" t="s">
        <v>57</v>
      </c>
      <c r="V812">
        <v>4.7300000000000004</v>
      </c>
      <c r="W812">
        <v>1.08</v>
      </c>
      <c r="X812">
        <v>2.4</v>
      </c>
      <c r="Y812">
        <v>22</v>
      </c>
      <c r="Z812">
        <v>10.8</v>
      </c>
      <c r="AA812">
        <f>VALUE(SUBSTITUTE(DACS19___Pfizer’s_Personalised_Medicine_in[[#This Row],[Dose]],"mg",""))</f>
        <v>50</v>
      </c>
      <c r="AB812">
        <f t="shared" si="84"/>
        <v>50</v>
      </c>
      <c r="AC812" t="s">
        <v>75</v>
      </c>
      <c r="AD812">
        <f t="shared" si="85"/>
        <v>1</v>
      </c>
      <c r="AE812">
        <f t="shared" si="86"/>
        <v>1</v>
      </c>
      <c r="AF812" t="e">
        <f t="shared" si="87"/>
        <v>#N/A</v>
      </c>
      <c r="AG812" t="e">
        <f t="shared" si="88"/>
        <v>#N/A</v>
      </c>
      <c r="AH812" t="e">
        <f t="shared" si="89"/>
        <v>#N/A</v>
      </c>
      <c r="AI812">
        <f t="shared" si="90"/>
        <v>1.08</v>
      </c>
    </row>
    <row r="813" spans="1:35" x14ac:dyDescent="0.45">
      <c r="A813" t="s">
        <v>2276</v>
      </c>
      <c r="B813">
        <v>82</v>
      </c>
      <c r="C813" t="s">
        <v>45</v>
      </c>
      <c r="D813" t="s">
        <v>28</v>
      </c>
      <c r="E813" t="s">
        <v>29</v>
      </c>
      <c r="F813" t="s">
        <v>2614</v>
      </c>
      <c r="G813" t="s">
        <v>152</v>
      </c>
      <c r="H813" t="s">
        <v>81</v>
      </c>
      <c r="I813" t="s">
        <v>72</v>
      </c>
      <c r="J813" t="s">
        <v>1431</v>
      </c>
      <c r="K813" t="s">
        <v>498</v>
      </c>
      <c r="L813" t="s">
        <v>36</v>
      </c>
      <c r="M813" t="s">
        <v>266</v>
      </c>
      <c r="N813" t="s">
        <v>398</v>
      </c>
      <c r="O813" t="s">
        <v>36</v>
      </c>
      <c r="P813" t="s">
        <v>55</v>
      </c>
      <c r="Q813" t="s">
        <v>67</v>
      </c>
      <c r="R813">
        <v>94</v>
      </c>
      <c r="S813">
        <v>0</v>
      </c>
      <c r="T813" t="s">
        <v>56</v>
      </c>
      <c r="U813" t="s">
        <v>42</v>
      </c>
      <c r="V813">
        <v>3.26</v>
      </c>
      <c r="W813">
        <v>3.65</v>
      </c>
      <c r="X813">
        <v>7.1</v>
      </c>
      <c r="Y813">
        <v>22.8</v>
      </c>
      <c r="Z813">
        <v>19.899999999999999</v>
      </c>
      <c r="AA813">
        <f>VALUE(SUBSTITUTE(DACS19___Pfizer’s_Personalised_Medicine_in[[#This Row],[Dose]],"mg",""))</f>
        <v>200</v>
      </c>
      <c r="AB813">
        <f t="shared" si="84"/>
        <v>200</v>
      </c>
      <c r="AC813" t="s">
        <v>67</v>
      </c>
      <c r="AD813">
        <f t="shared" si="85"/>
        <v>2</v>
      </c>
      <c r="AE813">
        <f t="shared" si="86"/>
        <v>2</v>
      </c>
      <c r="AF813" t="e">
        <f t="shared" si="87"/>
        <v>#N/A</v>
      </c>
      <c r="AG813" t="e">
        <f t="shared" si="88"/>
        <v>#N/A</v>
      </c>
      <c r="AH813" t="e">
        <f t="shared" si="89"/>
        <v>#N/A</v>
      </c>
      <c r="AI813">
        <f t="shared" si="90"/>
        <v>3.65</v>
      </c>
    </row>
    <row r="814" spans="1:35" x14ac:dyDescent="0.45">
      <c r="A814" t="s">
        <v>2277</v>
      </c>
      <c r="B814">
        <v>22</v>
      </c>
      <c r="C814" t="s">
        <v>27</v>
      </c>
      <c r="D814" t="s">
        <v>45</v>
      </c>
      <c r="E814" t="s">
        <v>29</v>
      </c>
      <c r="F814" t="s">
        <v>2614</v>
      </c>
      <c r="G814" t="s">
        <v>131</v>
      </c>
      <c r="H814" t="s">
        <v>32</v>
      </c>
      <c r="I814" t="s">
        <v>72</v>
      </c>
      <c r="J814" t="s">
        <v>285</v>
      </c>
      <c r="K814" t="s">
        <v>433</v>
      </c>
      <c r="L814" t="s">
        <v>52</v>
      </c>
      <c r="M814" t="s">
        <v>2646</v>
      </c>
      <c r="N814" t="s">
        <v>387</v>
      </c>
      <c r="O814" t="s">
        <v>52</v>
      </c>
      <c r="P814" t="s">
        <v>39</v>
      </c>
      <c r="Q814" t="s">
        <v>75</v>
      </c>
      <c r="R814">
        <v>56</v>
      </c>
      <c r="S814">
        <v>1</v>
      </c>
      <c r="T814" t="s">
        <v>41</v>
      </c>
      <c r="U814" t="s">
        <v>42</v>
      </c>
      <c r="V814">
        <v>3.88</v>
      </c>
      <c r="W814">
        <v>2.15</v>
      </c>
      <c r="X814">
        <v>8.9</v>
      </c>
      <c r="Y814">
        <v>6.9</v>
      </c>
      <c r="Z814">
        <v>6.9</v>
      </c>
      <c r="AA814">
        <f>VALUE(SUBSTITUTE(DACS19___Pfizer’s_Personalised_Medicine_in[[#This Row],[Dose]],"mg",""))</f>
        <v>100</v>
      </c>
      <c r="AB814">
        <f t="shared" si="84"/>
        <v>100</v>
      </c>
      <c r="AC814" t="s">
        <v>75</v>
      </c>
      <c r="AD814">
        <f t="shared" si="85"/>
        <v>1</v>
      </c>
      <c r="AE814">
        <f t="shared" si="86"/>
        <v>3</v>
      </c>
      <c r="AF814" t="e">
        <f t="shared" si="87"/>
        <v>#N/A</v>
      </c>
      <c r="AG814" t="e">
        <f t="shared" si="88"/>
        <v>#N/A</v>
      </c>
      <c r="AH814">
        <f t="shared" si="89"/>
        <v>2.15</v>
      </c>
      <c r="AI814" t="e">
        <f t="shared" si="90"/>
        <v>#N/A</v>
      </c>
    </row>
    <row r="815" spans="1:35" x14ac:dyDescent="0.45">
      <c r="A815" t="s">
        <v>2278</v>
      </c>
      <c r="B815">
        <v>81</v>
      </c>
      <c r="C815" t="s">
        <v>27</v>
      </c>
      <c r="D815" t="s">
        <v>95</v>
      </c>
      <c r="E815" t="s">
        <v>46</v>
      </c>
      <c r="F815" t="s">
        <v>2614</v>
      </c>
      <c r="G815" t="s">
        <v>80</v>
      </c>
      <c r="H815" t="s">
        <v>71</v>
      </c>
      <c r="I815" t="s">
        <v>72</v>
      </c>
      <c r="J815" t="s">
        <v>2279</v>
      </c>
      <c r="K815" t="s">
        <v>2280</v>
      </c>
      <c r="L815" t="s">
        <v>52</v>
      </c>
      <c r="M815" t="s">
        <v>67</v>
      </c>
      <c r="N815" t="s">
        <v>619</v>
      </c>
      <c r="O815" t="s">
        <v>52</v>
      </c>
      <c r="P815" t="s">
        <v>39</v>
      </c>
      <c r="Q815" t="s">
        <v>129</v>
      </c>
      <c r="R815">
        <v>33</v>
      </c>
      <c r="S815">
        <v>1</v>
      </c>
      <c r="T815" t="s">
        <v>41</v>
      </c>
      <c r="U815" t="s">
        <v>42</v>
      </c>
      <c r="V815">
        <v>4.59</v>
      </c>
      <c r="W815">
        <v>2.02</v>
      </c>
      <c r="X815">
        <v>3</v>
      </c>
      <c r="Y815">
        <v>8.5</v>
      </c>
      <c r="Z815">
        <v>17.600000000000001</v>
      </c>
      <c r="AA815">
        <f>VALUE(SUBSTITUTE(DACS19___Pfizer’s_Personalised_Medicine_in[[#This Row],[Dose]],"mg",""))</f>
        <v>100</v>
      </c>
      <c r="AB815">
        <f t="shared" si="84"/>
        <v>100</v>
      </c>
      <c r="AC815" t="s">
        <v>129</v>
      </c>
      <c r="AD815">
        <f t="shared" si="85"/>
        <v>4</v>
      </c>
      <c r="AE815">
        <f t="shared" si="86"/>
        <v>3</v>
      </c>
      <c r="AF815" t="e">
        <f t="shared" si="87"/>
        <v>#N/A</v>
      </c>
      <c r="AG815">
        <f t="shared" si="88"/>
        <v>2.02</v>
      </c>
      <c r="AH815" t="e">
        <f t="shared" si="89"/>
        <v>#N/A</v>
      </c>
      <c r="AI815" t="e">
        <f t="shared" si="90"/>
        <v>#N/A</v>
      </c>
    </row>
    <row r="816" spans="1:35" x14ac:dyDescent="0.45">
      <c r="A816" t="s">
        <v>2281</v>
      </c>
      <c r="B816">
        <v>40</v>
      </c>
      <c r="C816" t="s">
        <v>27</v>
      </c>
      <c r="D816" t="s">
        <v>87</v>
      </c>
      <c r="E816" t="s">
        <v>163</v>
      </c>
      <c r="F816" t="s">
        <v>2614</v>
      </c>
      <c r="G816" t="s">
        <v>131</v>
      </c>
      <c r="H816" t="s">
        <v>81</v>
      </c>
      <c r="I816" t="s">
        <v>33</v>
      </c>
      <c r="J816" t="s">
        <v>2282</v>
      </c>
      <c r="K816" t="s">
        <v>2232</v>
      </c>
      <c r="L816" t="s">
        <v>36</v>
      </c>
      <c r="M816" t="s">
        <v>517</v>
      </c>
      <c r="N816" t="s">
        <v>1836</v>
      </c>
      <c r="O816" t="s">
        <v>36</v>
      </c>
      <c r="P816" t="s">
        <v>39</v>
      </c>
      <c r="Q816" t="s">
        <v>2614</v>
      </c>
      <c r="R816">
        <v>78</v>
      </c>
      <c r="S816">
        <v>1</v>
      </c>
      <c r="T816" t="s">
        <v>137</v>
      </c>
      <c r="U816" t="s">
        <v>57</v>
      </c>
      <c r="V816">
        <v>3</v>
      </c>
      <c r="W816">
        <v>3.7</v>
      </c>
      <c r="X816">
        <v>3.2</v>
      </c>
      <c r="Y816">
        <v>19.600000000000001</v>
      </c>
      <c r="Z816">
        <v>15.9</v>
      </c>
      <c r="AA816">
        <f>VALUE(SUBSTITUTE(DACS19___Pfizer’s_Personalised_Medicine_in[[#This Row],[Dose]],"mg",""))</f>
        <v>200</v>
      </c>
      <c r="AB816">
        <f t="shared" si="84"/>
        <v>200</v>
      </c>
      <c r="AC816" t="s">
        <v>2614</v>
      </c>
      <c r="AD816">
        <f t="shared" si="85"/>
        <v>0</v>
      </c>
      <c r="AE816">
        <f t="shared" si="86"/>
        <v>3</v>
      </c>
      <c r="AF816" t="e">
        <f t="shared" si="87"/>
        <v>#N/A</v>
      </c>
      <c r="AG816" t="e">
        <f t="shared" si="88"/>
        <v>#N/A</v>
      </c>
      <c r="AH816" t="e">
        <f t="shared" si="89"/>
        <v>#N/A</v>
      </c>
      <c r="AI816">
        <f t="shared" si="90"/>
        <v>3.7</v>
      </c>
    </row>
    <row r="817" spans="1:35" x14ac:dyDescent="0.45">
      <c r="A817" t="s">
        <v>2283</v>
      </c>
      <c r="B817">
        <v>29</v>
      </c>
      <c r="C817" t="s">
        <v>44</v>
      </c>
      <c r="D817" t="s">
        <v>87</v>
      </c>
      <c r="E817" t="s">
        <v>46</v>
      </c>
      <c r="F817" t="s">
        <v>2614</v>
      </c>
      <c r="G817" t="s">
        <v>276</v>
      </c>
      <c r="H817" t="s">
        <v>32</v>
      </c>
      <c r="I817" t="s">
        <v>72</v>
      </c>
      <c r="J817" t="s">
        <v>2284</v>
      </c>
      <c r="K817" t="s">
        <v>2285</v>
      </c>
      <c r="L817" t="s">
        <v>92</v>
      </c>
      <c r="M817" t="s">
        <v>2628</v>
      </c>
      <c r="N817" t="s">
        <v>1235</v>
      </c>
      <c r="O817" t="s">
        <v>92</v>
      </c>
      <c r="P817" t="s">
        <v>110</v>
      </c>
      <c r="Q817" t="s">
        <v>67</v>
      </c>
      <c r="R817">
        <v>79</v>
      </c>
      <c r="S817">
        <v>0</v>
      </c>
      <c r="T817" t="s">
        <v>137</v>
      </c>
      <c r="U817" t="s">
        <v>57</v>
      </c>
      <c r="V817">
        <v>2.25</v>
      </c>
      <c r="W817">
        <v>2.64</v>
      </c>
      <c r="X817">
        <v>2.9</v>
      </c>
      <c r="Y817">
        <v>23.6</v>
      </c>
      <c r="Z817">
        <v>14</v>
      </c>
      <c r="AA817">
        <f>VALUE(SUBSTITUTE(DACS19___Pfizer’s_Personalised_Medicine_in[[#This Row],[Dose]],"mg",""))</f>
        <v>50</v>
      </c>
      <c r="AB817">
        <f t="shared" si="84"/>
        <v>50</v>
      </c>
      <c r="AC817" t="s">
        <v>67</v>
      </c>
      <c r="AD817">
        <f t="shared" si="85"/>
        <v>2</v>
      </c>
      <c r="AE817">
        <f t="shared" si="86"/>
        <v>1</v>
      </c>
      <c r="AF817" t="e">
        <f t="shared" si="87"/>
        <v>#N/A</v>
      </c>
      <c r="AG817" t="e">
        <f t="shared" si="88"/>
        <v>#N/A</v>
      </c>
      <c r="AH817">
        <f t="shared" si="89"/>
        <v>2.64</v>
      </c>
      <c r="AI817" t="e">
        <f t="shared" si="90"/>
        <v>#N/A</v>
      </c>
    </row>
    <row r="818" spans="1:35" x14ac:dyDescent="0.45">
      <c r="A818" t="s">
        <v>2286</v>
      </c>
      <c r="B818">
        <v>70</v>
      </c>
      <c r="C818" t="s">
        <v>45</v>
      </c>
      <c r="D818" t="s">
        <v>28</v>
      </c>
      <c r="E818" t="s">
        <v>163</v>
      </c>
      <c r="F818" t="s">
        <v>79</v>
      </c>
      <c r="G818" t="s">
        <v>164</v>
      </c>
      <c r="H818" t="s">
        <v>81</v>
      </c>
      <c r="I818" t="s">
        <v>33</v>
      </c>
      <c r="J818" t="s">
        <v>2287</v>
      </c>
      <c r="K818" t="s">
        <v>1925</v>
      </c>
      <c r="L818" t="s">
        <v>64</v>
      </c>
      <c r="M818" t="s">
        <v>1526</v>
      </c>
      <c r="N818" t="s">
        <v>331</v>
      </c>
      <c r="O818" t="s">
        <v>64</v>
      </c>
      <c r="P818" t="s">
        <v>55</v>
      </c>
      <c r="Q818" t="s">
        <v>129</v>
      </c>
      <c r="R818">
        <v>41</v>
      </c>
      <c r="S818">
        <v>0</v>
      </c>
      <c r="T818" t="s">
        <v>56</v>
      </c>
      <c r="U818" t="s">
        <v>57</v>
      </c>
      <c r="V818">
        <v>4.74</v>
      </c>
      <c r="W818">
        <v>2.21</v>
      </c>
      <c r="X818">
        <v>8</v>
      </c>
      <c r="Y818">
        <v>19.8</v>
      </c>
      <c r="Z818">
        <v>14.8</v>
      </c>
      <c r="AA818">
        <f>VALUE(SUBSTITUTE(DACS19___Pfizer’s_Personalised_Medicine_in[[#This Row],[Dose]],"mg",""))</f>
        <v>150</v>
      </c>
      <c r="AB818">
        <f t="shared" si="84"/>
        <v>150</v>
      </c>
      <c r="AC818" t="s">
        <v>129</v>
      </c>
      <c r="AD818">
        <f t="shared" si="85"/>
        <v>4</v>
      </c>
      <c r="AE818">
        <f t="shared" si="86"/>
        <v>2</v>
      </c>
      <c r="AF818" t="e">
        <f t="shared" si="87"/>
        <v>#N/A</v>
      </c>
      <c r="AG818" t="e">
        <f t="shared" si="88"/>
        <v>#N/A</v>
      </c>
      <c r="AH818" t="e">
        <f t="shared" si="89"/>
        <v>#N/A</v>
      </c>
      <c r="AI818">
        <f t="shared" si="90"/>
        <v>2.21</v>
      </c>
    </row>
    <row r="819" spans="1:35" x14ac:dyDescent="0.45">
      <c r="A819" t="s">
        <v>2288</v>
      </c>
      <c r="B819">
        <v>67</v>
      </c>
      <c r="C819" t="s">
        <v>44</v>
      </c>
      <c r="D819" t="s">
        <v>28</v>
      </c>
      <c r="E819" t="s">
        <v>163</v>
      </c>
      <c r="F819" t="s">
        <v>47</v>
      </c>
      <c r="G819" t="s">
        <v>194</v>
      </c>
      <c r="H819" t="s">
        <v>32</v>
      </c>
      <c r="I819" t="s">
        <v>49</v>
      </c>
      <c r="J819" t="s">
        <v>1781</v>
      </c>
      <c r="K819" t="s">
        <v>2289</v>
      </c>
      <c r="L819" t="s">
        <v>64</v>
      </c>
      <c r="M819" t="s">
        <v>40</v>
      </c>
      <c r="N819" t="s">
        <v>1074</v>
      </c>
      <c r="O819" t="s">
        <v>64</v>
      </c>
      <c r="P819" t="s">
        <v>55</v>
      </c>
      <c r="Q819" t="s">
        <v>129</v>
      </c>
      <c r="R819">
        <v>132</v>
      </c>
      <c r="S819">
        <v>0</v>
      </c>
      <c r="T819" t="s">
        <v>85</v>
      </c>
      <c r="U819" t="s">
        <v>57</v>
      </c>
      <c r="V819">
        <v>4.8600000000000003</v>
      </c>
      <c r="W819">
        <v>2.57</v>
      </c>
      <c r="X819">
        <v>2.2000000000000002</v>
      </c>
      <c r="Y819">
        <v>18.100000000000001</v>
      </c>
      <c r="Z819">
        <v>15.4</v>
      </c>
      <c r="AA819">
        <f>VALUE(SUBSTITUTE(DACS19___Pfizer’s_Personalised_Medicine_in[[#This Row],[Dose]],"mg",""))</f>
        <v>150</v>
      </c>
      <c r="AB819">
        <f t="shared" si="84"/>
        <v>150</v>
      </c>
      <c r="AC819" t="s">
        <v>129</v>
      </c>
      <c r="AD819">
        <f t="shared" si="85"/>
        <v>4</v>
      </c>
      <c r="AE819">
        <f t="shared" si="86"/>
        <v>2</v>
      </c>
      <c r="AF819" t="e">
        <f t="shared" si="87"/>
        <v>#N/A</v>
      </c>
      <c r="AG819" t="e">
        <f t="shared" si="88"/>
        <v>#N/A</v>
      </c>
      <c r="AH819">
        <f t="shared" si="89"/>
        <v>2.57</v>
      </c>
      <c r="AI819" t="e">
        <f t="shared" si="90"/>
        <v>#N/A</v>
      </c>
    </row>
    <row r="820" spans="1:35" x14ac:dyDescent="0.45">
      <c r="A820" t="s">
        <v>2290</v>
      </c>
      <c r="B820">
        <v>78</v>
      </c>
      <c r="C820" t="s">
        <v>27</v>
      </c>
      <c r="D820" t="s">
        <v>45</v>
      </c>
      <c r="E820" t="s">
        <v>29</v>
      </c>
      <c r="F820" t="s">
        <v>69</v>
      </c>
      <c r="G820" t="s">
        <v>89</v>
      </c>
      <c r="H820" t="s">
        <v>81</v>
      </c>
      <c r="I820" t="s">
        <v>33</v>
      </c>
      <c r="J820" t="s">
        <v>1052</v>
      </c>
      <c r="K820" t="s">
        <v>2170</v>
      </c>
      <c r="L820" t="s">
        <v>52</v>
      </c>
      <c r="M820" t="s">
        <v>378</v>
      </c>
      <c r="N820" t="s">
        <v>2291</v>
      </c>
      <c r="O820" t="s">
        <v>52</v>
      </c>
      <c r="P820" t="s">
        <v>55</v>
      </c>
      <c r="Q820" t="s">
        <v>75</v>
      </c>
      <c r="R820">
        <v>147</v>
      </c>
      <c r="S820">
        <v>0</v>
      </c>
      <c r="T820" t="s">
        <v>123</v>
      </c>
      <c r="U820" t="s">
        <v>42</v>
      </c>
      <c r="V820">
        <v>3.3</v>
      </c>
      <c r="W820">
        <v>1.83</v>
      </c>
      <c r="X820">
        <v>5.5</v>
      </c>
      <c r="Y820">
        <v>11.6</v>
      </c>
      <c r="Z820">
        <v>10.3</v>
      </c>
      <c r="AA820">
        <f>VALUE(SUBSTITUTE(DACS19___Pfizer’s_Personalised_Medicine_in[[#This Row],[Dose]],"mg",""))</f>
        <v>100</v>
      </c>
      <c r="AB820">
        <f t="shared" si="84"/>
        <v>100</v>
      </c>
      <c r="AC820" t="s">
        <v>75</v>
      </c>
      <c r="AD820">
        <f t="shared" si="85"/>
        <v>1</v>
      </c>
      <c r="AE820">
        <f t="shared" si="86"/>
        <v>2</v>
      </c>
      <c r="AF820" t="e">
        <f t="shared" si="87"/>
        <v>#N/A</v>
      </c>
      <c r="AG820" t="e">
        <f t="shared" si="88"/>
        <v>#N/A</v>
      </c>
      <c r="AH820" t="e">
        <f t="shared" si="89"/>
        <v>#N/A</v>
      </c>
      <c r="AI820">
        <f t="shared" si="90"/>
        <v>1.83</v>
      </c>
    </row>
    <row r="821" spans="1:35" x14ac:dyDescent="0.45">
      <c r="A821" t="s">
        <v>2292</v>
      </c>
      <c r="B821">
        <v>73</v>
      </c>
      <c r="C821" t="s">
        <v>45</v>
      </c>
      <c r="D821" t="s">
        <v>45</v>
      </c>
      <c r="E821" t="s">
        <v>29</v>
      </c>
      <c r="F821" t="s">
        <v>2614</v>
      </c>
      <c r="G821" t="s">
        <v>80</v>
      </c>
      <c r="H821" t="s">
        <v>61</v>
      </c>
      <c r="I821" t="s">
        <v>33</v>
      </c>
      <c r="J821" t="s">
        <v>1899</v>
      </c>
      <c r="K821" t="s">
        <v>2293</v>
      </c>
      <c r="L821" t="s">
        <v>36</v>
      </c>
      <c r="M821" t="s">
        <v>2651</v>
      </c>
      <c r="N821" t="s">
        <v>1087</v>
      </c>
      <c r="O821" t="s">
        <v>36</v>
      </c>
      <c r="P821" t="s">
        <v>110</v>
      </c>
      <c r="Q821" t="s">
        <v>40</v>
      </c>
      <c r="R821">
        <v>76</v>
      </c>
      <c r="S821">
        <v>0</v>
      </c>
      <c r="T821" t="s">
        <v>137</v>
      </c>
      <c r="U821" t="s">
        <v>57</v>
      </c>
      <c r="V821">
        <v>3.58</v>
      </c>
      <c r="W821">
        <v>3.98</v>
      </c>
      <c r="X821">
        <v>3.1</v>
      </c>
      <c r="Y821">
        <v>13.3</v>
      </c>
      <c r="Z821">
        <v>7.6</v>
      </c>
      <c r="AA821">
        <f>VALUE(SUBSTITUTE(DACS19___Pfizer’s_Personalised_Medicine_in[[#This Row],[Dose]],"mg",""))</f>
        <v>200</v>
      </c>
      <c r="AB821">
        <f t="shared" si="84"/>
        <v>200</v>
      </c>
      <c r="AC821" t="s">
        <v>40</v>
      </c>
      <c r="AD821">
        <f t="shared" si="85"/>
        <v>3</v>
      </c>
      <c r="AE821">
        <f t="shared" si="86"/>
        <v>1</v>
      </c>
      <c r="AF821">
        <f t="shared" si="87"/>
        <v>3.98</v>
      </c>
      <c r="AG821" t="e">
        <f t="shared" si="88"/>
        <v>#N/A</v>
      </c>
      <c r="AH821" t="e">
        <f t="shared" si="89"/>
        <v>#N/A</v>
      </c>
      <c r="AI821" t="e">
        <f t="shared" si="90"/>
        <v>#N/A</v>
      </c>
    </row>
    <row r="822" spans="1:35" x14ac:dyDescent="0.45">
      <c r="A822" t="s">
        <v>2294</v>
      </c>
      <c r="B822">
        <v>27</v>
      </c>
      <c r="C822" t="s">
        <v>45</v>
      </c>
      <c r="D822" t="s">
        <v>95</v>
      </c>
      <c r="E822" t="s">
        <v>78</v>
      </c>
      <c r="F822" t="s">
        <v>69</v>
      </c>
      <c r="G822" t="s">
        <v>60</v>
      </c>
      <c r="H822" t="s">
        <v>71</v>
      </c>
      <c r="I822" t="s">
        <v>49</v>
      </c>
      <c r="J822" t="s">
        <v>185</v>
      </c>
      <c r="K822" t="s">
        <v>2295</v>
      </c>
      <c r="L822" t="s">
        <v>64</v>
      </c>
      <c r="M822" t="s">
        <v>155</v>
      </c>
      <c r="N822" t="s">
        <v>466</v>
      </c>
      <c r="O822" t="s">
        <v>64</v>
      </c>
      <c r="P822" t="s">
        <v>39</v>
      </c>
      <c r="Q822" t="s">
        <v>2614</v>
      </c>
      <c r="R822">
        <v>50</v>
      </c>
      <c r="S822">
        <v>1</v>
      </c>
      <c r="T822" t="s">
        <v>85</v>
      </c>
      <c r="U822" t="s">
        <v>42</v>
      </c>
      <c r="V822">
        <v>1.79</v>
      </c>
      <c r="W822">
        <v>4.13</v>
      </c>
      <c r="X822">
        <v>9.1999999999999993</v>
      </c>
      <c r="Y822">
        <v>12.7</v>
      </c>
      <c r="Z822">
        <v>15.8</v>
      </c>
      <c r="AA822">
        <f>VALUE(SUBSTITUTE(DACS19___Pfizer’s_Personalised_Medicine_in[[#This Row],[Dose]],"mg",""))</f>
        <v>150</v>
      </c>
      <c r="AB822">
        <f t="shared" si="84"/>
        <v>150</v>
      </c>
      <c r="AC822" t="s">
        <v>2614</v>
      </c>
      <c r="AD822">
        <f t="shared" si="85"/>
        <v>0</v>
      </c>
      <c r="AE822">
        <f t="shared" si="86"/>
        <v>3</v>
      </c>
      <c r="AF822" t="e">
        <f t="shared" si="87"/>
        <v>#N/A</v>
      </c>
      <c r="AG822">
        <f t="shared" si="88"/>
        <v>4.13</v>
      </c>
      <c r="AH822" t="e">
        <f t="shared" si="89"/>
        <v>#N/A</v>
      </c>
      <c r="AI822" t="e">
        <f t="shared" si="90"/>
        <v>#N/A</v>
      </c>
    </row>
    <row r="823" spans="1:35" x14ac:dyDescent="0.45">
      <c r="A823" t="s">
        <v>2296</v>
      </c>
      <c r="B823">
        <v>65</v>
      </c>
      <c r="C823" t="s">
        <v>27</v>
      </c>
      <c r="D823" t="s">
        <v>87</v>
      </c>
      <c r="E823" t="s">
        <v>78</v>
      </c>
      <c r="F823" t="s">
        <v>69</v>
      </c>
      <c r="G823" t="s">
        <v>31</v>
      </c>
      <c r="H823" t="s">
        <v>61</v>
      </c>
      <c r="I823" t="s">
        <v>33</v>
      </c>
      <c r="J823" t="s">
        <v>2297</v>
      </c>
      <c r="K823" t="s">
        <v>2298</v>
      </c>
      <c r="L823" t="s">
        <v>92</v>
      </c>
      <c r="M823" t="s">
        <v>231</v>
      </c>
      <c r="N823" t="s">
        <v>1631</v>
      </c>
      <c r="O823" t="s">
        <v>92</v>
      </c>
      <c r="P823" t="s">
        <v>110</v>
      </c>
      <c r="Q823" t="s">
        <v>67</v>
      </c>
      <c r="R823">
        <v>49</v>
      </c>
      <c r="S823">
        <v>0</v>
      </c>
      <c r="T823" t="s">
        <v>123</v>
      </c>
      <c r="U823" t="s">
        <v>42</v>
      </c>
      <c r="V823">
        <v>4.59</v>
      </c>
      <c r="W823">
        <v>4.38</v>
      </c>
      <c r="X823">
        <v>2.6</v>
      </c>
      <c r="Y823">
        <v>23.2</v>
      </c>
      <c r="Z823">
        <v>9.4</v>
      </c>
      <c r="AA823">
        <f>VALUE(SUBSTITUTE(DACS19___Pfizer’s_Personalised_Medicine_in[[#This Row],[Dose]],"mg",""))</f>
        <v>50</v>
      </c>
      <c r="AB823">
        <f t="shared" si="84"/>
        <v>50</v>
      </c>
      <c r="AC823" t="s">
        <v>67</v>
      </c>
      <c r="AD823">
        <f t="shared" si="85"/>
        <v>2</v>
      </c>
      <c r="AE823">
        <f t="shared" si="86"/>
        <v>1</v>
      </c>
      <c r="AF823">
        <f t="shared" si="87"/>
        <v>4.38</v>
      </c>
      <c r="AG823" t="e">
        <f t="shared" si="88"/>
        <v>#N/A</v>
      </c>
      <c r="AH823" t="e">
        <f t="shared" si="89"/>
        <v>#N/A</v>
      </c>
      <c r="AI823" t="e">
        <f t="shared" si="90"/>
        <v>#N/A</v>
      </c>
    </row>
    <row r="824" spans="1:35" x14ac:dyDescent="0.45">
      <c r="A824" t="s">
        <v>2299</v>
      </c>
      <c r="B824">
        <v>53</v>
      </c>
      <c r="C824" t="s">
        <v>27</v>
      </c>
      <c r="D824" t="s">
        <v>45</v>
      </c>
      <c r="E824" t="s">
        <v>29</v>
      </c>
      <c r="F824" t="s">
        <v>79</v>
      </c>
      <c r="G824" t="s">
        <v>48</v>
      </c>
      <c r="H824" t="s">
        <v>32</v>
      </c>
      <c r="I824" t="s">
        <v>72</v>
      </c>
      <c r="J824" t="s">
        <v>2300</v>
      </c>
      <c r="K824" t="s">
        <v>590</v>
      </c>
      <c r="L824" t="s">
        <v>64</v>
      </c>
      <c r="M824" t="s">
        <v>362</v>
      </c>
      <c r="N824" t="s">
        <v>804</v>
      </c>
      <c r="O824" t="s">
        <v>64</v>
      </c>
      <c r="P824" t="s">
        <v>110</v>
      </c>
      <c r="Q824" t="s">
        <v>2614</v>
      </c>
      <c r="R824">
        <v>123</v>
      </c>
      <c r="S824">
        <v>0</v>
      </c>
      <c r="T824" t="s">
        <v>137</v>
      </c>
      <c r="U824" t="s">
        <v>42</v>
      </c>
      <c r="V824">
        <v>2.36</v>
      </c>
      <c r="W824">
        <v>1.25</v>
      </c>
      <c r="X824">
        <v>5.4</v>
      </c>
      <c r="Y824">
        <v>8</v>
      </c>
      <c r="Z824">
        <v>7.2</v>
      </c>
      <c r="AA824">
        <f>VALUE(SUBSTITUTE(DACS19___Pfizer’s_Personalised_Medicine_in[[#This Row],[Dose]],"mg",""))</f>
        <v>150</v>
      </c>
      <c r="AB824">
        <f t="shared" si="84"/>
        <v>150</v>
      </c>
      <c r="AC824" t="s">
        <v>2614</v>
      </c>
      <c r="AD824">
        <f t="shared" si="85"/>
        <v>0</v>
      </c>
      <c r="AE824">
        <f t="shared" si="86"/>
        <v>1</v>
      </c>
      <c r="AF824" t="e">
        <f t="shared" si="87"/>
        <v>#N/A</v>
      </c>
      <c r="AG824" t="e">
        <f t="shared" si="88"/>
        <v>#N/A</v>
      </c>
      <c r="AH824">
        <f t="shared" si="89"/>
        <v>1.25</v>
      </c>
      <c r="AI824" t="e">
        <f t="shared" si="90"/>
        <v>#N/A</v>
      </c>
    </row>
    <row r="825" spans="1:35" x14ac:dyDescent="0.45">
      <c r="A825" t="s">
        <v>2301</v>
      </c>
      <c r="B825">
        <v>31</v>
      </c>
      <c r="C825" t="s">
        <v>45</v>
      </c>
      <c r="D825" t="s">
        <v>28</v>
      </c>
      <c r="E825" t="s">
        <v>2614</v>
      </c>
      <c r="F825" t="s">
        <v>88</v>
      </c>
      <c r="G825" t="s">
        <v>31</v>
      </c>
      <c r="H825" t="s">
        <v>81</v>
      </c>
      <c r="I825" t="s">
        <v>72</v>
      </c>
      <c r="J825" t="s">
        <v>2302</v>
      </c>
      <c r="K825" t="s">
        <v>2303</v>
      </c>
      <c r="L825" t="s">
        <v>64</v>
      </c>
      <c r="M825" t="s">
        <v>451</v>
      </c>
      <c r="N825" t="s">
        <v>1280</v>
      </c>
      <c r="O825" t="s">
        <v>64</v>
      </c>
      <c r="P825" t="s">
        <v>39</v>
      </c>
      <c r="Q825" t="s">
        <v>129</v>
      </c>
      <c r="R825">
        <v>132</v>
      </c>
      <c r="S825">
        <v>1</v>
      </c>
      <c r="T825" t="s">
        <v>41</v>
      </c>
      <c r="U825" t="s">
        <v>57</v>
      </c>
      <c r="V825">
        <v>2.27</v>
      </c>
      <c r="W825">
        <v>4.24</v>
      </c>
      <c r="X825">
        <v>8.9</v>
      </c>
      <c r="Y825">
        <v>11.4</v>
      </c>
      <c r="Z825">
        <v>17.600000000000001</v>
      </c>
      <c r="AA825">
        <f>VALUE(SUBSTITUTE(DACS19___Pfizer’s_Personalised_Medicine_in[[#This Row],[Dose]],"mg",""))</f>
        <v>150</v>
      </c>
      <c r="AB825">
        <f t="shared" si="84"/>
        <v>150</v>
      </c>
      <c r="AC825" t="s">
        <v>129</v>
      </c>
      <c r="AD825">
        <f t="shared" si="85"/>
        <v>4</v>
      </c>
      <c r="AE825">
        <f t="shared" si="86"/>
        <v>3</v>
      </c>
      <c r="AF825" t="e">
        <f t="shared" si="87"/>
        <v>#N/A</v>
      </c>
      <c r="AG825" t="e">
        <f t="shared" si="88"/>
        <v>#N/A</v>
      </c>
      <c r="AH825" t="e">
        <f t="shared" si="89"/>
        <v>#N/A</v>
      </c>
      <c r="AI825">
        <f t="shared" si="90"/>
        <v>4.24</v>
      </c>
    </row>
    <row r="826" spans="1:35" x14ac:dyDescent="0.45">
      <c r="A826" t="s">
        <v>2304</v>
      </c>
      <c r="B826">
        <v>70</v>
      </c>
      <c r="C826" t="s">
        <v>44</v>
      </c>
      <c r="D826" t="s">
        <v>87</v>
      </c>
      <c r="E826" t="s">
        <v>78</v>
      </c>
      <c r="F826" t="s">
        <v>79</v>
      </c>
      <c r="G826" t="s">
        <v>184</v>
      </c>
      <c r="H826" t="s">
        <v>81</v>
      </c>
      <c r="I826" t="s">
        <v>72</v>
      </c>
      <c r="J826" t="s">
        <v>214</v>
      </c>
      <c r="K826" t="s">
        <v>1508</v>
      </c>
      <c r="L826" t="s">
        <v>64</v>
      </c>
      <c r="M826" t="s">
        <v>2643</v>
      </c>
      <c r="N826" t="s">
        <v>1041</v>
      </c>
      <c r="O826" t="s">
        <v>64</v>
      </c>
      <c r="P826" t="s">
        <v>55</v>
      </c>
      <c r="Q826" t="s">
        <v>75</v>
      </c>
      <c r="R826">
        <v>162</v>
      </c>
      <c r="S826">
        <v>0</v>
      </c>
      <c r="T826" t="s">
        <v>41</v>
      </c>
      <c r="U826" t="s">
        <v>42</v>
      </c>
      <c r="V826">
        <v>4.43</v>
      </c>
      <c r="W826">
        <v>4.0599999999999996</v>
      </c>
      <c r="X826">
        <v>2.2999999999999998</v>
      </c>
      <c r="Y826">
        <v>18.399999999999999</v>
      </c>
      <c r="Z826">
        <v>19.100000000000001</v>
      </c>
      <c r="AA826">
        <f>VALUE(SUBSTITUTE(DACS19___Pfizer’s_Personalised_Medicine_in[[#This Row],[Dose]],"mg",""))</f>
        <v>150</v>
      </c>
      <c r="AB826">
        <f t="shared" si="84"/>
        <v>150</v>
      </c>
      <c r="AC826" t="s">
        <v>75</v>
      </c>
      <c r="AD826">
        <f t="shared" si="85"/>
        <v>1</v>
      </c>
      <c r="AE826">
        <f t="shared" si="86"/>
        <v>2</v>
      </c>
      <c r="AF826" t="e">
        <f t="shared" si="87"/>
        <v>#N/A</v>
      </c>
      <c r="AG826" t="e">
        <f t="shared" si="88"/>
        <v>#N/A</v>
      </c>
      <c r="AH826" t="e">
        <f t="shared" si="89"/>
        <v>#N/A</v>
      </c>
      <c r="AI826">
        <f t="shared" si="90"/>
        <v>4.0599999999999996</v>
      </c>
    </row>
    <row r="827" spans="1:35" x14ac:dyDescent="0.45">
      <c r="A827" t="s">
        <v>2305</v>
      </c>
      <c r="B827">
        <v>51</v>
      </c>
      <c r="C827" t="s">
        <v>45</v>
      </c>
      <c r="D827" t="s">
        <v>95</v>
      </c>
      <c r="E827" t="s">
        <v>46</v>
      </c>
      <c r="F827" t="s">
        <v>47</v>
      </c>
      <c r="G827" t="s">
        <v>125</v>
      </c>
      <c r="H827" t="s">
        <v>81</v>
      </c>
      <c r="I827" t="s">
        <v>132</v>
      </c>
      <c r="J827" t="s">
        <v>1703</v>
      </c>
      <c r="K827" t="s">
        <v>2306</v>
      </c>
      <c r="L827" t="s">
        <v>64</v>
      </c>
      <c r="M827" t="s">
        <v>446</v>
      </c>
      <c r="N827" t="s">
        <v>612</v>
      </c>
      <c r="O827" t="s">
        <v>64</v>
      </c>
      <c r="P827" t="s">
        <v>55</v>
      </c>
      <c r="Q827" t="s">
        <v>129</v>
      </c>
      <c r="R827">
        <v>75</v>
      </c>
      <c r="S827">
        <v>0</v>
      </c>
      <c r="T827" t="s">
        <v>56</v>
      </c>
      <c r="U827" t="s">
        <v>42</v>
      </c>
      <c r="V827">
        <v>3.73</v>
      </c>
      <c r="W827">
        <v>2.33</v>
      </c>
      <c r="X827">
        <v>5.5</v>
      </c>
      <c r="Y827">
        <v>17.600000000000001</v>
      </c>
      <c r="Z827">
        <v>11.7</v>
      </c>
      <c r="AA827">
        <f>VALUE(SUBSTITUTE(DACS19___Pfizer’s_Personalised_Medicine_in[[#This Row],[Dose]],"mg",""))</f>
        <v>150</v>
      </c>
      <c r="AB827">
        <f t="shared" si="84"/>
        <v>150</v>
      </c>
      <c r="AC827" t="s">
        <v>129</v>
      </c>
      <c r="AD827">
        <f t="shared" si="85"/>
        <v>4</v>
      </c>
      <c r="AE827">
        <f t="shared" si="86"/>
        <v>2</v>
      </c>
      <c r="AF827" t="e">
        <f t="shared" si="87"/>
        <v>#N/A</v>
      </c>
      <c r="AG827" t="e">
        <f t="shared" si="88"/>
        <v>#N/A</v>
      </c>
      <c r="AH827" t="e">
        <f t="shared" si="89"/>
        <v>#N/A</v>
      </c>
      <c r="AI827">
        <f t="shared" si="90"/>
        <v>2.33</v>
      </c>
    </row>
    <row r="828" spans="1:35" x14ac:dyDescent="0.45">
      <c r="A828" t="s">
        <v>2307</v>
      </c>
      <c r="B828">
        <v>29</v>
      </c>
      <c r="C828" t="s">
        <v>44</v>
      </c>
      <c r="D828" t="s">
        <v>106</v>
      </c>
      <c r="E828" t="s">
        <v>78</v>
      </c>
      <c r="F828" t="s">
        <v>88</v>
      </c>
      <c r="G828" t="s">
        <v>194</v>
      </c>
      <c r="H828" t="s">
        <v>71</v>
      </c>
      <c r="I828" t="s">
        <v>33</v>
      </c>
      <c r="J828" t="s">
        <v>2302</v>
      </c>
      <c r="K828" t="s">
        <v>2308</v>
      </c>
      <c r="L828" t="s">
        <v>92</v>
      </c>
      <c r="M828" t="s">
        <v>40</v>
      </c>
      <c r="N828" t="s">
        <v>622</v>
      </c>
      <c r="O828" t="s">
        <v>92</v>
      </c>
      <c r="P828" t="s">
        <v>55</v>
      </c>
      <c r="Q828" t="s">
        <v>75</v>
      </c>
      <c r="R828">
        <v>110</v>
      </c>
      <c r="S828">
        <v>0</v>
      </c>
      <c r="T828" t="s">
        <v>123</v>
      </c>
      <c r="U828" t="s">
        <v>42</v>
      </c>
      <c r="V828">
        <v>1.48</v>
      </c>
      <c r="W828">
        <v>2.25</v>
      </c>
      <c r="X828">
        <v>8.1999999999999993</v>
      </c>
      <c r="Y828">
        <v>21.5</v>
      </c>
      <c r="Z828">
        <v>5.3</v>
      </c>
      <c r="AA828">
        <f>VALUE(SUBSTITUTE(DACS19___Pfizer’s_Personalised_Medicine_in[[#This Row],[Dose]],"mg",""))</f>
        <v>50</v>
      </c>
      <c r="AB828">
        <f t="shared" si="84"/>
        <v>50</v>
      </c>
      <c r="AC828" t="s">
        <v>75</v>
      </c>
      <c r="AD828">
        <f t="shared" si="85"/>
        <v>1</v>
      </c>
      <c r="AE828">
        <f t="shared" si="86"/>
        <v>2</v>
      </c>
      <c r="AF828" t="e">
        <f t="shared" si="87"/>
        <v>#N/A</v>
      </c>
      <c r="AG828">
        <f t="shared" si="88"/>
        <v>2.25</v>
      </c>
      <c r="AH828" t="e">
        <f t="shared" si="89"/>
        <v>#N/A</v>
      </c>
      <c r="AI828" t="e">
        <f t="shared" si="90"/>
        <v>#N/A</v>
      </c>
    </row>
    <row r="829" spans="1:35" x14ac:dyDescent="0.45">
      <c r="A829" t="s">
        <v>2309</v>
      </c>
      <c r="B829">
        <v>79</v>
      </c>
      <c r="C829" t="s">
        <v>44</v>
      </c>
      <c r="D829" t="s">
        <v>87</v>
      </c>
      <c r="E829" t="s">
        <v>29</v>
      </c>
      <c r="F829" t="s">
        <v>2614</v>
      </c>
      <c r="G829" t="s">
        <v>276</v>
      </c>
      <c r="H829" t="s">
        <v>32</v>
      </c>
      <c r="I829" t="s">
        <v>132</v>
      </c>
      <c r="J829" t="s">
        <v>2039</v>
      </c>
      <c r="K829" t="s">
        <v>2310</v>
      </c>
      <c r="L829" t="s">
        <v>36</v>
      </c>
      <c r="M829" t="s">
        <v>155</v>
      </c>
      <c r="N829" t="s">
        <v>562</v>
      </c>
      <c r="O829" t="s">
        <v>36</v>
      </c>
      <c r="P829" t="s">
        <v>55</v>
      </c>
      <c r="Q829" t="s">
        <v>67</v>
      </c>
      <c r="R829">
        <v>95</v>
      </c>
      <c r="S829">
        <v>0</v>
      </c>
      <c r="T829" t="s">
        <v>137</v>
      </c>
      <c r="U829" t="s">
        <v>57</v>
      </c>
      <c r="V829">
        <v>4.8099999999999996</v>
      </c>
      <c r="W829">
        <v>2.3199999999999998</v>
      </c>
      <c r="X829">
        <v>7</v>
      </c>
      <c r="Y829">
        <v>19.5</v>
      </c>
      <c r="Z829">
        <v>16.8</v>
      </c>
      <c r="AA829">
        <f>VALUE(SUBSTITUTE(DACS19___Pfizer’s_Personalised_Medicine_in[[#This Row],[Dose]],"mg",""))</f>
        <v>200</v>
      </c>
      <c r="AB829">
        <f t="shared" si="84"/>
        <v>200</v>
      </c>
      <c r="AC829" t="s">
        <v>67</v>
      </c>
      <c r="AD829">
        <f t="shared" si="85"/>
        <v>2</v>
      </c>
      <c r="AE829">
        <f t="shared" si="86"/>
        <v>2</v>
      </c>
      <c r="AF829" t="e">
        <f t="shared" si="87"/>
        <v>#N/A</v>
      </c>
      <c r="AG829" t="e">
        <f t="shared" si="88"/>
        <v>#N/A</v>
      </c>
      <c r="AH829">
        <f t="shared" si="89"/>
        <v>2.3199999999999998</v>
      </c>
      <c r="AI829" t="e">
        <f t="shared" si="90"/>
        <v>#N/A</v>
      </c>
    </row>
    <row r="830" spans="1:35" x14ac:dyDescent="0.45">
      <c r="A830" t="s">
        <v>2311</v>
      </c>
      <c r="B830">
        <v>32</v>
      </c>
      <c r="C830" t="s">
        <v>44</v>
      </c>
      <c r="D830" t="s">
        <v>87</v>
      </c>
      <c r="E830" t="s">
        <v>29</v>
      </c>
      <c r="F830" t="s">
        <v>2614</v>
      </c>
      <c r="G830" t="s">
        <v>246</v>
      </c>
      <c r="H830" t="s">
        <v>71</v>
      </c>
      <c r="I830" t="s">
        <v>33</v>
      </c>
      <c r="J830" t="s">
        <v>404</v>
      </c>
      <c r="K830" t="s">
        <v>512</v>
      </c>
      <c r="L830" t="s">
        <v>92</v>
      </c>
      <c r="M830" t="s">
        <v>129</v>
      </c>
      <c r="N830" t="s">
        <v>300</v>
      </c>
      <c r="O830" t="s">
        <v>92</v>
      </c>
      <c r="P830" t="s">
        <v>55</v>
      </c>
      <c r="Q830" t="s">
        <v>2614</v>
      </c>
      <c r="R830">
        <v>41</v>
      </c>
      <c r="S830">
        <v>0</v>
      </c>
      <c r="T830" t="s">
        <v>41</v>
      </c>
      <c r="U830" t="s">
        <v>57</v>
      </c>
      <c r="V830">
        <v>4.78</v>
      </c>
      <c r="W830">
        <v>2.25</v>
      </c>
      <c r="X830">
        <v>8.6999999999999993</v>
      </c>
      <c r="Y830">
        <v>8.4</v>
      </c>
      <c r="Z830">
        <v>15</v>
      </c>
      <c r="AA830">
        <f>VALUE(SUBSTITUTE(DACS19___Pfizer’s_Personalised_Medicine_in[[#This Row],[Dose]],"mg",""))</f>
        <v>50</v>
      </c>
      <c r="AB830">
        <f t="shared" si="84"/>
        <v>50</v>
      </c>
      <c r="AC830" t="s">
        <v>2614</v>
      </c>
      <c r="AD830">
        <f t="shared" si="85"/>
        <v>0</v>
      </c>
      <c r="AE830">
        <f t="shared" si="86"/>
        <v>2</v>
      </c>
      <c r="AF830" t="e">
        <f t="shared" si="87"/>
        <v>#N/A</v>
      </c>
      <c r="AG830">
        <f t="shared" si="88"/>
        <v>2.25</v>
      </c>
      <c r="AH830" t="e">
        <f t="shared" si="89"/>
        <v>#N/A</v>
      </c>
      <c r="AI830" t="e">
        <f t="shared" si="90"/>
        <v>#N/A</v>
      </c>
    </row>
    <row r="831" spans="1:35" x14ac:dyDescent="0.45">
      <c r="A831" t="s">
        <v>2312</v>
      </c>
      <c r="B831">
        <v>69</v>
      </c>
      <c r="C831" t="s">
        <v>27</v>
      </c>
      <c r="D831" t="s">
        <v>106</v>
      </c>
      <c r="E831" t="s">
        <v>163</v>
      </c>
      <c r="F831" t="s">
        <v>59</v>
      </c>
      <c r="G831" t="s">
        <v>89</v>
      </c>
      <c r="H831" t="s">
        <v>32</v>
      </c>
      <c r="I831" t="s">
        <v>33</v>
      </c>
      <c r="J831" t="s">
        <v>2313</v>
      </c>
      <c r="K831" t="s">
        <v>2314</v>
      </c>
      <c r="L831" t="s">
        <v>64</v>
      </c>
      <c r="M831" t="s">
        <v>40</v>
      </c>
      <c r="N831" t="s">
        <v>344</v>
      </c>
      <c r="O831" t="s">
        <v>64</v>
      </c>
      <c r="P831" t="s">
        <v>39</v>
      </c>
      <c r="Q831" t="s">
        <v>40</v>
      </c>
      <c r="R831">
        <v>99</v>
      </c>
      <c r="S831">
        <v>1</v>
      </c>
      <c r="T831" t="s">
        <v>85</v>
      </c>
      <c r="U831" t="s">
        <v>57</v>
      </c>
      <c r="V831">
        <v>3.97</v>
      </c>
      <c r="W831">
        <v>3.71</v>
      </c>
      <c r="X831">
        <v>3.3</v>
      </c>
      <c r="Y831">
        <v>21.7</v>
      </c>
      <c r="Z831">
        <v>5.9</v>
      </c>
      <c r="AA831">
        <f>VALUE(SUBSTITUTE(DACS19___Pfizer’s_Personalised_Medicine_in[[#This Row],[Dose]],"mg",""))</f>
        <v>150</v>
      </c>
      <c r="AB831">
        <f t="shared" si="84"/>
        <v>150</v>
      </c>
      <c r="AC831" t="s">
        <v>40</v>
      </c>
      <c r="AD831">
        <f t="shared" si="85"/>
        <v>3</v>
      </c>
      <c r="AE831">
        <f t="shared" si="86"/>
        <v>3</v>
      </c>
      <c r="AF831" t="e">
        <f t="shared" si="87"/>
        <v>#N/A</v>
      </c>
      <c r="AG831" t="e">
        <f t="shared" si="88"/>
        <v>#N/A</v>
      </c>
      <c r="AH831">
        <f t="shared" si="89"/>
        <v>3.71</v>
      </c>
      <c r="AI831" t="e">
        <f t="shared" si="90"/>
        <v>#N/A</v>
      </c>
    </row>
    <row r="832" spans="1:35" x14ac:dyDescent="0.45">
      <c r="A832" t="s">
        <v>2315</v>
      </c>
      <c r="B832">
        <v>22</v>
      </c>
      <c r="C832" t="s">
        <v>45</v>
      </c>
      <c r="D832" t="s">
        <v>95</v>
      </c>
      <c r="E832" t="s">
        <v>78</v>
      </c>
      <c r="F832" t="s">
        <v>69</v>
      </c>
      <c r="G832" t="s">
        <v>60</v>
      </c>
      <c r="H832" t="s">
        <v>32</v>
      </c>
      <c r="I832" t="s">
        <v>132</v>
      </c>
      <c r="J832" t="s">
        <v>2316</v>
      </c>
      <c r="K832" t="s">
        <v>2317</v>
      </c>
      <c r="L832" t="s">
        <v>64</v>
      </c>
      <c r="M832" t="s">
        <v>2614</v>
      </c>
      <c r="N832" t="s">
        <v>267</v>
      </c>
      <c r="O832" t="s">
        <v>64</v>
      </c>
      <c r="P832" t="s">
        <v>55</v>
      </c>
      <c r="Q832" t="s">
        <v>2614</v>
      </c>
      <c r="R832">
        <v>133</v>
      </c>
      <c r="S832">
        <v>0</v>
      </c>
      <c r="T832" t="s">
        <v>41</v>
      </c>
      <c r="U832" t="s">
        <v>42</v>
      </c>
      <c r="V832">
        <v>1.21</v>
      </c>
      <c r="W832">
        <v>3.87</v>
      </c>
      <c r="X832">
        <v>5.3</v>
      </c>
      <c r="Y832">
        <v>21.3</v>
      </c>
      <c r="Z832">
        <v>9.5</v>
      </c>
      <c r="AA832">
        <f>VALUE(SUBSTITUTE(DACS19___Pfizer’s_Personalised_Medicine_in[[#This Row],[Dose]],"mg",""))</f>
        <v>150</v>
      </c>
      <c r="AB832">
        <f t="shared" si="84"/>
        <v>150</v>
      </c>
      <c r="AC832" t="s">
        <v>2614</v>
      </c>
      <c r="AD832">
        <f t="shared" si="85"/>
        <v>0</v>
      </c>
      <c r="AE832">
        <f t="shared" si="86"/>
        <v>2</v>
      </c>
      <c r="AF832" t="e">
        <f t="shared" si="87"/>
        <v>#N/A</v>
      </c>
      <c r="AG832" t="e">
        <f t="shared" si="88"/>
        <v>#N/A</v>
      </c>
      <c r="AH832">
        <f t="shared" si="89"/>
        <v>3.87</v>
      </c>
      <c r="AI832" t="e">
        <f t="shared" si="90"/>
        <v>#N/A</v>
      </c>
    </row>
    <row r="833" spans="1:35" x14ac:dyDescent="0.45">
      <c r="A833" t="s">
        <v>2318</v>
      </c>
      <c r="B833">
        <v>60</v>
      </c>
      <c r="C833" t="s">
        <v>44</v>
      </c>
      <c r="D833" t="s">
        <v>87</v>
      </c>
      <c r="E833" t="s">
        <v>78</v>
      </c>
      <c r="F833" t="s">
        <v>2614</v>
      </c>
      <c r="G833" t="s">
        <v>184</v>
      </c>
      <c r="H833" t="s">
        <v>61</v>
      </c>
      <c r="I833" t="s">
        <v>33</v>
      </c>
      <c r="J833" t="s">
        <v>224</v>
      </c>
      <c r="K833" t="s">
        <v>2319</v>
      </c>
      <c r="L833" t="s">
        <v>64</v>
      </c>
      <c r="M833" t="s">
        <v>2614</v>
      </c>
      <c r="N833" t="s">
        <v>525</v>
      </c>
      <c r="O833" t="s">
        <v>64</v>
      </c>
      <c r="P833" t="s">
        <v>39</v>
      </c>
      <c r="Q833" t="s">
        <v>67</v>
      </c>
      <c r="R833">
        <v>174</v>
      </c>
      <c r="S833">
        <v>1</v>
      </c>
      <c r="T833" t="s">
        <v>41</v>
      </c>
      <c r="U833" t="s">
        <v>42</v>
      </c>
      <c r="V833">
        <v>1.67</v>
      </c>
      <c r="W833">
        <v>4.3499999999999996</v>
      </c>
      <c r="X833">
        <v>5.9</v>
      </c>
      <c r="Y833">
        <v>9.4</v>
      </c>
      <c r="Z833">
        <v>15.2</v>
      </c>
      <c r="AA833">
        <f>VALUE(SUBSTITUTE(DACS19___Pfizer’s_Personalised_Medicine_in[[#This Row],[Dose]],"mg",""))</f>
        <v>150</v>
      </c>
      <c r="AB833">
        <f t="shared" si="84"/>
        <v>150</v>
      </c>
      <c r="AC833" t="s">
        <v>67</v>
      </c>
      <c r="AD833">
        <f t="shared" si="85"/>
        <v>2</v>
      </c>
      <c r="AE833">
        <f t="shared" si="86"/>
        <v>3</v>
      </c>
      <c r="AF833">
        <f t="shared" si="87"/>
        <v>4.3499999999999996</v>
      </c>
      <c r="AG833" t="e">
        <f t="shared" si="88"/>
        <v>#N/A</v>
      </c>
      <c r="AH833" t="e">
        <f t="shared" si="89"/>
        <v>#N/A</v>
      </c>
      <c r="AI833" t="e">
        <f t="shared" si="90"/>
        <v>#N/A</v>
      </c>
    </row>
    <row r="834" spans="1:35" x14ac:dyDescent="0.45">
      <c r="A834" t="s">
        <v>2320</v>
      </c>
      <c r="B834">
        <v>22</v>
      </c>
      <c r="C834" t="s">
        <v>45</v>
      </c>
      <c r="D834" t="s">
        <v>28</v>
      </c>
      <c r="E834" t="s">
        <v>2614</v>
      </c>
      <c r="F834" t="s">
        <v>47</v>
      </c>
      <c r="G834" t="s">
        <v>276</v>
      </c>
      <c r="H834" t="s">
        <v>61</v>
      </c>
      <c r="I834" t="s">
        <v>49</v>
      </c>
      <c r="J834" t="s">
        <v>2306</v>
      </c>
      <c r="K834" t="s">
        <v>1704</v>
      </c>
      <c r="L834" t="s">
        <v>36</v>
      </c>
      <c r="M834" t="s">
        <v>2650</v>
      </c>
      <c r="N834" t="s">
        <v>501</v>
      </c>
      <c r="O834" t="s">
        <v>36</v>
      </c>
      <c r="P834" t="s">
        <v>39</v>
      </c>
      <c r="Q834" t="s">
        <v>67</v>
      </c>
      <c r="R834">
        <v>114</v>
      </c>
      <c r="S834">
        <v>1</v>
      </c>
      <c r="T834" t="s">
        <v>137</v>
      </c>
      <c r="U834" t="s">
        <v>57</v>
      </c>
      <c r="V834">
        <v>3.04</v>
      </c>
      <c r="W834">
        <v>3.42</v>
      </c>
      <c r="X834">
        <v>5.0999999999999996</v>
      </c>
      <c r="Y834">
        <v>20.9</v>
      </c>
      <c r="Z834">
        <v>17.100000000000001</v>
      </c>
      <c r="AA834">
        <f>VALUE(SUBSTITUTE(DACS19___Pfizer’s_Personalised_Medicine_in[[#This Row],[Dose]],"mg",""))</f>
        <v>200</v>
      </c>
      <c r="AB834">
        <f t="shared" ref="AB834:AB897" si="91">VALUE(SUBSTITUTE(O834,"mg",""))</f>
        <v>200</v>
      </c>
      <c r="AC834" t="s">
        <v>67</v>
      </c>
      <c r="AD834">
        <f t="shared" ref="AD834:AD897" si="92">IF(Q834="","",IF(Q834="Dizziness",1,IF(Q834="Fatigue",2,IF(Q834="Headache",3,IF(Q834="Nausea",4,IF(Q834="Not Reported",0,""))))))</f>
        <v>2</v>
      </c>
      <c r="AE834">
        <f t="shared" ref="AE834:AE897" si="93">IF(P834="Deteriorated",1,IF(P834="No Change",2,IF(P834="Improved",3,0)))</f>
        <v>3</v>
      </c>
      <c r="AF834">
        <f t="shared" ref="AF834:AF897" si="94">IF($H834="DrugA",$W834,NA())</f>
        <v>3.42</v>
      </c>
      <c r="AG834" t="e">
        <f t="shared" ref="AG834:AG897" si="95">IF($H834="DrugB",$W834,NA())</f>
        <v>#N/A</v>
      </c>
      <c r="AH834" t="e">
        <f t="shared" ref="AH834:AH897" si="96">IF($H834="DrugC",$W834,NA())</f>
        <v>#N/A</v>
      </c>
      <c r="AI834" t="e">
        <f t="shared" ref="AI834:AI897" si="97">IF($H834="DrugD",$W834,NA())</f>
        <v>#N/A</v>
      </c>
    </row>
    <row r="835" spans="1:35" x14ac:dyDescent="0.45">
      <c r="A835" t="s">
        <v>2321</v>
      </c>
      <c r="B835">
        <v>67</v>
      </c>
      <c r="C835" t="s">
        <v>27</v>
      </c>
      <c r="D835" t="s">
        <v>106</v>
      </c>
      <c r="E835" t="s">
        <v>46</v>
      </c>
      <c r="F835" t="s">
        <v>2614</v>
      </c>
      <c r="G835" t="s">
        <v>131</v>
      </c>
      <c r="H835" t="s">
        <v>32</v>
      </c>
      <c r="I835" t="s">
        <v>72</v>
      </c>
      <c r="J835" t="s">
        <v>949</v>
      </c>
      <c r="K835" t="s">
        <v>2322</v>
      </c>
      <c r="L835" t="s">
        <v>52</v>
      </c>
      <c r="M835" t="s">
        <v>129</v>
      </c>
      <c r="N835" t="s">
        <v>254</v>
      </c>
      <c r="O835" t="s">
        <v>52</v>
      </c>
      <c r="P835" t="s">
        <v>39</v>
      </c>
      <c r="Q835" t="s">
        <v>67</v>
      </c>
      <c r="R835">
        <v>142</v>
      </c>
      <c r="S835">
        <v>1</v>
      </c>
      <c r="T835" t="s">
        <v>137</v>
      </c>
      <c r="U835" t="s">
        <v>57</v>
      </c>
      <c r="V835">
        <v>3.84</v>
      </c>
      <c r="W835">
        <v>1.42</v>
      </c>
      <c r="X835">
        <v>8.5</v>
      </c>
      <c r="Y835">
        <v>18.100000000000001</v>
      </c>
      <c r="Z835">
        <v>14.8</v>
      </c>
      <c r="AA835">
        <f>VALUE(SUBSTITUTE(DACS19___Pfizer’s_Personalised_Medicine_in[[#This Row],[Dose]],"mg",""))</f>
        <v>100</v>
      </c>
      <c r="AB835">
        <f t="shared" si="91"/>
        <v>100</v>
      </c>
      <c r="AC835" t="s">
        <v>67</v>
      </c>
      <c r="AD835">
        <f t="shared" si="92"/>
        <v>2</v>
      </c>
      <c r="AE835">
        <f t="shared" si="93"/>
        <v>3</v>
      </c>
      <c r="AF835" t="e">
        <f t="shared" si="94"/>
        <v>#N/A</v>
      </c>
      <c r="AG835" t="e">
        <f t="shared" si="95"/>
        <v>#N/A</v>
      </c>
      <c r="AH835">
        <f t="shared" si="96"/>
        <v>1.42</v>
      </c>
      <c r="AI835" t="e">
        <f t="shared" si="97"/>
        <v>#N/A</v>
      </c>
    </row>
    <row r="836" spans="1:35" x14ac:dyDescent="0.45">
      <c r="A836" t="s">
        <v>2323</v>
      </c>
      <c r="B836">
        <v>25</v>
      </c>
      <c r="C836" t="s">
        <v>27</v>
      </c>
      <c r="D836" t="s">
        <v>106</v>
      </c>
      <c r="E836" t="s">
        <v>78</v>
      </c>
      <c r="F836" t="s">
        <v>2614</v>
      </c>
      <c r="G836" t="s">
        <v>118</v>
      </c>
      <c r="H836" t="s">
        <v>61</v>
      </c>
      <c r="I836" t="s">
        <v>132</v>
      </c>
      <c r="J836" t="s">
        <v>1561</v>
      </c>
      <c r="K836" t="s">
        <v>1387</v>
      </c>
      <c r="L836" t="s">
        <v>52</v>
      </c>
      <c r="M836" t="s">
        <v>2625</v>
      </c>
      <c r="N836" t="s">
        <v>366</v>
      </c>
      <c r="O836" t="s">
        <v>52</v>
      </c>
      <c r="P836" t="s">
        <v>110</v>
      </c>
      <c r="Q836" t="s">
        <v>75</v>
      </c>
      <c r="R836">
        <v>116</v>
      </c>
      <c r="S836">
        <v>0</v>
      </c>
      <c r="T836" t="s">
        <v>123</v>
      </c>
      <c r="U836" t="s">
        <v>57</v>
      </c>
      <c r="V836">
        <v>2.4500000000000002</v>
      </c>
      <c r="W836">
        <v>4.5199999999999996</v>
      </c>
      <c r="X836">
        <v>7.5</v>
      </c>
      <c r="Y836">
        <v>8</v>
      </c>
      <c r="Z836">
        <v>9.9</v>
      </c>
      <c r="AA836">
        <f>VALUE(SUBSTITUTE(DACS19___Pfizer’s_Personalised_Medicine_in[[#This Row],[Dose]],"mg",""))</f>
        <v>100</v>
      </c>
      <c r="AB836">
        <f t="shared" si="91"/>
        <v>100</v>
      </c>
      <c r="AC836" t="s">
        <v>75</v>
      </c>
      <c r="AD836">
        <f t="shared" si="92"/>
        <v>1</v>
      </c>
      <c r="AE836">
        <f t="shared" si="93"/>
        <v>1</v>
      </c>
      <c r="AF836">
        <f t="shared" si="94"/>
        <v>4.5199999999999996</v>
      </c>
      <c r="AG836" t="e">
        <f t="shared" si="95"/>
        <v>#N/A</v>
      </c>
      <c r="AH836" t="e">
        <f t="shared" si="96"/>
        <v>#N/A</v>
      </c>
      <c r="AI836" t="e">
        <f t="shared" si="97"/>
        <v>#N/A</v>
      </c>
    </row>
    <row r="837" spans="1:35" x14ac:dyDescent="0.45">
      <c r="A837" t="s">
        <v>2324</v>
      </c>
      <c r="B837">
        <v>54</v>
      </c>
      <c r="C837" t="s">
        <v>27</v>
      </c>
      <c r="D837" t="s">
        <v>95</v>
      </c>
      <c r="E837" t="s">
        <v>163</v>
      </c>
      <c r="F837" t="s">
        <v>2614</v>
      </c>
      <c r="G837" t="s">
        <v>89</v>
      </c>
      <c r="H837" t="s">
        <v>71</v>
      </c>
      <c r="I837" t="s">
        <v>33</v>
      </c>
      <c r="J837" t="s">
        <v>2279</v>
      </c>
      <c r="K837" t="s">
        <v>2325</v>
      </c>
      <c r="L837" t="s">
        <v>64</v>
      </c>
      <c r="M837" t="s">
        <v>2641</v>
      </c>
      <c r="N837" t="s">
        <v>1235</v>
      </c>
      <c r="O837" t="s">
        <v>64</v>
      </c>
      <c r="P837" t="s">
        <v>39</v>
      </c>
      <c r="Q837" t="s">
        <v>129</v>
      </c>
      <c r="R837">
        <v>32</v>
      </c>
      <c r="S837">
        <v>1</v>
      </c>
      <c r="T837" t="s">
        <v>56</v>
      </c>
      <c r="U837" t="s">
        <v>57</v>
      </c>
      <c r="V837">
        <v>4.55</v>
      </c>
      <c r="W837">
        <v>1.19</v>
      </c>
      <c r="X837">
        <v>9.6999999999999993</v>
      </c>
      <c r="Y837">
        <v>18.2</v>
      </c>
      <c r="Z837">
        <v>13.7</v>
      </c>
      <c r="AA837">
        <f>VALUE(SUBSTITUTE(DACS19___Pfizer’s_Personalised_Medicine_in[[#This Row],[Dose]],"mg",""))</f>
        <v>150</v>
      </c>
      <c r="AB837">
        <f t="shared" si="91"/>
        <v>150</v>
      </c>
      <c r="AC837" t="s">
        <v>129</v>
      </c>
      <c r="AD837">
        <f t="shared" si="92"/>
        <v>4</v>
      </c>
      <c r="AE837">
        <f t="shared" si="93"/>
        <v>3</v>
      </c>
      <c r="AF837" t="e">
        <f t="shared" si="94"/>
        <v>#N/A</v>
      </c>
      <c r="AG837">
        <f t="shared" si="95"/>
        <v>1.19</v>
      </c>
      <c r="AH837" t="e">
        <f t="shared" si="96"/>
        <v>#N/A</v>
      </c>
      <c r="AI837" t="e">
        <f t="shared" si="97"/>
        <v>#N/A</v>
      </c>
    </row>
    <row r="838" spans="1:35" x14ac:dyDescent="0.45">
      <c r="A838" t="s">
        <v>2326</v>
      </c>
      <c r="B838">
        <v>45</v>
      </c>
      <c r="C838" t="s">
        <v>44</v>
      </c>
      <c r="D838" t="s">
        <v>87</v>
      </c>
      <c r="E838" t="s">
        <v>46</v>
      </c>
      <c r="F838" t="s">
        <v>2614</v>
      </c>
      <c r="G838" t="s">
        <v>80</v>
      </c>
      <c r="H838" t="s">
        <v>61</v>
      </c>
      <c r="I838" t="s">
        <v>49</v>
      </c>
      <c r="J838" t="s">
        <v>796</v>
      </c>
      <c r="K838" t="s">
        <v>753</v>
      </c>
      <c r="L838" t="s">
        <v>52</v>
      </c>
      <c r="M838" t="s">
        <v>2629</v>
      </c>
      <c r="N838" t="s">
        <v>776</v>
      </c>
      <c r="O838" t="s">
        <v>52</v>
      </c>
      <c r="P838" t="s">
        <v>39</v>
      </c>
      <c r="Q838" t="s">
        <v>75</v>
      </c>
      <c r="R838">
        <v>106</v>
      </c>
      <c r="S838">
        <v>1</v>
      </c>
      <c r="T838" t="s">
        <v>85</v>
      </c>
      <c r="U838" t="s">
        <v>42</v>
      </c>
      <c r="V838">
        <v>2.08</v>
      </c>
      <c r="W838">
        <v>2</v>
      </c>
      <c r="X838">
        <v>9.5</v>
      </c>
      <c r="Y838">
        <v>11.4</v>
      </c>
      <c r="Z838">
        <v>16.2</v>
      </c>
      <c r="AA838">
        <f>VALUE(SUBSTITUTE(DACS19___Pfizer’s_Personalised_Medicine_in[[#This Row],[Dose]],"mg",""))</f>
        <v>100</v>
      </c>
      <c r="AB838">
        <f t="shared" si="91"/>
        <v>100</v>
      </c>
      <c r="AC838" t="s">
        <v>75</v>
      </c>
      <c r="AD838">
        <f t="shared" si="92"/>
        <v>1</v>
      </c>
      <c r="AE838">
        <f t="shared" si="93"/>
        <v>3</v>
      </c>
      <c r="AF838">
        <f t="shared" si="94"/>
        <v>2</v>
      </c>
      <c r="AG838" t="e">
        <f t="shared" si="95"/>
        <v>#N/A</v>
      </c>
      <c r="AH838" t="e">
        <f t="shared" si="96"/>
        <v>#N/A</v>
      </c>
      <c r="AI838" t="e">
        <f t="shared" si="97"/>
        <v>#N/A</v>
      </c>
    </row>
    <row r="839" spans="1:35" x14ac:dyDescent="0.45">
      <c r="A839" t="s">
        <v>2327</v>
      </c>
      <c r="B839">
        <v>46</v>
      </c>
      <c r="C839" t="s">
        <v>45</v>
      </c>
      <c r="D839" t="s">
        <v>28</v>
      </c>
      <c r="E839" t="s">
        <v>29</v>
      </c>
      <c r="F839" t="s">
        <v>2614</v>
      </c>
      <c r="G839" t="s">
        <v>112</v>
      </c>
      <c r="H839" t="s">
        <v>32</v>
      </c>
      <c r="I839" t="s">
        <v>132</v>
      </c>
      <c r="J839" t="s">
        <v>2328</v>
      </c>
      <c r="K839" t="s">
        <v>1477</v>
      </c>
      <c r="L839" t="s">
        <v>64</v>
      </c>
      <c r="M839" t="s">
        <v>129</v>
      </c>
      <c r="N839" t="s">
        <v>188</v>
      </c>
      <c r="O839" t="s">
        <v>64</v>
      </c>
      <c r="P839" t="s">
        <v>55</v>
      </c>
      <c r="Q839" t="s">
        <v>129</v>
      </c>
      <c r="R839">
        <v>38</v>
      </c>
      <c r="S839">
        <v>0</v>
      </c>
      <c r="T839" t="s">
        <v>123</v>
      </c>
      <c r="U839" t="s">
        <v>57</v>
      </c>
      <c r="V839">
        <v>2.57</v>
      </c>
      <c r="W839">
        <v>1.56</v>
      </c>
      <c r="X839">
        <v>1.1000000000000001</v>
      </c>
      <c r="Y839">
        <v>15.8</v>
      </c>
      <c r="Z839">
        <v>19.600000000000001</v>
      </c>
      <c r="AA839">
        <f>VALUE(SUBSTITUTE(DACS19___Pfizer’s_Personalised_Medicine_in[[#This Row],[Dose]],"mg",""))</f>
        <v>150</v>
      </c>
      <c r="AB839">
        <f t="shared" si="91"/>
        <v>150</v>
      </c>
      <c r="AC839" t="s">
        <v>129</v>
      </c>
      <c r="AD839">
        <f t="shared" si="92"/>
        <v>4</v>
      </c>
      <c r="AE839">
        <f t="shared" si="93"/>
        <v>2</v>
      </c>
      <c r="AF839" t="e">
        <f t="shared" si="94"/>
        <v>#N/A</v>
      </c>
      <c r="AG839" t="e">
        <f t="shared" si="95"/>
        <v>#N/A</v>
      </c>
      <c r="AH839">
        <f t="shared" si="96"/>
        <v>1.56</v>
      </c>
      <c r="AI839" t="e">
        <f t="shared" si="97"/>
        <v>#N/A</v>
      </c>
    </row>
    <row r="840" spans="1:35" x14ac:dyDescent="0.45">
      <c r="A840" t="s">
        <v>2329</v>
      </c>
      <c r="B840">
        <v>80</v>
      </c>
      <c r="C840" t="s">
        <v>45</v>
      </c>
      <c r="D840" t="s">
        <v>45</v>
      </c>
      <c r="E840" t="s">
        <v>163</v>
      </c>
      <c r="F840" t="s">
        <v>2614</v>
      </c>
      <c r="G840" t="s">
        <v>131</v>
      </c>
      <c r="H840" t="s">
        <v>81</v>
      </c>
      <c r="I840" t="s">
        <v>49</v>
      </c>
      <c r="J840" t="s">
        <v>2226</v>
      </c>
      <c r="K840" t="s">
        <v>2330</v>
      </c>
      <c r="L840" t="s">
        <v>36</v>
      </c>
      <c r="M840" t="s">
        <v>2639</v>
      </c>
      <c r="N840" t="s">
        <v>412</v>
      </c>
      <c r="O840" t="s">
        <v>36</v>
      </c>
      <c r="P840" t="s">
        <v>110</v>
      </c>
      <c r="Q840" t="s">
        <v>67</v>
      </c>
      <c r="R840">
        <v>152</v>
      </c>
      <c r="S840">
        <v>0</v>
      </c>
      <c r="T840" t="s">
        <v>85</v>
      </c>
      <c r="U840" t="s">
        <v>57</v>
      </c>
      <c r="V840">
        <v>2.48</v>
      </c>
      <c r="W840">
        <v>2.4300000000000002</v>
      </c>
      <c r="X840">
        <v>4.0999999999999996</v>
      </c>
      <c r="Y840">
        <v>15.4</v>
      </c>
      <c r="Z840">
        <v>10.5</v>
      </c>
      <c r="AA840">
        <f>VALUE(SUBSTITUTE(DACS19___Pfizer’s_Personalised_Medicine_in[[#This Row],[Dose]],"mg",""))</f>
        <v>200</v>
      </c>
      <c r="AB840">
        <f t="shared" si="91"/>
        <v>200</v>
      </c>
      <c r="AC840" t="s">
        <v>67</v>
      </c>
      <c r="AD840">
        <f t="shared" si="92"/>
        <v>2</v>
      </c>
      <c r="AE840">
        <f t="shared" si="93"/>
        <v>1</v>
      </c>
      <c r="AF840" t="e">
        <f t="shared" si="94"/>
        <v>#N/A</v>
      </c>
      <c r="AG840" t="e">
        <f t="shared" si="95"/>
        <v>#N/A</v>
      </c>
      <c r="AH840" t="e">
        <f t="shared" si="96"/>
        <v>#N/A</v>
      </c>
      <c r="AI840">
        <f t="shared" si="97"/>
        <v>2.4300000000000002</v>
      </c>
    </row>
    <row r="841" spans="1:35" x14ac:dyDescent="0.45">
      <c r="A841" t="s">
        <v>2331</v>
      </c>
      <c r="B841">
        <v>34</v>
      </c>
      <c r="C841" t="s">
        <v>45</v>
      </c>
      <c r="D841" t="s">
        <v>106</v>
      </c>
      <c r="E841" t="s">
        <v>46</v>
      </c>
      <c r="F841" t="s">
        <v>2614</v>
      </c>
      <c r="G841" t="s">
        <v>276</v>
      </c>
      <c r="H841" t="s">
        <v>32</v>
      </c>
      <c r="I841" t="s">
        <v>132</v>
      </c>
      <c r="J841" t="s">
        <v>2332</v>
      </c>
      <c r="K841" t="s">
        <v>1118</v>
      </c>
      <c r="L841" t="s">
        <v>36</v>
      </c>
      <c r="M841" t="s">
        <v>1291</v>
      </c>
      <c r="N841" t="s">
        <v>1062</v>
      </c>
      <c r="O841" t="s">
        <v>36</v>
      </c>
      <c r="P841" t="s">
        <v>55</v>
      </c>
      <c r="Q841" t="s">
        <v>129</v>
      </c>
      <c r="R841">
        <v>85</v>
      </c>
      <c r="S841">
        <v>0</v>
      </c>
      <c r="T841" t="s">
        <v>41</v>
      </c>
      <c r="U841" t="s">
        <v>57</v>
      </c>
      <c r="V841">
        <v>4.5199999999999996</v>
      </c>
      <c r="W841">
        <v>3.02</v>
      </c>
      <c r="X841">
        <v>5.6</v>
      </c>
      <c r="Y841">
        <v>8.5</v>
      </c>
      <c r="Z841">
        <v>19.7</v>
      </c>
      <c r="AA841">
        <f>VALUE(SUBSTITUTE(DACS19___Pfizer’s_Personalised_Medicine_in[[#This Row],[Dose]],"mg",""))</f>
        <v>200</v>
      </c>
      <c r="AB841">
        <f t="shared" si="91"/>
        <v>200</v>
      </c>
      <c r="AC841" t="s">
        <v>129</v>
      </c>
      <c r="AD841">
        <f t="shared" si="92"/>
        <v>4</v>
      </c>
      <c r="AE841">
        <f t="shared" si="93"/>
        <v>2</v>
      </c>
      <c r="AF841" t="e">
        <f t="shared" si="94"/>
        <v>#N/A</v>
      </c>
      <c r="AG841" t="e">
        <f t="shared" si="95"/>
        <v>#N/A</v>
      </c>
      <c r="AH841">
        <f t="shared" si="96"/>
        <v>3.02</v>
      </c>
      <c r="AI841" t="e">
        <f t="shared" si="97"/>
        <v>#N/A</v>
      </c>
    </row>
    <row r="842" spans="1:35" x14ac:dyDescent="0.45">
      <c r="A842" t="s">
        <v>2333</v>
      </c>
      <c r="B842">
        <v>19</v>
      </c>
      <c r="C842" t="s">
        <v>27</v>
      </c>
      <c r="D842" t="s">
        <v>95</v>
      </c>
      <c r="E842" t="s">
        <v>46</v>
      </c>
      <c r="F842" t="s">
        <v>2614</v>
      </c>
      <c r="G842" t="s">
        <v>31</v>
      </c>
      <c r="H842" t="s">
        <v>32</v>
      </c>
      <c r="I842" t="s">
        <v>72</v>
      </c>
      <c r="J842" t="s">
        <v>401</v>
      </c>
      <c r="K842" t="s">
        <v>166</v>
      </c>
      <c r="L842" t="s">
        <v>36</v>
      </c>
      <c r="M842" t="s">
        <v>2645</v>
      </c>
      <c r="N842" t="s">
        <v>244</v>
      </c>
      <c r="O842" t="s">
        <v>36</v>
      </c>
      <c r="P842" t="s">
        <v>110</v>
      </c>
      <c r="Q842" t="s">
        <v>67</v>
      </c>
      <c r="R842">
        <v>176</v>
      </c>
      <c r="S842">
        <v>0</v>
      </c>
      <c r="T842" t="s">
        <v>41</v>
      </c>
      <c r="U842" t="s">
        <v>42</v>
      </c>
      <c r="V842">
        <v>2</v>
      </c>
      <c r="W842">
        <v>1.29</v>
      </c>
      <c r="X842">
        <v>7</v>
      </c>
      <c r="Y842">
        <v>16.7</v>
      </c>
      <c r="Z842">
        <v>10.1</v>
      </c>
      <c r="AA842">
        <f>VALUE(SUBSTITUTE(DACS19___Pfizer’s_Personalised_Medicine_in[[#This Row],[Dose]],"mg",""))</f>
        <v>200</v>
      </c>
      <c r="AB842">
        <f t="shared" si="91"/>
        <v>200</v>
      </c>
      <c r="AC842" t="s">
        <v>67</v>
      </c>
      <c r="AD842">
        <f t="shared" si="92"/>
        <v>2</v>
      </c>
      <c r="AE842">
        <f t="shared" si="93"/>
        <v>1</v>
      </c>
      <c r="AF842" t="e">
        <f t="shared" si="94"/>
        <v>#N/A</v>
      </c>
      <c r="AG842" t="e">
        <f t="shared" si="95"/>
        <v>#N/A</v>
      </c>
      <c r="AH842">
        <f t="shared" si="96"/>
        <v>1.29</v>
      </c>
      <c r="AI842" t="e">
        <f t="shared" si="97"/>
        <v>#N/A</v>
      </c>
    </row>
    <row r="843" spans="1:35" x14ac:dyDescent="0.45">
      <c r="A843" t="s">
        <v>2334</v>
      </c>
      <c r="B843">
        <v>46</v>
      </c>
      <c r="C843" t="s">
        <v>44</v>
      </c>
      <c r="D843" t="s">
        <v>28</v>
      </c>
      <c r="E843" t="s">
        <v>163</v>
      </c>
      <c r="F843" t="s">
        <v>88</v>
      </c>
      <c r="G843" t="s">
        <v>80</v>
      </c>
      <c r="H843" t="s">
        <v>61</v>
      </c>
      <c r="I843" t="s">
        <v>33</v>
      </c>
      <c r="J843" t="s">
        <v>2087</v>
      </c>
      <c r="K843" t="s">
        <v>2335</v>
      </c>
      <c r="L843" t="s">
        <v>36</v>
      </c>
      <c r="M843" t="s">
        <v>2649</v>
      </c>
      <c r="N843" t="s">
        <v>116</v>
      </c>
      <c r="O843" t="s">
        <v>36</v>
      </c>
      <c r="P843" t="s">
        <v>39</v>
      </c>
      <c r="Q843" t="s">
        <v>129</v>
      </c>
      <c r="R843">
        <v>128</v>
      </c>
      <c r="S843">
        <v>1</v>
      </c>
      <c r="T843" t="s">
        <v>56</v>
      </c>
      <c r="U843" t="s">
        <v>57</v>
      </c>
      <c r="V843">
        <v>2.69</v>
      </c>
      <c r="W843">
        <v>4.1399999999999997</v>
      </c>
      <c r="X843">
        <v>2.8</v>
      </c>
      <c r="Y843">
        <v>20.8</v>
      </c>
      <c r="Z843">
        <v>14</v>
      </c>
      <c r="AA843">
        <f>VALUE(SUBSTITUTE(DACS19___Pfizer’s_Personalised_Medicine_in[[#This Row],[Dose]],"mg",""))</f>
        <v>200</v>
      </c>
      <c r="AB843">
        <f t="shared" si="91"/>
        <v>200</v>
      </c>
      <c r="AC843" t="s">
        <v>129</v>
      </c>
      <c r="AD843">
        <f t="shared" si="92"/>
        <v>4</v>
      </c>
      <c r="AE843">
        <f t="shared" si="93"/>
        <v>3</v>
      </c>
      <c r="AF843">
        <f t="shared" si="94"/>
        <v>4.1399999999999997</v>
      </c>
      <c r="AG843" t="e">
        <f t="shared" si="95"/>
        <v>#N/A</v>
      </c>
      <c r="AH843" t="e">
        <f t="shared" si="96"/>
        <v>#N/A</v>
      </c>
      <c r="AI843" t="e">
        <f t="shared" si="97"/>
        <v>#N/A</v>
      </c>
    </row>
    <row r="844" spans="1:35" x14ac:dyDescent="0.45">
      <c r="A844" t="s">
        <v>2336</v>
      </c>
      <c r="B844">
        <v>46</v>
      </c>
      <c r="C844" t="s">
        <v>27</v>
      </c>
      <c r="D844" t="s">
        <v>45</v>
      </c>
      <c r="E844" t="s">
        <v>163</v>
      </c>
      <c r="F844" t="s">
        <v>59</v>
      </c>
      <c r="G844" t="s">
        <v>440</v>
      </c>
      <c r="H844" t="s">
        <v>32</v>
      </c>
      <c r="I844" t="s">
        <v>33</v>
      </c>
      <c r="J844" t="s">
        <v>1979</v>
      </c>
      <c r="K844" t="s">
        <v>611</v>
      </c>
      <c r="L844" t="s">
        <v>92</v>
      </c>
      <c r="M844" t="s">
        <v>75</v>
      </c>
      <c r="N844" t="s">
        <v>504</v>
      </c>
      <c r="O844" t="s">
        <v>92</v>
      </c>
      <c r="P844" t="s">
        <v>110</v>
      </c>
      <c r="Q844" t="s">
        <v>40</v>
      </c>
      <c r="R844">
        <v>109</v>
      </c>
      <c r="S844">
        <v>0</v>
      </c>
      <c r="T844" t="s">
        <v>41</v>
      </c>
      <c r="U844" t="s">
        <v>57</v>
      </c>
      <c r="V844">
        <v>2.68</v>
      </c>
      <c r="W844">
        <v>2.83</v>
      </c>
      <c r="X844">
        <v>3.3</v>
      </c>
      <c r="Y844">
        <v>19.5</v>
      </c>
      <c r="Z844">
        <v>11.7</v>
      </c>
      <c r="AA844">
        <f>VALUE(SUBSTITUTE(DACS19___Pfizer’s_Personalised_Medicine_in[[#This Row],[Dose]],"mg",""))</f>
        <v>50</v>
      </c>
      <c r="AB844">
        <f t="shared" si="91"/>
        <v>50</v>
      </c>
      <c r="AC844" t="s">
        <v>40</v>
      </c>
      <c r="AD844">
        <f t="shared" si="92"/>
        <v>3</v>
      </c>
      <c r="AE844">
        <f t="shared" si="93"/>
        <v>1</v>
      </c>
      <c r="AF844" t="e">
        <f t="shared" si="94"/>
        <v>#N/A</v>
      </c>
      <c r="AG844" t="e">
        <f t="shared" si="95"/>
        <v>#N/A</v>
      </c>
      <c r="AH844">
        <f t="shared" si="96"/>
        <v>2.83</v>
      </c>
      <c r="AI844" t="e">
        <f t="shared" si="97"/>
        <v>#N/A</v>
      </c>
    </row>
    <row r="845" spans="1:35" x14ac:dyDescent="0.45">
      <c r="A845" t="s">
        <v>2337</v>
      </c>
      <c r="B845">
        <v>23</v>
      </c>
      <c r="C845" t="s">
        <v>27</v>
      </c>
      <c r="D845" t="s">
        <v>106</v>
      </c>
      <c r="E845" t="s">
        <v>78</v>
      </c>
      <c r="F845" t="s">
        <v>2614</v>
      </c>
      <c r="G845" t="s">
        <v>112</v>
      </c>
      <c r="H845" t="s">
        <v>61</v>
      </c>
      <c r="I845" t="s">
        <v>72</v>
      </c>
      <c r="J845" t="s">
        <v>2338</v>
      </c>
      <c r="K845" t="s">
        <v>2339</v>
      </c>
      <c r="L845" t="s">
        <v>52</v>
      </c>
      <c r="M845" t="s">
        <v>2614</v>
      </c>
      <c r="N845" t="s">
        <v>971</v>
      </c>
      <c r="O845" t="s">
        <v>52</v>
      </c>
      <c r="P845" t="s">
        <v>55</v>
      </c>
      <c r="Q845" t="s">
        <v>129</v>
      </c>
      <c r="R845">
        <v>62</v>
      </c>
      <c r="S845">
        <v>0</v>
      </c>
      <c r="T845" t="s">
        <v>123</v>
      </c>
      <c r="U845" t="s">
        <v>57</v>
      </c>
      <c r="V845">
        <v>2.2799999999999998</v>
      </c>
      <c r="W845">
        <v>3.38</v>
      </c>
      <c r="X845">
        <v>10</v>
      </c>
      <c r="Y845">
        <v>13.8</v>
      </c>
      <c r="Z845">
        <v>18.7</v>
      </c>
      <c r="AA845">
        <f>VALUE(SUBSTITUTE(DACS19___Pfizer’s_Personalised_Medicine_in[[#This Row],[Dose]],"mg",""))</f>
        <v>100</v>
      </c>
      <c r="AB845">
        <f t="shared" si="91"/>
        <v>100</v>
      </c>
      <c r="AC845" t="s">
        <v>129</v>
      </c>
      <c r="AD845">
        <f t="shared" si="92"/>
        <v>4</v>
      </c>
      <c r="AE845">
        <f t="shared" si="93"/>
        <v>2</v>
      </c>
      <c r="AF845">
        <f t="shared" si="94"/>
        <v>3.38</v>
      </c>
      <c r="AG845" t="e">
        <f t="shared" si="95"/>
        <v>#N/A</v>
      </c>
      <c r="AH845" t="e">
        <f t="shared" si="96"/>
        <v>#N/A</v>
      </c>
      <c r="AI845" t="e">
        <f t="shared" si="97"/>
        <v>#N/A</v>
      </c>
    </row>
    <row r="846" spans="1:35" x14ac:dyDescent="0.45">
      <c r="A846" t="s">
        <v>2340</v>
      </c>
      <c r="B846">
        <v>32</v>
      </c>
      <c r="C846" t="s">
        <v>27</v>
      </c>
      <c r="D846" t="s">
        <v>28</v>
      </c>
      <c r="E846" t="s">
        <v>46</v>
      </c>
      <c r="F846" t="s">
        <v>69</v>
      </c>
      <c r="G846" t="s">
        <v>164</v>
      </c>
      <c r="H846" t="s">
        <v>71</v>
      </c>
      <c r="I846" t="s">
        <v>72</v>
      </c>
      <c r="J846" t="s">
        <v>390</v>
      </c>
      <c r="K846" t="s">
        <v>2341</v>
      </c>
      <c r="L846" t="s">
        <v>52</v>
      </c>
      <c r="M846" t="s">
        <v>2614</v>
      </c>
      <c r="N846" t="s">
        <v>677</v>
      </c>
      <c r="O846" t="s">
        <v>52</v>
      </c>
      <c r="P846" t="s">
        <v>39</v>
      </c>
      <c r="Q846" t="s">
        <v>75</v>
      </c>
      <c r="R846">
        <v>176</v>
      </c>
      <c r="S846">
        <v>1</v>
      </c>
      <c r="T846" t="s">
        <v>56</v>
      </c>
      <c r="U846" t="s">
        <v>42</v>
      </c>
      <c r="V846">
        <v>2.38</v>
      </c>
      <c r="W846">
        <v>1.22</v>
      </c>
      <c r="X846">
        <v>2.8</v>
      </c>
      <c r="Y846">
        <v>13.5</v>
      </c>
      <c r="Z846">
        <v>6.7</v>
      </c>
      <c r="AA846">
        <f>VALUE(SUBSTITUTE(DACS19___Pfizer’s_Personalised_Medicine_in[[#This Row],[Dose]],"mg",""))</f>
        <v>100</v>
      </c>
      <c r="AB846">
        <f t="shared" si="91"/>
        <v>100</v>
      </c>
      <c r="AC846" t="s">
        <v>75</v>
      </c>
      <c r="AD846">
        <f t="shared" si="92"/>
        <v>1</v>
      </c>
      <c r="AE846">
        <f t="shared" si="93"/>
        <v>3</v>
      </c>
      <c r="AF846" t="e">
        <f t="shared" si="94"/>
        <v>#N/A</v>
      </c>
      <c r="AG846">
        <f t="shared" si="95"/>
        <v>1.22</v>
      </c>
      <c r="AH846" t="e">
        <f t="shared" si="96"/>
        <v>#N/A</v>
      </c>
      <c r="AI846" t="e">
        <f t="shared" si="97"/>
        <v>#N/A</v>
      </c>
    </row>
    <row r="847" spans="1:35" x14ac:dyDescent="0.45">
      <c r="A847" t="s">
        <v>2342</v>
      </c>
      <c r="B847">
        <v>64</v>
      </c>
      <c r="C847" t="s">
        <v>45</v>
      </c>
      <c r="D847" t="s">
        <v>87</v>
      </c>
      <c r="E847" t="s">
        <v>78</v>
      </c>
      <c r="F847" t="s">
        <v>88</v>
      </c>
      <c r="G847" t="s">
        <v>246</v>
      </c>
      <c r="H847" t="s">
        <v>81</v>
      </c>
      <c r="I847" t="s">
        <v>72</v>
      </c>
      <c r="J847" t="s">
        <v>2343</v>
      </c>
      <c r="K847" t="s">
        <v>1948</v>
      </c>
      <c r="L847" t="s">
        <v>92</v>
      </c>
      <c r="M847" t="s">
        <v>2640</v>
      </c>
      <c r="N847" t="s">
        <v>2071</v>
      </c>
      <c r="O847" t="s">
        <v>92</v>
      </c>
      <c r="P847" t="s">
        <v>55</v>
      </c>
      <c r="Q847" t="s">
        <v>40</v>
      </c>
      <c r="R847">
        <v>72</v>
      </c>
      <c r="S847">
        <v>0</v>
      </c>
      <c r="T847" t="s">
        <v>123</v>
      </c>
      <c r="U847" t="s">
        <v>57</v>
      </c>
      <c r="V847">
        <v>1</v>
      </c>
      <c r="W847">
        <v>4.66</v>
      </c>
      <c r="X847">
        <v>8.6</v>
      </c>
      <c r="Y847">
        <v>19.399999999999999</v>
      </c>
      <c r="Z847">
        <v>5.9</v>
      </c>
      <c r="AA847">
        <f>VALUE(SUBSTITUTE(DACS19___Pfizer’s_Personalised_Medicine_in[[#This Row],[Dose]],"mg",""))</f>
        <v>50</v>
      </c>
      <c r="AB847">
        <f t="shared" si="91"/>
        <v>50</v>
      </c>
      <c r="AC847" t="s">
        <v>40</v>
      </c>
      <c r="AD847">
        <f t="shared" si="92"/>
        <v>3</v>
      </c>
      <c r="AE847">
        <f t="shared" si="93"/>
        <v>2</v>
      </c>
      <c r="AF847" t="e">
        <f t="shared" si="94"/>
        <v>#N/A</v>
      </c>
      <c r="AG847" t="e">
        <f t="shared" si="95"/>
        <v>#N/A</v>
      </c>
      <c r="AH847" t="e">
        <f t="shared" si="96"/>
        <v>#N/A</v>
      </c>
      <c r="AI847">
        <f t="shared" si="97"/>
        <v>4.66</v>
      </c>
    </row>
    <row r="848" spans="1:35" x14ac:dyDescent="0.45">
      <c r="A848" t="s">
        <v>2344</v>
      </c>
      <c r="B848">
        <v>84</v>
      </c>
      <c r="C848" t="s">
        <v>27</v>
      </c>
      <c r="D848" t="s">
        <v>87</v>
      </c>
      <c r="E848" t="s">
        <v>2614</v>
      </c>
      <c r="F848" t="s">
        <v>2614</v>
      </c>
      <c r="G848" t="s">
        <v>70</v>
      </c>
      <c r="H848" t="s">
        <v>71</v>
      </c>
      <c r="I848" t="s">
        <v>49</v>
      </c>
      <c r="J848" t="s">
        <v>1874</v>
      </c>
      <c r="K848" t="s">
        <v>2345</v>
      </c>
      <c r="L848" t="s">
        <v>36</v>
      </c>
      <c r="M848" t="s">
        <v>75</v>
      </c>
      <c r="N848" t="s">
        <v>398</v>
      </c>
      <c r="O848" t="s">
        <v>36</v>
      </c>
      <c r="P848" t="s">
        <v>55</v>
      </c>
      <c r="Q848" t="s">
        <v>2614</v>
      </c>
      <c r="R848">
        <v>43</v>
      </c>
      <c r="S848">
        <v>0</v>
      </c>
      <c r="T848" t="s">
        <v>123</v>
      </c>
      <c r="U848" t="s">
        <v>42</v>
      </c>
      <c r="V848">
        <v>1.48</v>
      </c>
      <c r="W848">
        <v>1.27</v>
      </c>
      <c r="X848">
        <v>7.5</v>
      </c>
      <c r="Y848">
        <v>22.7</v>
      </c>
      <c r="Z848">
        <v>10.3</v>
      </c>
      <c r="AA848">
        <f>VALUE(SUBSTITUTE(DACS19___Pfizer’s_Personalised_Medicine_in[[#This Row],[Dose]],"mg",""))</f>
        <v>200</v>
      </c>
      <c r="AB848">
        <f t="shared" si="91"/>
        <v>200</v>
      </c>
      <c r="AC848" t="s">
        <v>2614</v>
      </c>
      <c r="AD848">
        <f t="shared" si="92"/>
        <v>0</v>
      </c>
      <c r="AE848">
        <f t="shared" si="93"/>
        <v>2</v>
      </c>
      <c r="AF848" t="e">
        <f t="shared" si="94"/>
        <v>#N/A</v>
      </c>
      <c r="AG848">
        <f t="shared" si="95"/>
        <v>1.27</v>
      </c>
      <c r="AH848" t="e">
        <f t="shared" si="96"/>
        <v>#N/A</v>
      </c>
      <c r="AI848" t="e">
        <f t="shared" si="97"/>
        <v>#N/A</v>
      </c>
    </row>
    <row r="849" spans="1:35" x14ac:dyDescent="0.45">
      <c r="A849" t="s">
        <v>2346</v>
      </c>
      <c r="B849">
        <v>39</v>
      </c>
      <c r="C849" t="s">
        <v>45</v>
      </c>
      <c r="D849" t="s">
        <v>95</v>
      </c>
      <c r="E849" t="s">
        <v>46</v>
      </c>
      <c r="F849" t="s">
        <v>79</v>
      </c>
      <c r="G849" t="s">
        <v>178</v>
      </c>
      <c r="H849" t="s">
        <v>71</v>
      </c>
      <c r="I849" t="s">
        <v>132</v>
      </c>
      <c r="J849" t="s">
        <v>2347</v>
      </c>
      <c r="K849" t="s">
        <v>585</v>
      </c>
      <c r="L849" t="s">
        <v>52</v>
      </c>
      <c r="M849" t="s">
        <v>834</v>
      </c>
      <c r="N849" t="s">
        <v>1041</v>
      </c>
      <c r="O849" t="s">
        <v>52</v>
      </c>
      <c r="P849" t="s">
        <v>55</v>
      </c>
      <c r="Q849" t="s">
        <v>2614</v>
      </c>
      <c r="R849">
        <v>154</v>
      </c>
      <c r="S849">
        <v>0</v>
      </c>
      <c r="T849" t="s">
        <v>137</v>
      </c>
      <c r="U849" t="s">
        <v>42</v>
      </c>
      <c r="V849">
        <v>1.48</v>
      </c>
      <c r="W849">
        <v>3.05</v>
      </c>
      <c r="X849">
        <v>4.0999999999999996</v>
      </c>
      <c r="Y849">
        <v>12.7</v>
      </c>
      <c r="Z849">
        <v>13.6</v>
      </c>
      <c r="AA849">
        <f>VALUE(SUBSTITUTE(DACS19___Pfizer’s_Personalised_Medicine_in[[#This Row],[Dose]],"mg",""))</f>
        <v>100</v>
      </c>
      <c r="AB849">
        <f t="shared" si="91"/>
        <v>100</v>
      </c>
      <c r="AC849" t="s">
        <v>2614</v>
      </c>
      <c r="AD849">
        <f t="shared" si="92"/>
        <v>0</v>
      </c>
      <c r="AE849">
        <f t="shared" si="93"/>
        <v>2</v>
      </c>
      <c r="AF849" t="e">
        <f t="shared" si="94"/>
        <v>#N/A</v>
      </c>
      <c r="AG849">
        <f t="shared" si="95"/>
        <v>3.05</v>
      </c>
      <c r="AH849" t="e">
        <f t="shared" si="96"/>
        <v>#N/A</v>
      </c>
      <c r="AI849" t="e">
        <f t="shared" si="97"/>
        <v>#N/A</v>
      </c>
    </row>
    <row r="850" spans="1:35" x14ac:dyDescent="0.45">
      <c r="A850" t="s">
        <v>2348</v>
      </c>
      <c r="B850">
        <v>34</v>
      </c>
      <c r="C850" t="s">
        <v>45</v>
      </c>
      <c r="D850" t="s">
        <v>45</v>
      </c>
      <c r="E850" t="s">
        <v>163</v>
      </c>
      <c r="F850" t="s">
        <v>59</v>
      </c>
      <c r="G850" t="s">
        <v>80</v>
      </c>
      <c r="H850" t="s">
        <v>71</v>
      </c>
      <c r="I850" t="s">
        <v>49</v>
      </c>
      <c r="J850" t="s">
        <v>996</v>
      </c>
      <c r="K850" t="s">
        <v>836</v>
      </c>
      <c r="L850" t="s">
        <v>92</v>
      </c>
      <c r="M850" t="s">
        <v>129</v>
      </c>
      <c r="N850" t="s">
        <v>287</v>
      </c>
      <c r="O850" t="s">
        <v>92</v>
      </c>
      <c r="P850" t="s">
        <v>39</v>
      </c>
      <c r="Q850" t="s">
        <v>129</v>
      </c>
      <c r="R850">
        <v>100</v>
      </c>
      <c r="S850">
        <v>1</v>
      </c>
      <c r="T850" t="s">
        <v>41</v>
      </c>
      <c r="U850" t="s">
        <v>42</v>
      </c>
      <c r="V850">
        <v>3.87</v>
      </c>
      <c r="W850">
        <v>1.44</v>
      </c>
      <c r="X850">
        <v>1.3</v>
      </c>
      <c r="Y850">
        <v>23.9</v>
      </c>
      <c r="Z850">
        <v>7</v>
      </c>
      <c r="AA850">
        <f>VALUE(SUBSTITUTE(DACS19___Pfizer’s_Personalised_Medicine_in[[#This Row],[Dose]],"mg",""))</f>
        <v>50</v>
      </c>
      <c r="AB850">
        <f t="shared" si="91"/>
        <v>50</v>
      </c>
      <c r="AC850" t="s">
        <v>129</v>
      </c>
      <c r="AD850">
        <f t="shared" si="92"/>
        <v>4</v>
      </c>
      <c r="AE850">
        <f t="shared" si="93"/>
        <v>3</v>
      </c>
      <c r="AF850" t="e">
        <f t="shared" si="94"/>
        <v>#N/A</v>
      </c>
      <c r="AG850">
        <f t="shared" si="95"/>
        <v>1.44</v>
      </c>
      <c r="AH850" t="e">
        <f t="shared" si="96"/>
        <v>#N/A</v>
      </c>
      <c r="AI850" t="e">
        <f t="shared" si="97"/>
        <v>#N/A</v>
      </c>
    </row>
    <row r="851" spans="1:35" x14ac:dyDescent="0.45">
      <c r="A851" t="s">
        <v>2349</v>
      </c>
      <c r="B851">
        <v>34</v>
      </c>
      <c r="C851" t="s">
        <v>27</v>
      </c>
      <c r="D851" t="s">
        <v>95</v>
      </c>
      <c r="E851" t="s">
        <v>78</v>
      </c>
      <c r="F851" t="s">
        <v>79</v>
      </c>
      <c r="G851" t="s">
        <v>102</v>
      </c>
      <c r="H851" t="s">
        <v>71</v>
      </c>
      <c r="I851" t="s">
        <v>132</v>
      </c>
      <c r="J851" t="s">
        <v>1379</v>
      </c>
      <c r="K851" t="s">
        <v>2350</v>
      </c>
      <c r="L851" t="s">
        <v>52</v>
      </c>
      <c r="M851" t="s">
        <v>723</v>
      </c>
      <c r="N851" t="s">
        <v>1904</v>
      </c>
      <c r="O851" t="s">
        <v>52</v>
      </c>
      <c r="P851" t="s">
        <v>55</v>
      </c>
      <c r="Q851" t="s">
        <v>2614</v>
      </c>
      <c r="R851">
        <v>131</v>
      </c>
      <c r="S851">
        <v>0</v>
      </c>
      <c r="T851" t="s">
        <v>41</v>
      </c>
      <c r="U851" t="s">
        <v>42</v>
      </c>
      <c r="V851">
        <v>1.22</v>
      </c>
      <c r="W851">
        <v>1.76</v>
      </c>
      <c r="X851">
        <v>1.4</v>
      </c>
      <c r="Y851">
        <v>13.1</v>
      </c>
      <c r="Z851">
        <v>16.600000000000001</v>
      </c>
      <c r="AA851">
        <f>VALUE(SUBSTITUTE(DACS19___Pfizer’s_Personalised_Medicine_in[[#This Row],[Dose]],"mg",""))</f>
        <v>100</v>
      </c>
      <c r="AB851">
        <f t="shared" si="91"/>
        <v>100</v>
      </c>
      <c r="AC851" t="s">
        <v>2614</v>
      </c>
      <c r="AD851">
        <f t="shared" si="92"/>
        <v>0</v>
      </c>
      <c r="AE851">
        <f t="shared" si="93"/>
        <v>2</v>
      </c>
      <c r="AF851" t="e">
        <f t="shared" si="94"/>
        <v>#N/A</v>
      </c>
      <c r="AG851">
        <f t="shared" si="95"/>
        <v>1.76</v>
      </c>
      <c r="AH851" t="e">
        <f t="shared" si="96"/>
        <v>#N/A</v>
      </c>
      <c r="AI851" t="e">
        <f t="shared" si="97"/>
        <v>#N/A</v>
      </c>
    </row>
    <row r="852" spans="1:35" x14ac:dyDescent="0.45">
      <c r="A852" t="s">
        <v>2351</v>
      </c>
      <c r="B852">
        <v>25</v>
      </c>
      <c r="C852" t="s">
        <v>44</v>
      </c>
      <c r="D852" t="s">
        <v>45</v>
      </c>
      <c r="E852" t="s">
        <v>46</v>
      </c>
      <c r="F852" t="s">
        <v>2614</v>
      </c>
      <c r="G852" t="s">
        <v>440</v>
      </c>
      <c r="H852" t="s">
        <v>81</v>
      </c>
      <c r="I852" t="s">
        <v>33</v>
      </c>
      <c r="J852" t="s">
        <v>1823</v>
      </c>
      <c r="K852" t="s">
        <v>1732</v>
      </c>
      <c r="L852" t="s">
        <v>52</v>
      </c>
      <c r="M852" t="s">
        <v>129</v>
      </c>
      <c r="N852" t="s">
        <v>501</v>
      </c>
      <c r="O852" t="s">
        <v>52</v>
      </c>
      <c r="P852" t="s">
        <v>39</v>
      </c>
      <c r="Q852" t="s">
        <v>67</v>
      </c>
      <c r="R852">
        <v>52</v>
      </c>
      <c r="S852">
        <v>1</v>
      </c>
      <c r="T852" t="s">
        <v>56</v>
      </c>
      <c r="U852" t="s">
        <v>42</v>
      </c>
      <c r="V852">
        <v>2.36</v>
      </c>
      <c r="W852">
        <v>2.78</v>
      </c>
      <c r="X852">
        <v>7.1</v>
      </c>
      <c r="Y852">
        <v>15.2</v>
      </c>
      <c r="Z852">
        <v>17.600000000000001</v>
      </c>
      <c r="AA852">
        <f>VALUE(SUBSTITUTE(DACS19___Pfizer’s_Personalised_Medicine_in[[#This Row],[Dose]],"mg",""))</f>
        <v>100</v>
      </c>
      <c r="AB852">
        <f t="shared" si="91"/>
        <v>100</v>
      </c>
      <c r="AC852" t="s">
        <v>67</v>
      </c>
      <c r="AD852">
        <f t="shared" si="92"/>
        <v>2</v>
      </c>
      <c r="AE852">
        <f t="shared" si="93"/>
        <v>3</v>
      </c>
      <c r="AF852" t="e">
        <f t="shared" si="94"/>
        <v>#N/A</v>
      </c>
      <c r="AG852" t="e">
        <f t="shared" si="95"/>
        <v>#N/A</v>
      </c>
      <c r="AH852" t="e">
        <f t="shared" si="96"/>
        <v>#N/A</v>
      </c>
      <c r="AI852">
        <f t="shared" si="97"/>
        <v>2.78</v>
      </c>
    </row>
    <row r="853" spans="1:35" x14ac:dyDescent="0.45">
      <c r="A853" t="s">
        <v>2352</v>
      </c>
      <c r="B853">
        <v>78</v>
      </c>
      <c r="C853" t="s">
        <v>44</v>
      </c>
      <c r="D853" t="s">
        <v>95</v>
      </c>
      <c r="E853" t="s">
        <v>29</v>
      </c>
      <c r="F853" t="s">
        <v>79</v>
      </c>
      <c r="G853" t="s">
        <v>80</v>
      </c>
      <c r="H853" t="s">
        <v>71</v>
      </c>
      <c r="I853" t="s">
        <v>49</v>
      </c>
      <c r="J853" t="s">
        <v>2353</v>
      </c>
      <c r="K853" t="s">
        <v>2354</v>
      </c>
      <c r="L853" t="s">
        <v>64</v>
      </c>
      <c r="M853" t="s">
        <v>75</v>
      </c>
      <c r="N853" t="s">
        <v>582</v>
      </c>
      <c r="O853" t="s">
        <v>64</v>
      </c>
      <c r="P853" t="s">
        <v>55</v>
      </c>
      <c r="Q853" t="s">
        <v>67</v>
      </c>
      <c r="R853">
        <v>68</v>
      </c>
      <c r="S853">
        <v>0</v>
      </c>
      <c r="T853" t="s">
        <v>85</v>
      </c>
      <c r="U853" t="s">
        <v>42</v>
      </c>
      <c r="V853">
        <v>4.46</v>
      </c>
      <c r="W853">
        <v>1.04</v>
      </c>
      <c r="X853">
        <v>8</v>
      </c>
      <c r="Y853">
        <v>14.3</v>
      </c>
      <c r="Z853">
        <v>19.8</v>
      </c>
      <c r="AA853">
        <f>VALUE(SUBSTITUTE(DACS19___Pfizer’s_Personalised_Medicine_in[[#This Row],[Dose]],"mg",""))</f>
        <v>150</v>
      </c>
      <c r="AB853">
        <f t="shared" si="91"/>
        <v>150</v>
      </c>
      <c r="AC853" t="s">
        <v>67</v>
      </c>
      <c r="AD853">
        <f t="shared" si="92"/>
        <v>2</v>
      </c>
      <c r="AE853">
        <f t="shared" si="93"/>
        <v>2</v>
      </c>
      <c r="AF853" t="e">
        <f t="shared" si="94"/>
        <v>#N/A</v>
      </c>
      <c r="AG853">
        <f t="shared" si="95"/>
        <v>1.04</v>
      </c>
      <c r="AH853" t="e">
        <f t="shared" si="96"/>
        <v>#N/A</v>
      </c>
      <c r="AI853" t="e">
        <f t="shared" si="97"/>
        <v>#N/A</v>
      </c>
    </row>
    <row r="854" spans="1:35" x14ac:dyDescent="0.45">
      <c r="A854" t="s">
        <v>2355</v>
      </c>
      <c r="B854">
        <v>43</v>
      </c>
      <c r="C854" t="s">
        <v>27</v>
      </c>
      <c r="D854" t="s">
        <v>95</v>
      </c>
      <c r="E854" t="s">
        <v>78</v>
      </c>
      <c r="F854" t="s">
        <v>88</v>
      </c>
      <c r="G854" t="s">
        <v>194</v>
      </c>
      <c r="H854" t="s">
        <v>81</v>
      </c>
      <c r="I854" t="s">
        <v>132</v>
      </c>
      <c r="J854" t="s">
        <v>2356</v>
      </c>
      <c r="K854" t="s">
        <v>2357</v>
      </c>
      <c r="L854" t="s">
        <v>92</v>
      </c>
      <c r="M854" t="s">
        <v>469</v>
      </c>
      <c r="N854" t="s">
        <v>690</v>
      </c>
      <c r="O854" t="s">
        <v>92</v>
      </c>
      <c r="P854" t="s">
        <v>39</v>
      </c>
      <c r="Q854" t="s">
        <v>75</v>
      </c>
      <c r="R854">
        <v>161</v>
      </c>
      <c r="S854">
        <v>1</v>
      </c>
      <c r="T854" t="s">
        <v>56</v>
      </c>
      <c r="U854" t="s">
        <v>57</v>
      </c>
      <c r="V854">
        <v>2.93</v>
      </c>
      <c r="W854">
        <v>4.95</v>
      </c>
      <c r="X854">
        <v>7.8</v>
      </c>
      <c r="Y854">
        <v>10.5</v>
      </c>
      <c r="Z854">
        <v>12.2</v>
      </c>
      <c r="AA854">
        <f>VALUE(SUBSTITUTE(DACS19___Pfizer’s_Personalised_Medicine_in[[#This Row],[Dose]],"mg",""))</f>
        <v>50</v>
      </c>
      <c r="AB854">
        <f t="shared" si="91"/>
        <v>50</v>
      </c>
      <c r="AC854" t="s">
        <v>75</v>
      </c>
      <c r="AD854">
        <f t="shared" si="92"/>
        <v>1</v>
      </c>
      <c r="AE854">
        <f t="shared" si="93"/>
        <v>3</v>
      </c>
      <c r="AF854" t="e">
        <f t="shared" si="94"/>
        <v>#N/A</v>
      </c>
      <c r="AG854" t="e">
        <f t="shared" si="95"/>
        <v>#N/A</v>
      </c>
      <c r="AH854" t="e">
        <f t="shared" si="96"/>
        <v>#N/A</v>
      </c>
      <c r="AI854">
        <f t="shared" si="97"/>
        <v>4.95</v>
      </c>
    </row>
    <row r="855" spans="1:35" x14ac:dyDescent="0.45">
      <c r="A855" t="s">
        <v>2358</v>
      </c>
      <c r="B855">
        <v>64</v>
      </c>
      <c r="C855" t="s">
        <v>27</v>
      </c>
      <c r="D855" t="s">
        <v>28</v>
      </c>
      <c r="E855" t="s">
        <v>29</v>
      </c>
      <c r="F855" t="s">
        <v>59</v>
      </c>
      <c r="G855" t="s">
        <v>276</v>
      </c>
      <c r="H855" t="s">
        <v>61</v>
      </c>
      <c r="I855" t="s">
        <v>33</v>
      </c>
      <c r="J855" t="s">
        <v>2359</v>
      </c>
      <c r="K855" t="s">
        <v>434</v>
      </c>
      <c r="L855" t="s">
        <v>64</v>
      </c>
      <c r="M855" t="s">
        <v>2635</v>
      </c>
      <c r="N855" t="s">
        <v>84</v>
      </c>
      <c r="O855" t="s">
        <v>64</v>
      </c>
      <c r="P855" t="s">
        <v>55</v>
      </c>
      <c r="Q855" t="s">
        <v>129</v>
      </c>
      <c r="R855">
        <v>107</v>
      </c>
      <c r="S855">
        <v>0</v>
      </c>
      <c r="T855" t="s">
        <v>85</v>
      </c>
      <c r="U855" t="s">
        <v>57</v>
      </c>
      <c r="V855">
        <v>4.97</v>
      </c>
      <c r="W855">
        <v>4.43</v>
      </c>
      <c r="X855">
        <v>1.9</v>
      </c>
      <c r="Y855">
        <v>18.7</v>
      </c>
      <c r="Z855">
        <v>8.9</v>
      </c>
      <c r="AA855">
        <f>VALUE(SUBSTITUTE(DACS19___Pfizer’s_Personalised_Medicine_in[[#This Row],[Dose]],"mg",""))</f>
        <v>150</v>
      </c>
      <c r="AB855">
        <f t="shared" si="91"/>
        <v>150</v>
      </c>
      <c r="AC855" t="s">
        <v>129</v>
      </c>
      <c r="AD855">
        <f t="shared" si="92"/>
        <v>4</v>
      </c>
      <c r="AE855">
        <f t="shared" si="93"/>
        <v>2</v>
      </c>
      <c r="AF855">
        <f t="shared" si="94"/>
        <v>4.43</v>
      </c>
      <c r="AG855" t="e">
        <f t="shared" si="95"/>
        <v>#N/A</v>
      </c>
      <c r="AH855" t="e">
        <f t="shared" si="96"/>
        <v>#N/A</v>
      </c>
      <c r="AI855" t="e">
        <f t="shared" si="97"/>
        <v>#N/A</v>
      </c>
    </row>
    <row r="856" spans="1:35" x14ac:dyDescent="0.45">
      <c r="A856" t="s">
        <v>2360</v>
      </c>
      <c r="B856">
        <v>39</v>
      </c>
      <c r="C856" t="s">
        <v>44</v>
      </c>
      <c r="D856" t="s">
        <v>106</v>
      </c>
      <c r="E856" t="s">
        <v>46</v>
      </c>
      <c r="F856" t="s">
        <v>2614</v>
      </c>
      <c r="G856" t="s">
        <v>131</v>
      </c>
      <c r="H856" t="s">
        <v>71</v>
      </c>
      <c r="I856" t="s">
        <v>33</v>
      </c>
      <c r="J856" t="s">
        <v>2361</v>
      </c>
      <c r="K856" t="s">
        <v>2362</v>
      </c>
      <c r="L856" t="s">
        <v>64</v>
      </c>
      <c r="M856" t="s">
        <v>40</v>
      </c>
      <c r="N856" t="s">
        <v>254</v>
      </c>
      <c r="O856" t="s">
        <v>64</v>
      </c>
      <c r="P856" t="s">
        <v>39</v>
      </c>
      <c r="Q856" t="s">
        <v>2614</v>
      </c>
      <c r="R856">
        <v>172</v>
      </c>
      <c r="S856">
        <v>1</v>
      </c>
      <c r="T856" t="s">
        <v>137</v>
      </c>
      <c r="U856" t="s">
        <v>57</v>
      </c>
      <c r="V856">
        <v>1.03</v>
      </c>
      <c r="W856">
        <v>2.61</v>
      </c>
      <c r="X856">
        <v>3.1</v>
      </c>
      <c r="Y856">
        <v>20.7</v>
      </c>
      <c r="Z856">
        <v>8.6999999999999993</v>
      </c>
      <c r="AA856">
        <f>VALUE(SUBSTITUTE(DACS19___Pfizer’s_Personalised_Medicine_in[[#This Row],[Dose]],"mg",""))</f>
        <v>150</v>
      </c>
      <c r="AB856">
        <f t="shared" si="91"/>
        <v>150</v>
      </c>
      <c r="AC856" t="s">
        <v>2614</v>
      </c>
      <c r="AD856">
        <f t="shared" si="92"/>
        <v>0</v>
      </c>
      <c r="AE856">
        <f t="shared" si="93"/>
        <v>3</v>
      </c>
      <c r="AF856" t="e">
        <f t="shared" si="94"/>
        <v>#N/A</v>
      </c>
      <c r="AG856">
        <f t="shared" si="95"/>
        <v>2.61</v>
      </c>
      <c r="AH856" t="e">
        <f t="shared" si="96"/>
        <v>#N/A</v>
      </c>
      <c r="AI856" t="e">
        <f t="shared" si="97"/>
        <v>#N/A</v>
      </c>
    </row>
    <row r="857" spans="1:35" x14ac:dyDescent="0.45">
      <c r="A857" t="s">
        <v>2363</v>
      </c>
      <c r="B857">
        <v>37</v>
      </c>
      <c r="C857" t="s">
        <v>27</v>
      </c>
      <c r="D857" t="s">
        <v>45</v>
      </c>
      <c r="E857" t="s">
        <v>29</v>
      </c>
      <c r="F857" t="s">
        <v>2614</v>
      </c>
      <c r="G857" t="s">
        <v>118</v>
      </c>
      <c r="H857" t="s">
        <v>81</v>
      </c>
      <c r="I857" t="s">
        <v>49</v>
      </c>
      <c r="J857" t="s">
        <v>621</v>
      </c>
      <c r="K857" t="s">
        <v>2364</v>
      </c>
      <c r="L857" t="s">
        <v>52</v>
      </c>
      <c r="M857" t="s">
        <v>2630</v>
      </c>
      <c r="N857" t="s">
        <v>1115</v>
      </c>
      <c r="O857" t="s">
        <v>52</v>
      </c>
      <c r="P857" t="s">
        <v>110</v>
      </c>
      <c r="Q857" t="s">
        <v>40</v>
      </c>
      <c r="R857">
        <v>97</v>
      </c>
      <c r="S857">
        <v>0</v>
      </c>
      <c r="T857" t="s">
        <v>41</v>
      </c>
      <c r="U857" t="s">
        <v>42</v>
      </c>
      <c r="V857">
        <v>4.3099999999999996</v>
      </c>
      <c r="W857">
        <v>1</v>
      </c>
      <c r="X857">
        <v>3.8</v>
      </c>
      <c r="Y857">
        <v>10.3</v>
      </c>
      <c r="Z857">
        <v>7</v>
      </c>
      <c r="AA857">
        <f>VALUE(SUBSTITUTE(DACS19___Pfizer’s_Personalised_Medicine_in[[#This Row],[Dose]],"mg",""))</f>
        <v>100</v>
      </c>
      <c r="AB857">
        <f t="shared" si="91"/>
        <v>100</v>
      </c>
      <c r="AC857" t="s">
        <v>40</v>
      </c>
      <c r="AD857">
        <f t="shared" si="92"/>
        <v>3</v>
      </c>
      <c r="AE857">
        <f t="shared" si="93"/>
        <v>1</v>
      </c>
      <c r="AF857" t="e">
        <f t="shared" si="94"/>
        <v>#N/A</v>
      </c>
      <c r="AG857" t="e">
        <f t="shared" si="95"/>
        <v>#N/A</v>
      </c>
      <c r="AH857" t="e">
        <f t="shared" si="96"/>
        <v>#N/A</v>
      </c>
      <c r="AI857">
        <f t="shared" si="97"/>
        <v>1</v>
      </c>
    </row>
    <row r="858" spans="1:35" x14ac:dyDescent="0.45">
      <c r="A858" t="s">
        <v>2365</v>
      </c>
      <c r="B858">
        <v>61</v>
      </c>
      <c r="C858" t="s">
        <v>27</v>
      </c>
      <c r="D858" t="s">
        <v>106</v>
      </c>
      <c r="E858" t="s">
        <v>2614</v>
      </c>
      <c r="F858" t="s">
        <v>2614</v>
      </c>
      <c r="G858" t="s">
        <v>112</v>
      </c>
      <c r="H858" t="s">
        <v>32</v>
      </c>
      <c r="I858" t="s">
        <v>49</v>
      </c>
      <c r="J858" t="s">
        <v>1570</v>
      </c>
      <c r="K858" t="s">
        <v>471</v>
      </c>
      <c r="L858" t="s">
        <v>52</v>
      </c>
      <c r="M858" t="s">
        <v>37</v>
      </c>
      <c r="N858" t="s">
        <v>447</v>
      </c>
      <c r="O858" t="s">
        <v>52</v>
      </c>
      <c r="P858" t="s">
        <v>39</v>
      </c>
      <c r="Q858" t="s">
        <v>129</v>
      </c>
      <c r="R858">
        <v>50</v>
      </c>
      <c r="S858">
        <v>1</v>
      </c>
      <c r="T858" t="s">
        <v>137</v>
      </c>
      <c r="U858" t="s">
        <v>57</v>
      </c>
      <c r="V858">
        <v>1.27</v>
      </c>
      <c r="W858">
        <v>1.75</v>
      </c>
      <c r="X858">
        <v>6</v>
      </c>
      <c r="Y858">
        <v>11.2</v>
      </c>
      <c r="Z858">
        <v>10.1</v>
      </c>
      <c r="AA858">
        <f>VALUE(SUBSTITUTE(DACS19___Pfizer’s_Personalised_Medicine_in[[#This Row],[Dose]],"mg",""))</f>
        <v>100</v>
      </c>
      <c r="AB858">
        <f t="shared" si="91"/>
        <v>100</v>
      </c>
      <c r="AC858" t="s">
        <v>129</v>
      </c>
      <c r="AD858">
        <f t="shared" si="92"/>
        <v>4</v>
      </c>
      <c r="AE858">
        <f t="shared" si="93"/>
        <v>3</v>
      </c>
      <c r="AF858" t="e">
        <f t="shared" si="94"/>
        <v>#N/A</v>
      </c>
      <c r="AG858" t="e">
        <f t="shared" si="95"/>
        <v>#N/A</v>
      </c>
      <c r="AH858">
        <f t="shared" si="96"/>
        <v>1.75</v>
      </c>
      <c r="AI858" t="e">
        <f t="shared" si="97"/>
        <v>#N/A</v>
      </c>
    </row>
    <row r="859" spans="1:35" x14ac:dyDescent="0.45">
      <c r="A859" t="s">
        <v>2366</v>
      </c>
      <c r="B859">
        <v>69</v>
      </c>
      <c r="C859" t="s">
        <v>27</v>
      </c>
      <c r="D859" t="s">
        <v>28</v>
      </c>
      <c r="E859" t="s">
        <v>2614</v>
      </c>
      <c r="F859" t="s">
        <v>47</v>
      </c>
      <c r="G859" t="s">
        <v>131</v>
      </c>
      <c r="H859" t="s">
        <v>32</v>
      </c>
      <c r="I859" t="s">
        <v>33</v>
      </c>
      <c r="J859" t="s">
        <v>2367</v>
      </c>
      <c r="K859" t="s">
        <v>2181</v>
      </c>
      <c r="L859" t="s">
        <v>64</v>
      </c>
      <c r="M859" t="s">
        <v>2638</v>
      </c>
      <c r="N859" t="s">
        <v>852</v>
      </c>
      <c r="O859" t="s">
        <v>64</v>
      </c>
      <c r="P859" t="s">
        <v>55</v>
      </c>
      <c r="Q859" t="s">
        <v>2614</v>
      </c>
      <c r="R859">
        <v>174</v>
      </c>
      <c r="S859">
        <v>0</v>
      </c>
      <c r="T859" t="s">
        <v>56</v>
      </c>
      <c r="U859" t="s">
        <v>57</v>
      </c>
      <c r="V859">
        <v>2.5099999999999998</v>
      </c>
      <c r="W859">
        <v>4.5</v>
      </c>
      <c r="X859">
        <v>9.1</v>
      </c>
      <c r="Y859">
        <v>14.9</v>
      </c>
      <c r="Z859">
        <v>8.6</v>
      </c>
      <c r="AA859">
        <f>VALUE(SUBSTITUTE(DACS19___Pfizer’s_Personalised_Medicine_in[[#This Row],[Dose]],"mg",""))</f>
        <v>150</v>
      </c>
      <c r="AB859">
        <f t="shared" si="91"/>
        <v>150</v>
      </c>
      <c r="AC859" t="s">
        <v>2614</v>
      </c>
      <c r="AD859">
        <f t="shared" si="92"/>
        <v>0</v>
      </c>
      <c r="AE859">
        <f t="shared" si="93"/>
        <v>2</v>
      </c>
      <c r="AF859" t="e">
        <f t="shared" si="94"/>
        <v>#N/A</v>
      </c>
      <c r="AG859" t="e">
        <f t="shared" si="95"/>
        <v>#N/A</v>
      </c>
      <c r="AH859">
        <f t="shared" si="96"/>
        <v>4.5</v>
      </c>
      <c r="AI859" t="e">
        <f t="shared" si="97"/>
        <v>#N/A</v>
      </c>
    </row>
    <row r="860" spans="1:35" x14ac:dyDescent="0.45">
      <c r="A860" t="s">
        <v>2368</v>
      </c>
      <c r="B860">
        <v>68</v>
      </c>
      <c r="C860" t="s">
        <v>44</v>
      </c>
      <c r="D860" t="s">
        <v>45</v>
      </c>
      <c r="E860" t="s">
        <v>29</v>
      </c>
      <c r="F860" t="s">
        <v>88</v>
      </c>
      <c r="G860" t="s">
        <v>48</v>
      </c>
      <c r="H860" t="s">
        <v>71</v>
      </c>
      <c r="I860" t="s">
        <v>132</v>
      </c>
      <c r="J860" t="s">
        <v>1424</v>
      </c>
      <c r="K860" t="s">
        <v>1635</v>
      </c>
      <c r="L860" t="s">
        <v>64</v>
      </c>
      <c r="M860" t="s">
        <v>451</v>
      </c>
      <c r="N860" t="s">
        <v>507</v>
      </c>
      <c r="O860" t="s">
        <v>64</v>
      </c>
      <c r="P860" t="s">
        <v>55</v>
      </c>
      <c r="Q860" t="s">
        <v>75</v>
      </c>
      <c r="R860">
        <v>108</v>
      </c>
      <c r="S860">
        <v>0</v>
      </c>
      <c r="T860" t="s">
        <v>85</v>
      </c>
      <c r="U860" t="s">
        <v>42</v>
      </c>
      <c r="V860">
        <v>1.43</v>
      </c>
      <c r="W860">
        <v>4.8099999999999996</v>
      </c>
      <c r="X860">
        <v>1.5</v>
      </c>
      <c r="Y860">
        <v>11.4</v>
      </c>
      <c r="Z860">
        <v>8.1</v>
      </c>
      <c r="AA860">
        <f>VALUE(SUBSTITUTE(DACS19___Pfizer’s_Personalised_Medicine_in[[#This Row],[Dose]],"mg",""))</f>
        <v>150</v>
      </c>
      <c r="AB860">
        <f t="shared" si="91"/>
        <v>150</v>
      </c>
      <c r="AC860" t="s">
        <v>75</v>
      </c>
      <c r="AD860">
        <f t="shared" si="92"/>
        <v>1</v>
      </c>
      <c r="AE860">
        <f t="shared" si="93"/>
        <v>2</v>
      </c>
      <c r="AF860" t="e">
        <f t="shared" si="94"/>
        <v>#N/A</v>
      </c>
      <c r="AG860">
        <f t="shared" si="95"/>
        <v>4.8099999999999996</v>
      </c>
      <c r="AH860" t="e">
        <f t="shared" si="96"/>
        <v>#N/A</v>
      </c>
      <c r="AI860" t="e">
        <f t="shared" si="97"/>
        <v>#N/A</v>
      </c>
    </row>
    <row r="861" spans="1:35" x14ac:dyDescent="0.45">
      <c r="A861" t="s">
        <v>2369</v>
      </c>
      <c r="B861">
        <v>61</v>
      </c>
      <c r="C861" t="s">
        <v>27</v>
      </c>
      <c r="D861" t="s">
        <v>95</v>
      </c>
      <c r="E861" t="s">
        <v>29</v>
      </c>
      <c r="F861" t="s">
        <v>59</v>
      </c>
      <c r="G861" t="s">
        <v>80</v>
      </c>
      <c r="H861" t="s">
        <v>81</v>
      </c>
      <c r="I861" t="s">
        <v>33</v>
      </c>
      <c r="J861" t="s">
        <v>503</v>
      </c>
      <c r="K861" t="s">
        <v>389</v>
      </c>
      <c r="L861" t="s">
        <v>52</v>
      </c>
      <c r="M861" t="s">
        <v>40</v>
      </c>
      <c r="N861" t="s">
        <v>398</v>
      </c>
      <c r="O861" t="s">
        <v>52</v>
      </c>
      <c r="P861" t="s">
        <v>39</v>
      </c>
      <c r="Q861" t="s">
        <v>67</v>
      </c>
      <c r="R861">
        <v>124</v>
      </c>
      <c r="S861">
        <v>1</v>
      </c>
      <c r="T861" t="s">
        <v>85</v>
      </c>
      <c r="U861" t="s">
        <v>42</v>
      </c>
      <c r="V861">
        <v>2.2799999999999998</v>
      </c>
      <c r="W861">
        <v>1.66</v>
      </c>
      <c r="X861">
        <v>8</v>
      </c>
      <c r="Y861">
        <v>8.1999999999999993</v>
      </c>
      <c r="Z861">
        <v>13.8</v>
      </c>
      <c r="AA861">
        <f>VALUE(SUBSTITUTE(DACS19___Pfizer’s_Personalised_Medicine_in[[#This Row],[Dose]],"mg",""))</f>
        <v>100</v>
      </c>
      <c r="AB861">
        <f t="shared" si="91"/>
        <v>100</v>
      </c>
      <c r="AC861" t="s">
        <v>67</v>
      </c>
      <c r="AD861">
        <f t="shared" si="92"/>
        <v>2</v>
      </c>
      <c r="AE861">
        <f t="shared" si="93"/>
        <v>3</v>
      </c>
      <c r="AF861" t="e">
        <f t="shared" si="94"/>
        <v>#N/A</v>
      </c>
      <c r="AG861" t="e">
        <f t="shared" si="95"/>
        <v>#N/A</v>
      </c>
      <c r="AH861" t="e">
        <f t="shared" si="96"/>
        <v>#N/A</v>
      </c>
      <c r="AI861">
        <f t="shared" si="97"/>
        <v>1.66</v>
      </c>
    </row>
    <row r="862" spans="1:35" x14ac:dyDescent="0.45">
      <c r="A862" t="s">
        <v>2370</v>
      </c>
      <c r="B862">
        <v>52</v>
      </c>
      <c r="C862" t="s">
        <v>27</v>
      </c>
      <c r="D862" t="s">
        <v>95</v>
      </c>
      <c r="E862" t="s">
        <v>163</v>
      </c>
      <c r="F862" t="s">
        <v>2614</v>
      </c>
      <c r="G862" t="s">
        <v>276</v>
      </c>
      <c r="H862" t="s">
        <v>61</v>
      </c>
      <c r="I862" t="s">
        <v>132</v>
      </c>
      <c r="J862" t="s">
        <v>2371</v>
      </c>
      <c r="K862" t="s">
        <v>2372</v>
      </c>
      <c r="L862" t="s">
        <v>52</v>
      </c>
      <c r="M862" t="s">
        <v>2629</v>
      </c>
      <c r="N862" t="s">
        <v>1460</v>
      </c>
      <c r="O862" t="s">
        <v>52</v>
      </c>
      <c r="P862" t="s">
        <v>55</v>
      </c>
      <c r="Q862" t="s">
        <v>2614</v>
      </c>
      <c r="R862">
        <v>84</v>
      </c>
      <c r="S862">
        <v>0</v>
      </c>
      <c r="T862" t="s">
        <v>123</v>
      </c>
      <c r="U862" t="s">
        <v>57</v>
      </c>
      <c r="V862">
        <v>1.5</v>
      </c>
      <c r="W862">
        <v>1.28</v>
      </c>
      <c r="X862">
        <v>9.1999999999999993</v>
      </c>
      <c r="Y862">
        <v>9.4</v>
      </c>
      <c r="Z862">
        <v>17</v>
      </c>
      <c r="AA862">
        <f>VALUE(SUBSTITUTE(DACS19___Pfizer’s_Personalised_Medicine_in[[#This Row],[Dose]],"mg",""))</f>
        <v>100</v>
      </c>
      <c r="AB862">
        <f t="shared" si="91"/>
        <v>100</v>
      </c>
      <c r="AC862" t="s">
        <v>2614</v>
      </c>
      <c r="AD862">
        <f t="shared" si="92"/>
        <v>0</v>
      </c>
      <c r="AE862">
        <f t="shared" si="93"/>
        <v>2</v>
      </c>
      <c r="AF862">
        <f t="shared" si="94"/>
        <v>1.28</v>
      </c>
      <c r="AG862" t="e">
        <f t="shared" si="95"/>
        <v>#N/A</v>
      </c>
      <c r="AH862" t="e">
        <f t="shared" si="96"/>
        <v>#N/A</v>
      </c>
      <c r="AI862" t="e">
        <f t="shared" si="97"/>
        <v>#N/A</v>
      </c>
    </row>
    <row r="863" spans="1:35" x14ac:dyDescent="0.45">
      <c r="A863" t="s">
        <v>2373</v>
      </c>
      <c r="B863">
        <v>70</v>
      </c>
      <c r="C863" t="s">
        <v>27</v>
      </c>
      <c r="D863" t="s">
        <v>95</v>
      </c>
      <c r="E863" t="s">
        <v>46</v>
      </c>
      <c r="F863" t="s">
        <v>88</v>
      </c>
      <c r="G863" t="s">
        <v>164</v>
      </c>
      <c r="H863" t="s">
        <v>61</v>
      </c>
      <c r="I863" t="s">
        <v>33</v>
      </c>
      <c r="J863" t="s">
        <v>1186</v>
      </c>
      <c r="K863" t="s">
        <v>2374</v>
      </c>
      <c r="L863" t="s">
        <v>92</v>
      </c>
      <c r="M863" t="s">
        <v>2614</v>
      </c>
      <c r="N863" t="s">
        <v>1215</v>
      </c>
      <c r="O863" t="s">
        <v>92</v>
      </c>
      <c r="P863" t="s">
        <v>110</v>
      </c>
      <c r="Q863" t="s">
        <v>40</v>
      </c>
      <c r="R863">
        <v>53</v>
      </c>
      <c r="S863">
        <v>0</v>
      </c>
      <c r="T863" t="s">
        <v>85</v>
      </c>
      <c r="U863" t="s">
        <v>57</v>
      </c>
      <c r="V863">
        <v>3.18</v>
      </c>
      <c r="W863">
        <v>1.31</v>
      </c>
      <c r="X863">
        <v>9.6</v>
      </c>
      <c r="Y863">
        <v>10.4</v>
      </c>
      <c r="Z863">
        <v>17.600000000000001</v>
      </c>
      <c r="AA863">
        <f>VALUE(SUBSTITUTE(DACS19___Pfizer’s_Personalised_Medicine_in[[#This Row],[Dose]],"mg",""))</f>
        <v>50</v>
      </c>
      <c r="AB863">
        <f t="shared" si="91"/>
        <v>50</v>
      </c>
      <c r="AC863" t="s">
        <v>40</v>
      </c>
      <c r="AD863">
        <f t="shared" si="92"/>
        <v>3</v>
      </c>
      <c r="AE863">
        <f t="shared" si="93"/>
        <v>1</v>
      </c>
      <c r="AF863">
        <f t="shared" si="94"/>
        <v>1.31</v>
      </c>
      <c r="AG863" t="e">
        <f t="shared" si="95"/>
        <v>#N/A</v>
      </c>
      <c r="AH863" t="e">
        <f t="shared" si="96"/>
        <v>#N/A</v>
      </c>
      <c r="AI863" t="e">
        <f t="shared" si="97"/>
        <v>#N/A</v>
      </c>
    </row>
    <row r="864" spans="1:35" x14ac:dyDescent="0.45">
      <c r="A864" t="s">
        <v>2375</v>
      </c>
      <c r="B864">
        <v>58</v>
      </c>
      <c r="C864" t="s">
        <v>27</v>
      </c>
      <c r="D864" t="s">
        <v>106</v>
      </c>
      <c r="E864" t="s">
        <v>2614</v>
      </c>
      <c r="F864" t="s">
        <v>2614</v>
      </c>
      <c r="G864" t="s">
        <v>184</v>
      </c>
      <c r="H864" t="s">
        <v>71</v>
      </c>
      <c r="I864" t="s">
        <v>33</v>
      </c>
      <c r="J864" t="s">
        <v>1011</v>
      </c>
      <c r="K864" t="s">
        <v>2376</v>
      </c>
      <c r="L864" t="s">
        <v>36</v>
      </c>
      <c r="M864" t="s">
        <v>129</v>
      </c>
      <c r="N864" t="s">
        <v>1696</v>
      </c>
      <c r="O864" t="s">
        <v>36</v>
      </c>
      <c r="P864" t="s">
        <v>39</v>
      </c>
      <c r="Q864" t="s">
        <v>67</v>
      </c>
      <c r="R864">
        <v>36</v>
      </c>
      <c r="S864">
        <v>1</v>
      </c>
      <c r="T864" t="s">
        <v>85</v>
      </c>
      <c r="U864" t="s">
        <v>57</v>
      </c>
      <c r="V864">
        <v>1.68</v>
      </c>
      <c r="W864">
        <v>4.42</v>
      </c>
      <c r="X864">
        <v>1.1000000000000001</v>
      </c>
      <c r="Y864">
        <v>15.2</v>
      </c>
      <c r="Z864">
        <v>16.100000000000001</v>
      </c>
      <c r="AA864">
        <f>VALUE(SUBSTITUTE(DACS19___Pfizer’s_Personalised_Medicine_in[[#This Row],[Dose]],"mg",""))</f>
        <v>200</v>
      </c>
      <c r="AB864">
        <f t="shared" si="91"/>
        <v>200</v>
      </c>
      <c r="AC864" t="s">
        <v>67</v>
      </c>
      <c r="AD864">
        <f t="shared" si="92"/>
        <v>2</v>
      </c>
      <c r="AE864">
        <f t="shared" si="93"/>
        <v>3</v>
      </c>
      <c r="AF864" t="e">
        <f t="shared" si="94"/>
        <v>#N/A</v>
      </c>
      <c r="AG864">
        <f t="shared" si="95"/>
        <v>4.42</v>
      </c>
      <c r="AH864" t="e">
        <f t="shared" si="96"/>
        <v>#N/A</v>
      </c>
      <c r="AI864" t="e">
        <f t="shared" si="97"/>
        <v>#N/A</v>
      </c>
    </row>
    <row r="865" spans="1:35" x14ac:dyDescent="0.45">
      <c r="A865" t="s">
        <v>2377</v>
      </c>
      <c r="B865">
        <v>61</v>
      </c>
      <c r="C865" t="s">
        <v>45</v>
      </c>
      <c r="D865" t="s">
        <v>106</v>
      </c>
      <c r="E865" t="s">
        <v>46</v>
      </c>
      <c r="F865" t="s">
        <v>2614</v>
      </c>
      <c r="G865" t="s">
        <v>440</v>
      </c>
      <c r="H865" t="s">
        <v>81</v>
      </c>
      <c r="I865" t="s">
        <v>72</v>
      </c>
      <c r="J865" t="s">
        <v>2378</v>
      </c>
      <c r="K865" t="s">
        <v>2379</v>
      </c>
      <c r="L865" t="s">
        <v>64</v>
      </c>
      <c r="M865" t="s">
        <v>339</v>
      </c>
      <c r="N865" t="s">
        <v>305</v>
      </c>
      <c r="O865" t="s">
        <v>64</v>
      </c>
      <c r="P865" t="s">
        <v>39</v>
      </c>
      <c r="Q865" t="s">
        <v>129</v>
      </c>
      <c r="R865">
        <v>101</v>
      </c>
      <c r="S865">
        <v>1</v>
      </c>
      <c r="T865" t="s">
        <v>123</v>
      </c>
      <c r="U865" t="s">
        <v>42</v>
      </c>
      <c r="V865">
        <v>4.74</v>
      </c>
      <c r="W865">
        <v>4.6399999999999997</v>
      </c>
      <c r="X865">
        <v>8.4</v>
      </c>
      <c r="Y865">
        <v>22</v>
      </c>
      <c r="Z865">
        <v>6.4</v>
      </c>
      <c r="AA865">
        <f>VALUE(SUBSTITUTE(DACS19___Pfizer’s_Personalised_Medicine_in[[#This Row],[Dose]],"mg",""))</f>
        <v>150</v>
      </c>
      <c r="AB865">
        <f t="shared" si="91"/>
        <v>150</v>
      </c>
      <c r="AC865" t="s">
        <v>129</v>
      </c>
      <c r="AD865">
        <f t="shared" si="92"/>
        <v>4</v>
      </c>
      <c r="AE865">
        <f t="shared" si="93"/>
        <v>3</v>
      </c>
      <c r="AF865" t="e">
        <f t="shared" si="94"/>
        <v>#N/A</v>
      </c>
      <c r="AG865" t="e">
        <f t="shared" si="95"/>
        <v>#N/A</v>
      </c>
      <c r="AH865" t="e">
        <f t="shared" si="96"/>
        <v>#N/A</v>
      </c>
      <c r="AI865">
        <f t="shared" si="97"/>
        <v>4.6399999999999997</v>
      </c>
    </row>
    <row r="866" spans="1:35" x14ac:dyDescent="0.45">
      <c r="A866" t="s">
        <v>2380</v>
      </c>
      <c r="B866">
        <v>63</v>
      </c>
      <c r="C866" t="s">
        <v>27</v>
      </c>
      <c r="D866" t="s">
        <v>95</v>
      </c>
      <c r="E866" t="s">
        <v>29</v>
      </c>
      <c r="F866" t="s">
        <v>59</v>
      </c>
      <c r="G866" t="s">
        <v>31</v>
      </c>
      <c r="H866" t="s">
        <v>61</v>
      </c>
      <c r="I866" t="s">
        <v>49</v>
      </c>
      <c r="J866" t="s">
        <v>2122</v>
      </c>
      <c r="K866" t="s">
        <v>614</v>
      </c>
      <c r="L866" t="s">
        <v>52</v>
      </c>
      <c r="M866" t="s">
        <v>834</v>
      </c>
      <c r="N866" t="s">
        <v>383</v>
      </c>
      <c r="O866" t="s">
        <v>52</v>
      </c>
      <c r="P866" t="s">
        <v>55</v>
      </c>
      <c r="Q866" t="s">
        <v>40</v>
      </c>
      <c r="R866">
        <v>79</v>
      </c>
      <c r="S866">
        <v>0</v>
      </c>
      <c r="T866" t="s">
        <v>123</v>
      </c>
      <c r="U866" t="s">
        <v>57</v>
      </c>
      <c r="V866">
        <v>2.14</v>
      </c>
      <c r="W866">
        <v>2.16</v>
      </c>
      <c r="X866">
        <v>4.4000000000000004</v>
      </c>
      <c r="Y866">
        <v>13.1</v>
      </c>
      <c r="Z866">
        <v>12.3</v>
      </c>
      <c r="AA866">
        <f>VALUE(SUBSTITUTE(DACS19___Pfizer’s_Personalised_Medicine_in[[#This Row],[Dose]],"mg",""))</f>
        <v>100</v>
      </c>
      <c r="AB866">
        <f t="shared" si="91"/>
        <v>100</v>
      </c>
      <c r="AC866" t="s">
        <v>40</v>
      </c>
      <c r="AD866">
        <f t="shared" si="92"/>
        <v>3</v>
      </c>
      <c r="AE866">
        <f t="shared" si="93"/>
        <v>2</v>
      </c>
      <c r="AF866">
        <f t="shared" si="94"/>
        <v>2.16</v>
      </c>
      <c r="AG866" t="e">
        <f t="shared" si="95"/>
        <v>#N/A</v>
      </c>
      <c r="AH866" t="e">
        <f t="shared" si="96"/>
        <v>#N/A</v>
      </c>
      <c r="AI866" t="e">
        <f t="shared" si="97"/>
        <v>#N/A</v>
      </c>
    </row>
    <row r="867" spans="1:35" x14ac:dyDescent="0.45">
      <c r="A867" t="s">
        <v>2381</v>
      </c>
      <c r="B867">
        <v>21</v>
      </c>
      <c r="C867" t="s">
        <v>45</v>
      </c>
      <c r="D867" t="s">
        <v>28</v>
      </c>
      <c r="E867" t="s">
        <v>46</v>
      </c>
      <c r="F867" t="s">
        <v>2614</v>
      </c>
      <c r="G867" t="s">
        <v>102</v>
      </c>
      <c r="H867" t="s">
        <v>71</v>
      </c>
      <c r="I867" t="s">
        <v>33</v>
      </c>
      <c r="J867" t="s">
        <v>1268</v>
      </c>
      <c r="K867" t="s">
        <v>1742</v>
      </c>
      <c r="L867" t="s">
        <v>36</v>
      </c>
      <c r="M867" t="s">
        <v>129</v>
      </c>
      <c r="N867" t="s">
        <v>997</v>
      </c>
      <c r="O867" t="s">
        <v>36</v>
      </c>
      <c r="P867" t="s">
        <v>39</v>
      </c>
      <c r="Q867" t="s">
        <v>67</v>
      </c>
      <c r="R867">
        <v>126</v>
      </c>
      <c r="S867">
        <v>1</v>
      </c>
      <c r="T867" t="s">
        <v>85</v>
      </c>
      <c r="U867" t="s">
        <v>57</v>
      </c>
      <c r="V867">
        <v>1.64</v>
      </c>
      <c r="W867">
        <v>3.76</v>
      </c>
      <c r="X867">
        <v>2.5</v>
      </c>
      <c r="Y867">
        <v>11.6</v>
      </c>
      <c r="Z867">
        <v>11.6</v>
      </c>
      <c r="AA867">
        <f>VALUE(SUBSTITUTE(DACS19___Pfizer’s_Personalised_Medicine_in[[#This Row],[Dose]],"mg",""))</f>
        <v>200</v>
      </c>
      <c r="AB867">
        <f t="shared" si="91"/>
        <v>200</v>
      </c>
      <c r="AC867" t="s">
        <v>67</v>
      </c>
      <c r="AD867">
        <f t="shared" si="92"/>
        <v>2</v>
      </c>
      <c r="AE867">
        <f t="shared" si="93"/>
        <v>3</v>
      </c>
      <c r="AF867" t="e">
        <f t="shared" si="94"/>
        <v>#N/A</v>
      </c>
      <c r="AG867">
        <f t="shared" si="95"/>
        <v>3.76</v>
      </c>
      <c r="AH867" t="e">
        <f t="shared" si="96"/>
        <v>#N/A</v>
      </c>
      <c r="AI867" t="e">
        <f t="shared" si="97"/>
        <v>#N/A</v>
      </c>
    </row>
    <row r="868" spans="1:35" x14ac:dyDescent="0.45">
      <c r="A868" t="s">
        <v>2382</v>
      </c>
      <c r="B868">
        <v>62</v>
      </c>
      <c r="C868" t="s">
        <v>45</v>
      </c>
      <c r="D868" t="s">
        <v>106</v>
      </c>
      <c r="E868" t="s">
        <v>29</v>
      </c>
      <c r="F868" t="s">
        <v>2614</v>
      </c>
      <c r="G868" t="s">
        <v>112</v>
      </c>
      <c r="H868" t="s">
        <v>61</v>
      </c>
      <c r="I868" t="s">
        <v>72</v>
      </c>
      <c r="J868" t="s">
        <v>585</v>
      </c>
      <c r="K868" t="s">
        <v>2383</v>
      </c>
      <c r="L868" t="s">
        <v>52</v>
      </c>
      <c r="M868" t="s">
        <v>2618</v>
      </c>
      <c r="N868" t="s">
        <v>66</v>
      </c>
      <c r="O868" t="s">
        <v>52</v>
      </c>
      <c r="P868" t="s">
        <v>55</v>
      </c>
      <c r="Q868" t="s">
        <v>67</v>
      </c>
      <c r="R868">
        <v>90</v>
      </c>
      <c r="S868">
        <v>0</v>
      </c>
      <c r="T868" t="s">
        <v>41</v>
      </c>
      <c r="U868" t="s">
        <v>42</v>
      </c>
      <c r="V868">
        <v>4.1900000000000004</v>
      </c>
      <c r="W868">
        <v>3.96</v>
      </c>
      <c r="X868">
        <v>6.8</v>
      </c>
      <c r="Y868">
        <v>8.8000000000000007</v>
      </c>
      <c r="Z868">
        <v>12.3</v>
      </c>
      <c r="AA868">
        <f>VALUE(SUBSTITUTE(DACS19___Pfizer’s_Personalised_Medicine_in[[#This Row],[Dose]],"mg",""))</f>
        <v>100</v>
      </c>
      <c r="AB868">
        <f t="shared" si="91"/>
        <v>100</v>
      </c>
      <c r="AC868" t="s">
        <v>67</v>
      </c>
      <c r="AD868">
        <f t="shared" si="92"/>
        <v>2</v>
      </c>
      <c r="AE868">
        <f t="shared" si="93"/>
        <v>2</v>
      </c>
      <c r="AF868">
        <f t="shared" si="94"/>
        <v>3.96</v>
      </c>
      <c r="AG868" t="e">
        <f t="shared" si="95"/>
        <v>#N/A</v>
      </c>
      <c r="AH868" t="e">
        <f t="shared" si="96"/>
        <v>#N/A</v>
      </c>
      <c r="AI868" t="e">
        <f t="shared" si="97"/>
        <v>#N/A</v>
      </c>
    </row>
    <row r="869" spans="1:35" x14ac:dyDescent="0.45">
      <c r="A869" t="s">
        <v>2384</v>
      </c>
      <c r="B869">
        <v>37</v>
      </c>
      <c r="C869" t="s">
        <v>45</v>
      </c>
      <c r="D869" t="s">
        <v>95</v>
      </c>
      <c r="E869" t="s">
        <v>46</v>
      </c>
      <c r="F869" t="s">
        <v>2614</v>
      </c>
      <c r="G869" t="s">
        <v>89</v>
      </c>
      <c r="H869" t="s">
        <v>71</v>
      </c>
      <c r="I869" t="s">
        <v>49</v>
      </c>
      <c r="J869" t="s">
        <v>610</v>
      </c>
      <c r="K869" t="s">
        <v>632</v>
      </c>
      <c r="L869" t="s">
        <v>52</v>
      </c>
      <c r="M869" t="s">
        <v>339</v>
      </c>
      <c r="N869" t="s">
        <v>267</v>
      </c>
      <c r="O869" t="s">
        <v>52</v>
      </c>
      <c r="P869" t="s">
        <v>55</v>
      </c>
      <c r="Q869" t="s">
        <v>40</v>
      </c>
      <c r="R869">
        <v>52</v>
      </c>
      <c r="S869">
        <v>0</v>
      </c>
      <c r="T869" t="s">
        <v>85</v>
      </c>
      <c r="U869" t="s">
        <v>57</v>
      </c>
      <c r="V869">
        <v>1.35</v>
      </c>
      <c r="W869">
        <v>2.5099999999999998</v>
      </c>
      <c r="X869">
        <v>4.7</v>
      </c>
      <c r="Y869">
        <v>6.7</v>
      </c>
      <c r="Z869">
        <v>7.7</v>
      </c>
      <c r="AA869">
        <f>VALUE(SUBSTITUTE(DACS19___Pfizer’s_Personalised_Medicine_in[[#This Row],[Dose]],"mg",""))</f>
        <v>100</v>
      </c>
      <c r="AB869">
        <f t="shared" si="91"/>
        <v>100</v>
      </c>
      <c r="AC869" t="s">
        <v>40</v>
      </c>
      <c r="AD869">
        <f t="shared" si="92"/>
        <v>3</v>
      </c>
      <c r="AE869">
        <f t="shared" si="93"/>
        <v>2</v>
      </c>
      <c r="AF869" t="e">
        <f t="shared" si="94"/>
        <v>#N/A</v>
      </c>
      <c r="AG869">
        <f t="shared" si="95"/>
        <v>2.5099999999999998</v>
      </c>
      <c r="AH869" t="e">
        <f t="shared" si="96"/>
        <v>#N/A</v>
      </c>
      <c r="AI869" t="e">
        <f t="shared" si="97"/>
        <v>#N/A</v>
      </c>
    </row>
    <row r="870" spans="1:35" x14ac:dyDescent="0.45">
      <c r="A870" t="s">
        <v>2385</v>
      </c>
      <c r="B870">
        <v>22</v>
      </c>
      <c r="C870" t="s">
        <v>44</v>
      </c>
      <c r="D870" t="s">
        <v>95</v>
      </c>
      <c r="E870" t="s">
        <v>163</v>
      </c>
      <c r="F870" t="s">
        <v>2614</v>
      </c>
      <c r="G870" t="s">
        <v>178</v>
      </c>
      <c r="H870" t="s">
        <v>81</v>
      </c>
      <c r="I870" t="s">
        <v>49</v>
      </c>
      <c r="J870" t="s">
        <v>2244</v>
      </c>
      <c r="K870" t="s">
        <v>2386</v>
      </c>
      <c r="L870" t="s">
        <v>36</v>
      </c>
      <c r="M870" t="s">
        <v>75</v>
      </c>
      <c r="N870" t="s">
        <v>2291</v>
      </c>
      <c r="O870" t="s">
        <v>36</v>
      </c>
      <c r="P870" t="s">
        <v>39</v>
      </c>
      <c r="Q870" t="s">
        <v>40</v>
      </c>
      <c r="R870">
        <v>39</v>
      </c>
      <c r="S870">
        <v>1</v>
      </c>
      <c r="T870" t="s">
        <v>123</v>
      </c>
      <c r="U870" t="s">
        <v>42</v>
      </c>
      <c r="V870">
        <v>4.82</v>
      </c>
      <c r="W870">
        <v>4.8099999999999996</v>
      </c>
      <c r="X870">
        <v>4.2</v>
      </c>
      <c r="Y870">
        <v>6.8</v>
      </c>
      <c r="Z870">
        <v>6</v>
      </c>
      <c r="AA870">
        <f>VALUE(SUBSTITUTE(DACS19___Pfizer’s_Personalised_Medicine_in[[#This Row],[Dose]],"mg",""))</f>
        <v>200</v>
      </c>
      <c r="AB870">
        <f t="shared" si="91"/>
        <v>200</v>
      </c>
      <c r="AC870" t="s">
        <v>40</v>
      </c>
      <c r="AD870">
        <f t="shared" si="92"/>
        <v>3</v>
      </c>
      <c r="AE870">
        <f t="shared" si="93"/>
        <v>3</v>
      </c>
      <c r="AF870" t="e">
        <f t="shared" si="94"/>
        <v>#N/A</v>
      </c>
      <c r="AG870" t="e">
        <f t="shared" si="95"/>
        <v>#N/A</v>
      </c>
      <c r="AH870" t="e">
        <f t="shared" si="96"/>
        <v>#N/A</v>
      </c>
      <c r="AI870">
        <f t="shared" si="97"/>
        <v>4.8099999999999996</v>
      </c>
    </row>
    <row r="871" spans="1:35" x14ac:dyDescent="0.45">
      <c r="A871" t="s">
        <v>2387</v>
      </c>
      <c r="B871">
        <v>80</v>
      </c>
      <c r="C871" t="s">
        <v>27</v>
      </c>
      <c r="D871" t="s">
        <v>106</v>
      </c>
      <c r="E871" t="s">
        <v>78</v>
      </c>
      <c r="F871" t="s">
        <v>69</v>
      </c>
      <c r="G871" t="s">
        <v>60</v>
      </c>
      <c r="H871" t="s">
        <v>71</v>
      </c>
      <c r="I871" t="s">
        <v>49</v>
      </c>
      <c r="J871" t="s">
        <v>158</v>
      </c>
      <c r="K871" t="s">
        <v>1501</v>
      </c>
      <c r="L871" t="s">
        <v>36</v>
      </c>
      <c r="M871" t="s">
        <v>2653</v>
      </c>
      <c r="N871" t="s">
        <v>192</v>
      </c>
      <c r="O871" t="s">
        <v>36</v>
      </c>
      <c r="P871" t="s">
        <v>39</v>
      </c>
      <c r="Q871" t="s">
        <v>2614</v>
      </c>
      <c r="R871">
        <v>143</v>
      </c>
      <c r="S871">
        <v>1</v>
      </c>
      <c r="T871" t="s">
        <v>137</v>
      </c>
      <c r="U871" t="s">
        <v>42</v>
      </c>
      <c r="V871">
        <v>2.57</v>
      </c>
      <c r="W871">
        <v>4.79</v>
      </c>
      <c r="X871">
        <v>2.2999999999999998</v>
      </c>
      <c r="Y871">
        <v>19.7</v>
      </c>
      <c r="Z871">
        <v>4.8</v>
      </c>
      <c r="AA871">
        <f>VALUE(SUBSTITUTE(DACS19___Pfizer’s_Personalised_Medicine_in[[#This Row],[Dose]],"mg",""))</f>
        <v>200</v>
      </c>
      <c r="AB871">
        <f t="shared" si="91"/>
        <v>200</v>
      </c>
      <c r="AC871" t="s">
        <v>2614</v>
      </c>
      <c r="AD871">
        <f t="shared" si="92"/>
        <v>0</v>
      </c>
      <c r="AE871">
        <f t="shared" si="93"/>
        <v>3</v>
      </c>
      <c r="AF871" t="e">
        <f t="shared" si="94"/>
        <v>#N/A</v>
      </c>
      <c r="AG871">
        <f t="shared" si="95"/>
        <v>4.79</v>
      </c>
      <c r="AH871" t="e">
        <f t="shared" si="96"/>
        <v>#N/A</v>
      </c>
      <c r="AI871" t="e">
        <f t="shared" si="97"/>
        <v>#N/A</v>
      </c>
    </row>
    <row r="872" spans="1:35" x14ac:dyDescent="0.45">
      <c r="A872" t="s">
        <v>2388</v>
      </c>
      <c r="B872">
        <v>36</v>
      </c>
      <c r="C872" t="s">
        <v>27</v>
      </c>
      <c r="D872" t="s">
        <v>106</v>
      </c>
      <c r="E872" t="s">
        <v>46</v>
      </c>
      <c r="F872" t="s">
        <v>79</v>
      </c>
      <c r="G872" t="s">
        <v>246</v>
      </c>
      <c r="H872" t="s">
        <v>61</v>
      </c>
      <c r="I872" t="s">
        <v>49</v>
      </c>
      <c r="J872" t="s">
        <v>248</v>
      </c>
      <c r="K872" t="s">
        <v>1633</v>
      </c>
      <c r="L872" t="s">
        <v>64</v>
      </c>
      <c r="M872" t="s">
        <v>2644</v>
      </c>
      <c r="N872" t="s">
        <v>254</v>
      </c>
      <c r="O872" t="s">
        <v>64</v>
      </c>
      <c r="P872" t="s">
        <v>110</v>
      </c>
      <c r="Q872" t="s">
        <v>67</v>
      </c>
      <c r="R872">
        <v>75</v>
      </c>
      <c r="S872">
        <v>0</v>
      </c>
      <c r="T872" t="s">
        <v>137</v>
      </c>
      <c r="U872" t="s">
        <v>57</v>
      </c>
      <c r="V872">
        <v>4.93</v>
      </c>
      <c r="W872">
        <v>2.5299999999999998</v>
      </c>
      <c r="X872">
        <v>8</v>
      </c>
      <c r="Y872">
        <v>12.2</v>
      </c>
      <c r="Z872">
        <v>13.7</v>
      </c>
      <c r="AA872">
        <f>VALUE(SUBSTITUTE(DACS19___Pfizer’s_Personalised_Medicine_in[[#This Row],[Dose]],"mg",""))</f>
        <v>150</v>
      </c>
      <c r="AB872">
        <f t="shared" si="91"/>
        <v>150</v>
      </c>
      <c r="AC872" t="s">
        <v>67</v>
      </c>
      <c r="AD872">
        <f t="shared" si="92"/>
        <v>2</v>
      </c>
      <c r="AE872">
        <f t="shared" si="93"/>
        <v>1</v>
      </c>
      <c r="AF872">
        <f t="shared" si="94"/>
        <v>2.5299999999999998</v>
      </c>
      <c r="AG872" t="e">
        <f t="shared" si="95"/>
        <v>#N/A</v>
      </c>
      <c r="AH872" t="e">
        <f t="shared" si="96"/>
        <v>#N/A</v>
      </c>
      <c r="AI872" t="e">
        <f t="shared" si="97"/>
        <v>#N/A</v>
      </c>
    </row>
    <row r="873" spans="1:35" x14ac:dyDescent="0.45">
      <c r="A873" t="s">
        <v>2389</v>
      </c>
      <c r="B873">
        <v>25</v>
      </c>
      <c r="C873" t="s">
        <v>44</v>
      </c>
      <c r="D873" t="s">
        <v>106</v>
      </c>
      <c r="E873" t="s">
        <v>29</v>
      </c>
      <c r="F873" t="s">
        <v>2614</v>
      </c>
      <c r="G873" t="s">
        <v>31</v>
      </c>
      <c r="H873" t="s">
        <v>71</v>
      </c>
      <c r="I873" t="s">
        <v>132</v>
      </c>
      <c r="J873" t="s">
        <v>2390</v>
      </c>
      <c r="K873" t="s">
        <v>410</v>
      </c>
      <c r="L873" t="s">
        <v>36</v>
      </c>
      <c r="M873" t="s">
        <v>129</v>
      </c>
      <c r="N873" t="s">
        <v>122</v>
      </c>
      <c r="O873" t="s">
        <v>36</v>
      </c>
      <c r="P873" t="s">
        <v>39</v>
      </c>
      <c r="Q873" t="s">
        <v>75</v>
      </c>
      <c r="R873">
        <v>44</v>
      </c>
      <c r="S873">
        <v>1</v>
      </c>
      <c r="T873" t="s">
        <v>137</v>
      </c>
      <c r="U873" t="s">
        <v>57</v>
      </c>
      <c r="V873">
        <v>1.77</v>
      </c>
      <c r="W873">
        <v>1.58</v>
      </c>
      <c r="X873">
        <v>9.4</v>
      </c>
      <c r="Y873">
        <v>22.5</v>
      </c>
      <c r="Z873">
        <v>18.100000000000001</v>
      </c>
      <c r="AA873">
        <f>VALUE(SUBSTITUTE(DACS19___Pfizer’s_Personalised_Medicine_in[[#This Row],[Dose]],"mg",""))</f>
        <v>200</v>
      </c>
      <c r="AB873">
        <f t="shared" si="91"/>
        <v>200</v>
      </c>
      <c r="AC873" t="s">
        <v>75</v>
      </c>
      <c r="AD873">
        <f t="shared" si="92"/>
        <v>1</v>
      </c>
      <c r="AE873">
        <f t="shared" si="93"/>
        <v>3</v>
      </c>
      <c r="AF873" t="e">
        <f t="shared" si="94"/>
        <v>#N/A</v>
      </c>
      <c r="AG873">
        <f t="shared" si="95"/>
        <v>1.58</v>
      </c>
      <c r="AH873" t="e">
        <f t="shared" si="96"/>
        <v>#N/A</v>
      </c>
      <c r="AI873" t="e">
        <f t="shared" si="97"/>
        <v>#N/A</v>
      </c>
    </row>
    <row r="874" spans="1:35" x14ac:dyDescent="0.45">
      <c r="A874" t="s">
        <v>2391</v>
      </c>
      <c r="B874">
        <v>80</v>
      </c>
      <c r="C874" t="s">
        <v>44</v>
      </c>
      <c r="D874" t="s">
        <v>87</v>
      </c>
      <c r="E874" t="s">
        <v>46</v>
      </c>
      <c r="F874" t="s">
        <v>59</v>
      </c>
      <c r="G874" t="s">
        <v>60</v>
      </c>
      <c r="H874" t="s">
        <v>32</v>
      </c>
      <c r="I874" t="s">
        <v>49</v>
      </c>
      <c r="J874" t="s">
        <v>1381</v>
      </c>
      <c r="K874" t="s">
        <v>2392</v>
      </c>
      <c r="L874" t="s">
        <v>92</v>
      </c>
      <c r="M874" t="s">
        <v>40</v>
      </c>
      <c r="N874" t="s">
        <v>1211</v>
      </c>
      <c r="O874" t="s">
        <v>92</v>
      </c>
      <c r="P874" t="s">
        <v>55</v>
      </c>
      <c r="Q874" t="s">
        <v>129</v>
      </c>
      <c r="R874">
        <v>160</v>
      </c>
      <c r="S874">
        <v>0</v>
      </c>
      <c r="T874" t="s">
        <v>137</v>
      </c>
      <c r="U874" t="s">
        <v>57</v>
      </c>
      <c r="V874">
        <v>3.5</v>
      </c>
      <c r="W874">
        <v>4.2300000000000004</v>
      </c>
      <c r="X874">
        <v>1.6</v>
      </c>
      <c r="Y874">
        <v>12</v>
      </c>
      <c r="Z874">
        <v>8.3000000000000007</v>
      </c>
      <c r="AA874">
        <f>VALUE(SUBSTITUTE(DACS19___Pfizer’s_Personalised_Medicine_in[[#This Row],[Dose]],"mg",""))</f>
        <v>50</v>
      </c>
      <c r="AB874">
        <f t="shared" si="91"/>
        <v>50</v>
      </c>
      <c r="AC874" t="s">
        <v>129</v>
      </c>
      <c r="AD874">
        <f t="shared" si="92"/>
        <v>4</v>
      </c>
      <c r="AE874">
        <f t="shared" si="93"/>
        <v>2</v>
      </c>
      <c r="AF874" t="e">
        <f t="shared" si="94"/>
        <v>#N/A</v>
      </c>
      <c r="AG874" t="e">
        <f t="shared" si="95"/>
        <v>#N/A</v>
      </c>
      <c r="AH874">
        <f t="shared" si="96"/>
        <v>4.2300000000000004</v>
      </c>
      <c r="AI874" t="e">
        <f t="shared" si="97"/>
        <v>#N/A</v>
      </c>
    </row>
    <row r="875" spans="1:35" x14ac:dyDescent="0.45">
      <c r="A875" t="s">
        <v>2393</v>
      </c>
      <c r="B875">
        <v>47</v>
      </c>
      <c r="C875" t="s">
        <v>45</v>
      </c>
      <c r="D875" t="s">
        <v>95</v>
      </c>
      <c r="E875" t="s">
        <v>2614</v>
      </c>
      <c r="F875" t="s">
        <v>59</v>
      </c>
      <c r="G875" t="s">
        <v>184</v>
      </c>
      <c r="H875" t="s">
        <v>81</v>
      </c>
      <c r="I875" t="s">
        <v>49</v>
      </c>
      <c r="J875" t="s">
        <v>858</v>
      </c>
      <c r="K875" t="s">
        <v>944</v>
      </c>
      <c r="L875" t="s">
        <v>92</v>
      </c>
      <c r="M875" t="s">
        <v>129</v>
      </c>
      <c r="N875" t="s">
        <v>1087</v>
      </c>
      <c r="O875" t="s">
        <v>92</v>
      </c>
      <c r="P875" t="s">
        <v>39</v>
      </c>
      <c r="Q875" t="s">
        <v>40</v>
      </c>
      <c r="R875">
        <v>98</v>
      </c>
      <c r="S875">
        <v>1</v>
      </c>
      <c r="T875" t="s">
        <v>123</v>
      </c>
      <c r="U875" t="s">
        <v>42</v>
      </c>
      <c r="V875">
        <v>3.54</v>
      </c>
      <c r="W875">
        <v>2.42</v>
      </c>
      <c r="X875">
        <v>2.2999999999999998</v>
      </c>
      <c r="Y875">
        <v>16.7</v>
      </c>
      <c r="Z875">
        <v>16.8</v>
      </c>
      <c r="AA875">
        <f>VALUE(SUBSTITUTE(DACS19___Pfizer’s_Personalised_Medicine_in[[#This Row],[Dose]],"mg",""))</f>
        <v>50</v>
      </c>
      <c r="AB875">
        <f t="shared" si="91"/>
        <v>50</v>
      </c>
      <c r="AC875" t="s">
        <v>40</v>
      </c>
      <c r="AD875">
        <f t="shared" si="92"/>
        <v>3</v>
      </c>
      <c r="AE875">
        <f t="shared" si="93"/>
        <v>3</v>
      </c>
      <c r="AF875" t="e">
        <f t="shared" si="94"/>
        <v>#N/A</v>
      </c>
      <c r="AG875" t="e">
        <f t="shared" si="95"/>
        <v>#N/A</v>
      </c>
      <c r="AH875" t="e">
        <f t="shared" si="96"/>
        <v>#N/A</v>
      </c>
      <c r="AI875">
        <f t="shared" si="97"/>
        <v>2.42</v>
      </c>
    </row>
    <row r="876" spans="1:35" x14ac:dyDescent="0.45">
      <c r="A876" t="s">
        <v>2394</v>
      </c>
      <c r="B876">
        <v>61</v>
      </c>
      <c r="C876" t="s">
        <v>44</v>
      </c>
      <c r="D876" t="s">
        <v>95</v>
      </c>
      <c r="E876" t="s">
        <v>2614</v>
      </c>
      <c r="F876" t="s">
        <v>88</v>
      </c>
      <c r="G876" t="s">
        <v>80</v>
      </c>
      <c r="H876" t="s">
        <v>81</v>
      </c>
      <c r="I876" t="s">
        <v>72</v>
      </c>
      <c r="J876" t="s">
        <v>1342</v>
      </c>
      <c r="K876" t="s">
        <v>2395</v>
      </c>
      <c r="L876" t="s">
        <v>36</v>
      </c>
      <c r="M876" t="s">
        <v>37</v>
      </c>
      <c r="N876" t="s">
        <v>192</v>
      </c>
      <c r="O876" t="s">
        <v>36</v>
      </c>
      <c r="P876" t="s">
        <v>39</v>
      </c>
      <c r="Q876" t="s">
        <v>67</v>
      </c>
      <c r="R876">
        <v>34</v>
      </c>
      <c r="S876">
        <v>1</v>
      </c>
      <c r="T876" t="s">
        <v>137</v>
      </c>
      <c r="U876" t="s">
        <v>42</v>
      </c>
      <c r="V876">
        <v>2.5299999999999998</v>
      </c>
      <c r="W876">
        <v>1.53</v>
      </c>
      <c r="X876">
        <v>2.8</v>
      </c>
      <c r="Y876">
        <v>10.3</v>
      </c>
      <c r="Z876">
        <v>8.1</v>
      </c>
      <c r="AA876">
        <f>VALUE(SUBSTITUTE(DACS19___Pfizer’s_Personalised_Medicine_in[[#This Row],[Dose]],"mg",""))</f>
        <v>200</v>
      </c>
      <c r="AB876">
        <f t="shared" si="91"/>
        <v>200</v>
      </c>
      <c r="AC876" t="s">
        <v>67</v>
      </c>
      <c r="AD876">
        <f t="shared" si="92"/>
        <v>2</v>
      </c>
      <c r="AE876">
        <f t="shared" si="93"/>
        <v>3</v>
      </c>
      <c r="AF876" t="e">
        <f t="shared" si="94"/>
        <v>#N/A</v>
      </c>
      <c r="AG876" t="e">
        <f t="shared" si="95"/>
        <v>#N/A</v>
      </c>
      <c r="AH876" t="e">
        <f t="shared" si="96"/>
        <v>#N/A</v>
      </c>
      <c r="AI876">
        <f t="shared" si="97"/>
        <v>1.53</v>
      </c>
    </row>
    <row r="877" spans="1:35" x14ac:dyDescent="0.45">
      <c r="A877" t="s">
        <v>2396</v>
      </c>
      <c r="B877">
        <v>73</v>
      </c>
      <c r="C877" t="s">
        <v>27</v>
      </c>
      <c r="D877" t="s">
        <v>87</v>
      </c>
      <c r="E877" t="s">
        <v>163</v>
      </c>
      <c r="F877" t="s">
        <v>2614</v>
      </c>
      <c r="G877" t="s">
        <v>70</v>
      </c>
      <c r="H877" t="s">
        <v>61</v>
      </c>
      <c r="I877" t="s">
        <v>72</v>
      </c>
      <c r="J877" t="s">
        <v>1049</v>
      </c>
      <c r="K877" t="s">
        <v>2362</v>
      </c>
      <c r="L877" t="s">
        <v>52</v>
      </c>
      <c r="M877" t="s">
        <v>2619</v>
      </c>
      <c r="N877" t="s">
        <v>217</v>
      </c>
      <c r="O877" t="s">
        <v>52</v>
      </c>
      <c r="P877" t="s">
        <v>55</v>
      </c>
      <c r="Q877" t="s">
        <v>75</v>
      </c>
      <c r="R877">
        <v>175</v>
      </c>
      <c r="S877">
        <v>0</v>
      </c>
      <c r="T877" t="s">
        <v>56</v>
      </c>
      <c r="U877" t="s">
        <v>57</v>
      </c>
      <c r="V877">
        <v>3.57</v>
      </c>
      <c r="W877">
        <v>3.4</v>
      </c>
      <c r="X877">
        <v>7.3</v>
      </c>
      <c r="Y877">
        <v>12.5</v>
      </c>
      <c r="Z877">
        <v>17</v>
      </c>
      <c r="AA877">
        <f>VALUE(SUBSTITUTE(DACS19___Pfizer’s_Personalised_Medicine_in[[#This Row],[Dose]],"mg",""))</f>
        <v>100</v>
      </c>
      <c r="AB877">
        <f t="shared" si="91"/>
        <v>100</v>
      </c>
      <c r="AC877" t="s">
        <v>75</v>
      </c>
      <c r="AD877">
        <f t="shared" si="92"/>
        <v>1</v>
      </c>
      <c r="AE877">
        <f t="shared" si="93"/>
        <v>2</v>
      </c>
      <c r="AF877">
        <f t="shared" si="94"/>
        <v>3.4</v>
      </c>
      <c r="AG877" t="e">
        <f t="shared" si="95"/>
        <v>#N/A</v>
      </c>
      <c r="AH877" t="e">
        <f t="shared" si="96"/>
        <v>#N/A</v>
      </c>
      <c r="AI877" t="e">
        <f t="shared" si="97"/>
        <v>#N/A</v>
      </c>
    </row>
    <row r="878" spans="1:35" x14ac:dyDescent="0.45">
      <c r="A878" t="s">
        <v>2397</v>
      </c>
      <c r="B878">
        <v>22</v>
      </c>
      <c r="C878" t="s">
        <v>45</v>
      </c>
      <c r="D878" t="s">
        <v>45</v>
      </c>
      <c r="E878" t="s">
        <v>78</v>
      </c>
      <c r="F878" t="s">
        <v>79</v>
      </c>
      <c r="G878" t="s">
        <v>48</v>
      </c>
      <c r="H878" t="s">
        <v>81</v>
      </c>
      <c r="I878" t="s">
        <v>33</v>
      </c>
      <c r="J878" t="s">
        <v>2398</v>
      </c>
      <c r="K878" t="s">
        <v>364</v>
      </c>
      <c r="L878" t="s">
        <v>52</v>
      </c>
      <c r="M878" t="s">
        <v>40</v>
      </c>
      <c r="N878" t="s">
        <v>2399</v>
      </c>
      <c r="O878" t="s">
        <v>52</v>
      </c>
      <c r="P878" t="s">
        <v>55</v>
      </c>
      <c r="Q878" t="s">
        <v>129</v>
      </c>
      <c r="R878">
        <v>147</v>
      </c>
      <c r="S878">
        <v>0</v>
      </c>
      <c r="T878" t="s">
        <v>137</v>
      </c>
      <c r="U878" t="s">
        <v>57</v>
      </c>
      <c r="V878">
        <v>1.82</v>
      </c>
      <c r="W878">
        <v>2.88</v>
      </c>
      <c r="X878">
        <v>8.1999999999999993</v>
      </c>
      <c r="Y878">
        <v>9.1999999999999993</v>
      </c>
      <c r="Z878">
        <v>4.9000000000000004</v>
      </c>
      <c r="AA878">
        <f>VALUE(SUBSTITUTE(DACS19___Pfizer’s_Personalised_Medicine_in[[#This Row],[Dose]],"mg",""))</f>
        <v>100</v>
      </c>
      <c r="AB878">
        <f t="shared" si="91"/>
        <v>100</v>
      </c>
      <c r="AC878" t="s">
        <v>129</v>
      </c>
      <c r="AD878">
        <f t="shared" si="92"/>
        <v>4</v>
      </c>
      <c r="AE878">
        <f t="shared" si="93"/>
        <v>2</v>
      </c>
      <c r="AF878" t="e">
        <f t="shared" si="94"/>
        <v>#N/A</v>
      </c>
      <c r="AG878" t="e">
        <f t="shared" si="95"/>
        <v>#N/A</v>
      </c>
      <c r="AH878" t="e">
        <f t="shared" si="96"/>
        <v>#N/A</v>
      </c>
      <c r="AI878">
        <f t="shared" si="97"/>
        <v>2.88</v>
      </c>
    </row>
    <row r="879" spans="1:35" x14ac:dyDescent="0.45">
      <c r="A879" t="s">
        <v>2400</v>
      </c>
      <c r="B879">
        <v>71</v>
      </c>
      <c r="C879" t="s">
        <v>44</v>
      </c>
      <c r="D879" t="s">
        <v>106</v>
      </c>
      <c r="E879" t="s">
        <v>46</v>
      </c>
      <c r="F879" t="s">
        <v>2614</v>
      </c>
      <c r="G879" t="s">
        <v>80</v>
      </c>
      <c r="H879" t="s">
        <v>32</v>
      </c>
      <c r="I879" t="s">
        <v>72</v>
      </c>
      <c r="J879" t="s">
        <v>2030</v>
      </c>
      <c r="K879" t="s">
        <v>2401</v>
      </c>
      <c r="L879" t="s">
        <v>36</v>
      </c>
      <c r="M879" t="s">
        <v>2615</v>
      </c>
      <c r="N879" t="s">
        <v>769</v>
      </c>
      <c r="O879" t="s">
        <v>36</v>
      </c>
      <c r="P879" t="s">
        <v>110</v>
      </c>
      <c r="Q879" t="s">
        <v>75</v>
      </c>
      <c r="R879">
        <v>115</v>
      </c>
      <c r="S879">
        <v>0</v>
      </c>
      <c r="T879" t="s">
        <v>41</v>
      </c>
      <c r="U879" t="s">
        <v>42</v>
      </c>
      <c r="V879">
        <v>4.53</v>
      </c>
      <c r="W879">
        <v>2.37</v>
      </c>
      <c r="X879">
        <v>7.2</v>
      </c>
      <c r="Y879">
        <v>6.5</v>
      </c>
      <c r="Z879">
        <v>14.7</v>
      </c>
      <c r="AA879">
        <f>VALUE(SUBSTITUTE(DACS19___Pfizer’s_Personalised_Medicine_in[[#This Row],[Dose]],"mg",""))</f>
        <v>200</v>
      </c>
      <c r="AB879">
        <f t="shared" si="91"/>
        <v>200</v>
      </c>
      <c r="AC879" t="s">
        <v>75</v>
      </c>
      <c r="AD879">
        <f t="shared" si="92"/>
        <v>1</v>
      </c>
      <c r="AE879">
        <f t="shared" si="93"/>
        <v>1</v>
      </c>
      <c r="AF879" t="e">
        <f t="shared" si="94"/>
        <v>#N/A</v>
      </c>
      <c r="AG879" t="e">
        <f t="shared" si="95"/>
        <v>#N/A</v>
      </c>
      <c r="AH879">
        <f t="shared" si="96"/>
        <v>2.37</v>
      </c>
      <c r="AI879" t="e">
        <f t="shared" si="97"/>
        <v>#N/A</v>
      </c>
    </row>
    <row r="880" spans="1:35" x14ac:dyDescent="0.45">
      <c r="A880" t="s">
        <v>2402</v>
      </c>
      <c r="B880">
        <v>33</v>
      </c>
      <c r="C880" t="s">
        <v>27</v>
      </c>
      <c r="D880" t="s">
        <v>87</v>
      </c>
      <c r="E880" t="s">
        <v>46</v>
      </c>
      <c r="F880" t="s">
        <v>88</v>
      </c>
      <c r="G880" t="s">
        <v>194</v>
      </c>
      <c r="H880" t="s">
        <v>61</v>
      </c>
      <c r="I880" t="s">
        <v>132</v>
      </c>
      <c r="J880" t="s">
        <v>2403</v>
      </c>
      <c r="K880" t="s">
        <v>248</v>
      </c>
      <c r="L880" t="s">
        <v>36</v>
      </c>
      <c r="M880" t="s">
        <v>187</v>
      </c>
      <c r="N880" t="s">
        <v>250</v>
      </c>
      <c r="O880" t="s">
        <v>36</v>
      </c>
      <c r="P880" t="s">
        <v>39</v>
      </c>
      <c r="Q880" t="s">
        <v>129</v>
      </c>
      <c r="R880">
        <v>65</v>
      </c>
      <c r="S880">
        <v>1</v>
      </c>
      <c r="T880" t="s">
        <v>56</v>
      </c>
      <c r="U880" t="s">
        <v>57</v>
      </c>
      <c r="V880">
        <v>2.2599999999999998</v>
      </c>
      <c r="W880">
        <v>1.22</v>
      </c>
      <c r="X880">
        <v>6.5</v>
      </c>
      <c r="Y880">
        <v>10.3</v>
      </c>
      <c r="Z880">
        <v>9.6</v>
      </c>
      <c r="AA880">
        <f>VALUE(SUBSTITUTE(DACS19___Pfizer’s_Personalised_Medicine_in[[#This Row],[Dose]],"mg",""))</f>
        <v>200</v>
      </c>
      <c r="AB880">
        <f t="shared" si="91"/>
        <v>200</v>
      </c>
      <c r="AC880" t="s">
        <v>129</v>
      </c>
      <c r="AD880">
        <f t="shared" si="92"/>
        <v>4</v>
      </c>
      <c r="AE880">
        <f t="shared" si="93"/>
        <v>3</v>
      </c>
      <c r="AF880">
        <f t="shared" si="94"/>
        <v>1.22</v>
      </c>
      <c r="AG880" t="e">
        <f t="shared" si="95"/>
        <v>#N/A</v>
      </c>
      <c r="AH880" t="e">
        <f t="shared" si="96"/>
        <v>#N/A</v>
      </c>
      <c r="AI880" t="e">
        <f t="shared" si="97"/>
        <v>#N/A</v>
      </c>
    </row>
    <row r="881" spans="1:35" x14ac:dyDescent="0.45">
      <c r="A881" t="s">
        <v>2404</v>
      </c>
      <c r="B881">
        <v>68</v>
      </c>
      <c r="C881" t="s">
        <v>44</v>
      </c>
      <c r="D881" t="s">
        <v>28</v>
      </c>
      <c r="E881" t="s">
        <v>29</v>
      </c>
      <c r="F881" t="s">
        <v>2614</v>
      </c>
      <c r="G881" t="s">
        <v>48</v>
      </c>
      <c r="H881" t="s">
        <v>81</v>
      </c>
      <c r="I881" t="s">
        <v>33</v>
      </c>
      <c r="J881" t="s">
        <v>2405</v>
      </c>
      <c r="K881" t="s">
        <v>2406</v>
      </c>
      <c r="L881" t="s">
        <v>36</v>
      </c>
      <c r="M881" t="s">
        <v>135</v>
      </c>
      <c r="N881" t="s">
        <v>379</v>
      </c>
      <c r="O881" t="s">
        <v>36</v>
      </c>
      <c r="P881" t="s">
        <v>55</v>
      </c>
      <c r="Q881" t="s">
        <v>2614</v>
      </c>
      <c r="R881">
        <v>139</v>
      </c>
      <c r="S881">
        <v>0</v>
      </c>
      <c r="T881" t="s">
        <v>123</v>
      </c>
      <c r="U881" t="s">
        <v>57</v>
      </c>
      <c r="V881">
        <v>1.32</v>
      </c>
      <c r="W881">
        <v>1.59</v>
      </c>
      <c r="X881">
        <v>3.7</v>
      </c>
      <c r="Y881">
        <v>7.6</v>
      </c>
      <c r="Z881">
        <v>18.5</v>
      </c>
      <c r="AA881">
        <f>VALUE(SUBSTITUTE(DACS19___Pfizer’s_Personalised_Medicine_in[[#This Row],[Dose]],"mg",""))</f>
        <v>200</v>
      </c>
      <c r="AB881">
        <f t="shared" si="91"/>
        <v>200</v>
      </c>
      <c r="AC881" t="s">
        <v>2614</v>
      </c>
      <c r="AD881">
        <f t="shared" si="92"/>
        <v>0</v>
      </c>
      <c r="AE881">
        <f t="shared" si="93"/>
        <v>2</v>
      </c>
      <c r="AF881" t="e">
        <f t="shared" si="94"/>
        <v>#N/A</v>
      </c>
      <c r="AG881" t="e">
        <f t="shared" si="95"/>
        <v>#N/A</v>
      </c>
      <c r="AH881" t="e">
        <f t="shared" si="96"/>
        <v>#N/A</v>
      </c>
      <c r="AI881">
        <f t="shared" si="97"/>
        <v>1.59</v>
      </c>
    </row>
    <row r="882" spans="1:35" x14ac:dyDescent="0.45">
      <c r="A882" t="s">
        <v>2407</v>
      </c>
      <c r="B882">
        <v>60</v>
      </c>
      <c r="C882" t="s">
        <v>27</v>
      </c>
      <c r="D882" t="s">
        <v>87</v>
      </c>
      <c r="E882" t="s">
        <v>78</v>
      </c>
      <c r="F882" t="s">
        <v>59</v>
      </c>
      <c r="G882" t="s">
        <v>60</v>
      </c>
      <c r="H882" t="s">
        <v>81</v>
      </c>
      <c r="I882" t="s">
        <v>72</v>
      </c>
      <c r="J882" t="s">
        <v>2408</v>
      </c>
      <c r="K882" t="s">
        <v>1318</v>
      </c>
      <c r="L882" t="s">
        <v>64</v>
      </c>
      <c r="M882" t="s">
        <v>197</v>
      </c>
      <c r="N882" t="s">
        <v>366</v>
      </c>
      <c r="O882" t="s">
        <v>64</v>
      </c>
      <c r="P882" t="s">
        <v>39</v>
      </c>
      <c r="Q882" t="s">
        <v>129</v>
      </c>
      <c r="R882">
        <v>174</v>
      </c>
      <c r="S882">
        <v>1</v>
      </c>
      <c r="T882" t="s">
        <v>137</v>
      </c>
      <c r="U882" t="s">
        <v>42</v>
      </c>
      <c r="V882">
        <v>1.02</v>
      </c>
      <c r="W882">
        <v>2.94</v>
      </c>
      <c r="X882">
        <v>2.1</v>
      </c>
      <c r="Y882">
        <v>11.5</v>
      </c>
      <c r="Z882">
        <v>18.7</v>
      </c>
      <c r="AA882">
        <f>VALUE(SUBSTITUTE(DACS19___Pfizer’s_Personalised_Medicine_in[[#This Row],[Dose]],"mg",""))</f>
        <v>150</v>
      </c>
      <c r="AB882">
        <f t="shared" si="91"/>
        <v>150</v>
      </c>
      <c r="AC882" t="s">
        <v>129</v>
      </c>
      <c r="AD882">
        <f t="shared" si="92"/>
        <v>4</v>
      </c>
      <c r="AE882">
        <f t="shared" si="93"/>
        <v>3</v>
      </c>
      <c r="AF882" t="e">
        <f t="shared" si="94"/>
        <v>#N/A</v>
      </c>
      <c r="AG882" t="e">
        <f t="shared" si="95"/>
        <v>#N/A</v>
      </c>
      <c r="AH882" t="e">
        <f t="shared" si="96"/>
        <v>#N/A</v>
      </c>
      <c r="AI882">
        <f t="shared" si="97"/>
        <v>2.94</v>
      </c>
    </row>
    <row r="883" spans="1:35" x14ac:dyDescent="0.45">
      <c r="A883" t="s">
        <v>2409</v>
      </c>
      <c r="B883">
        <v>66</v>
      </c>
      <c r="C883" t="s">
        <v>27</v>
      </c>
      <c r="D883" t="s">
        <v>28</v>
      </c>
      <c r="E883" t="s">
        <v>46</v>
      </c>
      <c r="F883" t="s">
        <v>59</v>
      </c>
      <c r="G883" t="s">
        <v>80</v>
      </c>
      <c r="H883" t="s">
        <v>81</v>
      </c>
      <c r="I883" t="s">
        <v>49</v>
      </c>
      <c r="J883" t="s">
        <v>1648</v>
      </c>
      <c r="K883" t="s">
        <v>871</v>
      </c>
      <c r="L883" t="s">
        <v>52</v>
      </c>
      <c r="M883" t="s">
        <v>231</v>
      </c>
      <c r="N883" t="s">
        <v>950</v>
      </c>
      <c r="O883" t="s">
        <v>52</v>
      </c>
      <c r="P883" t="s">
        <v>39</v>
      </c>
      <c r="Q883" t="s">
        <v>40</v>
      </c>
      <c r="R883">
        <v>106</v>
      </c>
      <c r="S883">
        <v>1</v>
      </c>
      <c r="T883" t="s">
        <v>41</v>
      </c>
      <c r="U883" t="s">
        <v>42</v>
      </c>
      <c r="V883">
        <v>1.65</v>
      </c>
      <c r="W883">
        <v>4.8600000000000003</v>
      </c>
      <c r="X883">
        <v>2.9</v>
      </c>
      <c r="Y883">
        <v>19.3</v>
      </c>
      <c r="Z883">
        <v>12.3</v>
      </c>
      <c r="AA883">
        <f>VALUE(SUBSTITUTE(DACS19___Pfizer’s_Personalised_Medicine_in[[#This Row],[Dose]],"mg",""))</f>
        <v>100</v>
      </c>
      <c r="AB883">
        <f t="shared" si="91"/>
        <v>100</v>
      </c>
      <c r="AC883" t="s">
        <v>40</v>
      </c>
      <c r="AD883">
        <f t="shared" si="92"/>
        <v>3</v>
      </c>
      <c r="AE883">
        <f t="shared" si="93"/>
        <v>3</v>
      </c>
      <c r="AF883" t="e">
        <f t="shared" si="94"/>
        <v>#N/A</v>
      </c>
      <c r="AG883" t="e">
        <f t="shared" si="95"/>
        <v>#N/A</v>
      </c>
      <c r="AH883" t="e">
        <f t="shared" si="96"/>
        <v>#N/A</v>
      </c>
      <c r="AI883">
        <f t="shared" si="97"/>
        <v>4.8600000000000003</v>
      </c>
    </row>
    <row r="884" spans="1:35" x14ac:dyDescent="0.45">
      <c r="A884" t="s">
        <v>2410</v>
      </c>
      <c r="B884">
        <v>58</v>
      </c>
      <c r="C884" t="s">
        <v>45</v>
      </c>
      <c r="D884" t="s">
        <v>28</v>
      </c>
      <c r="E884" t="s">
        <v>29</v>
      </c>
      <c r="F884" t="s">
        <v>2614</v>
      </c>
      <c r="G884" t="s">
        <v>178</v>
      </c>
      <c r="H884" t="s">
        <v>32</v>
      </c>
      <c r="I884" t="s">
        <v>33</v>
      </c>
      <c r="J884" t="s">
        <v>1784</v>
      </c>
      <c r="K884" t="s">
        <v>1237</v>
      </c>
      <c r="L884" t="s">
        <v>36</v>
      </c>
      <c r="M884" t="s">
        <v>2614</v>
      </c>
      <c r="N884" t="s">
        <v>38</v>
      </c>
      <c r="O884" t="s">
        <v>36</v>
      </c>
      <c r="P884" t="s">
        <v>55</v>
      </c>
      <c r="Q884" t="s">
        <v>2614</v>
      </c>
      <c r="R884">
        <v>86</v>
      </c>
      <c r="S884">
        <v>0</v>
      </c>
      <c r="T884" t="s">
        <v>137</v>
      </c>
      <c r="U884" t="s">
        <v>57</v>
      </c>
      <c r="V884">
        <v>4.54</v>
      </c>
      <c r="W884">
        <v>3.22</v>
      </c>
      <c r="X884">
        <v>5.8</v>
      </c>
      <c r="Y884">
        <v>9.5</v>
      </c>
      <c r="Z884">
        <v>5.8</v>
      </c>
      <c r="AA884">
        <f>VALUE(SUBSTITUTE(DACS19___Pfizer’s_Personalised_Medicine_in[[#This Row],[Dose]],"mg",""))</f>
        <v>200</v>
      </c>
      <c r="AB884">
        <f t="shared" si="91"/>
        <v>200</v>
      </c>
      <c r="AC884" t="s">
        <v>2614</v>
      </c>
      <c r="AD884">
        <f t="shared" si="92"/>
        <v>0</v>
      </c>
      <c r="AE884">
        <f t="shared" si="93"/>
        <v>2</v>
      </c>
      <c r="AF884" t="e">
        <f t="shared" si="94"/>
        <v>#N/A</v>
      </c>
      <c r="AG884" t="e">
        <f t="shared" si="95"/>
        <v>#N/A</v>
      </c>
      <c r="AH884">
        <f t="shared" si="96"/>
        <v>3.22</v>
      </c>
      <c r="AI884" t="e">
        <f t="shared" si="97"/>
        <v>#N/A</v>
      </c>
    </row>
    <row r="885" spans="1:35" x14ac:dyDescent="0.45">
      <c r="A885" t="s">
        <v>2411</v>
      </c>
      <c r="B885">
        <v>27</v>
      </c>
      <c r="C885" t="s">
        <v>44</v>
      </c>
      <c r="D885" t="s">
        <v>45</v>
      </c>
      <c r="E885" t="s">
        <v>163</v>
      </c>
      <c r="F885" t="s">
        <v>69</v>
      </c>
      <c r="G885" t="s">
        <v>80</v>
      </c>
      <c r="H885" t="s">
        <v>71</v>
      </c>
      <c r="I885" t="s">
        <v>72</v>
      </c>
      <c r="J885" t="s">
        <v>2412</v>
      </c>
      <c r="K885" t="s">
        <v>1080</v>
      </c>
      <c r="L885" t="s">
        <v>64</v>
      </c>
      <c r="M885" t="s">
        <v>75</v>
      </c>
      <c r="N885" t="s">
        <v>1463</v>
      </c>
      <c r="O885" t="s">
        <v>64</v>
      </c>
      <c r="P885" t="s">
        <v>55</v>
      </c>
      <c r="Q885" t="s">
        <v>2614</v>
      </c>
      <c r="R885">
        <v>34</v>
      </c>
      <c r="S885">
        <v>0</v>
      </c>
      <c r="T885" t="s">
        <v>85</v>
      </c>
      <c r="U885" t="s">
        <v>42</v>
      </c>
      <c r="V885">
        <v>4.67</v>
      </c>
      <c r="W885">
        <v>2.31</v>
      </c>
      <c r="X885">
        <v>4.3</v>
      </c>
      <c r="Y885">
        <v>19.7</v>
      </c>
      <c r="Z885">
        <v>8.8000000000000007</v>
      </c>
      <c r="AA885">
        <f>VALUE(SUBSTITUTE(DACS19___Pfizer’s_Personalised_Medicine_in[[#This Row],[Dose]],"mg",""))</f>
        <v>150</v>
      </c>
      <c r="AB885">
        <f t="shared" si="91"/>
        <v>150</v>
      </c>
      <c r="AC885" t="s">
        <v>2614</v>
      </c>
      <c r="AD885">
        <f t="shared" si="92"/>
        <v>0</v>
      </c>
      <c r="AE885">
        <f t="shared" si="93"/>
        <v>2</v>
      </c>
      <c r="AF885" t="e">
        <f t="shared" si="94"/>
        <v>#N/A</v>
      </c>
      <c r="AG885">
        <f t="shared" si="95"/>
        <v>2.31</v>
      </c>
      <c r="AH885" t="e">
        <f t="shared" si="96"/>
        <v>#N/A</v>
      </c>
      <c r="AI885" t="e">
        <f t="shared" si="97"/>
        <v>#N/A</v>
      </c>
    </row>
    <row r="886" spans="1:35" x14ac:dyDescent="0.45">
      <c r="A886" t="s">
        <v>2413</v>
      </c>
      <c r="B886">
        <v>36</v>
      </c>
      <c r="C886" t="s">
        <v>27</v>
      </c>
      <c r="D886" t="s">
        <v>87</v>
      </c>
      <c r="E886" t="s">
        <v>29</v>
      </c>
      <c r="F886" t="s">
        <v>47</v>
      </c>
      <c r="G886" t="s">
        <v>96</v>
      </c>
      <c r="H886" t="s">
        <v>81</v>
      </c>
      <c r="I886" t="s">
        <v>72</v>
      </c>
      <c r="J886" t="s">
        <v>2190</v>
      </c>
      <c r="K886" t="s">
        <v>2414</v>
      </c>
      <c r="L886" t="s">
        <v>64</v>
      </c>
      <c r="M886" t="s">
        <v>67</v>
      </c>
      <c r="N886" t="s">
        <v>2291</v>
      </c>
      <c r="O886" t="s">
        <v>64</v>
      </c>
      <c r="P886" t="s">
        <v>39</v>
      </c>
      <c r="Q886" t="s">
        <v>129</v>
      </c>
      <c r="R886">
        <v>176</v>
      </c>
      <c r="S886">
        <v>1</v>
      </c>
      <c r="T886" t="s">
        <v>56</v>
      </c>
      <c r="U886" t="s">
        <v>42</v>
      </c>
      <c r="V886">
        <v>4.8099999999999996</v>
      </c>
      <c r="W886">
        <v>3.95</v>
      </c>
      <c r="X886">
        <v>6.4</v>
      </c>
      <c r="Y886">
        <v>21.9</v>
      </c>
      <c r="Z886">
        <v>3.8</v>
      </c>
      <c r="AA886">
        <f>VALUE(SUBSTITUTE(DACS19___Pfizer’s_Personalised_Medicine_in[[#This Row],[Dose]],"mg",""))</f>
        <v>150</v>
      </c>
      <c r="AB886">
        <f t="shared" si="91"/>
        <v>150</v>
      </c>
      <c r="AC886" t="s">
        <v>129</v>
      </c>
      <c r="AD886">
        <f t="shared" si="92"/>
        <v>4</v>
      </c>
      <c r="AE886">
        <f t="shared" si="93"/>
        <v>3</v>
      </c>
      <c r="AF886" t="e">
        <f t="shared" si="94"/>
        <v>#N/A</v>
      </c>
      <c r="AG886" t="e">
        <f t="shared" si="95"/>
        <v>#N/A</v>
      </c>
      <c r="AH886" t="e">
        <f t="shared" si="96"/>
        <v>#N/A</v>
      </c>
      <c r="AI886">
        <f t="shared" si="97"/>
        <v>3.95</v>
      </c>
    </row>
    <row r="887" spans="1:35" x14ac:dyDescent="0.45">
      <c r="A887" t="s">
        <v>2415</v>
      </c>
      <c r="B887">
        <v>25</v>
      </c>
      <c r="C887" t="s">
        <v>45</v>
      </c>
      <c r="D887" t="s">
        <v>106</v>
      </c>
      <c r="E887" t="s">
        <v>163</v>
      </c>
      <c r="F887" t="s">
        <v>2614</v>
      </c>
      <c r="G887" t="s">
        <v>118</v>
      </c>
      <c r="H887" t="s">
        <v>81</v>
      </c>
      <c r="I887" t="s">
        <v>132</v>
      </c>
      <c r="J887" t="s">
        <v>1654</v>
      </c>
      <c r="K887" t="s">
        <v>2338</v>
      </c>
      <c r="L887" t="s">
        <v>64</v>
      </c>
      <c r="M887" t="s">
        <v>2620</v>
      </c>
      <c r="N887" t="s">
        <v>650</v>
      </c>
      <c r="O887" t="s">
        <v>64</v>
      </c>
      <c r="P887" t="s">
        <v>110</v>
      </c>
      <c r="Q887" t="s">
        <v>67</v>
      </c>
      <c r="R887">
        <v>62</v>
      </c>
      <c r="S887">
        <v>0</v>
      </c>
      <c r="T887" t="s">
        <v>123</v>
      </c>
      <c r="U887" t="s">
        <v>42</v>
      </c>
      <c r="V887">
        <v>2.0299999999999998</v>
      </c>
      <c r="W887">
        <v>2.86</v>
      </c>
      <c r="X887">
        <v>3</v>
      </c>
      <c r="Y887">
        <v>19.399999999999999</v>
      </c>
      <c r="Z887">
        <v>18.600000000000001</v>
      </c>
      <c r="AA887">
        <f>VALUE(SUBSTITUTE(DACS19___Pfizer’s_Personalised_Medicine_in[[#This Row],[Dose]],"mg",""))</f>
        <v>150</v>
      </c>
      <c r="AB887">
        <f t="shared" si="91"/>
        <v>150</v>
      </c>
      <c r="AC887" t="s">
        <v>67</v>
      </c>
      <c r="AD887">
        <f t="shared" si="92"/>
        <v>2</v>
      </c>
      <c r="AE887">
        <f t="shared" si="93"/>
        <v>1</v>
      </c>
      <c r="AF887" t="e">
        <f t="shared" si="94"/>
        <v>#N/A</v>
      </c>
      <c r="AG887" t="e">
        <f t="shared" si="95"/>
        <v>#N/A</v>
      </c>
      <c r="AH887" t="e">
        <f t="shared" si="96"/>
        <v>#N/A</v>
      </c>
      <c r="AI887">
        <f t="shared" si="97"/>
        <v>2.86</v>
      </c>
    </row>
    <row r="888" spans="1:35" x14ac:dyDescent="0.45">
      <c r="A888" t="s">
        <v>2416</v>
      </c>
      <c r="B888">
        <v>19</v>
      </c>
      <c r="C888" t="s">
        <v>27</v>
      </c>
      <c r="D888" t="s">
        <v>28</v>
      </c>
      <c r="E888" t="s">
        <v>2614</v>
      </c>
      <c r="F888" t="s">
        <v>2614</v>
      </c>
      <c r="G888" t="s">
        <v>276</v>
      </c>
      <c r="H888" t="s">
        <v>81</v>
      </c>
      <c r="I888" t="s">
        <v>49</v>
      </c>
      <c r="J888" t="s">
        <v>2417</v>
      </c>
      <c r="K888" t="s">
        <v>1071</v>
      </c>
      <c r="L888" t="s">
        <v>92</v>
      </c>
      <c r="M888" t="s">
        <v>67</v>
      </c>
      <c r="N888" t="s">
        <v>504</v>
      </c>
      <c r="O888" t="s">
        <v>92</v>
      </c>
      <c r="P888" t="s">
        <v>55</v>
      </c>
      <c r="Q888" t="s">
        <v>129</v>
      </c>
      <c r="R888">
        <v>64</v>
      </c>
      <c r="S888">
        <v>0</v>
      </c>
      <c r="T888" t="s">
        <v>123</v>
      </c>
      <c r="U888" t="s">
        <v>42</v>
      </c>
      <c r="V888">
        <v>2.7</v>
      </c>
      <c r="W888">
        <v>2.37</v>
      </c>
      <c r="X888">
        <v>9.6999999999999993</v>
      </c>
      <c r="Y888">
        <v>14</v>
      </c>
      <c r="Z888">
        <v>11.3</v>
      </c>
      <c r="AA888">
        <f>VALUE(SUBSTITUTE(DACS19___Pfizer’s_Personalised_Medicine_in[[#This Row],[Dose]],"mg",""))</f>
        <v>50</v>
      </c>
      <c r="AB888">
        <f t="shared" si="91"/>
        <v>50</v>
      </c>
      <c r="AC888" t="s">
        <v>129</v>
      </c>
      <c r="AD888">
        <f t="shared" si="92"/>
        <v>4</v>
      </c>
      <c r="AE888">
        <f t="shared" si="93"/>
        <v>2</v>
      </c>
      <c r="AF888" t="e">
        <f t="shared" si="94"/>
        <v>#N/A</v>
      </c>
      <c r="AG888" t="e">
        <f t="shared" si="95"/>
        <v>#N/A</v>
      </c>
      <c r="AH888" t="e">
        <f t="shared" si="96"/>
        <v>#N/A</v>
      </c>
      <c r="AI888">
        <f t="shared" si="97"/>
        <v>2.37</v>
      </c>
    </row>
    <row r="889" spans="1:35" x14ac:dyDescent="0.45">
      <c r="A889" t="s">
        <v>2418</v>
      </c>
      <c r="B889">
        <v>77</v>
      </c>
      <c r="C889" t="s">
        <v>44</v>
      </c>
      <c r="D889" t="s">
        <v>95</v>
      </c>
      <c r="E889" t="s">
        <v>2614</v>
      </c>
      <c r="F889" t="s">
        <v>2614</v>
      </c>
      <c r="G889" t="s">
        <v>152</v>
      </c>
      <c r="H889" t="s">
        <v>81</v>
      </c>
      <c r="I889" t="s">
        <v>72</v>
      </c>
      <c r="J889" t="s">
        <v>2419</v>
      </c>
      <c r="K889" t="s">
        <v>2420</v>
      </c>
      <c r="L889" t="s">
        <v>36</v>
      </c>
      <c r="M889" t="s">
        <v>75</v>
      </c>
      <c r="N889" t="s">
        <v>946</v>
      </c>
      <c r="O889" t="s">
        <v>36</v>
      </c>
      <c r="P889" t="s">
        <v>39</v>
      </c>
      <c r="Q889" t="s">
        <v>75</v>
      </c>
      <c r="R889">
        <v>85</v>
      </c>
      <c r="S889">
        <v>1</v>
      </c>
      <c r="T889" t="s">
        <v>123</v>
      </c>
      <c r="U889" t="s">
        <v>57</v>
      </c>
      <c r="V889">
        <v>2.41</v>
      </c>
      <c r="W889">
        <v>4.6399999999999997</v>
      </c>
      <c r="X889">
        <v>6.1</v>
      </c>
      <c r="Y889">
        <v>19.7</v>
      </c>
      <c r="Z889">
        <v>16.8</v>
      </c>
      <c r="AA889">
        <f>VALUE(SUBSTITUTE(DACS19___Pfizer’s_Personalised_Medicine_in[[#This Row],[Dose]],"mg",""))</f>
        <v>200</v>
      </c>
      <c r="AB889">
        <f t="shared" si="91"/>
        <v>200</v>
      </c>
      <c r="AC889" t="s">
        <v>75</v>
      </c>
      <c r="AD889">
        <f t="shared" si="92"/>
        <v>1</v>
      </c>
      <c r="AE889">
        <f t="shared" si="93"/>
        <v>3</v>
      </c>
      <c r="AF889" t="e">
        <f t="shared" si="94"/>
        <v>#N/A</v>
      </c>
      <c r="AG889" t="e">
        <f t="shared" si="95"/>
        <v>#N/A</v>
      </c>
      <c r="AH889" t="e">
        <f t="shared" si="96"/>
        <v>#N/A</v>
      </c>
      <c r="AI889">
        <f t="shared" si="97"/>
        <v>4.6399999999999997</v>
      </c>
    </row>
    <row r="890" spans="1:35" x14ac:dyDescent="0.45">
      <c r="A890" t="s">
        <v>2421</v>
      </c>
      <c r="B890">
        <v>64</v>
      </c>
      <c r="C890" t="s">
        <v>45</v>
      </c>
      <c r="D890" t="s">
        <v>28</v>
      </c>
      <c r="E890" t="s">
        <v>46</v>
      </c>
      <c r="F890" t="s">
        <v>59</v>
      </c>
      <c r="G890" t="s">
        <v>131</v>
      </c>
      <c r="H890" t="s">
        <v>81</v>
      </c>
      <c r="I890" t="s">
        <v>72</v>
      </c>
      <c r="J890" t="s">
        <v>1819</v>
      </c>
      <c r="K890" t="s">
        <v>2422</v>
      </c>
      <c r="L890" t="s">
        <v>64</v>
      </c>
      <c r="M890" t="s">
        <v>67</v>
      </c>
      <c r="N890" t="s">
        <v>491</v>
      </c>
      <c r="O890" t="s">
        <v>64</v>
      </c>
      <c r="P890" t="s">
        <v>39</v>
      </c>
      <c r="Q890" t="s">
        <v>67</v>
      </c>
      <c r="R890">
        <v>134</v>
      </c>
      <c r="S890">
        <v>1</v>
      </c>
      <c r="T890" t="s">
        <v>41</v>
      </c>
      <c r="U890" t="s">
        <v>42</v>
      </c>
      <c r="V890">
        <v>2.37</v>
      </c>
      <c r="W890">
        <v>2.73</v>
      </c>
      <c r="X890">
        <v>8.6</v>
      </c>
      <c r="Y890">
        <v>12.5</v>
      </c>
      <c r="Z890">
        <v>16.5</v>
      </c>
      <c r="AA890">
        <f>VALUE(SUBSTITUTE(DACS19___Pfizer’s_Personalised_Medicine_in[[#This Row],[Dose]],"mg",""))</f>
        <v>150</v>
      </c>
      <c r="AB890">
        <f t="shared" si="91"/>
        <v>150</v>
      </c>
      <c r="AC890" t="s">
        <v>67</v>
      </c>
      <c r="AD890">
        <f t="shared" si="92"/>
        <v>2</v>
      </c>
      <c r="AE890">
        <f t="shared" si="93"/>
        <v>3</v>
      </c>
      <c r="AF890" t="e">
        <f t="shared" si="94"/>
        <v>#N/A</v>
      </c>
      <c r="AG890" t="e">
        <f t="shared" si="95"/>
        <v>#N/A</v>
      </c>
      <c r="AH890" t="e">
        <f t="shared" si="96"/>
        <v>#N/A</v>
      </c>
      <c r="AI890">
        <f t="shared" si="97"/>
        <v>2.73</v>
      </c>
    </row>
    <row r="891" spans="1:35" x14ac:dyDescent="0.45">
      <c r="A891" t="s">
        <v>2423</v>
      </c>
      <c r="B891">
        <v>22</v>
      </c>
      <c r="C891" t="s">
        <v>27</v>
      </c>
      <c r="D891" t="s">
        <v>106</v>
      </c>
      <c r="E891" t="s">
        <v>2614</v>
      </c>
      <c r="F891" t="s">
        <v>79</v>
      </c>
      <c r="G891" t="s">
        <v>184</v>
      </c>
      <c r="H891" t="s">
        <v>81</v>
      </c>
      <c r="I891" t="s">
        <v>72</v>
      </c>
      <c r="J891" t="s">
        <v>1599</v>
      </c>
      <c r="K891" t="s">
        <v>2362</v>
      </c>
      <c r="L891" t="s">
        <v>36</v>
      </c>
      <c r="M891" t="s">
        <v>2655</v>
      </c>
      <c r="N891" t="s">
        <v>808</v>
      </c>
      <c r="O891" t="s">
        <v>36</v>
      </c>
      <c r="P891" t="s">
        <v>110</v>
      </c>
      <c r="Q891" t="s">
        <v>40</v>
      </c>
      <c r="R891">
        <v>168</v>
      </c>
      <c r="S891">
        <v>0</v>
      </c>
      <c r="T891" t="s">
        <v>123</v>
      </c>
      <c r="U891" t="s">
        <v>42</v>
      </c>
      <c r="V891">
        <v>4.76</v>
      </c>
      <c r="W891">
        <v>3.49</v>
      </c>
      <c r="X891">
        <v>7.7</v>
      </c>
      <c r="Y891">
        <v>20.5</v>
      </c>
      <c r="Z891">
        <v>17.399999999999999</v>
      </c>
      <c r="AA891">
        <f>VALUE(SUBSTITUTE(DACS19___Pfizer’s_Personalised_Medicine_in[[#This Row],[Dose]],"mg",""))</f>
        <v>200</v>
      </c>
      <c r="AB891">
        <f t="shared" si="91"/>
        <v>200</v>
      </c>
      <c r="AC891" t="s">
        <v>40</v>
      </c>
      <c r="AD891">
        <f t="shared" si="92"/>
        <v>3</v>
      </c>
      <c r="AE891">
        <f t="shared" si="93"/>
        <v>1</v>
      </c>
      <c r="AF891" t="e">
        <f t="shared" si="94"/>
        <v>#N/A</v>
      </c>
      <c r="AG891" t="e">
        <f t="shared" si="95"/>
        <v>#N/A</v>
      </c>
      <c r="AH891" t="e">
        <f t="shared" si="96"/>
        <v>#N/A</v>
      </c>
      <c r="AI891">
        <f t="shared" si="97"/>
        <v>3.49</v>
      </c>
    </row>
    <row r="892" spans="1:35" x14ac:dyDescent="0.45">
      <c r="A892" t="s">
        <v>2424</v>
      </c>
      <c r="B892">
        <v>58</v>
      </c>
      <c r="C892" t="s">
        <v>45</v>
      </c>
      <c r="D892" t="s">
        <v>106</v>
      </c>
      <c r="E892" t="s">
        <v>29</v>
      </c>
      <c r="F892" t="s">
        <v>2614</v>
      </c>
      <c r="G892" t="s">
        <v>131</v>
      </c>
      <c r="H892" t="s">
        <v>61</v>
      </c>
      <c r="I892" t="s">
        <v>72</v>
      </c>
      <c r="J892" t="s">
        <v>1891</v>
      </c>
      <c r="K892" t="s">
        <v>774</v>
      </c>
      <c r="L892" t="s">
        <v>36</v>
      </c>
      <c r="M892" t="s">
        <v>135</v>
      </c>
      <c r="N892" t="s">
        <v>550</v>
      </c>
      <c r="O892" t="s">
        <v>36</v>
      </c>
      <c r="P892" t="s">
        <v>39</v>
      </c>
      <c r="Q892" t="s">
        <v>129</v>
      </c>
      <c r="R892">
        <v>107</v>
      </c>
      <c r="S892">
        <v>1</v>
      </c>
      <c r="T892" t="s">
        <v>41</v>
      </c>
      <c r="U892" t="s">
        <v>57</v>
      </c>
      <c r="V892">
        <v>2.58</v>
      </c>
      <c r="W892">
        <v>1.21</v>
      </c>
      <c r="X892">
        <v>4.5999999999999996</v>
      </c>
      <c r="Y892">
        <v>18.100000000000001</v>
      </c>
      <c r="Z892">
        <v>10.7</v>
      </c>
      <c r="AA892">
        <f>VALUE(SUBSTITUTE(DACS19___Pfizer’s_Personalised_Medicine_in[[#This Row],[Dose]],"mg",""))</f>
        <v>200</v>
      </c>
      <c r="AB892">
        <f t="shared" si="91"/>
        <v>200</v>
      </c>
      <c r="AC892" t="s">
        <v>129</v>
      </c>
      <c r="AD892">
        <f t="shared" si="92"/>
        <v>4</v>
      </c>
      <c r="AE892">
        <f t="shared" si="93"/>
        <v>3</v>
      </c>
      <c r="AF892">
        <f t="shared" si="94"/>
        <v>1.21</v>
      </c>
      <c r="AG892" t="e">
        <f t="shared" si="95"/>
        <v>#N/A</v>
      </c>
      <c r="AH892" t="e">
        <f t="shared" si="96"/>
        <v>#N/A</v>
      </c>
      <c r="AI892" t="e">
        <f t="shared" si="97"/>
        <v>#N/A</v>
      </c>
    </row>
    <row r="893" spans="1:35" x14ac:dyDescent="0.45">
      <c r="A893" t="s">
        <v>2425</v>
      </c>
      <c r="B893">
        <v>25</v>
      </c>
      <c r="C893" t="s">
        <v>27</v>
      </c>
      <c r="D893" t="s">
        <v>106</v>
      </c>
      <c r="E893" t="s">
        <v>29</v>
      </c>
      <c r="F893" t="s">
        <v>2614</v>
      </c>
      <c r="G893" t="s">
        <v>194</v>
      </c>
      <c r="H893" t="s">
        <v>61</v>
      </c>
      <c r="I893" t="s">
        <v>72</v>
      </c>
      <c r="J893" t="s">
        <v>1134</v>
      </c>
      <c r="K893" t="s">
        <v>1706</v>
      </c>
      <c r="L893" t="s">
        <v>36</v>
      </c>
      <c r="M893" t="s">
        <v>2615</v>
      </c>
      <c r="N893" t="s">
        <v>711</v>
      </c>
      <c r="O893" t="s">
        <v>36</v>
      </c>
      <c r="P893" t="s">
        <v>55</v>
      </c>
      <c r="Q893" t="s">
        <v>67</v>
      </c>
      <c r="R893">
        <v>80</v>
      </c>
      <c r="S893">
        <v>0</v>
      </c>
      <c r="T893" t="s">
        <v>41</v>
      </c>
      <c r="U893" t="s">
        <v>42</v>
      </c>
      <c r="V893">
        <v>4</v>
      </c>
      <c r="W893">
        <v>2.4300000000000002</v>
      </c>
      <c r="X893">
        <v>6.7</v>
      </c>
      <c r="Y893">
        <v>9.4</v>
      </c>
      <c r="Z893">
        <v>15.7</v>
      </c>
      <c r="AA893">
        <f>VALUE(SUBSTITUTE(DACS19___Pfizer’s_Personalised_Medicine_in[[#This Row],[Dose]],"mg",""))</f>
        <v>200</v>
      </c>
      <c r="AB893">
        <f t="shared" si="91"/>
        <v>200</v>
      </c>
      <c r="AC893" t="s">
        <v>67</v>
      </c>
      <c r="AD893">
        <f t="shared" si="92"/>
        <v>2</v>
      </c>
      <c r="AE893">
        <f t="shared" si="93"/>
        <v>2</v>
      </c>
      <c r="AF893">
        <f t="shared" si="94"/>
        <v>2.4300000000000002</v>
      </c>
      <c r="AG893" t="e">
        <f t="shared" si="95"/>
        <v>#N/A</v>
      </c>
      <c r="AH893" t="e">
        <f t="shared" si="96"/>
        <v>#N/A</v>
      </c>
      <c r="AI893" t="e">
        <f t="shared" si="97"/>
        <v>#N/A</v>
      </c>
    </row>
    <row r="894" spans="1:35" x14ac:dyDescent="0.45">
      <c r="A894" t="s">
        <v>2426</v>
      </c>
      <c r="B894">
        <v>84</v>
      </c>
      <c r="C894" t="s">
        <v>27</v>
      </c>
      <c r="D894" t="s">
        <v>45</v>
      </c>
      <c r="E894" t="s">
        <v>46</v>
      </c>
      <c r="F894" t="s">
        <v>88</v>
      </c>
      <c r="G894" t="s">
        <v>96</v>
      </c>
      <c r="H894" t="s">
        <v>32</v>
      </c>
      <c r="I894" t="s">
        <v>33</v>
      </c>
      <c r="J894" t="s">
        <v>2427</v>
      </c>
      <c r="K894" t="s">
        <v>434</v>
      </c>
      <c r="L894" t="s">
        <v>92</v>
      </c>
      <c r="M894" t="s">
        <v>129</v>
      </c>
      <c r="N894" t="s">
        <v>1253</v>
      </c>
      <c r="O894" t="s">
        <v>92</v>
      </c>
      <c r="P894" t="s">
        <v>39</v>
      </c>
      <c r="Q894" t="s">
        <v>2614</v>
      </c>
      <c r="R894">
        <v>134</v>
      </c>
      <c r="S894">
        <v>1</v>
      </c>
      <c r="T894" t="s">
        <v>56</v>
      </c>
      <c r="U894" t="s">
        <v>57</v>
      </c>
      <c r="V894">
        <v>3.18</v>
      </c>
      <c r="W894">
        <v>1.82</v>
      </c>
      <c r="X894">
        <v>3.6</v>
      </c>
      <c r="Y894">
        <v>19.5</v>
      </c>
      <c r="Z894">
        <v>11.2</v>
      </c>
      <c r="AA894">
        <f>VALUE(SUBSTITUTE(DACS19___Pfizer’s_Personalised_Medicine_in[[#This Row],[Dose]],"mg",""))</f>
        <v>50</v>
      </c>
      <c r="AB894">
        <f t="shared" si="91"/>
        <v>50</v>
      </c>
      <c r="AC894" t="s">
        <v>2614</v>
      </c>
      <c r="AD894">
        <f t="shared" si="92"/>
        <v>0</v>
      </c>
      <c r="AE894">
        <f t="shared" si="93"/>
        <v>3</v>
      </c>
      <c r="AF894" t="e">
        <f t="shared" si="94"/>
        <v>#N/A</v>
      </c>
      <c r="AG894" t="e">
        <f t="shared" si="95"/>
        <v>#N/A</v>
      </c>
      <c r="AH894">
        <f t="shared" si="96"/>
        <v>1.82</v>
      </c>
      <c r="AI894" t="e">
        <f t="shared" si="97"/>
        <v>#N/A</v>
      </c>
    </row>
    <row r="895" spans="1:35" x14ac:dyDescent="0.45">
      <c r="A895" t="s">
        <v>2428</v>
      </c>
      <c r="B895">
        <v>26</v>
      </c>
      <c r="C895" t="s">
        <v>45</v>
      </c>
      <c r="D895" t="s">
        <v>87</v>
      </c>
      <c r="E895" t="s">
        <v>78</v>
      </c>
      <c r="F895" t="s">
        <v>2614</v>
      </c>
      <c r="G895" t="s">
        <v>194</v>
      </c>
      <c r="H895" t="s">
        <v>61</v>
      </c>
      <c r="I895" t="s">
        <v>33</v>
      </c>
      <c r="J895" t="s">
        <v>2429</v>
      </c>
      <c r="K895" t="s">
        <v>629</v>
      </c>
      <c r="L895" t="s">
        <v>64</v>
      </c>
      <c r="M895" t="s">
        <v>37</v>
      </c>
      <c r="N895" t="s">
        <v>1211</v>
      </c>
      <c r="O895" t="s">
        <v>64</v>
      </c>
      <c r="P895" t="s">
        <v>55</v>
      </c>
      <c r="Q895" t="s">
        <v>2614</v>
      </c>
      <c r="R895">
        <v>83</v>
      </c>
      <c r="S895">
        <v>0</v>
      </c>
      <c r="T895" t="s">
        <v>123</v>
      </c>
      <c r="U895" t="s">
        <v>42</v>
      </c>
      <c r="V895">
        <v>1.86</v>
      </c>
      <c r="W895">
        <v>4.87</v>
      </c>
      <c r="X895">
        <v>7.4</v>
      </c>
      <c r="Y895">
        <v>23.2</v>
      </c>
      <c r="Z895">
        <v>10.3</v>
      </c>
      <c r="AA895">
        <f>VALUE(SUBSTITUTE(DACS19___Pfizer’s_Personalised_Medicine_in[[#This Row],[Dose]],"mg",""))</f>
        <v>150</v>
      </c>
      <c r="AB895">
        <f t="shared" si="91"/>
        <v>150</v>
      </c>
      <c r="AC895" t="s">
        <v>2614</v>
      </c>
      <c r="AD895">
        <f t="shared" si="92"/>
        <v>0</v>
      </c>
      <c r="AE895">
        <f t="shared" si="93"/>
        <v>2</v>
      </c>
      <c r="AF895">
        <f t="shared" si="94"/>
        <v>4.87</v>
      </c>
      <c r="AG895" t="e">
        <f t="shared" si="95"/>
        <v>#N/A</v>
      </c>
      <c r="AH895" t="e">
        <f t="shared" si="96"/>
        <v>#N/A</v>
      </c>
      <c r="AI895" t="e">
        <f t="shared" si="97"/>
        <v>#N/A</v>
      </c>
    </row>
    <row r="896" spans="1:35" x14ac:dyDescent="0.45">
      <c r="A896" t="s">
        <v>2430</v>
      </c>
      <c r="B896">
        <v>40</v>
      </c>
      <c r="C896" t="s">
        <v>27</v>
      </c>
      <c r="D896" t="s">
        <v>45</v>
      </c>
      <c r="E896" t="s">
        <v>29</v>
      </c>
      <c r="F896" t="s">
        <v>2614</v>
      </c>
      <c r="G896" t="s">
        <v>70</v>
      </c>
      <c r="H896" t="s">
        <v>71</v>
      </c>
      <c r="I896" t="s">
        <v>72</v>
      </c>
      <c r="J896" t="s">
        <v>2431</v>
      </c>
      <c r="K896" t="s">
        <v>2432</v>
      </c>
      <c r="L896" t="s">
        <v>52</v>
      </c>
      <c r="M896" t="s">
        <v>67</v>
      </c>
      <c r="N896" t="s">
        <v>1074</v>
      </c>
      <c r="O896" t="s">
        <v>52</v>
      </c>
      <c r="P896" t="s">
        <v>55</v>
      </c>
      <c r="Q896" t="s">
        <v>40</v>
      </c>
      <c r="R896">
        <v>47</v>
      </c>
      <c r="S896">
        <v>0</v>
      </c>
      <c r="T896" t="s">
        <v>85</v>
      </c>
      <c r="U896" t="s">
        <v>42</v>
      </c>
      <c r="V896">
        <v>2.9</v>
      </c>
      <c r="W896">
        <v>4.59</v>
      </c>
      <c r="X896">
        <v>5.7</v>
      </c>
      <c r="Y896">
        <v>18.7</v>
      </c>
      <c r="Z896">
        <v>7.3</v>
      </c>
      <c r="AA896">
        <f>VALUE(SUBSTITUTE(DACS19___Pfizer’s_Personalised_Medicine_in[[#This Row],[Dose]],"mg",""))</f>
        <v>100</v>
      </c>
      <c r="AB896">
        <f t="shared" si="91"/>
        <v>100</v>
      </c>
      <c r="AC896" t="s">
        <v>40</v>
      </c>
      <c r="AD896">
        <f t="shared" si="92"/>
        <v>3</v>
      </c>
      <c r="AE896">
        <f t="shared" si="93"/>
        <v>2</v>
      </c>
      <c r="AF896" t="e">
        <f t="shared" si="94"/>
        <v>#N/A</v>
      </c>
      <c r="AG896">
        <f t="shared" si="95"/>
        <v>4.59</v>
      </c>
      <c r="AH896" t="e">
        <f t="shared" si="96"/>
        <v>#N/A</v>
      </c>
      <c r="AI896" t="e">
        <f t="shared" si="97"/>
        <v>#N/A</v>
      </c>
    </row>
    <row r="897" spans="1:35" x14ac:dyDescent="0.45">
      <c r="A897" t="s">
        <v>2433</v>
      </c>
      <c r="B897">
        <v>29</v>
      </c>
      <c r="C897" t="s">
        <v>44</v>
      </c>
      <c r="D897" t="s">
        <v>106</v>
      </c>
      <c r="E897" t="s">
        <v>46</v>
      </c>
      <c r="F897" t="s">
        <v>2614</v>
      </c>
      <c r="G897" t="s">
        <v>96</v>
      </c>
      <c r="H897" t="s">
        <v>32</v>
      </c>
      <c r="I897" t="s">
        <v>49</v>
      </c>
      <c r="J897" t="s">
        <v>1156</v>
      </c>
      <c r="K897" t="s">
        <v>414</v>
      </c>
      <c r="L897" t="s">
        <v>36</v>
      </c>
      <c r="M897" t="s">
        <v>378</v>
      </c>
      <c r="N897" t="s">
        <v>1215</v>
      </c>
      <c r="O897" t="s">
        <v>36</v>
      </c>
      <c r="P897" t="s">
        <v>39</v>
      </c>
      <c r="Q897" t="s">
        <v>40</v>
      </c>
      <c r="R897">
        <v>156</v>
      </c>
      <c r="S897">
        <v>1</v>
      </c>
      <c r="T897" t="s">
        <v>137</v>
      </c>
      <c r="U897" t="s">
        <v>57</v>
      </c>
      <c r="V897">
        <v>2.79</v>
      </c>
      <c r="W897">
        <v>1.49</v>
      </c>
      <c r="X897">
        <v>2.9</v>
      </c>
      <c r="Y897">
        <v>6</v>
      </c>
      <c r="Z897">
        <v>3.7</v>
      </c>
      <c r="AA897">
        <f>VALUE(SUBSTITUTE(DACS19___Pfizer’s_Personalised_Medicine_in[[#This Row],[Dose]],"mg",""))</f>
        <v>200</v>
      </c>
      <c r="AB897">
        <f t="shared" si="91"/>
        <v>200</v>
      </c>
      <c r="AC897" t="s">
        <v>40</v>
      </c>
      <c r="AD897">
        <f t="shared" si="92"/>
        <v>3</v>
      </c>
      <c r="AE897">
        <f t="shared" si="93"/>
        <v>3</v>
      </c>
      <c r="AF897" t="e">
        <f t="shared" si="94"/>
        <v>#N/A</v>
      </c>
      <c r="AG897" t="e">
        <f t="shared" si="95"/>
        <v>#N/A</v>
      </c>
      <c r="AH897">
        <f t="shared" si="96"/>
        <v>1.49</v>
      </c>
      <c r="AI897" t="e">
        <f t="shared" si="97"/>
        <v>#N/A</v>
      </c>
    </row>
    <row r="898" spans="1:35" x14ac:dyDescent="0.45">
      <c r="A898" t="s">
        <v>2434</v>
      </c>
      <c r="B898">
        <v>70</v>
      </c>
      <c r="C898" t="s">
        <v>27</v>
      </c>
      <c r="D898" t="s">
        <v>45</v>
      </c>
      <c r="E898" t="s">
        <v>29</v>
      </c>
      <c r="F898" t="s">
        <v>2614</v>
      </c>
      <c r="G898" t="s">
        <v>112</v>
      </c>
      <c r="H898" t="s">
        <v>32</v>
      </c>
      <c r="I898" t="s">
        <v>49</v>
      </c>
      <c r="J898" t="s">
        <v>1064</v>
      </c>
      <c r="K898" t="s">
        <v>817</v>
      </c>
      <c r="L898" t="s">
        <v>52</v>
      </c>
      <c r="M898" t="s">
        <v>2646</v>
      </c>
      <c r="N898" t="s">
        <v>650</v>
      </c>
      <c r="O898" t="s">
        <v>52</v>
      </c>
      <c r="P898" t="s">
        <v>110</v>
      </c>
      <c r="Q898" t="s">
        <v>67</v>
      </c>
      <c r="R898">
        <v>116</v>
      </c>
      <c r="S898">
        <v>0</v>
      </c>
      <c r="T898" t="s">
        <v>85</v>
      </c>
      <c r="U898" t="s">
        <v>42</v>
      </c>
      <c r="V898">
        <v>4.91</v>
      </c>
      <c r="W898">
        <v>1.97</v>
      </c>
      <c r="X898">
        <v>7</v>
      </c>
      <c r="Y898">
        <v>21.1</v>
      </c>
      <c r="Z898">
        <v>12.4</v>
      </c>
      <c r="AA898">
        <f>VALUE(SUBSTITUTE(DACS19___Pfizer’s_Personalised_Medicine_in[[#This Row],[Dose]],"mg",""))</f>
        <v>100</v>
      </c>
      <c r="AB898">
        <f t="shared" ref="AB898:AB961" si="98">VALUE(SUBSTITUTE(O898,"mg",""))</f>
        <v>100</v>
      </c>
      <c r="AC898" t="s">
        <v>67</v>
      </c>
      <c r="AD898">
        <f t="shared" ref="AD898:AD961" si="99">IF(Q898="","",IF(Q898="Dizziness",1,IF(Q898="Fatigue",2,IF(Q898="Headache",3,IF(Q898="Nausea",4,IF(Q898="Not Reported",0,""))))))</f>
        <v>2</v>
      </c>
      <c r="AE898">
        <f t="shared" ref="AE898:AE961" si="100">IF(P898="Deteriorated",1,IF(P898="No Change",2,IF(P898="Improved",3,0)))</f>
        <v>1</v>
      </c>
      <c r="AF898" t="e">
        <f t="shared" ref="AF898:AF961" si="101">IF($H898="DrugA",$W898,NA())</f>
        <v>#N/A</v>
      </c>
      <c r="AG898" t="e">
        <f t="shared" ref="AG898:AG961" si="102">IF($H898="DrugB",$W898,NA())</f>
        <v>#N/A</v>
      </c>
      <c r="AH898">
        <f t="shared" ref="AH898:AH961" si="103">IF($H898="DrugC",$W898,NA())</f>
        <v>1.97</v>
      </c>
      <c r="AI898" t="e">
        <f t="shared" ref="AI898:AI961" si="104">IF($H898="DrugD",$W898,NA())</f>
        <v>#N/A</v>
      </c>
    </row>
    <row r="899" spans="1:35" x14ac:dyDescent="0.45">
      <c r="A899" t="s">
        <v>2435</v>
      </c>
      <c r="B899">
        <v>41</v>
      </c>
      <c r="C899" t="s">
        <v>27</v>
      </c>
      <c r="D899" t="s">
        <v>28</v>
      </c>
      <c r="E899" t="s">
        <v>29</v>
      </c>
      <c r="F899" t="s">
        <v>69</v>
      </c>
      <c r="G899" t="s">
        <v>31</v>
      </c>
      <c r="H899" t="s">
        <v>81</v>
      </c>
      <c r="I899" t="s">
        <v>33</v>
      </c>
      <c r="J899" t="s">
        <v>1239</v>
      </c>
      <c r="K899" t="s">
        <v>2436</v>
      </c>
      <c r="L899" t="s">
        <v>52</v>
      </c>
      <c r="M899" t="s">
        <v>40</v>
      </c>
      <c r="N899" t="s">
        <v>1571</v>
      </c>
      <c r="O899" t="s">
        <v>52</v>
      </c>
      <c r="P899" t="s">
        <v>110</v>
      </c>
      <c r="Q899" t="s">
        <v>67</v>
      </c>
      <c r="R899">
        <v>145</v>
      </c>
      <c r="S899">
        <v>0</v>
      </c>
      <c r="T899" t="s">
        <v>85</v>
      </c>
      <c r="U899" t="s">
        <v>42</v>
      </c>
      <c r="V899">
        <v>1.61</v>
      </c>
      <c r="W899">
        <v>3.91</v>
      </c>
      <c r="X899">
        <v>6.4</v>
      </c>
      <c r="Y899">
        <v>19.2</v>
      </c>
      <c r="Z899">
        <v>16.100000000000001</v>
      </c>
      <c r="AA899">
        <f>VALUE(SUBSTITUTE(DACS19___Pfizer’s_Personalised_Medicine_in[[#This Row],[Dose]],"mg",""))</f>
        <v>100</v>
      </c>
      <c r="AB899">
        <f t="shared" si="98"/>
        <v>100</v>
      </c>
      <c r="AC899" t="s">
        <v>67</v>
      </c>
      <c r="AD899">
        <f t="shared" si="99"/>
        <v>2</v>
      </c>
      <c r="AE899">
        <f t="shared" si="100"/>
        <v>1</v>
      </c>
      <c r="AF899" t="e">
        <f t="shared" si="101"/>
        <v>#N/A</v>
      </c>
      <c r="AG899" t="e">
        <f t="shared" si="102"/>
        <v>#N/A</v>
      </c>
      <c r="AH899" t="e">
        <f t="shared" si="103"/>
        <v>#N/A</v>
      </c>
      <c r="AI899">
        <f t="shared" si="104"/>
        <v>3.91</v>
      </c>
    </row>
    <row r="900" spans="1:35" x14ac:dyDescent="0.45">
      <c r="A900" t="s">
        <v>2437</v>
      </c>
      <c r="B900">
        <v>41</v>
      </c>
      <c r="C900" t="s">
        <v>27</v>
      </c>
      <c r="D900" t="s">
        <v>106</v>
      </c>
      <c r="E900" t="s">
        <v>163</v>
      </c>
      <c r="F900" t="s">
        <v>88</v>
      </c>
      <c r="G900" t="s">
        <v>102</v>
      </c>
      <c r="H900" t="s">
        <v>81</v>
      </c>
      <c r="I900" t="s">
        <v>49</v>
      </c>
      <c r="J900" t="s">
        <v>2109</v>
      </c>
      <c r="K900" t="s">
        <v>634</v>
      </c>
      <c r="L900" t="s">
        <v>36</v>
      </c>
      <c r="M900" t="s">
        <v>2623</v>
      </c>
      <c r="N900" t="s">
        <v>622</v>
      </c>
      <c r="O900" t="s">
        <v>36</v>
      </c>
      <c r="P900" t="s">
        <v>55</v>
      </c>
      <c r="Q900" t="s">
        <v>129</v>
      </c>
      <c r="R900">
        <v>154</v>
      </c>
      <c r="S900">
        <v>0</v>
      </c>
      <c r="T900" t="s">
        <v>137</v>
      </c>
      <c r="U900" t="s">
        <v>42</v>
      </c>
      <c r="V900">
        <v>4.9000000000000004</v>
      </c>
      <c r="W900">
        <v>3.29</v>
      </c>
      <c r="X900">
        <v>4.0999999999999996</v>
      </c>
      <c r="Y900">
        <v>17.7</v>
      </c>
      <c r="Z900">
        <v>4.2</v>
      </c>
      <c r="AA900">
        <f>VALUE(SUBSTITUTE(DACS19___Pfizer’s_Personalised_Medicine_in[[#This Row],[Dose]],"mg",""))</f>
        <v>200</v>
      </c>
      <c r="AB900">
        <f t="shared" si="98"/>
        <v>200</v>
      </c>
      <c r="AC900" t="s">
        <v>129</v>
      </c>
      <c r="AD900">
        <f t="shared" si="99"/>
        <v>4</v>
      </c>
      <c r="AE900">
        <f t="shared" si="100"/>
        <v>2</v>
      </c>
      <c r="AF900" t="e">
        <f t="shared" si="101"/>
        <v>#N/A</v>
      </c>
      <c r="AG900" t="e">
        <f t="shared" si="102"/>
        <v>#N/A</v>
      </c>
      <c r="AH900" t="e">
        <f t="shared" si="103"/>
        <v>#N/A</v>
      </c>
      <c r="AI900">
        <f t="shared" si="104"/>
        <v>3.29</v>
      </c>
    </row>
    <row r="901" spans="1:35" x14ac:dyDescent="0.45">
      <c r="A901" t="s">
        <v>2438</v>
      </c>
      <c r="B901">
        <v>46</v>
      </c>
      <c r="C901" t="s">
        <v>45</v>
      </c>
      <c r="D901" t="s">
        <v>106</v>
      </c>
      <c r="E901" t="s">
        <v>2614</v>
      </c>
      <c r="F901" t="s">
        <v>69</v>
      </c>
      <c r="G901" t="s">
        <v>152</v>
      </c>
      <c r="H901" t="s">
        <v>32</v>
      </c>
      <c r="I901" t="s">
        <v>132</v>
      </c>
      <c r="J901" t="s">
        <v>360</v>
      </c>
      <c r="K901" t="s">
        <v>2439</v>
      </c>
      <c r="L901" t="s">
        <v>92</v>
      </c>
      <c r="M901" t="s">
        <v>274</v>
      </c>
      <c r="N901" t="s">
        <v>1211</v>
      </c>
      <c r="O901" t="s">
        <v>92</v>
      </c>
      <c r="P901" t="s">
        <v>39</v>
      </c>
      <c r="Q901" t="s">
        <v>40</v>
      </c>
      <c r="R901">
        <v>129</v>
      </c>
      <c r="S901">
        <v>1</v>
      </c>
      <c r="T901" t="s">
        <v>137</v>
      </c>
      <c r="U901" t="s">
        <v>42</v>
      </c>
      <c r="V901">
        <v>4.59</v>
      </c>
      <c r="W901">
        <v>1.48</v>
      </c>
      <c r="X901">
        <v>4</v>
      </c>
      <c r="Y901">
        <v>20.7</v>
      </c>
      <c r="Z901">
        <v>13.2</v>
      </c>
      <c r="AA901">
        <f>VALUE(SUBSTITUTE(DACS19___Pfizer’s_Personalised_Medicine_in[[#This Row],[Dose]],"mg",""))</f>
        <v>50</v>
      </c>
      <c r="AB901">
        <f t="shared" si="98"/>
        <v>50</v>
      </c>
      <c r="AC901" t="s">
        <v>40</v>
      </c>
      <c r="AD901">
        <f t="shared" si="99"/>
        <v>3</v>
      </c>
      <c r="AE901">
        <f t="shared" si="100"/>
        <v>3</v>
      </c>
      <c r="AF901" t="e">
        <f t="shared" si="101"/>
        <v>#N/A</v>
      </c>
      <c r="AG901" t="e">
        <f t="shared" si="102"/>
        <v>#N/A</v>
      </c>
      <c r="AH901">
        <f t="shared" si="103"/>
        <v>1.48</v>
      </c>
      <c r="AI901" t="e">
        <f t="shared" si="104"/>
        <v>#N/A</v>
      </c>
    </row>
    <row r="902" spans="1:35" x14ac:dyDescent="0.45">
      <c r="A902" t="s">
        <v>2440</v>
      </c>
      <c r="B902">
        <v>46</v>
      </c>
      <c r="C902" t="s">
        <v>45</v>
      </c>
      <c r="D902" t="s">
        <v>95</v>
      </c>
      <c r="E902" t="s">
        <v>46</v>
      </c>
      <c r="F902" t="s">
        <v>59</v>
      </c>
      <c r="G902" t="s">
        <v>276</v>
      </c>
      <c r="H902" t="s">
        <v>71</v>
      </c>
      <c r="I902" t="s">
        <v>72</v>
      </c>
      <c r="J902" t="s">
        <v>2441</v>
      </c>
      <c r="K902" t="s">
        <v>2442</v>
      </c>
      <c r="L902" t="s">
        <v>64</v>
      </c>
      <c r="M902" t="s">
        <v>2634</v>
      </c>
      <c r="N902" t="s">
        <v>537</v>
      </c>
      <c r="O902" t="s">
        <v>64</v>
      </c>
      <c r="P902" t="s">
        <v>110</v>
      </c>
      <c r="Q902" t="s">
        <v>129</v>
      </c>
      <c r="R902">
        <v>168</v>
      </c>
      <c r="S902">
        <v>0</v>
      </c>
      <c r="T902" t="s">
        <v>41</v>
      </c>
      <c r="U902" t="s">
        <v>42</v>
      </c>
      <c r="V902">
        <v>2.57</v>
      </c>
      <c r="W902">
        <v>2.89</v>
      </c>
      <c r="X902">
        <v>8.6999999999999993</v>
      </c>
      <c r="Y902">
        <v>12.1</v>
      </c>
      <c r="Z902">
        <v>17.8</v>
      </c>
      <c r="AA902">
        <f>VALUE(SUBSTITUTE(DACS19___Pfizer’s_Personalised_Medicine_in[[#This Row],[Dose]],"mg",""))</f>
        <v>150</v>
      </c>
      <c r="AB902">
        <f t="shared" si="98"/>
        <v>150</v>
      </c>
      <c r="AC902" t="s">
        <v>129</v>
      </c>
      <c r="AD902">
        <f t="shared" si="99"/>
        <v>4</v>
      </c>
      <c r="AE902">
        <f t="shared" si="100"/>
        <v>1</v>
      </c>
      <c r="AF902" t="e">
        <f t="shared" si="101"/>
        <v>#N/A</v>
      </c>
      <c r="AG902">
        <f t="shared" si="102"/>
        <v>2.89</v>
      </c>
      <c r="AH902" t="e">
        <f t="shared" si="103"/>
        <v>#N/A</v>
      </c>
      <c r="AI902" t="e">
        <f t="shared" si="104"/>
        <v>#N/A</v>
      </c>
    </row>
    <row r="903" spans="1:35" x14ac:dyDescent="0.45">
      <c r="A903" t="s">
        <v>2443</v>
      </c>
      <c r="B903">
        <v>55</v>
      </c>
      <c r="C903" t="s">
        <v>44</v>
      </c>
      <c r="D903" t="s">
        <v>28</v>
      </c>
      <c r="E903" t="s">
        <v>78</v>
      </c>
      <c r="F903" t="s">
        <v>2614</v>
      </c>
      <c r="G903" t="s">
        <v>164</v>
      </c>
      <c r="H903" t="s">
        <v>32</v>
      </c>
      <c r="I903" t="s">
        <v>33</v>
      </c>
      <c r="J903" t="s">
        <v>2444</v>
      </c>
      <c r="K903" t="s">
        <v>108</v>
      </c>
      <c r="L903" t="s">
        <v>92</v>
      </c>
      <c r="M903" t="s">
        <v>187</v>
      </c>
      <c r="N903" t="s">
        <v>2167</v>
      </c>
      <c r="O903" t="s">
        <v>92</v>
      </c>
      <c r="P903" t="s">
        <v>39</v>
      </c>
      <c r="Q903" t="s">
        <v>2614</v>
      </c>
      <c r="R903">
        <v>126</v>
      </c>
      <c r="S903">
        <v>1</v>
      </c>
      <c r="T903" t="s">
        <v>85</v>
      </c>
      <c r="U903" t="s">
        <v>57</v>
      </c>
      <c r="V903">
        <v>1.35</v>
      </c>
      <c r="W903">
        <v>4.1100000000000003</v>
      </c>
      <c r="X903">
        <v>8.6</v>
      </c>
      <c r="Y903">
        <v>9.3000000000000007</v>
      </c>
      <c r="Z903">
        <v>10.3</v>
      </c>
      <c r="AA903">
        <f>VALUE(SUBSTITUTE(DACS19___Pfizer’s_Personalised_Medicine_in[[#This Row],[Dose]],"mg",""))</f>
        <v>50</v>
      </c>
      <c r="AB903">
        <f t="shared" si="98"/>
        <v>50</v>
      </c>
      <c r="AC903" t="s">
        <v>2614</v>
      </c>
      <c r="AD903">
        <f t="shared" si="99"/>
        <v>0</v>
      </c>
      <c r="AE903">
        <f t="shared" si="100"/>
        <v>3</v>
      </c>
      <c r="AF903" t="e">
        <f t="shared" si="101"/>
        <v>#N/A</v>
      </c>
      <c r="AG903" t="e">
        <f t="shared" si="102"/>
        <v>#N/A</v>
      </c>
      <c r="AH903">
        <f t="shared" si="103"/>
        <v>4.1100000000000003</v>
      </c>
      <c r="AI903" t="e">
        <f t="shared" si="104"/>
        <v>#N/A</v>
      </c>
    </row>
    <row r="904" spans="1:35" x14ac:dyDescent="0.45">
      <c r="A904" t="s">
        <v>2445</v>
      </c>
      <c r="B904">
        <v>27</v>
      </c>
      <c r="C904" t="s">
        <v>45</v>
      </c>
      <c r="D904" t="s">
        <v>28</v>
      </c>
      <c r="E904" t="s">
        <v>46</v>
      </c>
      <c r="F904" t="s">
        <v>2614</v>
      </c>
      <c r="G904" t="s">
        <v>440</v>
      </c>
      <c r="H904" t="s">
        <v>81</v>
      </c>
      <c r="I904" t="s">
        <v>132</v>
      </c>
      <c r="J904" t="s">
        <v>1408</v>
      </c>
      <c r="K904" t="s">
        <v>2446</v>
      </c>
      <c r="L904" t="s">
        <v>36</v>
      </c>
      <c r="M904" t="s">
        <v>2635</v>
      </c>
      <c r="N904" t="s">
        <v>808</v>
      </c>
      <c r="O904" t="s">
        <v>36</v>
      </c>
      <c r="P904" t="s">
        <v>55</v>
      </c>
      <c r="Q904" t="s">
        <v>40</v>
      </c>
      <c r="R904">
        <v>89</v>
      </c>
      <c r="S904">
        <v>0</v>
      </c>
      <c r="T904" t="s">
        <v>137</v>
      </c>
      <c r="U904" t="s">
        <v>42</v>
      </c>
      <c r="V904">
        <v>1.66</v>
      </c>
      <c r="W904">
        <v>3.83</v>
      </c>
      <c r="X904">
        <v>5.8</v>
      </c>
      <c r="Y904">
        <v>17.399999999999999</v>
      </c>
      <c r="Z904">
        <v>6.3</v>
      </c>
      <c r="AA904">
        <f>VALUE(SUBSTITUTE(DACS19___Pfizer’s_Personalised_Medicine_in[[#This Row],[Dose]],"mg",""))</f>
        <v>200</v>
      </c>
      <c r="AB904">
        <f t="shared" si="98"/>
        <v>200</v>
      </c>
      <c r="AC904" t="s">
        <v>40</v>
      </c>
      <c r="AD904">
        <f t="shared" si="99"/>
        <v>3</v>
      </c>
      <c r="AE904">
        <f t="shared" si="100"/>
        <v>2</v>
      </c>
      <c r="AF904" t="e">
        <f t="shared" si="101"/>
        <v>#N/A</v>
      </c>
      <c r="AG904" t="e">
        <f t="shared" si="102"/>
        <v>#N/A</v>
      </c>
      <c r="AH904" t="e">
        <f t="shared" si="103"/>
        <v>#N/A</v>
      </c>
      <c r="AI904">
        <f t="shared" si="104"/>
        <v>3.83</v>
      </c>
    </row>
    <row r="905" spans="1:35" x14ac:dyDescent="0.45">
      <c r="A905" t="s">
        <v>2447</v>
      </c>
      <c r="B905">
        <v>75</v>
      </c>
      <c r="C905" t="s">
        <v>44</v>
      </c>
      <c r="D905" t="s">
        <v>95</v>
      </c>
      <c r="E905" t="s">
        <v>2614</v>
      </c>
      <c r="F905" t="s">
        <v>2614</v>
      </c>
      <c r="G905" t="s">
        <v>112</v>
      </c>
      <c r="H905" t="s">
        <v>32</v>
      </c>
      <c r="I905" t="s">
        <v>72</v>
      </c>
      <c r="J905" t="s">
        <v>2448</v>
      </c>
      <c r="K905" t="s">
        <v>2449</v>
      </c>
      <c r="L905" t="s">
        <v>64</v>
      </c>
      <c r="M905" t="s">
        <v>2641</v>
      </c>
      <c r="N905" t="s">
        <v>227</v>
      </c>
      <c r="O905" t="s">
        <v>64</v>
      </c>
      <c r="P905" t="s">
        <v>39</v>
      </c>
      <c r="Q905" t="s">
        <v>2614</v>
      </c>
      <c r="R905">
        <v>176</v>
      </c>
      <c r="S905">
        <v>1</v>
      </c>
      <c r="T905" t="s">
        <v>41</v>
      </c>
      <c r="U905" t="s">
        <v>42</v>
      </c>
      <c r="V905">
        <v>1.85</v>
      </c>
      <c r="W905">
        <v>1.17</v>
      </c>
      <c r="X905">
        <v>3.9</v>
      </c>
      <c r="Y905">
        <v>16.100000000000001</v>
      </c>
      <c r="Z905">
        <v>17.600000000000001</v>
      </c>
      <c r="AA905">
        <f>VALUE(SUBSTITUTE(DACS19___Pfizer’s_Personalised_Medicine_in[[#This Row],[Dose]],"mg",""))</f>
        <v>150</v>
      </c>
      <c r="AB905">
        <f t="shared" si="98"/>
        <v>150</v>
      </c>
      <c r="AC905" t="s">
        <v>2614</v>
      </c>
      <c r="AD905">
        <f t="shared" si="99"/>
        <v>0</v>
      </c>
      <c r="AE905">
        <f t="shared" si="100"/>
        <v>3</v>
      </c>
      <c r="AF905" t="e">
        <f t="shared" si="101"/>
        <v>#N/A</v>
      </c>
      <c r="AG905" t="e">
        <f t="shared" si="102"/>
        <v>#N/A</v>
      </c>
      <c r="AH905">
        <f t="shared" si="103"/>
        <v>1.17</v>
      </c>
      <c r="AI905" t="e">
        <f t="shared" si="104"/>
        <v>#N/A</v>
      </c>
    </row>
    <row r="906" spans="1:35" x14ac:dyDescent="0.45">
      <c r="A906" t="s">
        <v>2450</v>
      </c>
      <c r="B906">
        <v>54</v>
      </c>
      <c r="C906" t="s">
        <v>27</v>
      </c>
      <c r="D906" t="s">
        <v>87</v>
      </c>
      <c r="E906" t="s">
        <v>2614</v>
      </c>
      <c r="F906" t="s">
        <v>2614</v>
      </c>
      <c r="G906" t="s">
        <v>48</v>
      </c>
      <c r="H906" t="s">
        <v>71</v>
      </c>
      <c r="I906" t="s">
        <v>49</v>
      </c>
      <c r="J906" t="s">
        <v>360</v>
      </c>
      <c r="K906" t="s">
        <v>2451</v>
      </c>
      <c r="L906" t="s">
        <v>36</v>
      </c>
      <c r="M906" t="s">
        <v>40</v>
      </c>
      <c r="N906" t="s">
        <v>843</v>
      </c>
      <c r="O906" t="s">
        <v>36</v>
      </c>
      <c r="P906" t="s">
        <v>55</v>
      </c>
      <c r="Q906" t="s">
        <v>67</v>
      </c>
      <c r="R906">
        <v>134</v>
      </c>
      <c r="S906">
        <v>0</v>
      </c>
      <c r="T906" t="s">
        <v>41</v>
      </c>
      <c r="U906" t="s">
        <v>57</v>
      </c>
      <c r="V906">
        <v>3.67</v>
      </c>
      <c r="W906">
        <v>2.74</v>
      </c>
      <c r="X906">
        <v>9.6</v>
      </c>
      <c r="Y906">
        <v>18.899999999999999</v>
      </c>
      <c r="Z906">
        <v>18.8</v>
      </c>
      <c r="AA906">
        <f>VALUE(SUBSTITUTE(DACS19___Pfizer’s_Personalised_Medicine_in[[#This Row],[Dose]],"mg",""))</f>
        <v>200</v>
      </c>
      <c r="AB906">
        <f t="shared" si="98"/>
        <v>200</v>
      </c>
      <c r="AC906" t="s">
        <v>67</v>
      </c>
      <c r="AD906">
        <f t="shared" si="99"/>
        <v>2</v>
      </c>
      <c r="AE906">
        <f t="shared" si="100"/>
        <v>2</v>
      </c>
      <c r="AF906" t="e">
        <f t="shared" si="101"/>
        <v>#N/A</v>
      </c>
      <c r="AG906">
        <f t="shared" si="102"/>
        <v>2.74</v>
      </c>
      <c r="AH906" t="e">
        <f t="shared" si="103"/>
        <v>#N/A</v>
      </c>
      <c r="AI906" t="e">
        <f t="shared" si="104"/>
        <v>#N/A</v>
      </c>
    </row>
    <row r="907" spans="1:35" x14ac:dyDescent="0.45">
      <c r="A907" t="s">
        <v>2452</v>
      </c>
      <c r="B907">
        <v>41</v>
      </c>
      <c r="C907" t="s">
        <v>27</v>
      </c>
      <c r="D907" t="s">
        <v>95</v>
      </c>
      <c r="E907" t="s">
        <v>78</v>
      </c>
      <c r="F907" t="s">
        <v>59</v>
      </c>
      <c r="G907" t="s">
        <v>152</v>
      </c>
      <c r="H907" t="s">
        <v>61</v>
      </c>
      <c r="I907" t="s">
        <v>132</v>
      </c>
      <c r="J907" t="s">
        <v>2239</v>
      </c>
      <c r="K907" t="s">
        <v>2453</v>
      </c>
      <c r="L907" t="s">
        <v>92</v>
      </c>
      <c r="M907" t="s">
        <v>75</v>
      </c>
      <c r="N907" t="s">
        <v>136</v>
      </c>
      <c r="O907" t="s">
        <v>92</v>
      </c>
      <c r="P907" t="s">
        <v>39</v>
      </c>
      <c r="Q907" t="s">
        <v>129</v>
      </c>
      <c r="R907">
        <v>99</v>
      </c>
      <c r="S907">
        <v>1</v>
      </c>
      <c r="T907" t="s">
        <v>85</v>
      </c>
      <c r="U907" t="s">
        <v>42</v>
      </c>
      <c r="V907">
        <v>3.11</v>
      </c>
      <c r="W907">
        <v>2.04</v>
      </c>
      <c r="X907">
        <v>1.5</v>
      </c>
      <c r="Y907">
        <v>19.100000000000001</v>
      </c>
      <c r="Z907">
        <v>5.0999999999999996</v>
      </c>
      <c r="AA907">
        <f>VALUE(SUBSTITUTE(DACS19___Pfizer’s_Personalised_Medicine_in[[#This Row],[Dose]],"mg",""))</f>
        <v>50</v>
      </c>
      <c r="AB907">
        <f t="shared" si="98"/>
        <v>50</v>
      </c>
      <c r="AC907" t="s">
        <v>129</v>
      </c>
      <c r="AD907">
        <f t="shared" si="99"/>
        <v>4</v>
      </c>
      <c r="AE907">
        <f t="shared" si="100"/>
        <v>3</v>
      </c>
      <c r="AF907">
        <f t="shared" si="101"/>
        <v>2.04</v>
      </c>
      <c r="AG907" t="e">
        <f t="shared" si="102"/>
        <v>#N/A</v>
      </c>
      <c r="AH907" t="e">
        <f t="shared" si="103"/>
        <v>#N/A</v>
      </c>
      <c r="AI907" t="e">
        <f t="shared" si="104"/>
        <v>#N/A</v>
      </c>
    </row>
    <row r="908" spans="1:35" x14ac:dyDescent="0.45">
      <c r="A908" t="s">
        <v>2454</v>
      </c>
      <c r="B908">
        <v>38</v>
      </c>
      <c r="C908" t="s">
        <v>27</v>
      </c>
      <c r="D908" t="s">
        <v>87</v>
      </c>
      <c r="E908" t="s">
        <v>46</v>
      </c>
      <c r="F908" t="s">
        <v>2614</v>
      </c>
      <c r="G908" t="s">
        <v>102</v>
      </c>
      <c r="H908" t="s">
        <v>71</v>
      </c>
      <c r="I908" t="s">
        <v>49</v>
      </c>
      <c r="J908" t="s">
        <v>1910</v>
      </c>
      <c r="K908" t="s">
        <v>524</v>
      </c>
      <c r="L908" t="s">
        <v>92</v>
      </c>
      <c r="M908" t="s">
        <v>2638</v>
      </c>
      <c r="N908" t="s">
        <v>2118</v>
      </c>
      <c r="O908" t="s">
        <v>92</v>
      </c>
      <c r="P908" t="s">
        <v>55</v>
      </c>
      <c r="Q908" t="s">
        <v>75</v>
      </c>
      <c r="R908">
        <v>157</v>
      </c>
      <c r="S908">
        <v>0</v>
      </c>
      <c r="T908" t="s">
        <v>56</v>
      </c>
      <c r="U908" t="s">
        <v>57</v>
      </c>
      <c r="V908">
        <v>2.21</v>
      </c>
      <c r="W908">
        <v>3.13</v>
      </c>
      <c r="X908">
        <v>6.1</v>
      </c>
      <c r="Y908">
        <v>16.8</v>
      </c>
      <c r="Z908">
        <v>5.8</v>
      </c>
      <c r="AA908">
        <f>VALUE(SUBSTITUTE(DACS19___Pfizer’s_Personalised_Medicine_in[[#This Row],[Dose]],"mg",""))</f>
        <v>50</v>
      </c>
      <c r="AB908">
        <f t="shared" si="98"/>
        <v>50</v>
      </c>
      <c r="AC908" t="s">
        <v>75</v>
      </c>
      <c r="AD908">
        <f t="shared" si="99"/>
        <v>1</v>
      </c>
      <c r="AE908">
        <f t="shared" si="100"/>
        <v>2</v>
      </c>
      <c r="AF908" t="e">
        <f t="shared" si="101"/>
        <v>#N/A</v>
      </c>
      <c r="AG908">
        <f t="shared" si="102"/>
        <v>3.13</v>
      </c>
      <c r="AH908" t="e">
        <f t="shared" si="103"/>
        <v>#N/A</v>
      </c>
      <c r="AI908" t="e">
        <f t="shared" si="104"/>
        <v>#N/A</v>
      </c>
    </row>
    <row r="909" spans="1:35" x14ac:dyDescent="0.45">
      <c r="A909" t="s">
        <v>2455</v>
      </c>
      <c r="B909">
        <v>19</v>
      </c>
      <c r="C909" t="s">
        <v>27</v>
      </c>
      <c r="D909" t="s">
        <v>45</v>
      </c>
      <c r="E909" t="s">
        <v>163</v>
      </c>
      <c r="F909" t="s">
        <v>2614</v>
      </c>
      <c r="G909" t="s">
        <v>184</v>
      </c>
      <c r="H909" t="s">
        <v>61</v>
      </c>
      <c r="I909" t="s">
        <v>33</v>
      </c>
      <c r="J909" t="s">
        <v>1404</v>
      </c>
      <c r="K909" t="s">
        <v>2456</v>
      </c>
      <c r="L909" t="s">
        <v>92</v>
      </c>
      <c r="M909" t="s">
        <v>40</v>
      </c>
      <c r="N909" t="s">
        <v>598</v>
      </c>
      <c r="O909" t="s">
        <v>92</v>
      </c>
      <c r="P909" t="s">
        <v>110</v>
      </c>
      <c r="Q909" t="s">
        <v>75</v>
      </c>
      <c r="R909">
        <v>157</v>
      </c>
      <c r="S909">
        <v>0</v>
      </c>
      <c r="T909" t="s">
        <v>56</v>
      </c>
      <c r="U909" t="s">
        <v>57</v>
      </c>
      <c r="V909">
        <v>2.52</v>
      </c>
      <c r="W909">
        <v>3.47</v>
      </c>
      <c r="X909">
        <v>9.6999999999999993</v>
      </c>
      <c r="Y909">
        <v>19.100000000000001</v>
      </c>
      <c r="Z909">
        <v>18.7</v>
      </c>
      <c r="AA909">
        <f>VALUE(SUBSTITUTE(DACS19___Pfizer’s_Personalised_Medicine_in[[#This Row],[Dose]],"mg",""))</f>
        <v>50</v>
      </c>
      <c r="AB909">
        <f t="shared" si="98"/>
        <v>50</v>
      </c>
      <c r="AC909" t="s">
        <v>75</v>
      </c>
      <c r="AD909">
        <f t="shared" si="99"/>
        <v>1</v>
      </c>
      <c r="AE909">
        <f t="shared" si="100"/>
        <v>1</v>
      </c>
      <c r="AF909">
        <f t="shared" si="101"/>
        <v>3.47</v>
      </c>
      <c r="AG909" t="e">
        <f t="shared" si="102"/>
        <v>#N/A</v>
      </c>
      <c r="AH909" t="e">
        <f t="shared" si="103"/>
        <v>#N/A</v>
      </c>
      <c r="AI909" t="e">
        <f t="shared" si="104"/>
        <v>#N/A</v>
      </c>
    </row>
    <row r="910" spans="1:35" x14ac:dyDescent="0.45">
      <c r="A910" t="s">
        <v>2457</v>
      </c>
      <c r="B910">
        <v>49</v>
      </c>
      <c r="C910" t="s">
        <v>44</v>
      </c>
      <c r="D910" t="s">
        <v>45</v>
      </c>
      <c r="E910" t="s">
        <v>2614</v>
      </c>
      <c r="F910" t="s">
        <v>2614</v>
      </c>
      <c r="G910" t="s">
        <v>131</v>
      </c>
      <c r="H910" t="s">
        <v>81</v>
      </c>
      <c r="I910" t="s">
        <v>132</v>
      </c>
      <c r="J910" t="s">
        <v>2026</v>
      </c>
      <c r="K910" t="s">
        <v>2170</v>
      </c>
      <c r="L910" t="s">
        <v>92</v>
      </c>
      <c r="M910" t="s">
        <v>676</v>
      </c>
      <c r="N910" t="s">
        <v>491</v>
      </c>
      <c r="O910" t="s">
        <v>92</v>
      </c>
      <c r="P910" t="s">
        <v>110</v>
      </c>
      <c r="Q910" t="s">
        <v>67</v>
      </c>
      <c r="R910">
        <v>58</v>
      </c>
      <c r="S910">
        <v>0</v>
      </c>
      <c r="T910" t="s">
        <v>85</v>
      </c>
      <c r="U910" t="s">
        <v>42</v>
      </c>
      <c r="V910">
        <v>4.05</v>
      </c>
      <c r="W910">
        <v>3.37</v>
      </c>
      <c r="X910">
        <v>2.7</v>
      </c>
      <c r="Y910">
        <v>18</v>
      </c>
      <c r="Z910">
        <v>13.6</v>
      </c>
      <c r="AA910">
        <f>VALUE(SUBSTITUTE(DACS19___Pfizer’s_Personalised_Medicine_in[[#This Row],[Dose]],"mg",""))</f>
        <v>50</v>
      </c>
      <c r="AB910">
        <f t="shared" si="98"/>
        <v>50</v>
      </c>
      <c r="AC910" t="s">
        <v>67</v>
      </c>
      <c r="AD910">
        <f t="shared" si="99"/>
        <v>2</v>
      </c>
      <c r="AE910">
        <f t="shared" si="100"/>
        <v>1</v>
      </c>
      <c r="AF910" t="e">
        <f t="shared" si="101"/>
        <v>#N/A</v>
      </c>
      <c r="AG910" t="e">
        <f t="shared" si="102"/>
        <v>#N/A</v>
      </c>
      <c r="AH910" t="e">
        <f t="shared" si="103"/>
        <v>#N/A</v>
      </c>
      <c r="AI910">
        <f t="shared" si="104"/>
        <v>3.37</v>
      </c>
    </row>
    <row r="911" spans="1:35" x14ac:dyDescent="0.45">
      <c r="A911" t="s">
        <v>2458</v>
      </c>
      <c r="B911">
        <v>73</v>
      </c>
      <c r="C911" t="s">
        <v>27</v>
      </c>
      <c r="D911" t="s">
        <v>106</v>
      </c>
      <c r="E911" t="s">
        <v>163</v>
      </c>
      <c r="F911" t="s">
        <v>88</v>
      </c>
      <c r="G911" t="s">
        <v>276</v>
      </c>
      <c r="H911" t="s">
        <v>61</v>
      </c>
      <c r="I911" t="s">
        <v>49</v>
      </c>
      <c r="J911" t="s">
        <v>2459</v>
      </c>
      <c r="K911" t="s">
        <v>591</v>
      </c>
      <c r="L911" t="s">
        <v>52</v>
      </c>
      <c r="M911" t="s">
        <v>2614</v>
      </c>
      <c r="N911" t="s">
        <v>1280</v>
      </c>
      <c r="O911" t="s">
        <v>52</v>
      </c>
      <c r="P911" t="s">
        <v>55</v>
      </c>
      <c r="Q911" t="s">
        <v>75</v>
      </c>
      <c r="R911">
        <v>175</v>
      </c>
      <c r="S911">
        <v>0</v>
      </c>
      <c r="T911" t="s">
        <v>123</v>
      </c>
      <c r="U911" t="s">
        <v>42</v>
      </c>
      <c r="V911">
        <v>3.41</v>
      </c>
      <c r="W911">
        <v>2.96</v>
      </c>
      <c r="X911">
        <v>5.8</v>
      </c>
      <c r="Y911">
        <v>12</v>
      </c>
      <c r="Z911">
        <v>11.8</v>
      </c>
      <c r="AA911">
        <f>VALUE(SUBSTITUTE(DACS19___Pfizer’s_Personalised_Medicine_in[[#This Row],[Dose]],"mg",""))</f>
        <v>100</v>
      </c>
      <c r="AB911">
        <f t="shared" si="98"/>
        <v>100</v>
      </c>
      <c r="AC911" t="s">
        <v>75</v>
      </c>
      <c r="AD911">
        <f t="shared" si="99"/>
        <v>1</v>
      </c>
      <c r="AE911">
        <f t="shared" si="100"/>
        <v>2</v>
      </c>
      <c r="AF911">
        <f t="shared" si="101"/>
        <v>2.96</v>
      </c>
      <c r="AG911" t="e">
        <f t="shared" si="102"/>
        <v>#N/A</v>
      </c>
      <c r="AH911" t="e">
        <f t="shared" si="103"/>
        <v>#N/A</v>
      </c>
      <c r="AI911" t="e">
        <f t="shared" si="104"/>
        <v>#N/A</v>
      </c>
    </row>
    <row r="912" spans="1:35" x14ac:dyDescent="0.45">
      <c r="A912" t="s">
        <v>2460</v>
      </c>
      <c r="B912">
        <v>78</v>
      </c>
      <c r="C912" t="s">
        <v>45</v>
      </c>
      <c r="D912" t="s">
        <v>95</v>
      </c>
      <c r="E912" t="s">
        <v>46</v>
      </c>
      <c r="F912" t="s">
        <v>2614</v>
      </c>
      <c r="G912" t="s">
        <v>48</v>
      </c>
      <c r="H912" t="s">
        <v>32</v>
      </c>
      <c r="I912" t="s">
        <v>49</v>
      </c>
      <c r="J912" t="s">
        <v>2461</v>
      </c>
      <c r="K912" t="s">
        <v>1519</v>
      </c>
      <c r="L912" t="s">
        <v>92</v>
      </c>
      <c r="M912" t="s">
        <v>581</v>
      </c>
      <c r="N912" t="s">
        <v>1253</v>
      </c>
      <c r="O912" t="s">
        <v>92</v>
      </c>
      <c r="P912" t="s">
        <v>55</v>
      </c>
      <c r="Q912" t="s">
        <v>40</v>
      </c>
      <c r="R912">
        <v>134</v>
      </c>
      <c r="S912">
        <v>0</v>
      </c>
      <c r="T912" t="s">
        <v>123</v>
      </c>
      <c r="U912" t="s">
        <v>42</v>
      </c>
      <c r="V912">
        <v>1.79</v>
      </c>
      <c r="W912">
        <v>4.22</v>
      </c>
      <c r="X912">
        <v>2.7</v>
      </c>
      <c r="Y912">
        <v>7.5</v>
      </c>
      <c r="Z912">
        <v>10.4</v>
      </c>
      <c r="AA912">
        <f>VALUE(SUBSTITUTE(DACS19___Pfizer’s_Personalised_Medicine_in[[#This Row],[Dose]],"mg",""))</f>
        <v>50</v>
      </c>
      <c r="AB912">
        <f t="shared" si="98"/>
        <v>50</v>
      </c>
      <c r="AC912" t="s">
        <v>40</v>
      </c>
      <c r="AD912">
        <f t="shared" si="99"/>
        <v>3</v>
      </c>
      <c r="AE912">
        <f t="shared" si="100"/>
        <v>2</v>
      </c>
      <c r="AF912" t="e">
        <f t="shared" si="101"/>
        <v>#N/A</v>
      </c>
      <c r="AG912" t="e">
        <f t="shared" si="102"/>
        <v>#N/A</v>
      </c>
      <c r="AH912">
        <f t="shared" si="103"/>
        <v>4.22</v>
      </c>
      <c r="AI912" t="e">
        <f t="shared" si="104"/>
        <v>#N/A</v>
      </c>
    </row>
    <row r="913" spans="1:35" x14ac:dyDescent="0.45">
      <c r="A913" t="s">
        <v>2462</v>
      </c>
      <c r="B913">
        <v>18</v>
      </c>
      <c r="C913" t="s">
        <v>27</v>
      </c>
      <c r="D913" t="s">
        <v>87</v>
      </c>
      <c r="E913" t="s">
        <v>2614</v>
      </c>
      <c r="F913" t="s">
        <v>2614</v>
      </c>
      <c r="G913" t="s">
        <v>112</v>
      </c>
      <c r="H913" t="s">
        <v>32</v>
      </c>
      <c r="I913" t="s">
        <v>72</v>
      </c>
      <c r="J913" t="s">
        <v>2463</v>
      </c>
      <c r="K913" t="s">
        <v>2464</v>
      </c>
      <c r="L913" t="s">
        <v>92</v>
      </c>
      <c r="M913" t="s">
        <v>2629</v>
      </c>
      <c r="N913" t="s">
        <v>598</v>
      </c>
      <c r="O913" t="s">
        <v>92</v>
      </c>
      <c r="P913" t="s">
        <v>55</v>
      </c>
      <c r="Q913" t="s">
        <v>67</v>
      </c>
      <c r="R913">
        <v>165</v>
      </c>
      <c r="S913">
        <v>0</v>
      </c>
      <c r="T913" t="s">
        <v>41</v>
      </c>
      <c r="U913" t="s">
        <v>42</v>
      </c>
      <c r="V913">
        <v>3.63</v>
      </c>
      <c r="W913">
        <v>2.75</v>
      </c>
      <c r="X913">
        <v>3.5</v>
      </c>
      <c r="Y913">
        <v>16</v>
      </c>
      <c r="Z913">
        <v>8.9</v>
      </c>
      <c r="AA913">
        <f>VALUE(SUBSTITUTE(DACS19___Pfizer’s_Personalised_Medicine_in[[#This Row],[Dose]],"mg",""))</f>
        <v>50</v>
      </c>
      <c r="AB913">
        <f t="shared" si="98"/>
        <v>50</v>
      </c>
      <c r="AC913" t="s">
        <v>67</v>
      </c>
      <c r="AD913">
        <f t="shared" si="99"/>
        <v>2</v>
      </c>
      <c r="AE913">
        <f t="shared" si="100"/>
        <v>2</v>
      </c>
      <c r="AF913" t="e">
        <f t="shared" si="101"/>
        <v>#N/A</v>
      </c>
      <c r="AG913" t="e">
        <f t="shared" si="102"/>
        <v>#N/A</v>
      </c>
      <c r="AH913">
        <f t="shared" si="103"/>
        <v>2.75</v>
      </c>
      <c r="AI913" t="e">
        <f t="shared" si="104"/>
        <v>#N/A</v>
      </c>
    </row>
    <row r="914" spans="1:35" x14ac:dyDescent="0.45">
      <c r="A914" t="s">
        <v>2465</v>
      </c>
      <c r="B914">
        <v>63</v>
      </c>
      <c r="C914" t="s">
        <v>45</v>
      </c>
      <c r="D914" t="s">
        <v>106</v>
      </c>
      <c r="E914" t="s">
        <v>78</v>
      </c>
      <c r="F914" t="s">
        <v>2614</v>
      </c>
      <c r="G914" t="s">
        <v>152</v>
      </c>
      <c r="H914" t="s">
        <v>71</v>
      </c>
      <c r="I914" t="s">
        <v>49</v>
      </c>
      <c r="J914" t="s">
        <v>2466</v>
      </c>
      <c r="K914" t="s">
        <v>1564</v>
      </c>
      <c r="L914" t="s">
        <v>36</v>
      </c>
      <c r="M914" t="s">
        <v>40</v>
      </c>
      <c r="N914" t="s">
        <v>168</v>
      </c>
      <c r="O914" t="s">
        <v>36</v>
      </c>
      <c r="P914" t="s">
        <v>55</v>
      </c>
      <c r="Q914" t="s">
        <v>67</v>
      </c>
      <c r="R914">
        <v>88</v>
      </c>
      <c r="S914">
        <v>0</v>
      </c>
      <c r="T914" t="s">
        <v>41</v>
      </c>
      <c r="U914" t="s">
        <v>42</v>
      </c>
      <c r="V914">
        <v>4.7300000000000004</v>
      </c>
      <c r="W914">
        <v>4.6900000000000004</v>
      </c>
      <c r="X914">
        <v>5.5</v>
      </c>
      <c r="Y914">
        <v>11.9</v>
      </c>
      <c r="Z914">
        <v>15.5</v>
      </c>
      <c r="AA914">
        <f>VALUE(SUBSTITUTE(DACS19___Pfizer’s_Personalised_Medicine_in[[#This Row],[Dose]],"mg",""))</f>
        <v>200</v>
      </c>
      <c r="AB914">
        <f t="shared" si="98"/>
        <v>200</v>
      </c>
      <c r="AC914" t="s">
        <v>67</v>
      </c>
      <c r="AD914">
        <f t="shared" si="99"/>
        <v>2</v>
      </c>
      <c r="AE914">
        <f t="shared" si="100"/>
        <v>2</v>
      </c>
      <c r="AF914" t="e">
        <f t="shared" si="101"/>
        <v>#N/A</v>
      </c>
      <c r="AG914">
        <f t="shared" si="102"/>
        <v>4.6900000000000004</v>
      </c>
      <c r="AH914" t="e">
        <f t="shared" si="103"/>
        <v>#N/A</v>
      </c>
      <c r="AI914" t="e">
        <f t="shared" si="104"/>
        <v>#N/A</v>
      </c>
    </row>
    <row r="915" spans="1:35" x14ac:dyDescent="0.45">
      <c r="A915" t="s">
        <v>2467</v>
      </c>
      <c r="B915">
        <v>82</v>
      </c>
      <c r="C915" t="s">
        <v>45</v>
      </c>
      <c r="D915" t="s">
        <v>95</v>
      </c>
      <c r="E915" t="s">
        <v>46</v>
      </c>
      <c r="F915" t="s">
        <v>47</v>
      </c>
      <c r="G915" t="s">
        <v>48</v>
      </c>
      <c r="H915" t="s">
        <v>61</v>
      </c>
      <c r="I915" t="s">
        <v>132</v>
      </c>
      <c r="J915" t="s">
        <v>381</v>
      </c>
      <c r="K915" t="s">
        <v>2468</v>
      </c>
      <c r="L915" t="s">
        <v>36</v>
      </c>
      <c r="M915" t="s">
        <v>40</v>
      </c>
      <c r="N915" t="s">
        <v>991</v>
      </c>
      <c r="O915" t="s">
        <v>36</v>
      </c>
      <c r="P915" t="s">
        <v>39</v>
      </c>
      <c r="Q915" t="s">
        <v>67</v>
      </c>
      <c r="R915">
        <v>141</v>
      </c>
      <c r="S915">
        <v>1</v>
      </c>
      <c r="T915" t="s">
        <v>85</v>
      </c>
      <c r="U915" t="s">
        <v>57</v>
      </c>
      <c r="V915">
        <v>1.1499999999999999</v>
      </c>
      <c r="W915">
        <v>2.9</v>
      </c>
      <c r="X915">
        <v>4</v>
      </c>
      <c r="Y915">
        <v>22.6</v>
      </c>
      <c r="Z915">
        <v>3.2</v>
      </c>
      <c r="AA915">
        <f>VALUE(SUBSTITUTE(DACS19___Pfizer’s_Personalised_Medicine_in[[#This Row],[Dose]],"mg",""))</f>
        <v>200</v>
      </c>
      <c r="AB915">
        <f t="shared" si="98"/>
        <v>200</v>
      </c>
      <c r="AC915" t="s">
        <v>67</v>
      </c>
      <c r="AD915">
        <f t="shared" si="99"/>
        <v>2</v>
      </c>
      <c r="AE915">
        <f t="shared" si="100"/>
        <v>3</v>
      </c>
      <c r="AF915">
        <f t="shared" si="101"/>
        <v>2.9</v>
      </c>
      <c r="AG915" t="e">
        <f t="shared" si="102"/>
        <v>#N/A</v>
      </c>
      <c r="AH915" t="e">
        <f t="shared" si="103"/>
        <v>#N/A</v>
      </c>
      <c r="AI915" t="e">
        <f t="shared" si="104"/>
        <v>#N/A</v>
      </c>
    </row>
    <row r="916" spans="1:35" x14ac:dyDescent="0.45">
      <c r="A916" t="s">
        <v>2469</v>
      </c>
      <c r="B916">
        <v>31</v>
      </c>
      <c r="C916" t="s">
        <v>27</v>
      </c>
      <c r="D916" t="s">
        <v>87</v>
      </c>
      <c r="E916" t="s">
        <v>46</v>
      </c>
      <c r="F916" t="s">
        <v>69</v>
      </c>
      <c r="G916" t="s">
        <v>112</v>
      </c>
      <c r="H916" t="s">
        <v>71</v>
      </c>
      <c r="I916" t="s">
        <v>72</v>
      </c>
      <c r="J916" t="s">
        <v>1679</v>
      </c>
      <c r="K916" t="s">
        <v>2470</v>
      </c>
      <c r="L916" t="s">
        <v>52</v>
      </c>
      <c r="M916" t="s">
        <v>469</v>
      </c>
      <c r="N916" t="s">
        <v>504</v>
      </c>
      <c r="O916" t="s">
        <v>52</v>
      </c>
      <c r="P916" t="s">
        <v>110</v>
      </c>
      <c r="Q916" t="s">
        <v>129</v>
      </c>
      <c r="R916">
        <v>165</v>
      </c>
      <c r="S916">
        <v>0</v>
      </c>
      <c r="T916" t="s">
        <v>56</v>
      </c>
      <c r="U916" t="s">
        <v>57</v>
      </c>
      <c r="V916">
        <v>3.21</v>
      </c>
      <c r="W916">
        <v>3.96</v>
      </c>
      <c r="X916">
        <v>5.4</v>
      </c>
      <c r="Y916">
        <v>7.5</v>
      </c>
      <c r="Z916">
        <v>19.5</v>
      </c>
      <c r="AA916">
        <f>VALUE(SUBSTITUTE(DACS19___Pfizer’s_Personalised_Medicine_in[[#This Row],[Dose]],"mg",""))</f>
        <v>100</v>
      </c>
      <c r="AB916">
        <f t="shared" si="98"/>
        <v>100</v>
      </c>
      <c r="AC916" t="s">
        <v>129</v>
      </c>
      <c r="AD916">
        <f t="shared" si="99"/>
        <v>4</v>
      </c>
      <c r="AE916">
        <f t="shared" si="100"/>
        <v>1</v>
      </c>
      <c r="AF916" t="e">
        <f t="shared" si="101"/>
        <v>#N/A</v>
      </c>
      <c r="AG916">
        <f t="shared" si="102"/>
        <v>3.96</v>
      </c>
      <c r="AH916" t="e">
        <f t="shared" si="103"/>
        <v>#N/A</v>
      </c>
      <c r="AI916" t="e">
        <f t="shared" si="104"/>
        <v>#N/A</v>
      </c>
    </row>
    <row r="917" spans="1:35" x14ac:dyDescent="0.45">
      <c r="A917" t="s">
        <v>2471</v>
      </c>
      <c r="B917">
        <v>20</v>
      </c>
      <c r="C917" t="s">
        <v>44</v>
      </c>
      <c r="D917" t="s">
        <v>95</v>
      </c>
      <c r="E917" t="s">
        <v>78</v>
      </c>
      <c r="F917" t="s">
        <v>88</v>
      </c>
      <c r="G917" t="s">
        <v>48</v>
      </c>
      <c r="H917" t="s">
        <v>32</v>
      </c>
      <c r="I917" t="s">
        <v>72</v>
      </c>
      <c r="J917" t="s">
        <v>381</v>
      </c>
      <c r="K917" t="s">
        <v>2116</v>
      </c>
      <c r="L917" t="s">
        <v>92</v>
      </c>
      <c r="M917" t="s">
        <v>2649</v>
      </c>
      <c r="N917" t="s">
        <v>797</v>
      </c>
      <c r="O917" t="s">
        <v>92</v>
      </c>
      <c r="P917" t="s">
        <v>39</v>
      </c>
      <c r="Q917" t="s">
        <v>40</v>
      </c>
      <c r="R917">
        <v>143</v>
      </c>
      <c r="S917">
        <v>1</v>
      </c>
      <c r="T917" t="s">
        <v>56</v>
      </c>
      <c r="U917" t="s">
        <v>42</v>
      </c>
      <c r="V917">
        <v>3.07</v>
      </c>
      <c r="W917">
        <v>3.46</v>
      </c>
      <c r="X917">
        <v>3.1</v>
      </c>
      <c r="Y917">
        <v>14.7</v>
      </c>
      <c r="Z917">
        <v>10.3</v>
      </c>
      <c r="AA917">
        <f>VALUE(SUBSTITUTE(DACS19___Pfizer’s_Personalised_Medicine_in[[#This Row],[Dose]],"mg",""))</f>
        <v>50</v>
      </c>
      <c r="AB917">
        <f t="shared" si="98"/>
        <v>50</v>
      </c>
      <c r="AC917" t="s">
        <v>40</v>
      </c>
      <c r="AD917">
        <f t="shared" si="99"/>
        <v>3</v>
      </c>
      <c r="AE917">
        <f t="shared" si="100"/>
        <v>3</v>
      </c>
      <c r="AF917" t="e">
        <f t="shared" si="101"/>
        <v>#N/A</v>
      </c>
      <c r="AG917" t="e">
        <f t="shared" si="102"/>
        <v>#N/A</v>
      </c>
      <c r="AH917">
        <f t="shared" si="103"/>
        <v>3.46</v>
      </c>
      <c r="AI917" t="e">
        <f t="shared" si="104"/>
        <v>#N/A</v>
      </c>
    </row>
    <row r="918" spans="1:35" x14ac:dyDescent="0.45">
      <c r="A918" t="s">
        <v>2472</v>
      </c>
      <c r="B918">
        <v>76</v>
      </c>
      <c r="C918" t="s">
        <v>45</v>
      </c>
      <c r="D918" t="s">
        <v>87</v>
      </c>
      <c r="E918" t="s">
        <v>2614</v>
      </c>
      <c r="F918" t="s">
        <v>2614</v>
      </c>
      <c r="G918" t="s">
        <v>48</v>
      </c>
      <c r="H918" t="s">
        <v>71</v>
      </c>
      <c r="I918" t="s">
        <v>132</v>
      </c>
      <c r="J918" t="s">
        <v>984</v>
      </c>
      <c r="K918" t="s">
        <v>2473</v>
      </c>
      <c r="L918" t="s">
        <v>92</v>
      </c>
      <c r="M918" t="s">
        <v>231</v>
      </c>
      <c r="N918" t="s">
        <v>1087</v>
      </c>
      <c r="O918" t="s">
        <v>92</v>
      </c>
      <c r="P918" t="s">
        <v>110</v>
      </c>
      <c r="Q918" t="s">
        <v>40</v>
      </c>
      <c r="R918">
        <v>166</v>
      </c>
      <c r="S918">
        <v>0</v>
      </c>
      <c r="T918" t="s">
        <v>56</v>
      </c>
      <c r="U918" t="s">
        <v>42</v>
      </c>
      <c r="V918">
        <v>1.3</v>
      </c>
      <c r="W918">
        <v>1.42</v>
      </c>
      <c r="X918">
        <v>8.5</v>
      </c>
      <c r="Y918">
        <v>10.3</v>
      </c>
      <c r="Z918">
        <v>6.3</v>
      </c>
      <c r="AA918">
        <f>VALUE(SUBSTITUTE(DACS19___Pfizer’s_Personalised_Medicine_in[[#This Row],[Dose]],"mg",""))</f>
        <v>50</v>
      </c>
      <c r="AB918">
        <f t="shared" si="98"/>
        <v>50</v>
      </c>
      <c r="AC918" t="s">
        <v>40</v>
      </c>
      <c r="AD918">
        <f t="shared" si="99"/>
        <v>3</v>
      </c>
      <c r="AE918">
        <f t="shared" si="100"/>
        <v>1</v>
      </c>
      <c r="AF918" t="e">
        <f t="shared" si="101"/>
        <v>#N/A</v>
      </c>
      <c r="AG918">
        <f t="shared" si="102"/>
        <v>1.42</v>
      </c>
      <c r="AH918" t="e">
        <f t="shared" si="103"/>
        <v>#N/A</v>
      </c>
      <c r="AI918" t="e">
        <f t="shared" si="104"/>
        <v>#N/A</v>
      </c>
    </row>
    <row r="919" spans="1:35" x14ac:dyDescent="0.45">
      <c r="A919" t="s">
        <v>2474</v>
      </c>
      <c r="B919">
        <v>63</v>
      </c>
      <c r="C919" t="s">
        <v>45</v>
      </c>
      <c r="D919" t="s">
        <v>87</v>
      </c>
      <c r="E919" t="s">
        <v>46</v>
      </c>
      <c r="F919" t="s">
        <v>79</v>
      </c>
      <c r="G919" t="s">
        <v>276</v>
      </c>
      <c r="H919" t="s">
        <v>71</v>
      </c>
      <c r="I919" t="s">
        <v>132</v>
      </c>
      <c r="J919" t="s">
        <v>590</v>
      </c>
      <c r="K919" t="s">
        <v>1301</v>
      </c>
      <c r="L919" t="s">
        <v>36</v>
      </c>
      <c r="M919" t="s">
        <v>2624</v>
      </c>
      <c r="N919" t="s">
        <v>100</v>
      </c>
      <c r="O919" t="s">
        <v>36</v>
      </c>
      <c r="P919" t="s">
        <v>39</v>
      </c>
      <c r="Q919" t="s">
        <v>75</v>
      </c>
      <c r="R919">
        <v>35</v>
      </c>
      <c r="S919">
        <v>1</v>
      </c>
      <c r="T919" t="s">
        <v>56</v>
      </c>
      <c r="U919" t="s">
        <v>57</v>
      </c>
      <c r="V919">
        <v>3.02</v>
      </c>
      <c r="W919">
        <v>4.07</v>
      </c>
      <c r="X919">
        <v>1.6</v>
      </c>
      <c r="Y919">
        <v>16.399999999999999</v>
      </c>
      <c r="Z919">
        <v>5</v>
      </c>
      <c r="AA919">
        <f>VALUE(SUBSTITUTE(DACS19___Pfizer’s_Personalised_Medicine_in[[#This Row],[Dose]],"mg",""))</f>
        <v>200</v>
      </c>
      <c r="AB919">
        <f t="shared" si="98"/>
        <v>200</v>
      </c>
      <c r="AC919" t="s">
        <v>75</v>
      </c>
      <c r="AD919">
        <f t="shared" si="99"/>
        <v>1</v>
      </c>
      <c r="AE919">
        <f t="shared" si="100"/>
        <v>3</v>
      </c>
      <c r="AF919" t="e">
        <f t="shared" si="101"/>
        <v>#N/A</v>
      </c>
      <c r="AG919">
        <f t="shared" si="102"/>
        <v>4.07</v>
      </c>
      <c r="AH919" t="e">
        <f t="shared" si="103"/>
        <v>#N/A</v>
      </c>
      <c r="AI919" t="e">
        <f t="shared" si="104"/>
        <v>#N/A</v>
      </c>
    </row>
    <row r="920" spans="1:35" x14ac:dyDescent="0.45">
      <c r="A920" t="s">
        <v>2475</v>
      </c>
      <c r="B920">
        <v>78</v>
      </c>
      <c r="C920" t="s">
        <v>27</v>
      </c>
      <c r="D920" t="s">
        <v>45</v>
      </c>
      <c r="E920" t="s">
        <v>78</v>
      </c>
      <c r="F920" t="s">
        <v>59</v>
      </c>
      <c r="G920" t="s">
        <v>125</v>
      </c>
      <c r="H920" t="s">
        <v>81</v>
      </c>
      <c r="I920" t="s">
        <v>33</v>
      </c>
      <c r="J920" t="s">
        <v>1252</v>
      </c>
      <c r="K920" t="s">
        <v>2117</v>
      </c>
      <c r="L920" t="s">
        <v>36</v>
      </c>
      <c r="M920" t="s">
        <v>2627</v>
      </c>
      <c r="N920" t="s">
        <v>578</v>
      </c>
      <c r="O920" t="s">
        <v>36</v>
      </c>
      <c r="P920" t="s">
        <v>55</v>
      </c>
      <c r="Q920" t="s">
        <v>75</v>
      </c>
      <c r="R920">
        <v>176</v>
      </c>
      <c r="S920">
        <v>0</v>
      </c>
      <c r="T920" t="s">
        <v>137</v>
      </c>
      <c r="U920" t="s">
        <v>57</v>
      </c>
      <c r="V920">
        <v>1.1499999999999999</v>
      </c>
      <c r="W920">
        <v>1.21</v>
      </c>
      <c r="X920">
        <v>8.5</v>
      </c>
      <c r="Y920">
        <v>8.1</v>
      </c>
      <c r="Z920">
        <v>3.8</v>
      </c>
      <c r="AA920">
        <f>VALUE(SUBSTITUTE(DACS19___Pfizer’s_Personalised_Medicine_in[[#This Row],[Dose]],"mg",""))</f>
        <v>200</v>
      </c>
      <c r="AB920">
        <f t="shared" si="98"/>
        <v>200</v>
      </c>
      <c r="AC920" t="s">
        <v>75</v>
      </c>
      <c r="AD920">
        <f t="shared" si="99"/>
        <v>1</v>
      </c>
      <c r="AE920">
        <f t="shared" si="100"/>
        <v>2</v>
      </c>
      <c r="AF920" t="e">
        <f t="shared" si="101"/>
        <v>#N/A</v>
      </c>
      <c r="AG920" t="e">
        <f t="shared" si="102"/>
        <v>#N/A</v>
      </c>
      <c r="AH920" t="e">
        <f t="shared" si="103"/>
        <v>#N/A</v>
      </c>
      <c r="AI920">
        <f t="shared" si="104"/>
        <v>1.21</v>
      </c>
    </row>
    <row r="921" spans="1:35" x14ac:dyDescent="0.45">
      <c r="A921" t="s">
        <v>2476</v>
      </c>
      <c r="B921">
        <v>53</v>
      </c>
      <c r="C921" t="s">
        <v>27</v>
      </c>
      <c r="D921" t="s">
        <v>45</v>
      </c>
      <c r="E921" t="s">
        <v>46</v>
      </c>
      <c r="F921" t="s">
        <v>2614</v>
      </c>
      <c r="G921" t="s">
        <v>246</v>
      </c>
      <c r="H921" t="s">
        <v>32</v>
      </c>
      <c r="I921" t="s">
        <v>49</v>
      </c>
      <c r="J921" t="s">
        <v>2077</v>
      </c>
      <c r="K921" t="s">
        <v>2477</v>
      </c>
      <c r="L921" t="s">
        <v>36</v>
      </c>
      <c r="M921" t="s">
        <v>2638</v>
      </c>
      <c r="N921" t="s">
        <v>1280</v>
      </c>
      <c r="O921" t="s">
        <v>36</v>
      </c>
      <c r="P921" t="s">
        <v>110</v>
      </c>
      <c r="Q921" t="s">
        <v>75</v>
      </c>
      <c r="R921">
        <v>166</v>
      </c>
      <c r="S921">
        <v>0</v>
      </c>
      <c r="T921" t="s">
        <v>123</v>
      </c>
      <c r="U921" t="s">
        <v>57</v>
      </c>
      <c r="V921">
        <v>2.75</v>
      </c>
      <c r="W921">
        <v>4.38</v>
      </c>
      <c r="X921">
        <v>3.4</v>
      </c>
      <c r="Y921">
        <v>13.6</v>
      </c>
      <c r="Z921">
        <v>3.7</v>
      </c>
      <c r="AA921">
        <f>VALUE(SUBSTITUTE(DACS19___Pfizer’s_Personalised_Medicine_in[[#This Row],[Dose]],"mg",""))</f>
        <v>200</v>
      </c>
      <c r="AB921">
        <f t="shared" si="98"/>
        <v>200</v>
      </c>
      <c r="AC921" t="s">
        <v>75</v>
      </c>
      <c r="AD921">
        <f t="shared" si="99"/>
        <v>1</v>
      </c>
      <c r="AE921">
        <f t="shared" si="100"/>
        <v>1</v>
      </c>
      <c r="AF921" t="e">
        <f t="shared" si="101"/>
        <v>#N/A</v>
      </c>
      <c r="AG921" t="e">
        <f t="shared" si="102"/>
        <v>#N/A</v>
      </c>
      <c r="AH921">
        <f t="shared" si="103"/>
        <v>4.38</v>
      </c>
      <c r="AI921" t="e">
        <f t="shared" si="104"/>
        <v>#N/A</v>
      </c>
    </row>
    <row r="922" spans="1:35" x14ac:dyDescent="0.45">
      <c r="A922" t="s">
        <v>2478</v>
      </c>
      <c r="B922">
        <v>55</v>
      </c>
      <c r="C922" t="s">
        <v>45</v>
      </c>
      <c r="D922" t="s">
        <v>45</v>
      </c>
      <c r="E922" t="s">
        <v>163</v>
      </c>
      <c r="F922" t="s">
        <v>59</v>
      </c>
      <c r="G922" t="s">
        <v>164</v>
      </c>
      <c r="H922" t="s">
        <v>71</v>
      </c>
      <c r="I922" t="s">
        <v>33</v>
      </c>
      <c r="J922" t="s">
        <v>2479</v>
      </c>
      <c r="K922" t="s">
        <v>2480</v>
      </c>
      <c r="L922" t="s">
        <v>92</v>
      </c>
      <c r="M922" t="s">
        <v>40</v>
      </c>
      <c r="N922" t="s">
        <v>146</v>
      </c>
      <c r="O922" t="s">
        <v>92</v>
      </c>
      <c r="P922" t="s">
        <v>55</v>
      </c>
      <c r="Q922" t="s">
        <v>129</v>
      </c>
      <c r="R922">
        <v>131</v>
      </c>
      <c r="S922">
        <v>0</v>
      </c>
      <c r="T922" t="s">
        <v>56</v>
      </c>
      <c r="U922" t="s">
        <v>57</v>
      </c>
      <c r="V922">
        <v>2.8</v>
      </c>
      <c r="W922">
        <v>3.31</v>
      </c>
      <c r="X922">
        <v>6.1</v>
      </c>
      <c r="Y922">
        <v>12</v>
      </c>
      <c r="Z922">
        <v>8.4</v>
      </c>
      <c r="AA922">
        <f>VALUE(SUBSTITUTE(DACS19___Pfizer’s_Personalised_Medicine_in[[#This Row],[Dose]],"mg",""))</f>
        <v>50</v>
      </c>
      <c r="AB922">
        <f t="shared" si="98"/>
        <v>50</v>
      </c>
      <c r="AC922" t="s">
        <v>129</v>
      </c>
      <c r="AD922">
        <f t="shared" si="99"/>
        <v>4</v>
      </c>
      <c r="AE922">
        <f t="shared" si="100"/>
        <v>2</v>
      </c>
      <c r="AF922" t="e">
        <f t="shared" si="101"/>
        <v>#N/A</v>
      </c>
      <c r="AG922">
        <f t="shared" si="102"/>
        <v>3.31</v>
      </c>
      <c r="AH922" t="e">
        <f t="shared" si="103"/>
        <v>#N/A</v>
      </c>
      <c r="AI922" t="e">
        <f t="shared" si="104"/>
        <v>#N/A</v>
      </c>
    </row>
    <row r="923" spans="1:35" x14ac:dyDescent="0.45">
      <c r="A923" t="s">
        <v>2481</v>
      </c>
      <c r="B923">
        <v>25</v>
      </c>
      <c r="C923" t="s">
        <v>27</v>
      </c>
      <c r="D923" t="s">
        <v>45</v>
      </c>
      <c r="E923" t="s">
        <v>46</v>
      </c>
      <c r="F923" t="s">
        <v>59</v>
      </c>
      <c r="G923" t="s">
        <v>194</v>
      </c>
      <c r="H923" t="s">
        <v>61</v>
      </c>
      <c r="I923" t="s">
        <v>72</v>
      </c>
      <c r="J923" t="s">
        <v>148</v>
      </c>
      <c r="K923" t="s">
        <v>2482</v>
      </c>
      <c r="L923" t="s">
        <v>52</v>
      </c>
      <c r="M923" t="s">
        <v>2616</v>
      </c>
      <c r="N923" t="s">
        <v>1292</v>
      </c>
      <c r="O923" t="s">
        <v>52</v>
      </c>
      <c r="P923" t="s">
        <v>110</v>
      </c>
      <c r="Q923" t="s">
        <v>75</v>
      </c>
      <c r="R923">
        <v>171</v>
      </c>
      <c r="S923">
        <v>0</v>
      </c>
      <c r="T923" t="s">
        <v>41</v>
      </c>
      <c r="U923" t="s">
        <v>57</v>
      </c>
      <c r="V923">
        <v>1.43</v>
      </c>
      <c r="W923">
        <v>2.4700000000000002</v>
      </c>
      <c r="X923">
        <v>1.9</v>
      </c>
      <c r="Y923">
        <v>19.8</v>
      </c>
      <c r="Z923">
        <v>19.399999999999999</v>
      </c>
      <c r="AA923">
        <f>VALUE(SUBSTITUTE(DACS19___Pfizer’s_Personalised_Medicine_in[[#This Row],[Dose]],"mg",""))</f>
        <v>100</v>
      </c>
      <c r="AB923">
        <f t="shared" si="98"/>
        <v>100</v>
      </c>
      <c r="AC923" t="s">
        <v>75</v>
      </c>
      <c r="AD923">
        <f t="shared" si="99"/>
        <v>1</v>
      </c>
      <c r="AE923">
        <f t="shared" si="100"/>
        <v>1</v>
      </c>
      <c r="AF923">
        <f t="shared" si="101"/>
        <v>2.4700000000000002</v>
      </c>
      <c r="AG923" t="e">
        <f t="shared" si="102"/>
        <v>#N/A</v>
      </c>
      <c r="AH923" t="e">
        <f t="shared" si="103"/>
        <v>#N/A</v>
      </c>
      <c r="AI923" t="e">
        <f t="shared" si="104"/>
        <v>#N/A</v>
      </c>
    </row>
    <row r="924" spans="1:35" x14ac:dyDescent="0.45">
      <c r="A924" t="s">
        <v>2483</v>
      </c>
      <c r="B924">
        <v>51</v>
      </c>
      <c r="C924" t="s">
        <v>45</v>
      </c>
      <c r="D924" t="s">
        <v>87</v>
      </c>
      <c r="E924" t="s">
        <v>29</v>
      </c>
      <c r="F924" t="s">
        <v>79</v>
      </c>
      <c r="G924" t="s">
        <v>164</v>
      </c>
      <c r="H924" t="s">
        <v>71</v>
      </c>
      <c r="I924" t="s">
        <v>33</v>
      </c>
      <c r="J924" t="s">
        <v>2484</v>
      </c>
      <c r="K924" t="s">
        <v>738</v>
      </c>
      <c r="L924" t="s">
        <v>52</v>
      </c>
      <c r="M924" t="s">
        <v>2614</v>
      </c>
      <c r="N924" t="s">
        <v>150</v>
      </c>
      <c r="O924" t="s">
        <v>52</v>
      </c>
      <c r="P924" t="s">
        <v>55</v>
      </c>
      <c r="Q924" t="s">
        <v>40</v>
      </c>
      <c r="R924">
        <v>56</v>
      </c>
      <c r="S924">
        <v>0</v>
      </c>
      <c r="T924" t="s">
        <v>85</v>
      </c>
      <c r="U924" t="s">
        <v>57</v>
      </c>
      <c r="V924">
        <v>4.88</v>
      </c>
      <c r="W924">
        <v>4.46</v>
      </c>
      <c r="X924">
        <v>6.4</v>
      </c>
      <c r="Y924">
        <v>18.600000000000001</v>
      </c>
      <c r="Z924">
        <v>7.8</v>
      </c>
      <c r="AA924">
        <f>VALUE(SUBSTITUTE(DACS19___Pfizer’s_Personalised_Medicine_in[[#This Row],[Dose]],"mg",""))</f>
        <v>100</v>
      </c>
      <c r="AB924">
        <f t="shared" si="98"/>
        <v>100</v>
      </c>
      <c r="AC924" t="s">
        <v>40</v>
      </c>
      <c r="AD924">
        <f t="shared" si="99"/>
        <v>3</v>
      </c>
      <c r="AE924">
        <f t="shared" si="100"/>
        <v>2</v>
      </c>
      <c r="AF924" t="e">
        <f t="shared" si="101"/>
        <v>#N/A</v>
      </c>
      <c r="AG924">
        <f t="shared" si="102"/>
        <v>4.46</v>
      </c>
      <c r="AH924" t="e">
        <f t="shared" si="103"/>
        <v>#N/A</v>
      </c>
      <c r="AI924" t="e">
        <f t="shared" si="104"/>
        <v>#N/A</v>
      </c>
    </row>
    <row r="925" spans="1:35" x14ac:dyDescent="0.45">
      <c r="A925" t="s">
        <v>2485</v>
      </c>
      <c r="B925">
        <v>44</v>
      </c>
      <c r="C925" t="s">
        <v>27</v>
      </c>
      <c r="D925" t="s">
        <v>28</v>
      </c>
      <c r="E925" t="s">
        <v>78</v>
      </c>
      <c r="F925" t="s">
        <v>69</v>
      </c>
      <c r="G925" t="s">
        <v>184</v>
      </c>
      <c r="H925" t="s">
        <v>71</v>
      </c>
      <c r="I925" t="s">
        <v>33</v>
      </c>
      <c r="J925" t="s">
        <v>731</v>
      </c>
      <c r="K925" t="s">
        <v>2486</v>
      </c>
      <c r="L925" t="s">
        <v>36</v>
      </c>
      <c r="M925" t="s">
        <v>536</v>
      </c>
      <c r="N925" t="s">
        <v>546</v>
      </c>
      <c r="O925" t="s">
        <v>36</v>
      </c>
      <c r="P925" t="s">
        <v>55</v>
      </c>
      <c r="Q925" t="s">
        <v>129</v>
      </c>
      <c r="R925">
        <v>60</v>
      </c>
      <c r="S925">
        <v>0</v>
      </c>
      <c r="T925" t="s">
        <v>85</v>
      </c>
      <c r="U925" t="s">
        <v>57</v>
      </c>
      <c r="V925">
        <v>3.52</v>
      </c>
      <c r="W925">
        <v>2.82</v>
      </c>
      <c r="X925">
        <v>5.3</v>
      </c>
      <c r="Y925">
        <v>19.600000000000001</v>
      </c>
      <c r="Z925">
        <v>7.8</v>
      </c>
      <c r="AA925">
        <f>VALUE(SUBSTITUTE(DACS19___Pfizer’s_Personalised_Medicine_in[[#This Row],[Dose]],"mg",""))</f>
        <v>200</v>
      </c>
      <c r="AB925">
        <f t="shared" si="98"/>
        <v>200</v>
      </c>
      <c r="AC925" t="s">
        <v>129</v>
      </c>
      <c r="AD925">
        <f t="shared" si="99"/>
        <v>4</v>
      </c>
      <c r="AE925">
        <f t="shared" si="100"/>
        <v>2</v>
      </c>
      <c r="AF925" t="e">
        <f t="shared" si="101"/>
        <v>#N/A</v>
      </c>
      <c r="AG925">
        <f t="shared" si="102"/>
        <v>2.82</v>
      </c>
      <c r="AH925" t="e">
        <f t="shared" si="103"/>
        <v>#N/A</v>
      </c>
      <c r="AI925" t="e">
        <f t="shared" si="104"/>
        <v>#N/A</v>
      </c>
    </row>
    <row r="926" spans="1:35" x14ac:dyDescent="0.45">
      <c r="A926" t="s">
        <v>2487</v>
      </c>
      <c r="B926">
        <v>38</v>
      </c>
      <c r="C926" t="s">
        <v>44</v>
      </c>
      <c r="D926" t="s">
        <v>87</v>
      </c>
      <c r="E926" t="s">
        <v>163</v>
      </c>
      <c r="F926" t="s">
        <v>79</v>
      </c>
      <c r="G926" t="s">
        <v>48</v>
      </c>
      <c r="H926" t="s">
        <v>32</v>
      </c>
      <c r="I926" t="s">
        <v>49</v>
      </c>
      <c r="J926" t="s">
        <v>2431</v>
      </c>
      <c r="K926" t="s">
        <v>338</v>
      </c>
      <c r="L926" t="s">
        <v>64</v>
      </c>
      <c r="M926" t="s">
        <v>37</v>
      </c>
      <c r="N926" t="s">
        <v>1435</v>
      </c>
      <c r="O926" t="s">
        <v>64</v>
      </c>
      <c r="P926" t="s">
        <v>55</v>
      </c>
      <c r="Q926" t="s">
        <v>2614</v>
      </c>
      <c r="R926">
        <v>117</v>
      </c>
      <c r="S926">
        <v>0</v>
      </c>
      <c r="T926" t="s">
        <v>56</v>
      </c>
      <c r="U926" t="s">
        <v>57</v>
      </c>
      <c r="V926">
        <v>2.27</v>
      </c>
      <c r="W926">
        <v>4.7</v>
      </c>
      <c r="X926">
        <v>1.5</v>
      </c>
      <c r="Y926">
        <v>14.7</v>
      </c>
      <c r="Z926">
        <v>18.5</v>
      </c>
      <c r="AA926">
        <f>VALUE(SUBSTITUTE(DACS19___Pfizer’s_Personalised_Medicine_in[[#This Row],[Dose]],"mg",""))</f>
        <v>150</v>
      </c>
      <c r="AB926">
        <f t="shared" si="98"/>
        <v>150</v>
      </c>
      <c r="AC926" t="s">
        <v>2614</v>
      </c>
      <c r="AD926">
        <f t="shared" si="99"/>
        <v>0</v>
      </c>
      <c r="AE926">
        <f t="shared" si="100"/>
        <v>2</v>
      </c>
      <c r="AF926" t="e">
        <f t="shared" si="101"/>
        <v>#N/A</v>
      </c>
      <c r="AG926" t="e">
        <f t="shared" si="102"/>
        <v>#N/A</v>
      </c>
      <c r="AH926">
        <f t="shared" si="103"/>
        <v>4.7</v>
      </c>
      <c r="AI926" t="e">
        <f t="shared" si="104"/>
        <v>#N/A</v>
      </c>
    </row>
    <row r="927" spans="1:35" x14ac:dyDescent="0.45">
      <c r="A927" t="s">
        <v>2488</v>
      </c>
      <c r="B927">
        <v>65</v>
      </c>
      <c r="C927" t="s">
        <v>27</v>
      </c>
      <c r="D927" t="s">
        <v>28</v>
      </c>
      <c r="E927" t="s">
        <v>163</v>
      </c>
      <c r="F927" t="s">
        <v>79</v>
      </c>
      <c r="G927" t="s">
        <v>102</v>
      </c>
      <c r="H927" t="s">
        <v>32</v>
      </c>
      <c r="I927" t="s">
        <v>132</v>
      </c>
      <c r="J927" t="s">
        <v>191</v>
      </c>
      <c r="K927" t="s">
        <v>2489</v>
      </c>
      <c r="L927" t="s">
        <v>52</v>
      </c>
      <c r="M927" t="s">
        <v>1291</v>
      </c>
      <c r="N927" t="s">
        <v>383</v>
      </c>
      <c r="O927" t="s">
        <v>52</v>
      </c>
      <c r="P927" t="s">
        <v>39</v>
      </c>
      <c r="Q927" t="s">
        <v>129</v>
      </c>
      <c r="R927">
        <v>32</v>
      </c>
      <c r="S927">
        <v>1</v>
      </c>
      <c r="T927" t="s">
        <v>137</v>
      </c>
      <c r="U927" t="s">
        <v>42</v>
      </c>
      <c r="V927">
        <v>3.44</v>
      </c>
      <c r="W927">
        <v>3.19</v>
      </c>
      <c r="X927">
        <v>3.2</v>
      </c>
      <c r="Y927">
        <v>12.2</v>
      </c>
      <c r="Z927">
        <v>17.5</v>
      </c>
      <c r="AA927">
        <f>VALUE(SUBSTITUTE(DACS19___Pfizer’s_Personalised_Medicine_in[[#This Row],[Dose]],"mg",""))</f>
        <v>100</v>
      </c>
      <c r="AB927">
        <f t="shared" si="98"/>
        <v>100</v>
      </c>
      <c r="AC927" t="s">
        <v>129</v>
      </c>
      <c r="AD927">
        <f t="shared" si="99"/>
        <v>4</v>
      </c>
      <c r="AE927">
        <f t="shared" si="100"/>
        <v>3</v>
      </c>
      <c r="AF927" t="e">
        <f t="shared" si="101"/>
        <v>#N/A</v>
      </c>
      <c r="AG927" t="e">
        <f t="shared" si="102"/>
        <v>#N/A</v>
      </c>
      <c r="AH927">
        <f t="shared" si="103"/>
        <v>3.19</v>
      </c>
      <c r="AI927" t="e">
        <f t="shared" si="104"/>
        <v>#N/A</v>
      </c>
    </row>
    <row r="928" spans="1:35" x14ac:dyDescent="0.45">
      <c r="A928" t="s">
        <v>2490</v>
      </c>
      <c r="B928">
        <v>45</v>
      </c>
      <c r="C928" t="s">
        <v>45</v>
      </c>
      <c r="D928" t="s">
        <v>28</v>
      </c>
      <c r="E928" t="s">
        <v>78</v>
      </c>
      <c r="F928" t="s">
        <v>2614</v>
      </c>
      <c r="G928" t="s">
        <v>184</v>
      </c>
      <c r="H928" t="s">
        <v>81</v>
      </c>
      <c r="I928" t="s">
        <v>132</v>
      </c>
      <c r="J928" t="s">
        <v>496</v>
      </c>
      <c r="K928" t="s">
        <v>1110</v>
      </c>
      <c r="L928" t="s">
        <v>64</v>
      </c>
      <c r="M928" t="s">
        <v>2652</v>
      </c>
      <c r="N928" t="s">
        <v>473</v>
      </c>
      <c r="O928" t="s">
        <v>64</v>
      </c>
      <c r="P928" t="s">
        <v>110</v>
      </c>
      <c r="Q928" t="s">
        <v>40</v>
      </c>
      <c r="R928">
        <v>113</v>
      </c>
      <c r="S928">
        <v>0</v>
      </c>
      <c r="T928" t="s">
        <v>41</v>
      </c>
      <c r="U928" t="s">
        <v>42</v>
      </c>
      <c r="V928">
        <v>3.24</v>
      </c>
      <c r="W928">
        <v>3.06</v>
      </c>
      <c r="X928">
        <v>1.9</v>
      </c>
      <c r="Y928">
        <v>6.3</v>
      </c>
      <c r="Z928">
        <v>19.399999999999999</v>
      </c>
      <c r="AA928">
        <f>VALUE(SUBSTITUTE(DACS19___Pfizer’s_Personalised_Medicine_in[[#This Row],[Dose]],"mg",""))</f>
        <v>150</v>
      </c>
      <c r="AB928">
        <f t="shared" si="98"/>
        <v>150</v>
      </c>
      <c r="AC928" t="s">
        <v>40</v>
      </c>
      <c r="AD928">
        <f t="shared" si="99"/>
        <v>3</v>
      </c>
      <c r="AE928">
        <f t="shared" si="100"/>
        <v>1</v>
      </c>
      <c r="AF928" t="e">
        <f t="shared" si="101"/>
        <v>#N/A</v>
      </c>
      <c r="AG928" t="e">
        <f t="shared" si="102"/>
        <v>#N/A</v>
      </c>
      <c r="AH928" t="e">
        <f t="shared" si="103"/>
        <v>#N/A</v>
      </c>
      <c r="AI928">
        <f t="shared" si="104"/>
        <v>3.06</v>
      </c>
    </row>
    <row r="929" spans="1:35" x14ac:dyDescent="0.45">
      <c r="A929" t="s">
        <v>2491</v>
      </c>
      <c r="B929">
        <v>47</v>
      </c>
      <c r="C929" t="s">
        <v>45</v>
      </c>
      <c r="D929" t="s">
        <v>106</v>
      </c>
      <c r="E929" t="s">
        <v>2614</v>
      </c>
      <c r="F929" t="s">
        <v>88</v>
      </c>
      <c r="G929" t="s">
        <v>96</v>
      </c>
      <c r="H929" t="s">
        <v>32</v>
      </c>
      <c r="I929" t="s">
        <v>132</v>
      </c>
      <c r="J929" t="s">
        <v>675</v>
      </c>
      <c r="K929" t="s">
        <v>2492</v>
      </c>
      <c r="L929" t="s">
        <v>92</v>
      </c>
      <c r="M929" t="s">
        <v>67</v>
      </c>
      <c r="N929" t="s">
        <v>1435</v>
      </c>
      <c r="O929" t="s">
        <v>92</v>
      </c>
      <c r="P929" t="s">
        <v>39</v>
      </c>
      <c r="Q929" t="s">
        <v>67</v>
      </c>
      <c r="R929">
        <v>53</v>
      </c>
      <c r="S929">
        <v>1</v>
      </c>
      <c r="T929" t="s">
        <v>123</v>
      </c>
      <c r="U929" t="s">
        <v>57</v>
      </c>
      <c r="V929">
        <v>2.5099999999999998</v>
      </c>
      <c r="W929">
        <v>3.41</v>
      </c>
      <c r="X929">
        <v>1.7</v>
      </c>
      <c r="Y929">
        <v>18.3</v>
      </c>
      <c r="Z929">
        <v>18.899999999999999</v>
      </c>
      <c r="AA929">
        <f>VALUE(SUBSTITUTE(DACS19___Pfizer’s_Personalised_Medicine_in[[#This Row],[Dose]],"mg",""))</f>
        <v>50</v>
      </c>
      <c r="AB929">
        <f t="shared" si="98"/>
        <v>50</v>
      </c>
      <c r="AC929" t="s">
        <v>67</v>
      </c>
      <c r="AD929">
        <f t="shared" si="99"/>
        <v>2</v>
      </c>
      <c r="AE929">
        <f t="shared" si="100"/>
        <v>3</v>
      </c>
      <c r="AF929" t="e">
        <f t="shared" si="101"/>
        <v>#N/A</v>
      </c>
      <c r="AG929" t="e">
        <f t="shared" si="102"/>
        <v>#N/A</v>
      </c>
      <c r="AH929">
        <f t="shared" si="103"/>
        <v>3.41</v>
      </c>
      <c r="AI929" t="e">
        <f t="shared" si="104"/>
        <v>#N/A</v>
      </c>
    </row>
    <row r="930" spans="1:35" x14ac:dyDescent="0.45">
      <c r="A930" t="s">
        <v>2493</v>
      </c>
      <c r="B930">
        <v>48</v>
      </c>
      <c r="C930" t="s">
        <v>45</v>
      </c>
      <c r="D930" t="s">
        <v>106</v>
      </c>
      <c r="E930" t="s">
        <v>78</v>
      </c>
      <c r="F930" t="s">
        <v>47</v>
      </c>
      <c r="G930" t="s">
        <v>184</v>
      </c>
      <c r="H930" t="s">
        <v>71</v>
      </c>
      <c r="I930" t="s">
        <v>132</v>
      </c>
      <c r="J930" t="s">
        <v>1860</v>
      </c>
      <c r="K930" t="s">
        <v>2145</v>
      </c>
      <c r="L930" t="s">
        <v>64</v>
      </c>
      <c r="M930" t="s">
        <v>2649</v>
      </c>
      <c r="N930" t="s">
        <v>416</v>
      </c>
      <c r="O930" t="s">
        <v>64</v>
      </c>
      <c r="P930" t="s">
        <v>110</v>
      </c>
      <c r="Q930" t="s">
        <v>2614</v>
      </c>
      <c r="R930">
        <v>73</v>
      </c>
      <c r="S930">
        <v>0</v>
      </c>
      <c r="T930" t="s">
        <v>137</v>
      </c>
      <c r="U930" t="s">
        <v>42</v>
      </c>
      <c r="V930">
        <v>3.3</v>
      </c>
      <c r="W930">
        <v>1.5</v>
      </c>
      <c r="X930">
        <v>6.2</v>
      </c>
      <c r="Y930">
        <v>19.8</v>
      </c>
      <c r="Z930">
        <v>9.9</v>
      </c>
      <c r="AA930">
        <f>VALUE(SUBSTITUTE(DACS19___Pfizer’s_Personalised_Medicine_in[[#This Row],[Dose]],"mg",""))</f>
        <v>150</v>
      </c>
      <c r="AB930">
        <f t="shared" si="98"/>
        <v>150</v>
      </c>
      <c r="AC930" t="s">
        <v>2614</v>
      </c>
      <c r="AD930">
        <f t="shared" si="99"/>
        <v>0</v>
      </c>
      <c r="AE930">
        <f t="shared" si="100"/>
        <v>1</v>
      </c>
      <c r="AF930" t="e">
        <f t="shared" si="101"/>
        <v>#N/A</v>
      </c>
      <c r="AG930">
        <f t="shared" si="102"/>
        <v>1.5</v>
      </c>
      <c r="AH930" t="e">
        <f t="shared" si="103"/>
        <v>#N/A</v>
      </c>
      <c r="AI930" t="e">
        <f t="shared" si="104"/>
        <v>#N/A</v>
      </c>
    </row>
    <row r="931" spans="1:35" x14ac:dyDescent="0.45">
      <c r="A931" t="s">
        <v>2494</v>
      </c>
      <c r="B931">
        <v>58</v>
      </c>
      <c r="C931" t="s">
        <v>27</v>
      </c>
      <c r="D931" t="s">
        <v>95</v>
      </c>
      <c r="E931" t="s">
        <v>163</v>
      </c>
      <c r="F931" t="s">
        <v>2614</v>
      </c>
      <c r="G931" t="s">
        <v>31</v>
      </c>
      <c r="H931" t="s">
        <v>81</v>
      </c>
      <c r="I931" t="s">
        <v>132</v>
      </c>
      <c r="J931" t="s">
        <v>2495</v>
      </c>
      <c r="K931" t="s">
        <v>877</v>
      </c>
      <c r="L931" t="s">
        <v>92</v>
      </c>
      <c r="M931" t="s">
        <v>451</v>
      </c>
      <c r="N931" t="s">
        <v>188</v>
      </c>
      <c r="O931" t="s">
        <v>92</v>
      </c>
      <c r="P931" t="s">
        <v>55</v>
      </c>
      <c r="Q931" t="s">
        <v>75</v>
      </c>
      <c r="R931">
        <v>53</v>
      </c>
      <c r="S931">
        <v>0</v>
      </c>
      <c r="T931" t="s">
        <v>137</v>
      </c>
      <c r="U931" t="s">
        <v>57</v>
      </c>
      <c r="V931">
        <v>4.5199999999999996</v>
      </c>
      <c r="W931">
        <v>3.59</v>
      </c>
      <c r="X931">
        <v>9.1</v>
      </c>
      <c r="Y931">
        <v>17.2</v>
      </c>
      <c r="Z931">
        <v>5.2</v>
      </c>
      <c r="AA931">
        <f>VALUE(SUBSTITUTE(DACS19___Pfizer’s_Personalised_Medicine_in[[#This Row],[Dose]],"mg",""))</f>
        <v>50</v>
      </c>
      <c r="AB931">
        <f t="shared" si="98"/>
        <v>50</v>
      </c>
      <c r="AC931" t="s">
        <v>75</v>
      </c>
      <c r="AD931">
        <f t="shared" si="99"/>
        <v>1</v>
      </c>
      <c r="AE931">
        <f t="shared" si="100"/>
        <v>2</v>
      </c>
      <c r="AF931" t="e">
        <f t="shared" si="101"/>
        <v>#N/A</v>
      </c>
      <c r="AG931" t="e">
        <f t="shared" si="102"/>
        <v>#N/A</v>
      </c>
      <c r="AH931" t="e">
        <f t="shared" si="103"/>
        <v>#N/A</v>
      </c>
      <c r="AI931">
        <f t="shared" si="104"/>
        <v>3.59</v>
      </c>
    </row>
    <row r="932" spans="1:35" x14ac:dyDescent="0.45">
      <c r="A932" t="s">
        <v>2496</v>
      </c>
      <c r="B932">
        <v>76</v>
      </c>
      <c r="C932" t="s">
        <v>44</v>
      </c>
      <c r="D932" t="s">
        <v>28</v>
      </c>
      <c r="E932" t="s">
        <v>78</v>
      </c>
      <c r="F932" t="s">
        <v>59</v>
      </c>
      <c r="G932" t="s">
        <v>89</v>
      </c>
      <c r="H932" t="s">
        <v>32</v>
      </c>
      <c r="I932" t="s">
        <v>72</v>
      </c>
      <c r="J932" t="s">
        <v>899</v>
      </c>
      <c r="K932" t="s">
        <v>900</v>
      </c>
      <c r="L932" t="s">
        <v>64</v>
      </c>
      <c r="M932" t="s">
        <v>40</v>
      </c>
      <c r="N932" t="s">
        <v>602</v>
      </c>
      <c r="O932" t="s">
        <v>64</v>
      </c>
      <c r="P932" t="s">
        <v>55</v>
      </c>
      <c r="Q932" t="s">
        <v>75</v>
      </c>
      <c r="R932">
        <v>106</v>
      </c>
      <c r="S932">
        <v>0</v>
      </c>
      <c r="T932" t="s">
        <v>85</v>
      </c>
      <c r="U932" t="s">
        <v>57</v>
      </c>
      <c r="V932">
        <v>2.2400000000000002</v>
      </c>
      <c r="W932">
        <v>1.81</v>
      </c>
      <c r="X932">
        <v>9.1999999999999993</v>
      </c>
      <c r="Y932">
        <v>19.7</v>
      </c>
      <c r="Z932">
        <v>14.5</v>
      </c>
      <c r="AA932">
        <f>VALUE(SUBSTITUTE(DACS19___Pfizer’s_Personalised_Medicine_in[[#This Row],[Dose]],"mg",""))</f>
        <v>150</v>
      </c>
      <c r="AB932">
        <f t="shared" si="98"/>
        <v>150</v>
      </c>
      <c r="AC932" t="s">
        <v>75</v>
      </c>
      <c r="AD932">
        <f t="shared" si="99"/>
        <v>1</v>
      </c>
      <c r="AE932">
        <f t="shared" si="100"/>
        <v>2</v>
      </c>
      <c r="AF932" t="e">
        <f t="shared" si="101"/>
        <v>#N/A</v>
      </c>
      <c r="AG932" t="e">
        <f t="shared" si="102"/>
        <v>#N/A</v>
      </c>
      <c r="AH932">
        <f t="shared" si="103"/>
        <v>1.81</v>
      </c>
      <c r="AI932" t="e">
        <f t="shared" si="104"/>
        <v>#N/A</v>
      </c>
    </row>
    <row r="933" spans="1:35" x14ac:dyDescent="0.45">
      <c r="A933" t="s">
        <v>2497</v>
      </c>
      <c r="B933">
        <v>43</v>
      </c>
      <c r="C933" t="s">
        <v>44</v>
      </c>
      <c r="D933" t="s">
        <v>28</v>
      </c>
      <c r="E933" t="s">
        <v>29</v>
      </c>
      <c r="F933" t="s">
        <v>59</v>
      </c>
      <c r="G933" t="s">
        <v>60</v>
      </c>
      <c r="H933" t="s">
        <v>81</v>
      </c>
      <c r="I933" t="s">
        <v>49</v>
      </c>
      <c r="J933" t="s">
        <v>1101</v>
      </c>
      <c r="K933" t="s">
        <v>2498</v>
      </c>
      <c r="L933" t="s">
        <v>52</v>
      </c>
      <c r="M933" t="s">
        <v>451</v>
      </c>
      <c r="N933" t="s">
        <v>447</v>
      </c>
      <c r="O933" t="s">
        <v>52</v>
      </c>
      <c r="P933" t="s">
        <v>39</v>
      </c>
      <c r="Q933" t="s">
        <v>67</v>
      </c>
      <c r="R933">
        <v>163</v>
      </c>
      <c r="S933">
        <v>1</v>
      </c>
      <c r="T933" t="s">
        <v>85</v>
      </c>
      <c r="U933" t="s">
        <v>42</v>
      </c>
      <c r="V933">
        <v>2.2000000000000002</v>
      </c>
      <c r="W933">
        <v>1.74</v>
      </c>
      <c r="X933">
        <v>7.8</v>
      </c>
      <c r="Y933">
        <v>14.5</v>
      </c>
      <c r="Z933">
        <v>6.8</v>
      </c>
      <c r="AA933">
        <f>VALUE(SUBSTITUTE(DACS19___Pfizer’s_Personalised_Medicine_in[[#This Row],[Dose]],"mg",""))</f>
        <v>100</v>
      </c>
      <c r="AB933">
        <f t="shared" si="98"/>
        <v>100</v>
      </c>
      <c r="AC933" t="s">
        <v>67</v>
      </c>
      <c r="AD933">
        <f t="shared" si="99"/>
        <v>2</v>
      </c>
      <c r="AE933">
        <f t="shared" si="100"/>
        <v>3</v>
      </c>
      <c r="AF933" t="e">
        <f t="shared" si="101"/>
        <v>#N/A</v>
      </c>
      <c r="AG933" t="e">
        <f t="shared" si="102"/>
        <v>#N/A</v>
      </c>
      <c r="AH933" t="e">
        <f t="shared" si="103"/>
        <v>#N/A</v>
      </c>
      <c r="AI933">
        <f t="shared" si="104"/>
        <v>1.74</v>
      </c>
    </row>
    <row r="934" spans="1:35" x14ac:dyDescent="0.45">
      <c r="A934" t="s">
        <v>2499</v>
      </c>
      <c r="B934">
        <v>72</v>
      </c>
      <c r="C934" t="s">
        <v>27</v>
      </c>
      <c r="D934" t="s">
        <v>45</v>
      </c>
      <c r="E934" t="s">
        <v>78</v>
      </c>
      <c r="F934" t="s">
        <v>2614</v>
      </c>
      <c r="G934" t="s">
        <v>112</v>
      </c>
      <c r="H934" t="s">
        <v>61</v>
      </c>
      <c r="I934" t="s">
        <v>132</v>
      </c>
      <c r="J934" t="s">
        <v>2500</v>
      </c>
      <c r="K934" t="s">
        <v>2501</v>
      </c>
      <c r="L934" t="s">
        <v>52</v>
      </c>
      <c r="M934" t="s">
        <v>2614</v>
      </c>
      <c r="N934" t="s">
        <v>477</v>
      </c>
      <c r="O934" t="s">
        <v>52</v>
      </c>
      <c r="P934" t="s">
        <v>55</v>
      </c>
      <c r="Q934" t="s">
        <v>67</v>
      </c>
      <c r="R934">
        <v>110</v>
      </c>
      <c r="S934">
        <v>0</v>
      </c>
      <c r="T934" t="s">
        <v>123</v>
      </c>
      <c r="U934" t="s">
        <v>57</v>
      </c>
      <c r="V934">
        <v>3.47</v>
      </c>
      <c r="W934">
        <v>1.1599999999999999</v>
      </c>
      <c r="X934">
        <v>3.9</v>
      </c>
      <c r="Y934">
        <v>14.4</v>
      </c>
      <c r="Z934">
        <v>5.5</v>
      </c>
      <c r="AA934">
        <f>VALUE(SUBSTITUTE(DACS19___Pfizer’s_Personalised_Medicine_in[[#This Row],[Dose]],"mg",""))</f>
        <v>100</v>
      </c>
      <c r="AB934">
        <f t="shared" si="98"/>
        <v>100</v>
      </c>
      <c r="AC934" t="s">
        <v>67</v>
      </c>
      <c r="AD934">
        <f t="shared" si="99"/>
        <v>2</v>
      </c>
      <c r="AE934">
        <f t="shared" si="100"/>
        <v>2</v>
      </c>
      <c r="AF934">
        <f t="shared" si="101"/>
        <v>1.1599999999999999</v>
      </c>
      <c r="AG934" t="e">
        <f t="shared" si="102"/>
        <v>#N/A</v>
      </c>
      <c r="AH934" t="e">
        <f t="shared" si="103"/>
        <v>#N/A</v>
      </c>
      <c r="AI934" t="e">
        <f t="shared" si="104"/>
        <v>#N/A</v>
      </c>
    </row>
    <row r="935" spans="1:35" x14ac:dyDescent="0.45">
      <c r="A935" t="s">
        <v>2502</v>
      </c>
      <c r="B935">
        <v>41</v>
      </c>
      <c r="C935" t="s">
        <v>27</v>
      </c>
      <c r="D935" t="s">
        <v>95</v>
      </c>
      <c r="E935" t="s">
        <v>2614</v>
      </c>
      <c r="F935" t="s">
        <v>79</v>
      </c>
      <c r="G935" t="s">
        <v>31</v>
      </c>
      <c r="H935" t="s">
        <v>71</v>
      </c>
      <c r="I935" t="s">
        <v>33</v>
      </c>
      <c r="J935" t="s">
        <v>744</v>
      </c>
      <c r="K935" t="s">
        <v>1385</v>
      </c>
      <c r="L935" t="s">
        <v>92</v>
      </c>
      <c r="M935" t="s">
        <v>500</v>
      </c>
      <c r="N935" t="s">
        <v>128</v>
      </c>
      <c r="O935" t="s">
        <v>92</v>
      </c>
      <c r="P935" t="s">
        <v>55</v>
      </c>
      <c r="Q935" t="s">
        <v>2614</v>
      </c>
      <c r="R935">
        <v>127</v>
      </c>
      <c r="S935">
        <v>0</v>
      </c>
      <c r="T935" t="s">
        <v>56</v>
      </c>
      <c r="U935" t="s">
        <v>42</v>
      </c>
      <c r="V935">
        <v>4.9400000000000004</v>
      </c>
      <c r="W935">
        <v>1.84</v>
      </c>
      <c r="X935">
        <v>2.2000000000000002</v>
      </c>
      <c r="Y935">
        <v>9.6999999999999993</v>
      </c>
      <c r="Z935">
        <v>16.100000000000001</v>
      </c>
      <c r="AA935">
        <f>VALUE(SUBSTITUTE(DACS19___Pfizer’s_Personalised_Medicine_in[[#This Row],[Dose]],"mg",""))</f>
        <v>50</v>
      </c>
      <c r="AB935">
        <f t="shared" si="98"/>
        <v>50</v>
      </c>
      <c r="AC935" t="s">
        <v>2614</v>
      </c>
      <c r="AD935">
        <f t="shared" si="99"/>
        <v>0</v>
      </c>
      <c r="AE935">
        <f t="shared" si="100"/>
        <v>2</v>
      </c>
      <c r="AF935" t="e">
        <f t="shared" si="101"/>
        <v>#N/A</v>
      </c>
      <c r="AG935">
        <f t="shared" si="102"/>
        <v>1.84</v>
      </c>
      <c r="AH935" t="e">
        <f t="shared" si="103"/>
        <v>#N/A</v>
      </c>
      <c r="AI935" t="e">
        <f t="shared" si="104"/>
        <v>#N/A</v>
      </c>
    </row>
    <row r="936" spans="1:35" x14ac:dyDescent="0.45">
      <c r="A936" t="s">
        <v>2503</v>
      </c>
      <c r="B936">
        <v>79</v>
      </c>
      <c r="C936" t="s">
        <v>44</v>
      </c>
      <c r="D936" t="s">
        <v>95</v>
      </c>
      <c r="E936" t="s">
        <v>46</v>
      </c>
      <c r="F936" t="s">
        <v>2614</v>
      </c>
      <c r="G936" t="s">
        <v>131</v>
      </c>
      <c r="H936" t="s">
        <v>61</v>
      </c>
      <c r="I936" t="s">
        <v>132</v>
      </c>
      <c r="J936" t="s">
        <v>2093</v>
      </c>
      <c r="K936" t="s">
        <v>1813</v>
      </c>
      <c r="L936" t="s">
        <v>52</v>
      </c>
      <c r="M936" t="s">
        <v>2621</v>
      </c>
      <c r="N936" t="s">
        <v>340</v>
      </c>
      <c r="O936" t="s">
        <v>52</v>
      </c>
      <c r="P936" t="s">
        <v>55</v>
      </c>
      <c r="Q936" t="s">
        <v>2614</v>
      </c>
      <c r="R936">
        <v>117</v>
      </c>
      <c r="S936">
        <v>0</v>
      </c>
      <c r="T936" t="s">
        <v>123</v>
      </c>
      <c r="U936" t="s">
        <v>42</v>
      </c>
      <c r="V936">
        <v>2.7</v>
      </c>
      <c r="W936">
        <v>3.26</v>
      </c>
      <c r="X936">
        <v>1.2</v>
      </c>
      <c r="Y936">
        <v>6.6</v>
      </c>
      <c r="Z936">
        <v>10.6</v>
      </c>
      <c r="AA936">
        <f>VALUE(SUBSTITUTE(DACS19___Pfizer’s_Personalised_Medicine_in[[#This Row],[Dose]],"mg",""))</f>
        <v>100</v>
      </c>
      <c r="AB936">
        <f t="shared" si="98"/>
        <v>100</v>
      </c>
      <c r="AC936" t="s">
        <v>2614</v>
      </c>
      <c r="AD936">
        <f t="shared" si="99"/>
        <v>0</v>
      </c>
      <c r="AE936">
        <f t="shared" si="100"/>
        <v>2</v>
      </c>
      <c r="AF936">
        <f t="shared" si="101"/>
        <v>3.26</v>
      </c>
      <c r="AG936" t="e">
        <f t="shared" si="102"/>
        <v>#N/A</v>
      </c>
      <c r="AH936" t="e">
        <f t="shared" si="103"/>
        <v>#N/A</v>
      </c>
      <c r="AI936" t="e">
        <f t="shared" si="104"/>
        <v>#N/A</v>
      </c>
    </row>
    <row r="937" spans="1:35" x14ac:dyDescent="0.45">
      <c r="A937" t="s">
        <v>2504</v>
      </c>
      <c r="B937">
        <v>22</v>
      </c>
      <c r="C937" t="s">
        <v>27</v>
      </c>
      <c r="D937" t="s">
        <v>87</v>
      </c>
      <c r="E937" t="s">
        <v>29</v>
      </c>
      <c r="F937" t="s">
        <v>2614</v>
      </c>
      <c r="G937" t="s">
        <v>31</v>
      </c>
      <c r="H937" t="s">
        <v>81</v>
      </c>
      <c r="I937" t="s">
        <v>72</v>
      </c>
      <c r="J937" t="s">
        <v>1507</v>
      </c>
      <c r="K937" t="s">
        <v>386</v>
      </c>
      <c r="L937" t="s">
        <v>64</v>
      </c>
      <c r="M937" t="s">
        <v>129</v>
      </c>
      <c r="N937" t="s">
        <v>729</v>
      </c>
      <c r="O937" t="s">
        <v>64</v>
      </c>
      <c r="P937" t="s">
        <v>39</v>
      </c>
      <c r="Q937" t="s">
        <v>75</v>
      </c>
      <c r="R937">
        <v>134</v>
      </c>
      <c r="S937">
        <v>1</v>
      </c>
      <c r="T937" t="s">
        <v>85</v>
      </c>
      <c r="U937" t="s">
        <v>57</v>
      </c>
      <c r="V937">
        <v>4.2699999999999996</v>
      </c>
      <c r="W937">
        <v>4.54</v>
      </c>
      <c r="X937">
        <v>1.8</v>
      </c>
      <c r="Y937">
        <v>15.7</v>
      </c>
      <c r="Z937">
        <v>18.5</v>
      </c>
      <c r="AA937">
        <f>VALUE(SUBSTITUTE(DACS19___Pfizer’s_Personalised_Medicine_in[[#This Row],[Dose]],"mg",""))</f>
        <v>150</v>
      </c>
      <c r="AB937">
        <f t="shared" si="98"/>
        <v>150</v>
      </c>
      <c r="AC937" t="s">
        <v>75</v>
      </c>
      <c r="AD937">
        <f t="shared" si="99"/>
        <v>1</v>
      </c>
      <c r="AE937">
        <f t="shared" si="100"/>
        <v>3</v>
      </c>
      <c r="AF937" t="e">
        <f t="shared" si="101"/>
        <v>#N/A</v>
      </c>
      <c r="AG937" t="e">
        <f t="shared" si="102"/>
        <v>#N/A</v>
      </c>
      <c r="AH937" t="e">
        <f t="shared" si="103"/>
        <v>#N/A</v>
      </c>
      <c r="AI937">
        <f t="shared" si="104"/>
        <v>4.54</v>
      </c>
    </row>
    <row r="938" spans="1:35" x14ac:dyDescent="0.45">
      <c r="A938" t="s">
        <v>2505</v>
      </c>
      <c r="B938">
        <v>54</v>
      </c>
      <c r="C938" t="s">
        <v>27</v>
      </c>
      <c r="D938" t="s">
        <v>28</v>
      </c>
      <c r="E938" t="s">
        <v>78</v>
      </c>
      <c r="F938" t="s">
        <v>69</v>
      </c>
      <c r="G938" t="s">
        <v>246</v>
      </c>
      <c r="H938" t="s">
        <v>32</v>
      </c>
      <c r="I938" t="s">
        <v>33</v>
      </c>
      <c r="J938" t="s">
        <v>1342</v>
      </c>
      <c r="K938" t="s">
        <v>1786</v>
      </c>
      <c r="L938" t="s">
        <v>64</v>
      </c>
      <c r="M938" t="s">
        <v>2633</v>
      </c>
      <c r="N938" t="s">
        <v>168</v>
      </c>
      <c r="O938" t="s">
        <v>64</v>
      </c>
      <c r="P938" t="s">
        <v>110</v>
      </c>
      <c r="Q938" t="s">
        <v>67</v>
      </c>
      <c r="R938">
        <v>162</v>
      </c>
      <c r="S938">
        <v>0</v>
      </c>
      <c r="T938" t="s">
        <v>123</v>
      </c>
      <c r="U938" t="s">
        <v>42</v>
      </c>
      <c r="V938">
        <v>2.5499999999999998</v>
      </c>
      <c r="W938">
        <v>4.32</v>
      </c>
      <c r="X938">
        <v>2.2000000000000002</v>
      </c>
      <c r="Y938">
        <v>22.8</v>
      </c>
      <c r="Z938">
        <v>15.8</v>
      </c>
      <c r="AA938">
        <f>VALUE(SUBSTITUTE(DACS19___Pfizer’s_Personalised_Medicine_in[[#This Row],[Dose]],"mg",""))</f>
        <v>150</v>
      </c>
      <c r="AB938">
        <f t="shared" si="98"/>
        <v>150</v>
      </c>
      <c r="AC938" t="s">
        <v>67</v>
      </c>
      <c r="AD938">
        <f t="shared" si="99"/>
        <v>2</v>
      </c>
      <c r="AE938">
        <f t="shared" si="100"/>
        <v>1</v>
      </c>
      <c r="AF938" t="e">
        <f t="shared" si="101"/>
        <v>#N/A</v>
      </c>
      <c r="AG938" t="e">
        <f t="shared" si="102"/>
        <v>#N/A</v>
      </c>
      <c r="AH938">
        <f t="shared" si="103"/>
        <v>4.32</v>
      </c>
      <c r="AI938" t="e">
        <f t="shared" si="104"/>
        <v>#N/A</v>
      </c>
    </row>
    <row r="939" spans="1:35" x14ac:dyDescent="0.45">
      <c r="A939" t="s">
        <v>2506</v>
      </c>
      <c r="B939">
        <v>40</v>
      </c>
      <c r="C939" t="s">
        <v>27</v>
      </c>
      <c r="D939" t="s">
        <v>87</v>
      </c>
      <c r="E939" t="s">
        <v>78</v>
      </c>
      <c r="F939" t="s">
        <v>2614</v>
      </c>
      <c r="G939" t="s">
        <v>440</v>
      </c>
      <c r="H939" t="s">
        <v>61</v>
      </c>
      <c r="I939" t="s">
        <v>72</v>
      </c>
      <c r="J939" t="s">
        <v>2501</v>
      </c>
      <c r="K939" t="s">
        <v>479</v>
      </c>
      <c r="L939" t="s">
        <v>36</v>
      </c>
      <c r="M939" t="s">
        <v>40</v>
      </c>
      <c r="N939" t="s">
        <v>182</v>
      </c>
      <c r="O939" t="s">
        <v>36</v>
      </c>
      <c r="P939" t="s">
        <v>55</v>
      </c>
      <c r="Q939" t="s">
        <v>75</v>
      </c>
      <c r="R939">
        <v>165</v>
      </c>
      <c r="S939">
        <v>0</v>
      </c>
      <c r="T939" t="s">
        <v>137</v>
      </c>
      <c r="U939" t="s">
        <v>57</v>
      </c>
      <c r="V939">
        <v>4.7699999999999996</v>
      </c>
      <c r="W939">
        <v>3.71</v>
      </c>
      <c r="X939">
        <v>4.3</v>
      </c>
      <c r="Y939">
        <v>22.9</v>
      </c>
      <c r="Z939">
        <v>7.7</v>
      </c>
      <c r="AA939">
        <f>VALUE(SUBSTITUTE(DACS19___Pfizer’s_Personalised_Medicine_in[[#This Row],[Dose]],"mg",""))</f>
        <v>200</v>
      </c>
      <c r="AB939">
        <f t="shared" si="98"/>
        <v>200</v>
      </c>
      <c r="AC939" t="s">
        <v>75</v>
      </c>
      <c r="AD939">
        <f t="shared" si="99"/>
        <v>1</v>
      </c>
      <c r="AE939">
        <f t="shared" si="100"/>
        <v>2</v>
      </c>
      <c r="AF939">
        <f t="shared" si="101"/>
        <v>3.71</v>
      </c>
      <c r="AG939" t="e">
        <f t="shared" si="102"/>
        <v>#N/A</v>
      </c>
      <c r="AH939" t="e">
        <f t="shared" si="103"/>
        <v>#N/A</v>
      </c>
      <c r="AI939" t="e">
        <f t="shared" si="104"/>
        <v>#N/A</v>
      </c>
    </row>
    <row r="940" spans="1:35" x14ac:dyDescent="0.45">
      <c r="A940" t="s">
        <v>2507</v>
      </c>
      <c r="B940">
        <v>60</v>
      </c>
      <c r="C940" t="s">
        <v>27</v>
      </c>
      <c r="D940" t="s">
        <v>28</v>
      </c>
      <c r="E940" t="s">
        <v>46</v>
      </c>
      <c r="F940" t="s">
        <v>79</v>
      </c>
      <c r="G940" t="s">
        <v>246</v>
      </c>
      <c r="H940" t="s">
        <v>81</v>
      </c>
      <c r="I940" t="s">
        <v>49</v>
      </c>
      <c r="J940" t="s">
        <v>2508</v>
      </c>
      <c r="K940" t="s">
        <v>2509</v>
      </c>
      <c r="L940" t="s">
        <v>92</v>
      </c>
      <c r="M940" t="s">
        <v>75</v>
      </c>
      <c r="N940" t="s">
        <v>546</v>
      </c>
      <c r="O940" t="s">
        <v>92</v>
      </c>
      <c r="P940" t="s">
        <v>55</v>
      </c>
      <c r="Q940" t="s">
        <v>40</v>
      </c>
      <c r="R940">
        <v>167</v>
      </c>
      <c r="S940">
        <v>0</v>
      </c>
      <c r="T940" t="s">
        <v>123</v>
      </c>
      <c r="U940" t="s">
        <v>42</v>
      </c>
      <c r="V940">
        <v>2.33</v>
      </c>
      <c r="W940">
        <v>3.8</v>
      </c>
      <c r="X940">
        <v>7.9</v>
      </c>
      <c r="Y940">
        <v>22.7</v>
      </c>
      <c r="Z940">
        <v>6.5</v>
      </c>
      <c r="AA940">
        <f>VALUE(SUBSTITUTE(DACS19___Pfizer’s_Personalised_Medicine_in[[#This Row],[Dose]],"mg",""))</f>
        <v>50</v>
      </c>
      <c r="AB940">
        <f t="shared" si="98"/>
        <v>50</v>
      </c>
      <c r="AC940" t="s">
        <v>40</v>
      </c>
      <c r="AD940">
        <f t="shared" si="99"/>
        <v>3</v>
      </c>
      <c r="AE940">
        <f t="shared" si="100"/>
        <v>2</v>
      </c>
      <c r="AF940" t="e">
        <f t="shared" si="101"/>
        <v>#N/A</v>
      </c>
      <c r="AG940" t="e">
        <f t="shared" si="102"/>
        <v>#N/A</v>
      </c>
      <c r="AH940" t="e">
        <f t="shared" si="103"/>
        <v>#N/A</v>
      </c>
      <c r="AI940">
        <f t="shared" si="104"/>
        <v>3.8</v>
      </c>
    </row>
    <row r="941" spans="1:35" x14ac:dyDescent="0.45">
      <c r="A941" t="s">
        <v>2510</v>
      </c>
      <c r="B941">
        <v>49</v>
      </c>
      <c r="C941" t="s">
        <v>45</v>
      </c>
      <c r="D941" t="s">
        <v>95</v>
      </c>
      <c r="E941" t="s">
        <v>29</v>
      </c>
      <c r="F941" t="s">
        <v>59</v>
      </c>
      <c r="G941" t="s">
        <v>80</v>
      </c>
      <c r="H941" t="s">
        <v>61</v>
      </c>
      <c r="I941" t="s">
        <v>49</v>
      </c>
      <c r="J941" t="s">
        <v>731</v>
      </c>
      <c r="K941" t="s">
        <v>970</v>
      </c>
      <c r="L941" t="s">
        <v>52</v>
      </c>
      <c r="M941" t="s">
        <v>40</v>
      </c>
      <c r="N941" t="s">
        <v>305</v>
      </c>
      <c r="O941" t="s">
        <v>52</v>
      </c>
      <c r="P941" t="s">
        <v>110</v>
      </c>
      <c r="Q941" t="s">
        <v>129</v>
      </c>
      <c r="R941">
        <v>124</v>
      </c>
      <c r="S941">
        <v>0</v>
      </c>
      <c r="T941" t="s">
        <v>137</v>
      </c>
      <c r="U941" t="s">
        <v>42</v>
      </c>
      <c r="V941">
        <v>4.1900000000000004</v>
      </c>
      <c r="W941">
        <v>3.95</v>
      </c>
      <c r="X941">
        <v>1.6</v>
      </c>
      <c r="Y941">
        <v>13</v>
      </c>
      <c r="Z941">
        <v>7.8</v>
      </c>
      <c r="AA941">
        <f>VALUE(SUBSTITUTE(DACS19___Pfizer’s_Personalised_Medicine_in[[#This Row],[Dose]],"mg",""))</f>
        <v>100</v>
      </c>
      <c r="AB941">
        <f t="shared" si="98"/>
        <v>100</v>
      </c>
      <c r="AC941" t="s">
        <v>129</v>
      </c>
      <c r="AD941">
        <f t="shared" si="99"/>
        <v>4</v>
      </c>
      <c r="AE941">
        <f t="shared" si="100"/>
        <v>1</v>
      </c>
      <c r="AF941">
        <f t="shared" si="101"/>
        <v>3.95</v>
      </c>
      <c r="AG941" t="e">
        <f t="shared" si="102"/>
        <v>#N/A</v>
      </c>
      <c r="AH941" t="e">
        <f t="shared" si="103"/>
        <v>#N/A</v>
      </c>
      <c r="AI941" t="e">
        <f t="shared" si="104"/>
        <v>#N/A</v>
      </c>
    </row>
    <row r="942" spans="1:35" x14ac:dyDescent="0.45">
      <c r="A942" t="s">
        <v>2511</v>
      </c>
      <c r="B942">
        <v>72</v>
      </c>
      <c r="C942" t="s">
        <v>44</v>
      </c>
      <c r="D942" t="s">
        <v>45</v>
      </c>
      <c r="E942" t="s">
        <v>46</v>
      </c>
      <c r="F942" t="s">
        <v>59</v>
      </c>
      <c r="G942" t="s">
        <v>125</v>
      </c>
      <c r="H942" t="s">
        <v>32</v>
      </c>
      <c r="I942" t="s">
        <v>49</v>
      </c>
      <c r="J942" t="s">
        <v>2512</v>
      </c>
      <c r="K942" t="s">
        <v>1411</v>
      </c>
      <c r="L942" t="s">
        <v>64</v>
      </c>
      <c r="M942" t="s">
        <v>67</v>
      </c>
      <c r="N942" t="s">
        <v>950</v>
      </c>
      <c r="O942" t="s">
        <v>64</v>
      </c>
      <c r="P942" t="s">
        <v>55</v>
      </c>
      <c r="Q942" t="s">
        <v>129</v>
      </c>
      <c r="R942">
        <v>61</v>
      </c>
      <c r="S942">
        <v>0</v>
      </c>
      <c r="T942" t="s">
        <v>123</v>
      </c>
      <c r="U942" t="s">
        <v>42</v>
      </c>
      <c r="V942">
        <v>2.2200000000000002</v>
      </c>
      <c r="W942">
        <v>4.93</v>
      </c>
      <c r="X942">
        <v>6.8</v>
      </c>
      <c r="Y942">
        <v>18.899999999999999</v>
      </c>
      <c r="Z942">
        <v>19.600000000000001</v>
      </c>
      <c r="AA942">
        <f>VALUE(SUBSTITUTE(DACS19___Pfizer’s_Personalised_Medicine_in[[#This Row],[Dose]],"mg",""))</f>
        <v>150</v>
      </c>
      <c r="AB942">
        <f t="shared" si="98"/>
        <v>150</v>
      </c>
      <c r="AC942" t="s">
        <v>129</v>
      </c>
      <c r="AD942">
        <f t="shared" si="99"/>
        <v>4</v>
      </c>
      <c r="AE942">
        <f t="shared" si="100"/>
        <v>2</v>
      </c>
      <c r="AF942" t="e">
        <f t="shared" si="101"/>
        <v>#N/A</v>
      </c>
      <c r="AG942" t="e">
        <f t="shared" si="102"/>
        <v>#N/A</v>
      </c>
      <c r="AH942">
        <f t="shared" si="103"/>
        <v>4.93</v>
      </c>
      <c r="AI942" t="e">
        <f t="shared" si="104"/>
        <v>#N/A</v>
      </c>
    </row>
    <row r="943" spans="1:35" x14ac:dyDescent="0.45">
      <c r="A943" t="s">
        <v>2513</v>
      </c>
      <c r="B943">
        <v>28</v>
      </c>
      <c r="C943" t="s">
        <v>27</v>
      </c>
      <c r="D943" t="s">
        <v>106</v>
      </c>
      <c r="E943" t="s">
        <v>29</v>
      </c>
      <c r="F943" t="s">
        <v>69</v>
      </c>
      <c r="G943" t="s">
        <v>70</v>
      </c>
      <c r="H943" t="s">
        <v>32</v>
      </c>
      <c r="I943" t="s">
        <v>72</v>
      </c>
      <c r="J943" t="s">
        <v>2498</v>
      </c>
      <c r="K943" t="s">
        <v>564</v>
      </c>
      <c r="L943" t="s">
        <v>36</v>
      </c>
      <c r="M943" t="s">
        <v>75</v>
      </c>
      <c r="N943" t="s">
        <v>244</v>
      </c>
      <c r="O943" t="s">
        <v>36</v>
      </c>
      <c r="P943" t="s">
        <v>110</v>
      </c>
      <c r="Q943" t="s">
        <v>75</v>
      </c>
      <c r="R943">
        <v>113</v>
      </c>
      <c r="S943">
        <v>0</v>
      </c>
      <c r="T943" t="s">
        <v>85</v>
      </c>
      <c r="U943" t="s">
        <v>42</v>
      </c>
      <c r="V943">
        <v>2.5099999999999998</v>
      </c>
      <c r="W943">
        <v>4.21</v>
      </c>
      <c r="X943">
        <v>4.9000000000000004</v>
      </c>
      <c r="Y943">
        <v>21.7</v>
      </c>
      <c r="Z943">
        <v>6.1</v>
      </c>
      <c r="AA943">
        <f>VALUE(SUBSTITUTE(DACS19___Pfizer’s_Personalised_Medicine_in[[#This Row],[Dose]],"mg",""))</f>
        <v>200</v>
      </c>
      <c r="AB943">
        <f t="shared" si="98"/>
        <v>200</v>
      </c>
      <c r="AC943" t="s">
        <v>75</v>
      </c>
      <c r="AD943">
        <f t="shared" si="99"/>
        <v>1</v>
      </c>
      <c r="AE943">
        <f t="shared" si="100"/>
        <v>1</v>
      </c>
      <c r="AF943" t="e">
        <f t="shared" si="101"/>
        <v>#N/A</v>
      </c>
      <c r="AG943" t="e">
        <f t="shared" si="102"/>
        <v>#N/A</v>
      </c>
      <c r="AH943">
        <f t="shared" si="103"/>
        <v>4.21</v>
      </c>
      <c r="AI943" t="e">
        <f t="shared" si="104"/>
        <v>#N/A</v>
      </c>
    </row>
    <row r="944" spans="1:35" x14ac:dyDescent="0.45">
      <c r="A944" t="s">
        <v>2514</v>
      </c>
      <c r="B944">
        <v>82</v>
      </c>
      <c r="C944" t="s">
        <v>45</v>
      </c>
      <c r="D944" t="s">
        <v>87</v>
      </c>
      <c r="E944" t="s">
        <v>163</v>
      </c>
      <c r="F944" t="s">
        <v>88</v>
      </c>
      <c r="G944" t="s">
        <v>96</v>
      </c>
      <c r="H944" t="s">
        <v>32</v>
      </c>
      <c r="I944" t="s">
        <v>72</v>
      </c>
      <c r="J944" t="s">
        <v>1143</v>
      </c>
      <c r="K944" t="s">
        <v>2181</v>
      </c>
      <c r="L944" t="s">
        <v>64</v>
      </c>
      <c r="M944" t="s">
        <v>566</v>
      </c>
      <c r="N944" t="s">
        <v>466</v>
      </c>
      <c r="O944" t="s">
        <v>64</v>
      </c>
      <c r="P944" t="s">
        <v>55</v>
      </c>
      <c r="Q944" t="s">
        <v>67</v>
      </c>
      <c r="R944">
        <v>142</v>
      </c>
      <c r="S944">
        <v>0</v>
      </c>
      <c r="T944" t="s">
        <v>123</v>
      </c>
      <c r="U944" t="s">
        <v>42</v>
      </c>
      <c r="V944">
        <v>4.79</v>
      </c>
      <c r="W944">
        <v>1.88</v>
      </c>
      <c r="X944">
        <v>3.9</v>
      </c>
      <c r="Y944">
        <v>19.600000000000001</v>
      </c>
      <c r="Z944">
        <v>9.6999999999999993</v>
      </c>
      <c r="AA944">
        <f>VALUE(SUBSTITUTE(DACS19___Pfizer’s_Personalised_Medicine_in[[#This Row],[Dose]],"mg",""))</f>
        <v>150</v>
      </c>
      <c r="AB944">
        <f t="shared" si="98"/>
        <v>150</v>
      </c>
      <c r="AC944" t="s">
        <v>67</v>
      </c>
      <c r="AD944">
        <f t="shared" si="99"/>
        <v>2</v>
      </c>
      <c r="AE944">
        <f t="shared" si="100"/>
        <v>2</v>
      </c>
      <c r="AF944" t="e">
        <f t="shared" si="101"/>
        <v>#N/A</v>
      </c>
      <c r="AG944" t="e">
        <f t="shared" si="102"/>
        <v>#N/A</v>
      </c>
      <c r="AH944">
        <f t="shared" si="103"/>
        <v>1.88</v>
      </c>
      <c r="AI944" t="e">
        <f t="shared" si="104"/>
        <v>#N/A</v>
      </c>
    </row>
    <row r="945" spans="1:35" x14ac:dyDescent="0.45">
      <c r="A945" t="s">
        <v>2515</v>
      </c>
      <c r="B945">
        <v>62</v>
      </c>
      <c r="C945" t="s">
        <v>45</v>
      </c>
      <c r="D945" t="s">
        <v>45</v>
      </c>
      <c r="E945" t="s">
        <v>78</v>
      </c>
      <c r="F945" t="s">
        <v>2614</v>
      </c>
      <c r="G945" t="s">
        <v>89</v>
      </c>
      <c r="H945" t="s">
        <v>32</v>
      </c>
      <c r="I945" t="s">
        <v>72</v>
      </c>
      <c r="J945" t="s">
        <v>91</v>
      </c>
      <c r="K945" t="s">
        <v>2516</v>
      </c>
      <c r="L945" t="s">
        <v>64</v>
      </c>
      <c r="M945" t="s">
        <v>2634</v>
      </c>
      <c r="N945" t="s">
        <v>667</v>
      </c>
      <c r="O945" t="s">
        <v>64</v>
      </c>
      <c r="P945" t="s">
        <v>110</v>
      </c>
      <c r="Q945" t="s">
        <v>2614</v>
      </c>
      <c r="R945">
        <v>145</v>
      </c>
      <c r="S945">
        <v>0</v>
      </c>
      <c r="T945" t="s">
        <v>41</v>
      </c>
      <c r="U945" t="s">
        <v>42</v>
      </c>
      <c r="V945">
        <v>3.43</v>
      </c>
      <c r="W945">
        <v>2.78</v>
      </c>
      <c r="X945">
        <v>7.7</v>
      </c>
      <c r="Y945">
        <v>10.1</v>
      </c>
      <c r="Z945">
        <v>4</v>
      </c>
      <c r="AA945">
        <f>VALUE(SUBSTITUTE(DACS19___Pfizer’s_Personalised_Medicine_in[[#This Row],[Dose]],"mg",""))</f>
        <v>150</v>
      </c>
      <c r="AB945">
        <f t="shared" si="98"/>
        <v>150</v>
      </c>
      <c r="AC945" t="s">
        <v>2614</v>
      </c>
      <c r="AD945">
        <f t="shared" si="99"/>
        <v>0</v>
      </c>
      <c r="AE945">
        <f t="shared" si="100"/>
        <v>1</v>
      </c>
      <c r="AF945" t="e">
        <f t="shared" si="101"/>
        <v>#N/A</v>
      </c>
      <c r="AG945" t="e">
        <f t="shared" si="102"/>
        <v>#N/A</v>
      </c>
      <c r="AH945">
        <f t="shared" si="103"/>
        <v>2.78</v>
      </c>
      <c r="AI945" t="e">
        <f t="shared" si="104"/>
        <v>#N/A</v>
      </c>
    </row>
    <row r="946" spans="1:35" x14ac:dyDescent="0.45">
      <c r="A946" t="s">
        <v>2517</v>
      </c>
      <c r="B946">
        <v>60</v>
      </c>
      <c r="C946" t="s">
        <v>44</v>
      </c>
      <c r="D946" t="s">
        <v>95</v>
      </c>
      <c r="E946" t="s">
        <v>46</v>
      </c>
      <c r="F946" t="s">
        <v>2614</v>
      </c>
      <c r="G946" t="s">
        <v>80</v>
      </c>
      <c r="H946" t="s">
        <v>71</v>
      </c>
      <c r="I946" t="s">
        <v>132</v>
      </c>
      <c r="J946" t="s">
        <v>2518</v>
      </c>
      <c r="K946" t="s">
        <v>917</v>
      </c>
      <c r="L946" t="s">
        <v>64</v>
      </c>
      <c r="M946" t="s">
        <v>40</v>
      </c>
      <c r="N946" t="s">
        <v>327</v>
      </c>
      <c r="O946" t="s">
        <v>64</v>
      </c>
      <c r="P946" t="s">
        <v>110</v>
      </c>
      <c r="Q946" t="s">
        <v>129</v>
      </c>
      <c r="R946">
        <v>64</v>
      </c>
      <c r="S946">
        <v>0</v>
      </c>
      <c r="T946" t="s">
        <v>85</v>
      </c>
      <c r="U946" t="s">
        <v>42</v>
      </c>
      <c r="V946">
        <v>2.2000000000000002</v>
      </c>
      <c r="W946">
        <v>2.9</v>
      </c>
      <c r="X946">
        <v>2.5</v>
      </c>
      <c r="Y946">
        <v>12.4</v>
      </c>
      <c r="Z946">
        <v>9.8000000000000007</v>
      </c>
      <c r="AA946">
        <f>VALUE(SUBSTITUTE(DACS19___Pfizer’s_Personalised_Medicine_in[[#This Row],[Dose]],"mg",""))</f>
        <v>150</v>
      </c>
      <c r="AB946">
        <f t="shared" si="98"/>
        <v>150</v>
      </c>
      <c r="AC946" t="s">
        <v>129</v>
      </c>
      <c r="AD946">
        <f t="shared" si="99"/>
        <v>4</v>
      </c>
      <c r="AE946">
        <f t="shared" si="100"/>
        <v>1</v>
      </c>
      <c r="AF946" t="e">
        <f t="shared" si="101"/>
        <v>#N/A</v>
      </c>
      <c r="AG946">
        <f t="shared" si="102"/>
        <v>2.9</v>
      </c>
      <c r="AH946" t="e">
        <f t="shared" si="103"/>
        <v>#N/A</v>
      </c>
      <c r="AI946" t="e">
        <f t="shared" si="104"/>
        <v>#N/A</v>
      </c>
    </row>
    <row r="947" spans="1:35" x14ac:dyDescent="0.45">
      <c r="A947" t="s">
        <v>2519</v>
      </c>
      <c r="B947">
        <v>78</v>
      </c>
      <c r="C947" t="s">
        <v>44</v>
      </c>
      <c r="D947" t="s">
        <v>106</v>
      </c>
      <c r="E947" t="s">
        <v>78</v>
      </c>
      <c r="F947" t="s">
        <v>79</v>
      </c>
      <c r="G947" t="s">
        <v>178</v>
      </c>
      <c r="H947" t="s">
        <v>81</v>
      </c>
      <c r="I947" t="s">
        <v>33</v>
      </c>
      <c r="J947" t="s">
        <v>356</v>
      </c>
      <c r="K947" t="s">
        <v>2520</v>
      </c>
      <c r="L947" t="s">
        <v>64</v>
      </c>
      <c r="M947" t="s">
        <v>75</v>
      </c>
      <c r="N947" t="s">
        <v>630</v>
      </c>
      <c r="O947" t="s">
        <v>64</v>
      </c>
      <c r="P947" t="s">
        <v>55</v>
      </c>
      <c r="Q947" t="s">
        <v>2614</v>
      </c>
      <c r="R947">
        <v>95</v>
      </c>
      <c r="S947">
        <v>0</v>
      </c>
      <c r="T947" t="s">
        <v>123</v>
      </c>
      <c r="U947" t="s">
        <v>57</v>
      </c>
      <c r="V947">
        <v>1.23</v>
      </c>
      <c r="W947">
        <v>3.33</v>
      </c>
      <c r="X947">
        <v>9</v>
      </c>
      <c r="Y947">
        <v>8.6999999999999993</v>
      </c>
      <c r="Z947">
        <v>13.2</v>
      </c>
      <c r="AA947">
        <f>VALUE(SUBSTITUTE(DACS19___Pfizer’s_Personalised_Medicine_in[[#This Row],[Dose]],"mg",""))</f>
        <v>150</v>
      </c>
      <c r="AB947">
        <f t="shared" si="98"/>
        <v>150</v>
      </c>
      <c r="AC947" t="s">
        <v>2614</v>
      </c>
      <c r="AD947">
        <f t="shared" si="99"/>
        <v>0</v>
      </c>
      <c r="AE947">
        <f t="shared" si="100"/>
        <v>2</v>
      </c>
      <c r="AF947" t="e">
        <f t="shared" si="101"/>
        <v>#N/A</v>
      </c>
      <c r="AG947" t="e">
        <f t="shared" si="102"/>
        <v>#N/A</v>
      </c>
      <c r="AH947" t="e">
        <f t="shared" si="103"/>
        <v>#N/A</v>
      </c>
      <c r="AI947">
        <f t="shared" si="104"/>
        <v>3.33</v>
      </c>
    </row>
    <row r="948" spans="1:35" x14ac:dyDescent="0.45">
      <c r="A948" t="s">
        <v>2521</v>
      </c>
      <c r="B948">
        <v>27</v>
      </c>
      <c r="C948" t="s">
        <v>27</v>
      </c>
      <c r="D948" t="s">
        <v>87</v>
      </c>
      <c r="E948" t="s">
        <v>29</v>
      </c>
      <c r="F948" t="s">
        <v>2614</v>
      </c>
      <c r="G948" t="s">
        <v>440</v>
      </c>
      <c r="H948" t="s">
        <v>32</v>
      </c>
      <c r="I948" t="s">
        <v>72</v>
      </c>
      <c r="J948" t="s">
        <v>2522</v>
      </c>
      <c r="K948" t="s">
        <v>1523</v>
      </c>
      <c r="L948" t="s">
        <v>64</v>
      </c>
      <c r="M948" t="s">
        <v>2639</v>
      </c>
      <c r="N948" t="s">
        <v>208</v>
      </c>
      <c r="O948" t="s">
        <v>64</v>
      </c>
      <c r="P948" t="s">
        <v>39</v>
      </c>
      <c r="Q948" t="s">
        <v>129</v>
      </c>
      <c r="R948">
        <v>78</v>
      </c>
      <c r="S948">
        <v>1</v>
      </c>
      <c r="T948" t="s">
        <v>85</v>
      </c>
      <c r="U948" t="s">
        <v>42</v>
      </c>
      <c r="V948">
        <v>3.66</v>
      </c>
      <c r="W948">
        <v>2.68</v>
      </c>
      <c r="X948">
        <v>7.3</v>
      </c>
      <c r="Y948">
        <v>13.4</v>
      </c>
      <c r="Z948">
        <v>11.6</v>
      </c>
      <c r="AA948">
        <f>VALUE(SUBSTITUTE(DACS19___Pfizer’s_Personalised_Medicine_in[[#This Row],[Dose]],"mg",""))</f>
        <v>150</v>
      </c>
      <c r="AB948">
        <f t="shared" si="98"/>
        <v>150</v>
      </c>
      <c r="AC948" t="s">
        <v>129</v>
      </c>
      <c r="AD948">
        <f t="shared" si="99"/>
        <v>4</v>
      </c>
      <c r="AE948">
        <f t="shared" si="100"/>
        <v>3</v>
      </c>
      <c r="AF948" t="e">
        <f t="shared" si="101"/>
        <v>#N/A</v>
      </c>
      <c r="AG948" t="e">
        <f t="shared" si="102"/>
        <v>#N/A</v>
      </c>
      <c r="AH948">
        <f t="shared" si="103"/>
        <v>2.68</v>
      </c>
      <c r="AI948" t="e">
        <f t="shared" si="104"/>
        <v>#N/A</v>
      </c>
    </row>
    <row r="949" spans="1:35" x14ac:dyDescent="0.45">
      <c r="A949" t="s">
        <v>2523</v>
      </c>
      <c r="B949">
        <v>35</v>
      </c>
      <c r="C949" t="s">
        <v>44</v>
      </c>
      <c r="D949" t="s">
        <v>106</v>
      </c>
      <c r="E949" t="s">
        <v>163</v>
      </c>
      <c r="F949" t="s">
        <v>47</v>
      </c>
      <c r="G949" t="s">
        <v>48</v>
      </c>
      <c r="H949" t="s">
        <v>71</v>
      </c>
      <c r="I949" t="s">
        <v>33</v>
      </c>
      <c r="J949" t="s">
        <v>1207</v>
      </c>
      <c r="K949" t="s">
        <v>2524</v>
      </c>
      <c r="L949" t="s">
        <v>64</v>
      </c>
      <c r="M949" t="s">
        <v>2653</v>
      </c>
      <c r="N949" t="s">
        <v>463</v>
      </c>
      <c r="O949" t="s">
        <v>64</v>
      </c>
      <c r="P949" t="s">
        <v>110</v>
      </c>
      <c r="Q949" t="s">
        <v>75</v>
      </c>
      <c r="R949">
        <v>88</v>
      </c>
      <c r="S949">
        <v>0</v>
      </c>
      <c r="T949" t="s">
        <v>85</v>
      </c>
      <c r="U949" t="s">
        <v>57</v>
      </c>
      <c r="V949">
        <v>1.03</v>
      </c>
      <c r="W949">
        <v>3.77</v>
      </c>
      <c r="X949">
        <v>7</v>
      </c>
      <c r="Y949">
        <v>6.7</v>
      </c>
      <c r="Z949">
        <v>9.3000000000000007</v>
      </c>
      <c r="AA949">
        <f>VALUE(SUBSTITUTE(DACS19___Pfizer’s_Personalised_Medicine_in[[#This Row],[Dose]],"mg",""))</f>
        <v>150</v>
      </c>
      <c r="AB949">
        <f t="shared" si="98"/>
        <v>150</v>
      </c>
      <c r="AC949" t="s">
        <v>75</v>
      </c>
      <c r="AD949">
        <f t="shared" si="99"/>
        <v>1</v>
      </c>
      <c r="AE949">
        <f t="shared" si="100"/>
        <v>1</v>
      </c>
      <c r="AF949" t="e">
        <f t="shared" si="101"/>
        <v>#N/A</v>
      </c>
      <c r="AG949">
        <f t="shared" si="102"/>
        <v>3.77</v>
      </c>
      <c r="AH949" t="e">
        <f t="shared" si="103"/>
        <v>#N/A</v>
      </c>
      <c r="AI949" t="e">
        <f t="shared" si="104"/>
        <v>#N/A</v>
      </c>
    </row>
    <row r="950" spans="1:35" x14ac:dyDescent="0.45">
      <c r="A950" t="s">
        <v>2525</v>
      </c>
      <c r="B950">
        <v>45</v>
      </c>
      <c r="C950" t="s">
        <v>27</v>
      </c>
      <c r="D950" t="s">
        <v>45</v>
      </c>
      <c r="E950" t="s">
        <v>78</v>
      </c>
      <c r="F950" t="s">
        <v>2614</v>
      </c>
      <c r="G950" t="s">
        <v>118</v>
      </c>
      <c r="H950" t="s">
        <v>81</v>
      </c>
      <c r="I950" t="s">
        <v>33</v>
      </c>
      <c r="J950" t="s">
        <v>1225</v>
      </c>
      <c r="K950" t="s">
        <v>1268</v>
      </c>
      <c r="L950" t="s">
        <v>92</v>
      </c>
      <c r="M950" t="s">
        <v>2635</v>
      </c>
      <c r="N950" t="s">
        <v>203</v>
      </c>
      <c r="O950" t="s">
        <v>92</v>
      </c>
      <c r="P950" t="s">
        <v>55</v>
      </c>
      <c r="Q950" t="s">
        <v>75</v>
      </c>
      <c r="R950">
        <v>160</v>
      </c>
      <c r="S950">
        <v>0</v>
      </c>
      <c r="T950" t="s">
        <v>56</v>
      </c>
      <c r="U950" t="s">
        <v>57</v>
      </c>
      <c r="V950">
        <v>4.92</v>
      </c>
      <c r="W950">
        <v>2.68</v>
      </c>
      <c r="X950">
        <v>5.5</v>
      </c>
      <c r="Y950">
        <v>22.4</v>
      </c>
      <c r="Z950">
        <v>15.2</v>
      </c>
      <c r="AA950">
        <f>VALUE(SUBSTITUTE(DACS19___Pfizer’s_Personalised_Medicine_in[[#This Row],[Dose]],"mg",""))</f>
        <v>50</v>
      </c>
      <c r="AB950">
        <f t="shared" si="98"/>
        <v>50</v>
      </c>
      <c r="AC950" t="s">
        <v>75</v>
      </c>
      <c r="AD950">
        <f t="shared" si="99"/>
        <v>1</v>
      </c>
      <c r="AE950">
        <f t="shared" si="100"/>
        <v>2</v>
      </c>
      <c r="AF950" t="e">
        <f t="shared" si="101"/>
        <v>#N/A</v>
      </c>
      <c r="AG950" t="e">
        <f t="shared" si="102"/>
        <v>#N/A</v>
      </c>
      <c r="AH950" t="e">
        <f t="shared" si="103"/>
        <v>#N/A</v>
      </c>
      <c r="AI950">
        <f t="shared" si="104"/>
        <v>2.68</v>
      </c>
    </row>
    <row r="951" spans="1:35" x14ac:dyDescent="0.45">
      <c r="A951" t="s">
        <v>2526</v>
      </c>
      <c r="B951">
        <v>58</v>
      </c>
      <c r="C951" t="s">
        <v>44</v>
      </c>
      <c r="D951" t="s">
        <v>87</v>
      </c>
      <c r="E951" t="s">
        <v>46</v>
      </c>
      <c r="F951" t="s">
        <v>2614</v>
      </c>
      <c r="G951" t="s">
        <v>31</v>
      </c>
      <c r="H951" t="s">
        <v>81</v>
      </c>
      <c r="I951" t="s">
        <v>72</v>
      </c>
      <c r="J951" t="s">
        <v>1193</v>
      </c>
      <c r="K951" t="s">
        <v>211</v>
      </c>
      <c r="L951" t="s">
        <v>52</v>
      </c>
      <c r="M951" t="s">
        <v>40</v>
      </c>
      <c r="N951" t="s">
        <v>172</v>
      </c>
      <c r="O951" t="s">
        <v>52</v>
      </c>
      <c r="P951" t="s">
        <v>110</v>
      </c>
      <c r="Q951" t="s">
        <v>129</v>
      </c>
      <c r="R951">
        <v>57</v>
      </c>
      <c r="S951">
        <v>0</v>
      </c>
      <c r="T951" t="s">
        <v>56</v>
      </c>
      <c r="U951" t="s">
        <v>57</v>
      </c>
      <c r="V951">
        <v>3.33</v>
      </c>
      <c r="W951">
        <v>4.1900000000000004</v>
      </c>
      <c r="X951">
        <v>8.8000000000000007</v>
      </c>
      <c r="Y951">
        <v>14.2</v>
      </c>
      <c r="Z951">
        <v>11.1</v>
      </c>
      <c r="AA951">
        <f>VALUE(SUBSTITUTE(DACS19___Pfizer’s_Personalised_Medicine_in[[#This Row],[Dose]],"mg",""))</f>
        <v>100</v>
      </c>
      <c r="AB951">
        <f t="shared" si="98"/>
        <v>100</v>
      </c>
      <c r="AC951" t="s">
        <v>129</v>
      </c>
      <c r="AD951">
        <f t="shared" si="99"/>
        <v>4</v>
      </c>
      <c r="AE951">
        <f t="shared" si="100"/>
        <v>1</v>
      </c>
      <c r="AF951" t="e">
        <f t="shared" si="101"/>
        <v>#N/A</v>
      </c>
      <c r="AG951" t="e">
        <f t="shared" si="102"/>
        <v>#N/A</v>
      </c>
      <c r="AH951" t="e">
        <f t="shared" si="103"/>
        <v>#N/A</v>
      </c>
      <c r="AI951">
        <f t="shared" si="104"/>
        <v>4.1900000000000004</v>
      </c>
    </row>
    <row r="952" spans="1:35" x14ac:dyDescent="0.45">
      <c r="A952" t="s">
        <v>2527</v>
      </c>
      <c r="B952">
        <v>22</v>
      </c>
      <c r="C952" t="s">
        <v>27</v>
      </c>
      <c r="D952" t="s">
        <v>28</v>
      </c>
      <c r="E952" t="s">
        <v>46</v>
      </c>
      <c r="F952" t="s">
        <v>2614</v>
      </c>
      <c r="G952" t="s">
        <v>246</v>
      </c>
      <c r="H952" t="s">
        <v>61</v>
      </c>
      <c r="I952" t="s">
        <v>33</v>
      </c>
      <c r="J952" t="s">
        <v>735</v>
      </c>
      <c r="K952" t="s">
        <v>307</v>
      </c>
      <c r="L952" t="s">
        <v>64</v>
      </c>
      <c r="M952" t="s">
        <v>249</v>
      </c>
      <c r="N952" t="s">
        <v>217</v>
      </c>
      <c r="O952" t="s">
        <v>64</v>
      </c>
      <c r="P952" t="s">
        <v>55</v>
      </c>
      <c r="Q952" t="s">
        <v>40</v>
      </c>
      <c r="R952">
        <v>145</v>
      </c>
      <c r="S952">
        <v>0</v>
      </c>
      <c r="T952" t="s">
        <v>123</v>
      </c>
      <c r="U952" t="s">
        <v>57</v>
      </c>
      <c r="V952">
        <v>2.54</v>
      </c>
      <c r="W952">
        <v>4.87</v>
      </c>
      <c r="X952">
        <v>7.3</v>
      </c>
      <c r="Y952">
        <v>7.5</v>
      </c>
      <c r="Z952">
        <v>17.7</v>
      </c>
      <c r="AA952">
        <f>VALUE(SUBSTITUTE(DACS19___Pfizer’s_Personalised_Medicine_in[[#This Row],[Dose]],"mg",""))</f>
        <v>150</v>
      </c>
      <c r="AB952">
        <f t="shared" si="98"/>
        <v>150</v>
      </c>
      <c r="AC952" t="s">
        <v>40</v>
      </c>
      <c r="AD952">
        <f t="shared" si="99"/>
        <v>3</v>
      </c>
      <c r="AE952">
        <f t="shared" si="100"/>
        <v>2</v>
      </c>
      <c r="AF952">
        <f t="shared" si="101"/>
        <v>4.87</v>
      </c>
      <c r="AG952" t="e">
        <f t="shared" si="102"/>
        <v>#N/A</v>
      </c>
      <c r="AH952" t="e">
        <f t="shared" si="103"/>
        <v>#N/A</v>
      </c>
      <c r="AI952" t="e">
        <f t="shared" si="104"/>
        <v>#N/A</v>
      </c>
    </row>
    <row r="953" spans="1:35" x14ac:dyDescent="0.45">
      <c r="A953" t="s">
        <v>2528</v>
      </c>
      <c r="B953">
        <v>30</v>
      </c>
      <c r="C953" t="s">
        <v>27</v>
      </c>
      <c r="D953" t="s">
        <v>87</v>
      </c>
      <c r="E953" t="s">
        <v>29</v>
      </c>
      <c r="F953" t="s">
        <v>88</v>
      </c>
      <c r="G953" t="s">
        <v>194</v>
      </c>
      <c r="H953" t="s">
        <v>71</v>
      </c>
      <c r="I953" t="s">
        <v>33</v>
      </c>
      <c r="J953" t="s">
        <v>2529</v>
      </c>
      <c r="K953" t="s">
        <v>381</v>
      </c>
      <c r="L953" t="s">
        <v>36</v>
      </c>
      <c r="M953" t="s">
        <v>2614</v>
      </c>
      <c r="N953" t="s">
        <v>550</v>
      </c>
      <c r="O953" t="s">
        <v>36</v>
      </c>
      <c r="P953" t="s">
        <v>39</v>
      </c>
      <c r="Q953" t="s">
        <v>129</v>
      </c>
      <c r="R953">
        <v>97</v>
      </c>
      <c r="S953">
        <v>1</v>
      </c>
      <c r="T953" t="s">
        <v>123</v>
      </c>
      <c r="U953" t="s">
        <v>42</v>
      </c>
      <c r="V953">
        <v>2.92</v>
      </c>
      <c r="W953">
        <v>1.28</v>
      </c>
      <c r="X953">
        <v>5.9</v>
      </c>
      <c r="Y953">
        <v>13.5</v>
      </c>
      <c r="Z953">
        <v>17.899999999999999</v>
      </c>
      <c r="AA953">
        <f>VALUE(SUBSTITUTE(DACS19___Pfizer’s_Personalised_Medicine_in[[#This Row],[Dose]],"mg",""))</f>
        <v>200</v>
      </c>
      <c r="AB953">
        <f t="shared" si="98"/>
        <v>200</v>
      </c>
      <c r="AC953" t="s">
        <v>129</v>
      </c>
      <c r="AD953">
        <f t="shared" si="99"/>
        <v>4</v>
      </c>
      <c r="AE953">
        <f t="shared" si="100"/>
        <v>3</v>
      </c>
      <c r="AF953" t="e">
        <f t="shared" si="101"/>
        <v>#N/A</v>
      </c>
      <c r="AG953">
        <f t="shared" si="102"/>
        <v>1.28</v>
      </c>
      <c r="AH953" t="e">
        <f t="shared" si="103"/>
        <v>#N/A</v>
      </c>
      <c r="AI953" t="e">
        <f t="shared" si="104"/>
        <v>#N/A</v>
      </c>
    </row>
    <row r="954" spans="1:35" x14ac:dyDescent="0.45">
      <c r="A954" t="s">
        <v>2530</v>
      </c>
      <c r="B954">
        <v>47</v>
      </c>
      <c r="C954" t="s">
        <v>27</v>
      </c>
      <c r="D954" t="s">
        <v>45</v>
      </c>
      <c r="E954" t="s">
        <v>163</v>
      </c>
      <c r="F954" t="s">
        <v>2614</v>
      </c>
      <c r="G954" t="s">
        <v>194</v>
      </c>
      <c r="H954" t="s">
        <v>81</v>
      </c>
      <c r="I954" t="s">
        <v>33</v>
      </c>
      <c r="J954" t="s">
        <v>648</v>
      </c>
      <c r="K954" t="s">
        <v>649</v>
      </c>
      <c r="L954" t="s">
        <v>64</v>
      </c>
      <c r="M954" t="s">
        <v>129</v>
      </c>
      <c r="N954" t="s">
        <v>296</v>
      </c>
      <c r="O954" t="s">
        <v>64</v>
      </c>
      <c r="P954" t="s">
        <v>110</v>
      </c>
      <c r="Q954" t="s">
        <v>40</v>
      </c>
      <c r="R954">
        <v>99</v>
      </c>
      <c r="S954">
        <v>0</v>
      </c>
      <c r="T954" t="s">
        <v>123</v>
      </c>
      <c r="U954" t="s">
        <v>42</v>
      </c>
      <c r="V954">
        <v>1.82</v>
      </c>
      <c r="W954">
        <v>4.3099999999999996</v>
      </c>
      <c r="X954">
        <v>6</v>
      </c>
      <c r="Y954">
        <v>7</v>
      </c>
      <c r="Z954">
        <v>19.5</v>
      </c>
      <c r="AA954">
        <f>VALUE(SUBSTITUTE(DACS19___Pfizer’s_Personalised_Medicine_in[[#This Row],[Dose]],"mg",""))</f>
        <v>150</v>
      </c>
      <c r="AB954">
        <f t="shared" si="98"/>
        <v>150</v>
      </c>
      <c r="AC954" t="s">
        <v>40</v>
      </c>
      <c r="AD954">
        <f t="shared" si="99"/>
        <v>3</v>
      </c>
      <c r="AE954">
        <f t="shared" si="100"/>
        <v>1</v>
      </c>
      <c r="AF954" t="e">
        <f t="shared" si="101"/>
        <v>#N/A</v>
      </c>
      <c r="AG954" t="e">
        <f t="shared" si="102"/>
        <v>#N/A</v>
      </c>
      <c r="AH954" t="e">
        <f t="shared" si="103"/>
        <v>#N/A</v>
      </c>
      <c r="AI954">
        <f t="shared" si="104"/>
        <v>4.3099999999999996</v>
      </c>
    </row>
    <row r="955" spans="1:35" x14ac:dyDescent="0.45">
      <c r="A955" t="s">
        <v>2531</v>
      </c>
      <c r="B955">
        <v>38</v>
      </c>
      <c r="C955" t="s">
        <v>44</v>
      </c>
      <c r="D955" t="s">
        <v>28</v>
      </c>
      <c r="E955" t="s">
        <v>46</v>
      </c>
      <c r="F955" t="s">
        <v>2614</v>
      </c>
      <c r="G955" t="s">
        <v>125</v>
      </c>
      <c r="H955" t="s">
        <v>61</v>
      </c>
      <c r="I955" t="s">
        <v>33</v>
      </c>
      <c r="J955" t="s">
        <v>1497</v>
      </c>
      <c r="K955" t="s">
        <v>1942</v>
      </c>
      <c r="L955" t="s">
        <v>52</v>
      </c>
      <c r="M955" t="s">
        <v>2614</v>
      </c>
      <c r="N955" t="s">
        <v>2118</v>
      </c>
      <c r="O955" t="s">
        <v>52</v>
      </c>
      <c r="P955" t="s">
        <v>55</v>
      </c>
      <c r="Q955" t="s">
        <v>129</v>
      </c>
      <c r="R955">
        <v>180</v>
      </c>
      <c r="S955">
        <v>0</v>
      </c>
      <c r="T955" t="s">
        <v>85</v>
      </c>
      <c r="U955" t="s">
        <v>57</v>
      </c>
      <c r="V955">
        <v>3.05</v>
      </c>
      <c r="W955">
        <v>2.16</v>
      </c>
      <c r="X955">
        <v>5.2</v>
      </c>
      <c r="Y955">
        <v>21.4</v>
      </c>
      <c r="Z955">
        <v>8.1999999999999993</v>
      </c>
      <c r="AA955">
        <f>VALUE(SUBSTITUTE(DACS19___Pfizer’s_Personalised_Medicine_in[[#This Row],[Dose]],"mg",""))</f>
        <v>100</v>
      </c>
      <c r="AB955">
        <f t="shared" si="98"/>
        <v>100</v>
      </c>
      <c r="AC955" t="s">
        <v>129</v>
      </c>
      <c r="AD955">
        <f t="shared" si="99"/>
        <v>4</v>
      </c>
      <c r="AE955">
        <f t="shared" si="100"/>
        <v>2</v>
      </c>
      <c r="AF955">
        <f t="shared" si="101"/>
        <v>2.16</v>
      </c>
      <c r="AG955" t="e">
        <f t="shared" si="102"/>
        <v>#N/A</v>
      </c>
      <c r="AH955" t="e">
        <f t="shared" si="103"/>
        <v>#N/A</v>
      </c>
      <c r="AI955" t="e">
        <f t="shared" si="104"/>
        <v>#N/A</v>
      </c>
    </row>
    <row r="956" spans="1:35" x14ac:dyDescent="0.45">
      <c r="A956" t="s">
        <v>2532</v>
      </c>
      <c r="B956">
        <v>37</v>
      </c>
      <c r="C956" t="s">
        <v>45</v>
      </c>
      <c r="D956" t="s">
        <v>95</v>
      </c>
      <c r="E956" t="s">
        <v>2614</v>
      </c>
      <c r="F956" t="s">
        <v>2614</v>
      </c>
      <c r="G956" t="s">
        <v>80</v>
      </c>
      <c r="H956" t="s">
        <v>81</v>
      </c>
      <c r="I956" t="s">
        <v>72</v>
      </c>
      <c r="J956" t="s">
        <v>870</v>
      </c>
      <c r="K956" t="s">
        <v>2533</v>
      </c>
      <c r="L956" t="s">
        <v>36</v>
      </c>
      <c r="M956" t="s">
        <v>339</v>
      </c>
      <c r="N956" t="s">
        <v>198</v>
      </c>
      <c r="O956" t="s">
        <v>36</v>
      </c>
      <c r="P956" t="s">
        <v>39</v>
      </c>
      <c r="Q956" t="s">
        <v>2614</v>
      </c>
      <c r="R956">
        <v>84</v>
      </c>
      <c r="S956">
        <v>1</v>
      </c>
      <c r="T956" t="s">
        <v>41</v>
      </c>
      <c r="U956" t="s">
        <v>57</v>
      </c>
      <c r="V956">
        <v>1.77</v>
      </c>
      <c r="W956">
        <v>1.52</v>
      </c>
      <c r="X956">
        <v>3.7</v>
      </c>
      <c r="Y956">
        <v>20</v>
      </c>
      <c r="Z956">
        <v>11</v>
      </c>
      <c r="AA956">
        <f>VALUE(SUBSTITUTE(DACS19___Pfizer’s_Personalised_Medicine_in[[#This Row],[Dose]],"mg",""))</f>
        <v>200</v>
      </c>
      <c r="AB956">
        <f t="shared" si="98"/>
        <v>200</v>
      </c>
      <c r="AC956" t="s">
        <v>2614</v>
      </c>
      <c r="AD956">
        <f t="shared" si="99"/>
        <v>0</v>
      </c>
      <c r="AE956">
        <f t="shared" si="100"/>
        <v>3</v>
      </c>
      <c r="AF956" t="e">
        <f t="shared" si="101"/>
        <v>#N/A</v>
      </c>
      <c r="AG956" t="e">
        <f t="shared" si="102"/>
        <v>#N/A</v>
      </c>
      <c r="AH956" t="e">
        <f t="shared" si="103"/>
        <v>#N/A</v>
      </c>
      <c r="AI956">
        <f t="shared" si="104"/>
        <v>1.52</v>
      </c>
    </row>
    <row r="957" spans="1:35" x14ac:dyDescent="0.45">
      <c r="A957" t="s">
        <v>2534</v>
      </c>
      <c r="B957">
        <v>30</v>
      </c>
      <c r="C957" t="s">
        <v>27</v>
      </c>
      <c r="D957" t="s">
        <v>45</v>
      </c>
      <c r="E957" t="s">
        <v>29</v>
      </c>
      <c r="F957" t="s">
        <v>79</v>
      </c>
      <c r="G957" t="s">
        <v>276</v>
      </c>
      <c r="H957" t="s">
        <v>81</v>
      </c>
      <c r="I957" t="s">
        <v>33</v>
      </c>
      <c r="J957" t="s">
        <v>2535</v>
      </c>
      <c r="K957" t="s">
        <v>97</v>
      </c>
      <c r="L957" t="s">
        <v>92</v>
      </c>
      <c r="M957" t="s">
        <v>274</v>
      </c>
      <c r="N957" t="s">
        <v>2118</v>
      </c>
      <c r="O957" t="s">
        <v>92</v>
      </c>
      <c r="P957" t="s">
        <v>55</v>
      </c>
      <c r="Q957" t="s">
        <v>40</v>
      </c>
      <c r="R957">
        <v>73</v>
      </c>
      <c r="S957">
        <v>0</v>
      </c>
      <c r="T957" t="s">
        <v>123</v>
      </c>
      <c r="U957" t="s">
        <v>42</v>
      </c>
      <c r="V957">
        <v>1.91</v>
      </c>
      <c r="W957">
        <v>1.66</v>
      </c>
      <c r="X957">
        <v>4</v>
      </c>
      <c r="Y957">
        <v>22.9</v>
      </c>
      <c r="Z957">
        <v>8.8000000000000007</v>
      </c>
      <c r="AA957">
        <f>VALUE(SUBSTITUTE(DACS19___Pfizer’s_Personalised_Medicine_in[[#This Row],[Dose]],"mg",""))</f>
        <v>50</v>
      </c>
      <c r="AB957">
        <f t="shared" si="98"/>
        <v>50</v>
      </c>
      <c r="AC957" t="s">
        <v>40</v>
      </c>
      <c r="AD957">
        <f t="shared" si="99"/>
        <v>3</v>
      </c>
      <c r="AE957">
        <f t="shared" si="100"/>
        <v>2</v>
      </c>
      <c r="AF957" t="e">
        <f t="shared" si="101"/>
        <v>#N/A</v>
      </c>
      <c r="AG957" t="e">
        <f t="shared" si="102"/>
        <v>#N/A</v>
      </c>
      <c r="AH957" t="e">
        <f t="shared" si="103"/>
        <v>#N/A</v>
      </c>
      <c r="AI957">
        <f t="shared" si="104"/>
        <v>1.66</v>
      </c>
    </row>
    <row r="958" spans="1:35" x14ac:dyDescent="0.45">
      <c r="A958" t="s">
        <v>2536</v>
      </c>
      <c r="B958">
        <v>22</v>
      </c>
      <c r="C958" t="s">
        <v>27</v>
      </c>
      <c r="D958" t="s">
        <v>45</v>
      </c>
      <c r="E958" t="s">
        <v>2614</v>
      </c>
      <c r="F958" t="s">
        <v>2614</v>
      </c>
      <c r="G958" t="s">
        <v>60</v>
      </c>
      <c r="H958" t="s">
        <v>81</v>
      </c>
      <c r="I958" t="s">
        <v>33</v>
      </c>
      <c r="J958" t="s">
        <v>1778</v>
      </c>
      <c r="K958" t="s">
        <v>1822</v>
      </c>
      <c r="L958" t="s">
        <v>52</v>
      </c>
      <c r="M958" t="s">
        <v>536</v>
      </c>
      <c r="N958" t="s">
        <v>636</v>
      </c>
      <c r="O958" t="s">
        <v>52</v>
      </c>
      <c r="P958" t="s">
        <v>55</v>
      </c>
      <c r="Q958" t="s">
        <v>40</v>
      </c>
      <c r="R958">
        <v>151</v>
      </c>
      <c r="S958">
        <v>0</v>
      </c>
      <c r="T958" t="s">
        <v>85</v>
      </c>
      <c r="U958" t="s">
        <v>57</v>
      </c>
      <c r="V958">
        <v>4.95</v>
      </c>
      <c r="W958">
        <v>2.94</v>
      </c>
      <c r="X958">
        <v>2.6</v>
      </c>
      <c r="Y958">
        <v>22</v>
      </c>
      <c r="Z958">
        <v>10.8</v>
      </c>
      <c r="AA958">
        <f>VALUE(SUBSTITUTE(DACS19___Pfizer’s_Personalised_Medicine_in[[#This Row],[Dose]],"mg",""))</f>
        <v>100</v>
      </c>
      <c r="AB958">
        <f t="shared" si="98"/>
        <v>100</v>
      </c>
      <c r="AC958" t="s">
        <v>40</v>
      </c>
      <c r="AD958">
        <f t="shared" si="99"/>
        <v>3</v>
      </c>
      <c r="AE958">
        <f t="shared" si="100"/>
        <v>2</v>
      </c>
      <c r="AF958" t="e">
        <f t="shared" si="101"/>
        <v>#N/A</v>
      </c>
      <c r="AG958" t="e">
        <f t="shared" si="102"/>
        <v>#N/A</v>
      </c>
      <c r="AH958" t="e">
        <f t="shared" si="103"/>
        <v>#N/A</v>
      </c>
      <c r="AI958">
        <f t="shared" si="104"/>
        <v>2.94</v>
      </c>
    </row>
    <row r="959" spans="1:35" x14ac:dyDescent="0.45">
      <c r="A959" t="s">
        <v>2537</v>
      </c>
      <c r="B959">
        <v>21</v>
      </c>
      <c r="C959" t="s">
        <v>27</v>
      </c>
      <c r="D959" t="s">
        <v>87</v>
      </c>
      <c r="E959" t="s">
        <v>78</v>
      </c>
      <c r="F959" t="s">
        <v>59</v>
      </c>
      <c r="G959" t="s">
        <v>80</v>
      </c>
      <c r="H959" t="s">
        <v>61</v>
      </c>
      <c r="I959" t="s">
        <v>49</v>
      </c>
      <c r="J959" t="s">
        <v>225</v>
      </c>
      <c r="K959" t="s">
        <v>2538</v>
      </c>
      <c r="L959" t="s">
        <v>92</v>
      </c>
      <c r="M959" t="s">
        <v>129</v>
      </c>
      <c r="N959" t="s">
        <v>142</v>
      </c>
      <c r="O959" t="s">
        <v>92</v>
      </c>
      <c r="P959" t="s">
        <v>55</v>
      </c>
      <c r="Q959" t="s">
        <v>67</v>
      </c>
      <c r="R959">
        <v>71</v>
      </c>
      <c r="S959">
        <v>0</v>
      </c>
      <c r="T959" t="s">
        <v>123</v>
      </c>
      <c r="U959" t="s">
        <v>42</v>
      </c>
      <c r="V959">
        <v>3.84</v>
      </c>
      <c r="W959">
        <v>4.93</v>
      </c>
      <c r="X959">
        <v>1.5</v>
      </c>
      <c r="Y959">
        <v>7.7</v>
      </c>
      <c r="Z959">
        <v>15.2</v>
      </c>
      <c r="AA959">
        <f>VALUE(SUBSTITUTE(DACS19___Pfizer’s_Personalised_Medicine_in[[#This Row],[Dose]],"mg",""))</f>
        <v>50</v>
      </c>
      <c r="AB959">
        <f t="shared" si="98"/>
        <v>50</v>
      </c>
      <c r="AC959" t="s">
        <v>67</v>
      </c>
      <c r="AD959">
        <f t="shared" si="99"/>
        <v>2</v>
      </c>
      <c r="AE959">
        <f t="shared" si="100"/>
        <v>2</v>
      </c>
      <c r="AF959">
        <f t="shared" si="101"/>
        <v>4.93</v>
      </c>
      <c r="AG959" t="e">
        <f t="shared" si="102"/>
        <v>#N/A</v>
      </c>
      <c r="AH959" t="e">
        <f t="shared" si="103"/>
        <v>#N/A</v>
      </c>
      <c r="AI959" t="e">
        <f t="shared" si="104"/>
        <v>#N/A</v>
      </c>
    </row>
    <row r="960" spans="1:35" x14ac:dyDescent="0.45">
      <c r="A960" t="s">
        <v>2539</v>
      </c>
      <c r="B960">
        <v>44</v>
      </c>
      <c r="C960" t="s">
        <v>45</v>
      </c>
      <c r="D960" t="s">
        <v>95</v>
      </c>
      <c r="E960" t="s">
        <v>29</v>
      </c>
      <c r="F960" t="s">
        <v>69</v>
      </c>
      <c r="G960" t="s">
        <v>70</v>
      </c>
      <c r="H960" t="s">
        <v>61</v>
      </c>
      <c r="I960" t="s">
        <v>33</v>
      </c>
      <c r="J960" t="s">
        <v>389</v>
      </c>
      <c r="K960" t="s">
        <v>1764</v>
      </c>
      <c r="L960" t="s">
        <v>92</v>
      </c>
      <c r="M960" t="s">
        <v>2633</v>
      </c>
      <c r="N960" t="s">
        <v>754</v>
      </c>
      <c r="O960" t="s">
        <v>92</v>
      </c>
      <c r="P960" t="s">
        <v>55</v>
      </c>
      <c r="Q960" t="s">
        <v>129</v>
      </c>
      <c r="R960">
        <v>156</v>
      </c>
      <c r="S960">
        <v>0</v>
      </c>
      <c r="T960" t="s">
        <v>123</v>
      </c>
      <c r="U960" t="s">
        <v>42</v>
      </c>
      <c r="V960">
        <v>2.13</v>
      </c>
      <c r="W960">
        <v>1.74</v>
      </c>
      <c r="X960">
        <v>1.4</v>
      </c>
      <c r="Y960">
        <v>6.4</v>
      </c>
      <c r="Z960">
        <v>16.2</v>
      </c>
      <c r="AA960">
        <f>VALUE(SUBSTITUTE(DACS19___Pfizer’s_Personalised_Medicine_in[[#This Row],[Dose]],"mg",""))</f>
        <v>50</v>
      </c>
      <c r="AB960">
        <f t="shared" si="98"/>
        <v>50</v>
      </c>
      <c r="AC960" t="s">
        <v>129</v>
      </c>
      <c r="AD960">
        <f t="shared" si="99"/>
        <v>4</v>
      </c>
      <c r="AE960">
        <f t="shared" si="100"/>
        <v>2</v>
      </c>
      <c r="AF960">
        <f t="shared" si="101"/>
        <v>1.74</v>
      </c>
      <c r="AG960" t="e">
        <f t="shared" si="102"/>
        <v>#N/A</v>
      </c>
      <c r="AH960" t="e">
        <f t="shared" si="103"/>
        <v>#N/A</v>
      </c>
      <c r="AI960" t="e">
        <f t="shared" si="104"/>
        <v>#N/A</v>
      </c>
    </row>
    <row r="961" spans="1:35" x14ac:dyDescent="0.45">
      <c r="A961" t="s">
        <v>2540</v>
      </c>
      <c r="B961">
        <v>26</v>
      </c>
      <c r="C961" t="s">
        <v>44</v>
      </c>
      <c r="D961" t="s">
        <v>87</v>
      </c>
      <c r="E961" t="s">
        <v>78</v>
      </c>
      <c r="F961" t="s">
        <v>79</v>
      </c>
      <c r="G961" t="s">
        <v>48</v>
      </c>
      <c r="H961" t="s">
        <v>61</v>
      </c>
      <c r="I961" t="s">
        <v>72</v>
      </c>
      <c r="J961" t="s">
        <v>2541</v>
      </c>
      <c r="K961" t="s">
        <v>523</v>
      </c>
      <c r="L961" t="s">
        <v>52</v>
      </c>
      <c r="M961" t="s">
        <v>2614</v>
      </c>
      <c r="N961" t="s">
        <v>109</v>
      </c>
      <c r="O961" t="s">
        <v>52</v>
      </c>
      <c r="P961" t="s">
        <v>39</v>
      </c>
      <c r="Q961" t="s">
        <v>40</v>
      </c>
      <c r="R961">
        <v>33</v>
      </c>
      <c r="S961">
        <v>1</v>
      </c>
      <c r="T961" t="s">
        <v>41</v>
      </c>
      <c r="U961" t="s">
        <v>57</v>
      </c>
      <c r="V961">
        <v>1.54</v>
      </c>
      <c r="W961">
        <v>2.87</v>
      </c>
      <c r="X961">
        <v>6.5</v>
      </c>
      <c r="Y961">
        <v>13.7</v>
      </c>
      <c r="Z961">
        <v>3.5</v>
      </c>
      <c r="AA961">
        <f>VALUE(SUBSTITUTE(DACS19___Pfizer’s_Personalised_Medicine_in[[#This Row],[Dose]],"mg",""))</f>
        <v>100</v>
      </c>
      <c r="AB961">
        <f t="shared" si="98"/>
        <v>100</v>
      </c>
      <c r="AC961" t="s">
        <v>40</v>
      </c>
      <c r="AD961">
        <f t="shared" si="99"/>
        <v>3</v>
      </c>
      <c r="AE961">
        <f t="shared" si="100"/>
        <v>3</v>
      </c>
      <c r="AF961">
        <f t="shared" si="101"/>
        <v>2.87</v>
      </c>
      <c r="AG961" t="e">
        <f t="shared" si="102"/>
        <v>#N/A</v>
      </c>
      <c r="AH961" t="e">
        <f t="shared" si="103"/>
        <v>#N/A</v>
      </c>
      <c r="AI961" t="e">
        <f t="shared" si="104"/>
        <v>#N/A</v>
      </c>
    </row>
    <row r="962" spans="1:35" x14ac:dyDescent="0.45">
      <c r="A962" t="s">
        <v>2542</v>
      </c>
      <c r="B962">
        <v>41</v>
      </c>
      <c r="C962" t="s">
        <v>27</v>
      </c>
      <c r="D962" t="s">
        <v>45</v>
      </c>
      <c r="E962" t="s">
        <v>2614</v>
      </c>
      <c r="F962" t="s">
        <v>2614</v>
      </c>
      <c r="G962" t="s">
        <v>96</v>
      </c>
      <c r="H962" t="s">
        <v>61</v>
      </c>
      <c r="I962" t="s">
        <v>132</v>
      </c>
      <c r="J962" t="s">
        <v>2543</v>
      </c>
      <c r="K962" t="s">
        <v>144</v>
      </c>
      <c r="L962" t="s">
        <v>36</v>
      </c>
      <c r="M962" t="s">
        <v>40</v>
      </c>
      <c r="N962" t="s">
        <v>66</v>
      </c>
      <c r="O962" t="s">
        <v>36</v>
      </c>
      <c r="P962" t="s">
        <v>39</v>
      </c>
      <c r="Q962" t="s">
        <v>67</v>
      </c>
      <c r="R962">
        <v>76</v>
      </c>
      <c r="S962">
        <v>1</v>
      </c>
      <c r="T962" t="s">
        <v>56</v>
      </c>
      <c r="U962" t="s">
        <v>57</v>
      </c>
      <c r="V962">
        <v>4.13</v>
      </c>
      <c r="W962">
        <v>1.04</v>
      </c>
      <c r="X962">
        <v>7.9</v>
      </c>
      <c r="Y962">
        <v>22.1</v>
      </c>
      <c r="Z962">
        <v>10.4</v>
      </c>
      <c r="AA962">
        <f>VALUE(SUBSTITUTE(DACS19___Pfizer’s_Personalised_Medicine_in[[#This Row],[Dose]],"mg",""))</f>
        <v>200</v>
      </c>
      <c r="AB962">
        <f t="shared" ref="AB962:AB1001" si="105">VALUE(SUBSTITUTE(O962,"mg",""))</f>
        <v>200</v>
      </c>
      <c r="AC962" t="s">
        <v>67</v>
      </c>
      <c r="AD962">
        <f t="shared" ref="AD962:AD1001" si="106">IF(Q962="","",IF(Q962="Dizziness",1,IF(Q962="Fatigue",2,IF(Q962="Headache",3,IF(Q962="Nausea",4,IF(Q962="Not Reported",0,""))))))</f>
        <v>2</v>
      </c>
      <c r="AE962">
        <f t="shared" ref="AE962:AE1001" si="107">IF(P962="Deteriorated",1,IF(P962="No Change",2,IF(P962="Improved",3,0)))</f>
        <v>3</v>
      </c>
      <c r="AF962">
        <f t="shared" ref="AF962:AF1001" si="108">IF($H962="DrugA",$W962,NA())</f>
        <v>1.04</v>
      </c>
      <c r="AG962" t="e">
        <f t="shared" ref="AG962:AG1001" si="109">IF($H962="DrugB",$W962,NA())</f>
        <v>#N/A</v>
      </c>
      <c r="AH962" t="e">
        <f t="shared" ref="AH962:AH1001" si="110">IF($H962="DrugC",$W962,NA())</f>
        <v>#N/A</v>
      </c>
      <c r="AI962" t="e">
        <f t="shared" ref="AI962:AI1001" si="111">IF($H962="DrugD",$W962,NA())</f>
        <v>#N/A</v>
      </c>
    </row>
    <row r="963" spans="1:35" x14ac:dyDescent="0.45">
      <c r="A963" t="s">
        <v>2544</v>
      </c>
      <c r="B963">
        <v>58</v>
      </c>
      <c r="C963" t="s">
        <v>27</v>
      </c>
      <c r="D963" t="s">
        <v>106</v>
      </c>
      <c r="E963" t="s">
        <v>46</v>
      </c>
      <c r="F963" t="s">
        <v>88</v>
      </c>
      <c r="G963" t="s">
        <v>440</v>
      </c>
      <c r="H963" t="s">
        <v>32</v>
      </c>
      <c r="I963" t="s">
        <v>49</v>
      </c>
      <c r="J963" t="s">
        <v>912</v>
      </c>
      <c r="K963" t="s">
        <v>1629</v>
      </c>
      <c r="L963" t="s">
        <v>64</v>
      </c>
      <c r="M963" t="s">
        <v>2658</v>
      </c>
      <c r="N963" t="s">
        <v>466</v>
      </c>
      <c r="O963" t="s">
        <v>64</v>
      </c>
      <c r="P963" t="s">
        <v>39</v>
      </c>
      <c r="Q963" t="s">
        <v>67</v>
      </c>
      <c r="R963">
        <v>57</v>
      </c>
      <c r="S963">
        <v>1</v>
      </c>
      <c r="T963" t="s">
        <v>123</v>
      </c>
      <c r="U963" t="s">
        <v>42</v>
      </c>
      <c r="V963">
        <v>3.14</v>
      </c>
      <c r="W963">
        <v>2.91</v>
      </c>
      <c r="X963">
        <v>4.5</v>
      </c>
      <c r="Y963">
        <v>22</v>
      </c>
      <c r="Z963">
        <v>18.2</v>
      </c>
      <c r="AA963">
        <f>VALUE(SUBSTITUTE(DACS19___Pfizer’s_Personalised_Medicine_in[[#This Row],[Dose]],"mg",""))</f>
        <v>150</v>
      </c>
      <c r="AB963">
        <f t="shared" si="105"/>
        <v>150</v>
      </c>
      <c r="AC963" t="s">
        <v>67</v>
      </c>
      <c r="AD963">
        <f t="shared" si="106"/>
        <v>2</v>
      </c>
      <c r="AE963">
        <f t="shared" si="107"/>
        <v>3</v>
      </c>
      <c r="AF963" t="e">
        <f t="shared" si="108"/>
        <v>#N/A</v>
      </c>
      <c r="AG963" t="e">
        <f t="shared" si="109"/>
        <v>#N/A</v>
      </c>
      <c r="AH963">
        <f t="shared" si="110"/>
        <v>2.91</v>
      </c>
      <c r="AI963" t="e">
        <f t="shared" si="111"/>
        <v>#N/A</v>
      </c>
    </row>
    <row r="964" spans="1:35" x14ac:dyDescent="0.45">
      <c r="A964" t="s">
        <v>2546</v>
      </c>
      <c r="B964">
        <v>58</v>
      </c>
      <c r="C964" t="s">
        <v>45</v>
      </c>
      <c r="D964" t="s">
        <v>45</v>
      </c>
      <c r="E964" t="s">
        <v>163</v>
      </c>
      <c r="F964" t="s">
        <v>47</v>
      </c>
      <c r="G964" t="s">
        <v>178</v>
      </c>
      <c r="H964" t="s">
        <v>81</v>
      </c>
      <c r="I964" t="s">
        <v>132</v>
      </c>
      <c r="J964" t="s">
        <v>793</v>
      </c>
      <c r="K964" t="s">
        <v>243</v>
      </c>
      <c r="L964" t="s">
        <v>36</v>
      </c>
      <c r="M964" t="s">
        <v>216</v>
      </c>
      <c r="N964" t="s">
        <v>335</v>
      </c>
      <c r="O964" t="s">
        <v>36</v>
      </c>
      <c r="P964" t="s">
        <v>55</v>
      </c>
      <c r="Q964" t="s">
        <v>40</v>
      </c>
      <c r="R964">
        <v>45</v>
      </c>
      <c r="S964">
        <v>0</v>
      </c>
      <c r="T964" t="s">
        <v>123</v>
      </c>
      <c r="U964" t="s">
        <v>57</v>
      </c>
      <c r="V964">
        <v>2.34</v>
      </c>
      <c r="W964">
        <v>3.46</v>
      </c>
      <c r="X964">
        <v>9.3000000000000007</v>
      </c>
      <c r="Y964">
        <v>23.3</v>
      </c>
      <c r="Z964">
        <v>11.7</v>
      </c>
      <c r="AA964">
        <f>VALUE(SUBSTITUTE(DACS19___Pfizer’s_Personalised_Medicine_in[[#This Row],[Dose]],"mg",""))</f>
        <v>200</v>
      </c>
      <c r="AB964">
        <f t="shared" si="105"/>
        <v>200</v>
      </c>
      <c r="AC964" t="s">
        <v>40</v>
      </c>
      <c r="AD964">
        <f t="shared" si="106"/>
        <v>3</v>
      </c>
      <c r="AE964">
        <f t="shared" si="107"/>
        <v>2</v>
      </c>
      <c r="AF964" t="e">
        <f t="shared" si="108"/>
        <v>#N/A</v>
      </c>
      <c r="AG964" t="e">
        <f t="shared" si="109"/>
        <v>#N/A</v>
      </c>
      <c r="AH964" t="e">
        <f t="shared" si="110"/>
        <v>#N/A</v>
      </c>
      <c r="AI964">
        <f t="shared" si="111"/>
        <v>3.46</v>
      </c>
    </row>
    <row r="965" spans="1:35" x14ac:dyDescent="0.45">
      <c r="A965" t="s">
        <v>2547</v>
      </c>
      <c r="B965">
        <v>57</v>
      </c>
      <c r="C965" t="s">
        <v>44</v>
      </c>
      <c r="D965" t="s">
        <v>28</v>
      </c>
      <c r="E965" t="s">
        <v>163</v>
      </c>
      <c r="F965" t="s">
        <v>2614</v>
      </c>
      <c r="G965" t="s">
        <v>60</v>
      </c>
      <c r="H965" t="s">
        <v>81</v>
      </c>
      <c r="I965" t="s">
        <v>49</v>
      </c>
      <c r="J965" t="s">
        <v>625</v>
      </c>
      <c r="K965" t="s">
        <v>200</v>
      </c>
      <c r="L965" t="s">
        <v>36</v>
      </c>
      <c r="M965" t="s">
        <v>155</v>
      </c>
      <c r="N965" t="s">
        <v>630</v>
      </c>
      <c r="O965" t="s">
        <v>36</v>
      </c>
      <c r="P965" t="s">
        <v>55</v>
      </c>
      <c r="Q965" t="s">
        <v>2614</v>
      </c>
      <c r="R965">
        <v>41</v>
      </c>
      <c r="S965">
        <v>0</v>
      </c>
      <c r="T965" t="s">
        <v>123</v>
      </c>
      <c r="U965" t="s">
        <v>57</v>
      </c>
      <c r="V965">
        <v>2.81</v>
      </c>
      <c r="W965">
        <v>2.11</v>
      </c>
      <c r="X965">
        <v>9.6</v>
      </c>
      <c r="Y965">
        <v>8.6</v>
      </c>
      <c r="Z965">
        <v>12.9</v>
      </c>
      <c r="AA965">
        <f>VALUE(SUBSTITUTE(DACS19___Pfizer’s_Personalised_Medicine_in[[#This Row],[Dose]],"mg",""))</f>
        <v>200</v>
      </c>
      <c r="AB965">
        <f t="shared" si="105"/>
        <v>200</v>
      </c>
      <c r="AC965" t="s">
        <v>2614</v>
      </c>
      <c r="AD965">
        <f t="shared" si="106"/>
        <v>0</v>
      </c>
      <c r="AE965">
        <f t="shared" si="107"/>
        <v>2</v>
      </c>
      <c r="AF965" t="e">
        <f t="shared" si="108"/>
        <v>#N/A</v>
      </c>
      <c r="AG965" t="e">
        <f t="shared" si="109"/>
        <v>#N/A</v>
      </c>
      <c r="AH965" t="e">
        <f t="shared" si="110"/>
        <v>#N/A</v>
      </c>
      <c r="AI965">
        <f t="shared" si="111"/>
        <v>2.11</v>
      </c>
    </row>
    <row r="966" spans="1:35" x14ac:dyDescent="0.45">
      <c r="A966" t="s">
        <v>2548</v>
      </c>
      <c r="B966">
        <v>85</v>
      </c>
      <c r="C966" t="s">
        <v>27</v>
      </c>
      <c r="D966" t="s">
        <v>95</v>
      </c>
      <c r="E966" t="s">
        <v>29</v>
      </c>
      <c r="F966" t="s">
        <v>2614</v>
      </c>
      <c r="G966" t="s">
        <v>96</v>
      </c>
      <c r="H966" t="s">
        <v>71</v>
      </c>
      <c r="I966" t="s">
        <v>132</v>
      </c>
      <c r="J966" t="s">
        <v>2114</v>
      </c>
      <c r="K966" t="s">
        <v>1676</v>
      </c>
      <c r="L966" t="s">
        <v>36</v>
      </c>
      <c r="M966" t="s">
        <v>187</v>
      </c>
      <c r="N966" t="s">
        <v>759</v>
      </c>
      <c r="O966" t="s">
        <v>36</v>
      </c>
      <c r="P966" t="s">
        <v>39</v>
      </c>
      <c r="Q966" t="s">
        <v>129</v>
      </c>
      <c r="R966">
        <v>87</v>
      </c>
      <c r="S966">
        <v>1</v>
      </c>
      <c r="T966" t="s">
        <v>85</v>
      </c>
      <c r="U966" t="s">
        <v>57</v>
      </c>
      <c r="V966">
        <v>2.13</v>
      </c>
      <c r="W966">
        <v>2.12</v>
      </c>
      <c r="X966">
        <v>4.5999999999999996</v>
      </c>
      <c r="Y966">
        <v>24</v>
      </c>
      <c r="Z966">
        <v>3.9</v>
      </c>
      <c r="AA966">
        <f>VALUE(SUBSTITUTE(DACS19___Pfizer’s_Personalised_Medicine_in[[#This Row],[Dose]],"mg",""))</f>
        <v>200</v>
      </c>
      <c r="AB966">
        <f t="shared" si="105"/>
        <v>200</v>
      </c>
      <c r="AC966" t="s">
        <v>129</v>
      </c>
      <c r="AD966">
        <f t="shared" si="106"/>
        <v>4</v>
      </c>
      <c r="AE966">
        <f t="shared" si="107"/>
        <v>3</v>
      </c>
      <c r="AF966" t="e">
        <f t="shared" si="108"/>
        <v>#N/A</v>
      </c>
      <c r="AG966">
        <f t="shared" si="109"/>
        <v>2.12</v>
      </c>
      <c r="AH966" t="e">
        <f t="shared" si="110"/>
        <v>#N/A</v>
      </c>
      <c r="AI966" t="e">
        <f t="shared" si="111"/>
        <v>#N/A</v>
      </c>
    </row>
    <row r="967" spans="1:35" x14ac:dyDescent="0.45">
      <c r="A967" t="s">
        <v>2549</v>
      </c>
      <c r="B967">
        <v>58</v>
      </c>
      <c r="C967" t="s">
        <v>44</v>
      </c>
      <c r="D967" t="s">
        <v>95</v>
      </c>
      <c r="E967" t="s">
        <v>46</v>
      </c>
      <c r="F967" t="s">
        <v>88</v>
      </c>
      <c r="G967" t="s">
        <v>112</v>
      </c>
      <c r="H967" t="s">
        <v>61</v>
      </c>
      <c r="I967" t="s">
        <v>72</v>
      </c>
      <c r="J967" t="s">
        <v>482</v>
      </c>
      <c r="K967" t="s">
        <v>1756</v>
      </c>
      <c r="L967" t="s">
        <v>52</v>
      </c>
      <c r="M967" t="s">
        <v>2614</v>
      </c>
      <c r="N967" t="s">
        <v>38</v>
      </c>
      <c r="O967" t="s">
        <v>52</v>
      </c>
      <c r="P967" t="s">
        <v>39</v>
      </c>
      <c r="Q967" t="s">
        <v>67</v>
      </c>
      <c r="R967">
        <v>85</v>
      </c>
      <c r="S967">
        <v>1</v>
      </c>
      <c r="T967" t="s">
        <v>123</v>
      </c>
      <c r="U967" t="s">
        <v>42</v>
      </c>
      <c r="V967">
        <v>3.31</v>
      </c>
      <c r="W967">
        <v>1.33</v>
      </c>
      <c r="X967">
        <v>2.4</v>
      </c>
      <c r="Y967">
        <v>13.9</v>
      </c>
      <c r="Z967">
        <v>11.7</v>
      </c>
      <c r="AA967">
        <f>VALUE(SUBSTITUTE(DACS19___Pfizer’s_Personalised_Medicine_in[[#This Row],[Dose]],"mg",""))</f>
        <v>100</v>
      </c>
      <c r="AB967">
        <f t="shared" si="105"/>
        <v>100</v>
      </c>
      <c r="AC967" t="s">
        <v>67</v>
      </c>
      <c r="AD967">
        <f t="shared" si="106"/>
        <v>2</v>
      </c>
      <c r="AE967">
        <f t="shared" si="107"/>
        <v>3</v>
      </c>
      <c r="AF967">
        <f t="shared" si="108"/>
        <v>1.33</v>
      </c>
      <c r="AG967" t="e">
        <f t="shared" si="109"/>
        <v>#N/A</v>
      </c>
      <c r="AH967" t="e">
        <f t="shared" si="110"/>
        <v>#N/A</v>
      </c>
      <c r="AI967" t="e">
        <f t="shared" si="111"/>
        <v>#N/A</v>
      </c>
    </row>
    <row r="968" spans="1:35" x14ac:dyDescent="0.45">
      <c r="A968" t="s">
        <v>2550</v>
      </c>
      <c r="B968">
        <v>20</v>
      </c>
      <c r="C968" t="s">
        <v>27</v>
      </c>
      <c r="D968" t="s">
        <v>45</v>
      </c>
      <c r="E968" t="s">
        <v>29</v>
      </c>
      <c r="F968" t="s">
        <v>59</v>
      </c>
      <c r="G968" t="s">
        <v>131</v>
      </c>
      <c r="H968" t="s">
        <v>81</v>
      </c>
      <c r="I968" t="s">
        <v>72</v>
      </c>
      <c r="J968" t="s">
        <v>639</v>
      </c>
      <c r="K968" t="s">
        <v>2551</v>
      </c>
      <c r="L968" t="s">
        <v>92</v>
      </c>
      <c r="M968" t="s">
        <v>581</v>
      </c>
      <c r="N968" t="s">
        <v>822</v>
      </c>
      <c r="O968" t="s">
        <v>92</v>
      </c>
      <c r="P968" t="s">
        <v>39</v>
      </c>
      <c r="Q968" t="s">
        <v>40</v>
      </c>
      <c r="R968">
        <v>30</v>
      </c>
      <c r="S968">
        <v>1</v>
      </c>
      <c r="T968" t="s">
        <v>123</v>
      </c>
      <c r="U968" t="s">
        <v>42</v>
      </c>
      <c r="V968">
        <v>2.04</v>
      </c>
      <c r="W968">
        <v>2.27</v>
      </c>
      <c r="X968">
        <v>1.8</v>
      </c>
      <c r="Y968">
        <v>11.5</v>
      </c>
      <c r="Z968">
        <v>19.399999999999999</v>
      </c>
      <c r="AA968">
        <f>VALUE(SUBSTITUTE(DACS19___Pfizer’s_Personalised_Medicine_in[[#This Row],[Dose]],"mg",""))</f>
        <v>50</v>
      </c>
      <c r="AB968">
        <f t="shared" si="105"/>
        <v>50</v>
      </c>
      <c r="AC968" t="s">
        <v>40</v>
      </c>
      <c r="AD968">
        <f t="shared" si="106"/>
        <v>3</v>
      </c>
      <c r="AE968">
        <f t="shared" si="107"/>
        <v>3</v>
      </c>
      <c r="AF968" t="e">
        <f t="shared" si="108"/>
        <v>#N/A</v>
      </c>
      <c r="AG968" t="e">
        <f t="shared" si="109"/>
        <v>#N/A</v>
      </c>
      <c r="AH968" t="e">
        <f t="shared" si="110"/>
        <v>#N/A</v>
      </c>
      <c r="AI968">
        <f t="shared" si="111"/>
        <v>2.27</v>
      </c>
    </row>
    <row r="969" spans="1:35" x14ac:dyDescent="0.45">
      <c r="A969" t="s">
        <v>2552</v>
      </c>
      <c r="B969">
        <v>67</v>
      </c>
      <c r="C969" t="s">
        <v>45</v>
      </c>
      <c r="D969" t="s">
        <v>106</v>
      </c>
      <c r="E969" t="s">
        <v>46</v>
      </c>
      <c r="F969" t="s">
        <v>47</v>
      </c>
      <c r="G969" t="s">
        <v>89</v>
      </c>
      <c r="H969" t="s">
        <v>81</v>
      </c>
      <c r="I969" t="s">
        <v>33</v>
      </c>
      <c r="J969" t="s">
        <v>2553</v>
      </c>
      <c r="K969" t="s">
        <v>2378</v>
      </c>
      <c r="L969" t="s">
        <v>64</v>
      </c>
      <c r="M969" t="s">
        <v>536</v>
      </c>
      <c r="N969" t="s">
        <v>1836</v>
      </c>
      <c r="O969" t="s">
        <v>64</v>
      </c>
      <c r="P969" t="s">
        <v>55</v>
      </c>
      <c r="Q969" t="s">
        <v>40</v>
      </c>
      <c r="R969">
        <v>96</v>
      </c>
      <c r="S969">
        <v>0</v>
      </c>
      <c r="T969" t="s">
        <v>56</v>
      </c>
      <c r="U969" t="s">
        <v>42</v>
      </c>
      <c r="V969">
        <v>4.78</v>
      </c>
      <c r="W969">
        <v>2.34</v>
      </c>
      <c r="X969">
        <v>6.1</v>
      </c>
      <c r="Y969">
        <v>22.4</v>
      </c>
      <c r="Z969">
        <v>3.1</v>
      </c>
      <c r="AA969">
        <f>VALUE(SUBSTITUTE(DACS19___Pfizer’s_Personalised_Medicine_in[[#This Row],[Dose]],"mg",""))</f>
        <v>150</v>
      </c>
      <c r="AB969">
        <f t="shared" si="105"/>
        <v>150</v>
      </c>
      <c r="AC969" t="s">
        <v>40</v>
      </c>
      <c r="AD969">
        <f t="shared" si="106"/>
        <v>3</v>
      </c>
      <c r="AE969">
        <f t="shared" si="107"/>
        <v>2</v>
      </c>
      <c r="AF969" t="e">
        <f t="shared" si="108"/>
        <v>#N/A</v>
      </c>
      <c r="AG969" t="e">
        <f t="shared" si="109"/>
        <v>#N/A</v>
      </c>
      <c r="AH969" t="e">
        <f t="shared" si="110"/>
        <v>#N/A</v>
      </c>
      <c r="AI969">
        <f t="shared" si="111"/>
        <v>2.34</v>
      </c>
    </row>
    <row r="970" spans="1:35" x14ac:dyDescent="0.45">
      <c r="A970" t="s">
        <v>2554</v>
      </c>
      <c r="B970">
        <v>23</v>
      </c>
      <c r="C970" t="s">
        <v>27</v>
      </c>
      <c r="D970" t="s">
        <v>87</v>
      </c>
      <c r="E970" t="s">
        <v>29</v>
      </c>
      <c r="F970" t="s">
        <v>2614</v>
      </c>
      <c r="G970" t="s">
        <v>80</v>
      </c>
      <c r="H970" t="s">
        <v>32</v>
      </c>
      <c r="I970" t="s">
        <v>72</v>
      </c>
      <c r="J970" t="s">
        <v>2555</v>
      </c>
      <c r="K970" t="s">
        <v>2518</v>
      </c>
      <c r="L970" t="s">
        <v>52</v>
      </c>
      <c r="M970" t="s">
        <v>451</v>
      </c>
      <c r="N970" t="s">
        <v>1132</v>
      </c>
      <c r="O970" t="s">
        <v>52</v>
      </c>
      <c r="P970" t="s">
        <v>39</v>
      </c>
      <c r="Q970" t="s">
        <v>2614</v>
      </c>
      <c r="R970">
        <v>53</v>
      </c>
      <c r="S970">
        <v>1</v>
      </c>
      <c r="T970" t="s">
        <v>85</v>
      </c>
      <c r="U970" t="s">
        <v>57</v>
      </c>
      <c r="V970">
        <v>4.24</v>
      </c>
      <c r="W970">
        <v>4.79</v>
      </c>
      <c r="X970">
        <v>1.8</v>
      </c>
      <c r="Y970">
        <v>8.9</v>
      </c>
      <c r="Z970">
        <v>19.3</v>
      </c>
      <c r="AA970">
        <f>VALUE(SUBSTITUTE(DACS19___Pfizer’s_Personalised_Medicine_in[[#This Row],[Dose]],"mg",""))</f>
        <v>100</v>
      </c>
      <c r="AB970">
        <f t="shared" si="105"/>
        <v>100</v>
      </c>
      <c r="AC970" t="s">
        <v>2614</v>
      </c>
      <c r="AD970">
        <f t="shared" si="106"/>
        <v>0</v>
      </c>
      <c r="AE970">
        <f t="shared" si="107"/>
        <v>3</v>
      </c>
      <c r="AF970" t="e">
        <f t="shared" si="108"/>
        <v>#N/A</v>
      </c>
      <c r="AG970" t="e">
        <f t="shared" si="109"/>
        <v>#N/A</v>
      </c>
      <c r="AH970">
        <f t="shared" si="110"/>
        <v>4.79</v>
      </c>
      <c r="AI970" t="e">
        <f t="shared" si="111"/>
        <v>#N/A</v>
      </c>
    </row>
    <row r="971" spans="1:35" x14ac:dyDescent="0.45">
      <c r="A971" t="s">
        <v>2556</v>
      </c>
      <c r="B971">
        <v>51</v>
      </c>
      <c r="C971" t="s">
        <v>44</v>
      </c>
      <c r="D971" t="s">
        <v>45</v>
      </c>
      <c r="E971" t="s">
        <v>46</v>
      </c>
      <c r="F971" t="s">
        <v>2614</v>
      </c>
      <c r="G971" t="s">
        <v>276</v>
      </c>
      <c r="H971" t="s">
        <v>71</v>
      </c>
      <c r="I971" t="s">
        <v>49</v>
      </c>
      <c r="J971" t="s">
        <v>2037</v>
      </c>
      <c r="K971" t="s">
        <v>457</v>
      </c>
      <c r="L971" t="s">
        <v>92</v>
      </c>
      <c r="M971" t="s">
        <v>2614</v>
      </c>
      <c r="N971" t="s">
        <v>1204</v>
      </c>
      <c r="O971" t="s">
        <v>92</v>
      </c>
      <c r="P971" t="s">
        <v>55</v>
      </c>
      <c r="Q971" t="s">
        <v>67</v>
      </c>
      <c r="R971">
        <v>101</v>
      </c>
      <c r="S971">
        <v>0</v>
      </c>
      <c r="T971" t="s">
        <v>56</v>
      </c>
      <c r="U971" t="s">
        <v>57</v>
      </c>
      <c r="V971">
        <v>3.15</v>
      </c>
      <c r="W971">
        <v>1.06</v>
      </c>
      <c r="X971">
        <v>3.3</v>
      </c>
      <c r="Y971">
        <v>14.1</v>
      </c>
      <c r="Z971">
        <v>14.8</v>
      </c>
      <c r="AA971">
        <f>VALUE(SUBSTITUTE(DACS19___Pfizer’s_Personalised_Medicine_in[[#This Row],[Dose]],"mg",""))</f>
        <v>50</v>
      </c>
      <c r="AB971">
        <f t="shared" si="105"/>
        <v>50</v>
      </c>
      <c r="AC971" t="s">
        <v>67</v>
      </c>
      <c r="AD971">
        <f t="shared" si="106"/>
        <v>2</v>
      </c>
      <c r="AE971">
        <f t="shared" si="107"/>
        <v>2</v>
      </c>
      <c r="AF971" t="e">
        <f t="shared" si="108"/>
        <v>#N/A</v>
      </c>
      <c r="AG971">
        <f t="shared" si="109"/>
        <v>1.06</v>
      </c>
      <c r="AH971" t="e">
        <f t="shared" si="110"/>
        <v>#N/A</v>
      </c>
      <c r="AI971" t="e">
        <f t="shared" si="111"/>
        <v>#N/A</v>
      </c>
    </row>
    <row r="972" spans="1:35" x14ac:dyDescent="0.45">
      <c r="A972" t="s">
        <v>2557</v>
      </c>
      <c r="B972">
        <v>21</v>
      </c>
      <c r="C972" t="s">
        <v>44</v>
      </c>
      <c r="D972" t="s">
        <v>28</v>
      </c>
      <c r="E972" t="s">
        <v>78</v>
      </c>
      <c r="F972" t="s">
        <v>2614</v>
      </c>
      <c r="G972" t="s">
        <v>152</v>
      </c>
      <c r="H972" t="s">
        <v>32</v>
      </c>
      <c r="I972" t="s">
        <v>132</v>
      </c>
      <c r="J972" t="s">
        <v>2558</v>
      </c>
      <c r="K972" t="s">
        <v>2559</v>
      </c>
      <c r="L972" t="s">
        <v>36</v>
      </c>
      <c r="M972" t="s">
        <v>37</v>
      </c>
      <c r="N972" t="s">
        <v>212</v>
      </c>
      <c r="O972" t="s">
        <v>36</v>
      </c>
      <c r="P972" t="s">
        <v>39</v>
      </c>
      <c r="Q972" t="s">
        <v>75</v>
      </c>
      <c r="R972">
        <v>65</v>
      </c>
      <c r="S972">
        <v>1</v>
      </c>
      <c r="T972" t="s">
        <v>137</v>
      </c>
      <c r="U972" t="s">
        <v>42</v>
      </c>
      <c r="V972">
        <v>3.93</v>
      </c>
      <c r="W972">
        <v>4.9800000000000004</v>
      </c>
      <c r="X972">
        <v>3.6</v>
      </c>
      <c r="Y972">
        <v>15.7</v>
      </c>
      <c r="Z972">
        <v>12.1</v>
      </c>
      <c r="AA972">
        <f>VALUE(SUBSTITUTE(DACS19___Pfizer’s_Personalised_Medicine_in[[#This Row],[Dose]],"mg",""))</f>
        <v>200</v>
      </c>
      <c r="AB972">
        <f t="shared" si="105"/>
        <v>200</v>
      </c>
      <c r="AC972" t="s">
        <v>75</v>
      </c>
      <c r="AD972">
        <f t="shared" si="106"/>
        <v>1</v>
      </c>
      <c r="AE972">
        <f t="shared" si="107"/>
        <v>3</v>
      </c>
      <c r="AF972" t="e">
        <f t="shared" si="108"/>
        <v>#N/A</v>
      </c>
      <c r="AG972" t="e">
        <f t="shared" si="109"/>
        <v>#N/A</v>
      </c>
      <c r="AH972">
        <f t="shared" si="110"/>
        <v>4.9800000000000004</v>
      </c>
      <c r="AI972" t="e">
        <f t="shared" si="111"/>
        <v>#N/A</v>
      </c>
    </row>
    <row r="973" spans="1:35" x14ac:dyDescent="0.45">
      <c r="A973" t="s">
        <v>2560</v>
      </c>
      <c r="B973">
        <v>35</v>
      </c>
      <c r="C973" t="s">
        <v>45</v>
      </c>
      <c r="D973" t="s">
        <v>45</v>
      </c>
      <c r="E973" t="s">
        <v>163</v>
      </c>
      <c r="F973" t="s">
        <v>2614</v>
      </c>
      <c r="G973" t="s">
        <v>96</v>
      </c>
      <c r="H973" t="s">
        <v>71</v>
      </c>
      <c r="I973" t="s">
        <v>72</v>
      </c>
      <c r="J973" t="s">
        <v>2551</v>
      </c>
      <c r="K973" t="s">
        <v>2561</v>
      </c>
      <c r="L973" t="s">
        <v>64</v>
      </c>
      <c r="M973" t="s">
        <v>67</v>
      </c>
      <c r="N973" t="s">
        <v>1435</v>
      </c>
      <c r="O973" t="s">
        <v>64</v>
      </c>
      <c r="P973" t="s">
        <v>39</v>
      </c>
      <c r="Q973" t="s">
        <v>129</v>
      </c>
      <c r="R973">
        <v>165</v>
      </c>
      <c r="S973">
        <v>1</v>
      </c>
      <c r="T973" t="s">
        <v>137</v>
      </c>
      <c r="U973" t="s">
        <v>42</v>
      </c>
      <c r="V973">
        <v>2.62</v>
      </c>
      <c r="W973">
        <v>1.68</v>
      </c>
      <c r="X973">
        <v>9.8000000000000007</v>
      </c>
      <c r="Y973">
        <v>21.4</v>
      </c>
      <c r="Z973">
        <v>11.5</v>
      </c>
      <c r="AA973">
        <f>VALUE(SUBSTITUTE(DACS19___Pfizer’s_Personalised_Medicine_in[[#This Row],[Dose]],"mg",""))</f>
        <v>150</v>
      </c>
      <c r="AB973">
        <f t="shared" si="105"/>
        <v>150</v>
      </c>
      <c r="AC973" t="s">
        <v>129</v>
      </c>
      <c r="AD973">
        <f t="shared" si="106"/>
        <v>4</v>
      </c>
      <c r="AE973">
        <f t="shared" si="107"/>
        <v>3</v>
      </c>
      <c r="AF973" t="e">
        <f t="shared" si="108"/>
        <v>#N/A</v>
      </c>
      <c r="AG973">
        <f t="shared" si="109"/>
        <v>1.68</v>
      </c>
      <c r="AH973" t="e">
        <f t="shared" si="110"/>
        <v>#N/A</v>
      </c>
      <c r="AI973" t="e">
        <f t="shared" si="111"/>
        <v>#N/A</v>
      </c>
    </row>
    <row r="974" spans="1:35" x14ac:dyDescent="0.45">
      <c r="A974" t="s">
        <v>2562</v>
      </c>
      <c r="B974">
        <v>81</v>
      </c>
      <c r="C974" t="s">
        <v>44</v>
      </c>
      <c r="D974" t="s">
        <v>28</v>
      </c>
      <c r="E974" t="s">
        <v>46</v>
      </c>
      <c r="F974" t="s">
        <v>59</v>
      </c>
      <c r="G974" t="s">
        <v>89</v>
      </c>
      <c r="H974" t="s">
        <v>81</v>
      </c>
      <c r="I974" t="s">
        <v>132</v>
      </c>
      <c r="J974" t="s">
        <v>180</v>
      </c>
      <c r="K974" t="s">
        <v>133</v>
      </c>
      <c r="L974" t="s">
        <v>92</v>
      </c>
      <c r="M974" t="s">
        <v>2614</v>
      </c>
      <c r="N974" t="s">
        <v>1041</v>
      </c>
      <c r="O974" t="s">
        <v>92</v>
      </c>
      <c r="P974" t="s">
        <v>39</v>
      </c>
      <c r="Q974" t="s">
        <v>75</v>
      </c>
      <c r="R974">
        <v>54</v>
      </c>
      <c r="S974">
        <v>1</v>
      </c>
      <c r="T974" t="s">
        <v>85</v>
      </c>
      <c r="U974" t="s">
        <v>42</v>
      </c>
      <c r="V974">
        <v>3.41</v>
      </c>
      <c r="W974">
        <v>1.91</v>
      </c>
      <c r="X974">
        <v>5.9</v>
      </c>
      <c r="Y974">
        <v>18.5</v>
      </c>
      <c r="Z974">
        <v>11.8</v>
      </c>
      <c r="AA974">
        <f>VALUE(SUBSTITUTE(DACS19___Pfizer’s_Personalised_Medicine_in[[#This Row],[Dose]],"mg",""))</f>
        <v>50</v>
      </c>
      <c r="AB974">
        <f t="shared" si="105"/>
        <v>50</v>
      </c>
      <c r="AC974" t="s">
        <v>75</v>
      </c>
      <c r="AD974">
        <f t="shared" si="106"/>
        <v>1</v>
      </c>
      <c r="AE974">
        <f t="shared" si="107"/>
        <v>3</v>
      </c>
      <c r="AF974" t="e">
        <f t="shared" si="108"/>
        <v>#N/A</v>
      </c>
      <c r="AG974" t="e">
        <f t="shared" si="109"/>
        <v>#N/A</v>
      </c>
      <c r="AH974" t="e">
        <f t="shared" si="110"/>
        <v>#N/A</v>
      </c>
      <c r="AI974">
        <f t="shared" si="111"/>
        <v>1.91</v>
      </c>
    </row>
    <row r="975" spans="1:35" x14ac:dyDescent="0.45">
      <c r="A975" t="s">
        <v>2563</v>
      </c>
      <c r="B975">
        <v>60</v>
      </c>
      <c r="C975" t="s">
        <v>27</v>
      </c>
      <c r="D975" t="s">
        <v>45</v>
      </c>
      <c r="E975" t="s">
        <v>163</v>
      </c>
      <c r="F975" t="s">
        <v>2614</v>
      </c>
      <c r="G975" t="s">
        <v>125</v>
      </c>
      <c r="H975" t="s">
        <v>71</v>
      </c>
      <c r="I975" t="s">
        <v>132</v>
      </c>
      <c r="J975" t="s">
        <v>2564</v>
      </c>
      <c r="K975" t="s">
        <v>333</v>
      </c>
      <c r="L975" t="s">
        <v>36</v>
      </c>
      <c r="M975" t="s">
        <v>129</v>
      </c>
      <c r="N975" t="s">
        <v>244</v>
      </c>
      <c r="O975" t="s">
        <v>36</v>
      </c>
      <c r="P975" t="s">
        <v>55</v>
      </c>
      <c r="Q975" t="s">
        <v>75</v>
      </c>
      <c r="R975">
        <v>74</v>
      </c>
      <c r="S975">
        <v>0</v>
      </c>
      <c r="T975" t="s">
        <v>41</v>
      </c>
      <c r="U975" t="s">
        <v>42</v>
      </c>
      <c r="V975">
        <v>4.96</v>
      </c>
      <c r="W975">
        <v>3.45</v>
      </c>
      <c r="X975">
        <v>4.3</v>
      </c>
      <c r="Y975">
        <v>19.899999999999999</v>
      </c>
      <c r="Z975">
        <v>5.9</v>
      </c>
      <c r="AA975">
        <f>VALUE(SUBSTITUTE(DACS19___Pfizer’s_Personalised_Medicine_in[[#This Row],[Dose]],"mg",""))</f>
        <v>200</v>
      </c>
      <c r="AB975">
        <f t="shared" si="105"/>
        <v>200</v>
      </c>
      <c r="AC975" t="s">
        <v>75</v>
      </c>
      <c r="AD975">
        <f t="shared" si="106"/>
        <v>1</v>
      </c>
      <c r="AE975">
        <f t="shared" si="107"/>
        <v>2</v>
      </c>
      <c r="AF975" t="e">
        <f t="shared" si="108"/>
        <v>#N/A</v>
      </c>
      <c r="AG975">
        <f t="shared" si="109"/>
        <v>3.45</v>
      </c>
      <c r="AH975" t="e">
        <f t="shared" si="110"/>
        <v>#N/A</v>
      </c>
      <c r="AI975" t="e">
        <f t="shared" si="111"/>
        <v>#N/A</v>
      </c>
    </row>
    <row r="976" spans="1:35" x14ac:dyDescent="0.45">
      <c r="A976" t="s">
        <v>2565</v>
      </c>
      <c r="B976">
        <v>51</v>
      </c>
      <c r="C976" t="s">
        <v>44</v>
      </c>
      <c r="D976" t="s">
        <v>95</v>
      </c>
      <c r="E976" t="s">
        <v>163</v>
      </c>
      <c r="F976" t="s">
        <v>79</v>
      </c>
      <c r="G976" t="s">
        <v>178</v>
      </c>
      <c r="H976" t="s">
        <v>71</v>
      </c>
      <c r="I976" t="s">
        <v>72</v>
      </c>
      <c r="J976" t="s">
        <v>1036</v>
      </c>
      <c r="K976" t="s">
        <v>574</v>
      </c>
      <c r="L976" t="s">
        <v>52</v>
      </c>
      <c r="M976" t="s">
        <v>67</v>
      </c>
      <c r="N976" t="s">
        <v>799</v>
      </c>
      <c r="O976" t="s">
        <v>52</v>
      </c>
      <c r="P976" t="s">
        <v>110</v>
      </c>
      <c r="Q976" t="s">
        <v>40</v>
      </c>
      <c r="R976">
        <v>47</v>
      </c>
      <c r="S976">
        <v>0</v>
      </c>
      <c r="T976" t="s">
        <v>137</v>
      </c>
      <c r="U976" t="s">
        <v>42</v>
      </c>
      <c r="V976">
        <v>2.54</v>
      </c>
      <c r="W976">
        <v>2.39</v>
      </c>
      <c r="X976">
        <v>4.9000000000000004</v>
      </c>
      <c r="Y976">
        <v>20.100000000000001</v>
      </c>
      <c r="Z976">
        <v>11.2</v>
      </c>
      <c r="AA976">
        <f>VALUE(SUBSTITUTE(DACS19___Pfizer’s_Personalised_Medicine_in[[#This Row],[Dose]],"mg",""))</f>
        <v>100</v>
      </c>
      <c r="AB976">
        <f t="shared" si="105"/>
        <v>100</v>
      </c>
      <c r="AC976" t="s">
        <v>40</v>
      </c>
      <c r="AD976">
        <f t="shared" si="106"/>
        <v>3</v>
      </c>
      <c r="AE976">
        <f t="shared" si="107"/>
        <v>1</v>
      </c>
      <c r="AF976" t="e">
        <f t="shared" si="108"/>
        <v>#N/A</v>
      </c>
      <c r="AG976">
        <f t="shared" si="109"/>
        <v>2.39</v>
      </c>
      <c r="AH976" t="e">
        <f t="shared" si="110"/>
        <v>#N/A</v>
      </c>
      <c r="AI976" t="e">
        <f t="shared" si="111"/>
        <v>#N/A</v>
      </c>
    </row>
    <row r="977" spans="1:35" x14ac:dyDescent="0.45">
      <c r="A977" t="s">
        <v>2566</v>
      </c>
      <c r="B977">
        <v>34</v>
      </c>
      <c r="C977" t="s">
        <v>27</v>
      </c>
      <c r="D977" t="s">
        <v>28</v>
      </c>
      <c r="E977" t="s">
        <v>29</v>
      </c>
      <c r="F977" t="s">
        <v>2614</v>
      </c>
      <c r="G977" t="s">
        <v>164</v>
      </c>
      <c r="H977" t="s">
        <v>81</v>
      </c>
      <c r="I977" t="s">
        <v>33</v>
      </c>
      <c r="J977" t="s">
        <v>471</v>
      </c>
      <c r="K977" t="s">
        <v>782</v>
      </c>
      <c r="L977" t="s">
        <v>64</v>
      </c>
      <c r="M977" t="s">
        <v>187</v>
      </c>
      <c r="N977" t="s">
        <v>1292</v>
      </c>
      <c r="O977" t="s">
        <v>64</v>
      </c>
      <c r="P977" t="s">
        <v>110</v>
      </c>
      <c r="Q977" t="s">
        <v>67</v>
      </c>
      <c r="R977">
        <v>66</v>
      </c>
      <c r="S977">
        <v>0</v>
      </c>
      <c r="T977" t="s">
        <v>56</v>
      </c>
      <c r="U977" t="s">
        <v>57</v>
      </c>
      <c r="V977">
        <v>4.18</v>
      </c>
      <c r="W977">
        <v>3.31</v>
      </c>
      <c r="X977">
        <v>4.0999999999999996</v>
      </c>
      <c r="Y977">
        <v>20.6</v>
      </c>
      <c r="Z977">
        <v>7.1</v>
      </c>
      <c r="AA977">
        <f>VALUE(SUBSTITUTE(DACS19___Pfizer’s_Personalised_Medicine_in[[#This Row],[Dose]],"mg",""))</f>
        <v>150</v>
      </c>
      <c r="AB977">
        <f t="shared" si="105"/>
        <v>150</v>
      </c>
      <c r="AC977" t="s">
        <v>67</v>
      </c>
      <c r="AD977">
        <f t="shared" si="106"/>
        <v>2</v>
      </c>
      <c r="AE977">
        <f t="shared" si="107"/>
        <v>1</v>
      </c>
      <c r="AF977" t="e">
        <f t="shared" si="108"/>
        <v>#N/A</v>
      </c>
      <c r="AG977" t="e">
        <f t="shared" si="109"/>
        <v>#N/A</v>
      </c>
      <c r="AH977" t="e">
        <f t="shared" si="110"/>
        <v>#N/A</v>
      </c>
      <c r="AI977">
        <f t="shared" si="111"/>
        <v>3.31</v>
      </c>
    </row>
    <row r="978" spans="1:35" x14ac:dyDescent="0.45">
      <c r="A978" t="s">
        <v>2567</v>
      </c>
      <c r="B978">
        <v>46</v>
      </c>
      <c r="C978" t="s">
        <v>45</v>
      </c>
      <c r="D978" t="s">
        <v>28</v>
      </c>
      <c r="E978" t="s">
        <v>78</v>
      </c>
      <c r="F978" t="s">
        <v>2614</v>
      </c>
      <c r="G978" t="s">
        <v>164</v>
      </c>
      <c r="H978" t="s">
        <v>61</v>
      </c>
      <c r="I978" t="s">
        <v>49</v>
      </c>
      <c r="J978" t="s">
        <v>573</v>
      </c>
      <c r="K978" t="s">
        <v>1002</v>
      </c>
      <c r="L978" t="s">
        <v>36</v>
      </c>
      <c r="M978" t="s">
        <v>2642</v>
      </c>
      <c r="N978" t="s">
        <v>116</v>
      </c>
      <c r="O978" t="s">
        <v>36</v>
      </c>
      <c r="P978" t="s">
        <v>55</v>
      </c>
      <c r="Q978" t="s">
        <v>67</v>
      </c>
      <c r="R978">
        <v>119</v>
      </c>
      <c r="S978">
        <v>0</v>
      </c>
      <c r="T978" t="s">
        <v>85</v>
      </c>
      <c r="U978" t="s">
        <v>57</v>
      </c>
      <c r="V978">
        <v>1.9</v>
      </c>
      <c r="W978">
        <v>3.02</v>
      </c>
      <c r="X978">
        <v>3.3</v>
      </c>
      <c r="Y978">
        <v>6.2</v>
      </c>
      <c r="Z978">
        <v>14</v>
      </c>
      <c r="AA978">
        <f>VALUE(SUBSTITUTE(DACS19___Pfizer’s_Personalised_Medicine_in[[#This Row],[Dose]],"mg",""))</f>
        <v>200</v>
      </c>
      <c r="AB978">
        <f t="shared" si="105"/>
        <v>200</v>
      </c>
      <c r="AC978" t="s">
        <v>67</v>
      </c>
      <c r="AD978">
        <f t="shared" si="106"/>
        <v>2</v>
      </c>
      <c r="AE978">
        <f t="shared" si="107"/>
        <v>2</v>
      </c>
      <c r="AF978">
        <f t="shared" si="108"/>
        <v>3.02</v>
      </c>
      <c r="AG978" t="e">
        <f t="shared" si="109"/>
        <v>#N/A</v>
      </c>
      <c r="AH978" t="e">
        <f t="shared" si="110"/>
        <v>#N/A</v>
      </c>
      <c r="AI978" t="e">
        <f t="shared" si="111"/>
        <v>#N/A</v>
      </c>
    </row>
    <row r="979" spans="1:35" x14ac:dyDescent="0.45">
      <c r="A979" t="s">
        <v>2568</v>
      </c>
      <c r="B979">
        <v>28</v>
      </c>
      <c r="C979" t="s">
        <v>44</v>
      </c>
      <c r="D979" t="s">
        <v>95</v>
      </c>
      <c r="E979" t="s">
        <v>29</v>
      </c>
      <c r="F979" t="s">
        <v>59</v>
      </c>
      <c r="G979" t="s">
        <v>102</v>
      </c>
      <c r="H979" t="s">
        <v>71</v>
      </c>
      <c r="I979" t="s">
        <v>33</v>
      </c>
      <c r="J979" t="s">
        <v>561</v>
      </c>
      <c r="K979" t="s">
        <v>1156</v>
      </c>
      <c r="L979" t="s">
        <v>36</v>
      </c>
      <c r="M979" t="s">
        <v>2627</v>
      </c>
      <c r="N979" t="s">
        <v>156</v>
      </c>
      <c r="O979" t="s">
        <v>36</v>
      </c>
      <c r="P979" t="s">
        <v>55</v>
      </c>
      <c r="Q979" t="s">
        <v>67</v>
      </c>
      <c r="R979">
        <v>63</v>
      </c>
      <c r="S979">
        <v>0</v>
      </c>
      <c r="T979" t="s">
        <v>137</v>
      </c>
      <c r="U979" t="s">
        <v>42</v>
      </c>
      <c r="V979">
        <v>3.04</v>
      </c>
      <c r="W979">
        <v>2.78</v>
      </c>
      <c r="X979">
        <v>9.6999999999999993</v>
      </c>
      <c r="Y979">
        <v>16.3</v>
      </c>
      <c r="Z979">
        <v>17.7</v>
      </c>
      <c r="AA979">
        <f>VALUE(SUBSTITUTE(DACS19___Pfizer’s_Personalised_Medicine_in[[#This Row],[Dose]],"mg",""))</f>
        <v>200</v>
      </c>
      <c r="AB979">
        <f t="shared" si="105"/>
        <v>200</v>
      </c>
      <c r="AC979" t="s">
        <v>67</v>
      </c>
      <c r="AD979">
        <f t="shared" si="106"/>
        <v>2</v>
      </c>
      <c r="AE979">
        <f t="shared" si="107"/>
        <v>2</v>
      </c>
      <c r="AF979" t="e">
        <f t="shared" si="108"/>
        <v>#N/A</v>
      </c>
      <c r="AG979">
        <f t="shared" si="109"/>
        <v>2.78</v>
      </c>
      <c r="AH979" t="e">
        <f t="shared" si="110"/>
        <v>#N/A</v>
      </c>
      <c r="AI979" t="e">
        <f t="shared" si="111"/>
        <v>#N/A</v>
      </c>
    </row>
    <row r="980" spans="1:35" x14ac:dyDescent="0.45">
      <c r="A980" t="s">
        <v>2569</v>
      </c>
      <c r="B980">
        <v>74</v>
      </c>
      <c r="C980" t="s">
        <v>44</v>
      </c>
      <c r="D980" t="s">
        <v>45</v>
      </c>
      <c r="E980" t="s">
        <v>78</v>
      </c>
      <c r="F980" t="s">
        <v>2614</v>
      </c>
      <c r="G980" t="s">
        <v>184</v>
      </c>
      <c r="H980" t="s">
        <v>32</v>
      </c>
      <c r="I980" t="s">
        <v>33</v>
      </c>
      <c r="J980" t="s">
        <v>1297</v>
      </c>
      <c r="K980" t="s">
        <v>1935</v>
      </c>
      <c r="L980" t="s">
        <v>92</v>
      </c>
      <c r="M980" t="s">
        <v>2648</v>
      </c>
      <c r="N980" t="s">
        <v>300</v>
      </c>
      <c r="O980" t="s">
        <v>92</v>
      </c>
      <c r="P980" t="s">
        <v>55</v>
      </c>
      <c r="Q980" t="s">
        <v>129</v>
      </c>
      <c r="R980">
        <v>160</v>
      </c>
      <c r="S980">
        <v>0</v>
      </c>
      <c r="T980" t="s">
        <v>137</v>
      </c>
      <c r="U980" t="s">
        <v>57</v>
      </c>
      <c r="V980">
        <v>1.56</v>
      </c>
      <c r="W980">
        <v>3.28</v>
      </c>
      <c r="X980">
        <v>8.8000000000000007</v>
      </c>
      <c r="Y980">
        <v>16.5</v>
      </c>
      <c r="Z980">
        <v>15.2</v>
      </c>
      <c r="AA980">
        <f>VALUE(SUBSTITUTE(DACS19___Pfizer’s_Personalised_Medicine_in[[#This Row],[Dose]],"mg",""))</f>
        <v>50</v>
      </c>
      <c r="AB980">
        <f t="shared" si="105"/>
        <v>50</v>
      </c>
      <c r="AC980" t="s">
        <v>129</v>
      </c>
      <c r="AD980">
        <f t="shared" si="106"/>
        <v>4</v>
      </c>
      <c r="AE980">
        <f t="shared" si="107"/>
        <v>2</v>
      </c>
      <c r="AF980" t="e">
        <f t="shared" si="108"/>
        <v>#N/A</v>
      </c>
      <c r="AG980" t="e">
        <f t="shared" si="109"/>
        <v>#N/A</v>
      </c>
      <c r="AH980">
        <f t="shared" si="110"/>
        <v>3.28</v>
      </c>
      <c r="AI980" t="e">
        <f t="shared" si="111"/>
        <v>#N/A</v>
      </c>
    </row>
    <row r="981" spans="1:35" x14ac:dyDescent="0.45">
      <c r="A981" t="s">
        <v>2570</v>
      </c>
      <c r="B981">
        <v>56</v>
      </c>
      <c r="C981" t="s">
        <v>27</v>
      </c>
      <c r="D981" t="s">
        <v>106</v>
      </c>
      <c r="E981" t="s">
        <v>46</v>
      </c>
      <c r="F981" t="s">
        <v>59</v>
      </c>
      <c r="G981" t="s">
        <v>89</v>
      </c>
      <c r="H981" t="s">
        <v>32</v>
      </c>
      <c r="I981" t="s">
        <v>49</v>
      </c>
      <c r="J981" t="s">
        <v>2571</v>
      </c>
      <c r="K981" t="s">
        <v>642</v>
      </c>
      <c r="L981" t="s">
        <v>36</v>
      </c>
      <c r="M981" t="s">
        <v>99</v>
      </c>
      <c r="N981" t="s">
        <v>1041</v>
      </c>
      <c r="O981" t="s">
        <v>36</v>
      </c>
      <c r="P981" t="s">
        <v>55</v>
      </c>
      <c r="Q981" t="s">
        <v>40</v>
      </c>
      <c r="R981">
        <v>94</v>
      </c>
      <c r="S981">
        <v>0</v>
      </c>
      <c r="T981" t="s">
        <v>85</v>
      </c>
      <c r="U981" t="s">
        <v>57</v>
      </c>
      <c r="V981">
        <v>2.4900000000000002</v>
      </c>
      <c r="W981">
        <v>1.37</v>
      </c>
      <c r="X981">
        <v>5.0999999999999996</v>
      </c>
      <c r="Y981">
        <v>13.1</v>
      </c>
      <c r="Z981">
        <v>17.7</v>
      </c>
      <c r="AA981">
        <f>VALUE(SUBSTITUTE(DACS19___Pfizer’s_Personalised_Medicine_in[[#This Row],[Dose]],"mg",""))</f>
        <v>200</v>
      </c>
      <c r="AB981">
        <f t="shared" si="105"/>
        <v>200</v>
      </c>
      <c r="AC981" t="s">
        <v>40</v>
      </c>
      <c r="AD981">
        <f t="shared" si="106"/>
        <v>3</v>
      </c>
      <c r="AE981">
        <f t="shared" si="107"/>
        <v>2</v>
      </c>
      <c r="AF981" t="e">
        <f t="shared" si="108"/>
        <v>#N/A</v>
      </c>
      <c r="AG981" t="e">
        <f t="shared" si="109"/>
        <v>#N/A</v>
      </c>
      <c r="AH981">
        <f t="shared" si="110"/>
        <v>1.37</v>
      </c>
      <c r="AI981" t="e">
        <f t="shared" si="111"/>
        <v>#N/A</v>
      </c>
    </row>
    <row r="982" spans="1:35" x14ac:dyDescent="0.45">
      <c r="A982" t="s">
        <v>2572</v>
      </c>
      <c r="B982">
        <v>38</v>
      </c>
      <c r="C982" t="s">
        <v>44</v>
      </c>
      <c r="D982" t="s">
        <v>28</v>
      </c>
      <c r="E982" t="s">
        <v>29</v>
      </c>
      <c r="F982" t="s">
        <v>2614</v>
      </c>
      <c r="G982" t="s">
        <v>164</v>
      </c>
      <c r="H982" t="s">
        <v>81</v>
      </c>
      <c r="I982" t="s">
        <v>132</v>
      </c>
      <c r="J982" t="s">
        <v>1574</v>
      </c>
      <c r="K982" t="s">
        <v>2573</v>
      </c>
      <c r="L982" t="s">
        <v>92</v>
      </c>
      <c r="M982" t="s">
        <v>75</v>
      </c>
      <c r="N982" t="s">
        <v>1444</v>
      </c>
      <c r="O982" t="s">
        <v>92</v>
      </c>
      <c r="P982" t="s">
        <v>39</v>
      </c>
      <c r="Q982" t="s">
        <v>75</v>
      </c>
      <c r="R982">
        <v>170</v>
      </c>
      <c r="S982">
        <v>1</v>
      </c>
      <c r="T982" t="s">
        <v>123</v>
      </c>
      <c r="U982" t="s">
        <v>42</v>
      </c>
      <c r="V982">
        <v>1.98</v>
      </c>
      <c r="W982">
        <v>4.87</v>
      </c>
      <c r="X982">
        <v>9.6</v>
      </c>
      <c r="Y982">
        <v>10.5</v>
      </c>
      <c r="Z982">
        <v>8.9</v>
      </c>
      <c r="AA982">
        <f>VALUE(SUBSTITUTE(DACS19___Pfizer’s_Personalised_Medicine_in[[#This Row],[Dose]],"mg",""))</f>
        <v>50</v>
      </c>
      <c r="AB982">
        <f t="shared" si="105"/>
        <v>50</v>
      </c>
      <c r="AC982" t="s">
        <v>75</v>
      </c>
      <c r="AD982">
        <f t="shared" si="106"/>
        <v>1</v>
      </c>
      <c r="AE982">
        <f t="shared" si="107"/>
        <v>3</v>
      </c>
      <c r="AF982" t="e">
        <f t="shared" si="108"/>
        <v>#N/A</v>
      </c>
      <c r="AG982" t="e">
        <f t="shared" si="109"/>
        <v>#N/A</v>
      </c>
      <c r="AH982" t="e">
        <f t="shared" si="110"/>
        <v>#N/A</v>
      </c>
      <c r="AI982">
        <f t="shared" si="111"/>
        <v>4.87</v>
      </c>
    </row>
    <row r="983" spans="1:35" x14ac:dyDescent="0.45">
      <c r="A983" t="s">
        <v>2574</v>
      </c>
      <c r="B983">
        <v>77</v>
      </c>
      <c r="C983" t="s">
        <v>27</v>
      </c>
      <c r="D983" t="s">
        <v>87</v>
      </c>
      <c r="E983" t="s">
        <v>78</v>
      </c>
      <c r="F983" t="s">
        <v>79</v>
      </c>
      <c r="G983" t="s">
        <v>31</v>
      </c>
      <c r="H983" t="s">
        <v>32</v>
      </c>
      <c r="I983" t="s">
        <v>72</v>
      </c>
      <c r="J983" t="s">
        <v>2575</v>
      </c>
      <c r="K983" t="s">
        <v>1580</v>
      </c>
      <c r="L983" t="s">
        <v>36</v>
      </c>
      <c r="M983" t="s">
        <v>723</v>
      </c>
      <c r="N983" t="s">
        <v>370</v>
      </c>
      <c r="O983" t="s">
        <v>36</v>
      </c>
      <c r="P983" t="s">
        <v>39</v>
      </c>
      <c r="Q983" t="s">
        <v>2614</v>
      </c>
      <c r="R983">
        <v>55</v>
      </c>
      <c r="S983">
        <v>1</v>
      </c>
      <c r="T983" t="s">
        <v>123</v>
      </c>
      <c r="U983" t="s">
        <v>42</v>
      </c>
      <c r="V983">
        <v>4.58</v>
      </c>
      <c r="W983">
        <v>4.87</v>
      </c>
      <c r="X983">
        <v>5</v>
      </c>
      <c r="Y983">
        <v>11.8</v>
      </c>
      <c r="Z983">
        <v>11.9</v>
      </c>
      <c r="AA983">
        <f>VALUE(SUBSTITUTE(DACS19___Pfizer’s_Personalised_Medicine_in[[#This Row],[Dose]],"mg",""))</f>
        <v>200</v>
      </c>
      <c r="AB983">
        <f t="shared" si="105"/>
        <v>200</v>
      </c>
      <c r="AC983" t="s">
        <v>2614</v>
      </c>
      <c r="AD983">
        <f t="shared" si="106"/>
        <v>0</v>
      </c>
      <c r="AE983">
        <f t="shared" si="107"/>
        <v>3</v>
      </c>
      <c r="AF983" t="e">
        <f t="shared" si="108"/>
        <v>#N/A</v>
      </c>
      <c r="AG983" t="e">
        <f t="shared" si="109"/>
        <v>#N/A</v>
      </c>
      <c r="AH983">
        <f t="shared" si="110"/>
        <v>4.87</v>
      </c>
      <c r="AI983" t="e">
        <f t="shared" si="111"/>
        <v>#N/A</v>
      </c>
    </row>
    <row r="984" spans="1:35" x14ac:dyDescent="0.45">
      <c r="A984" t="s">
        <v>2576</v>
      </c>
      <c r="B984">
        <v>41</v>
      </c>
      <c r="C984" t="s">
        <v>27</v>
      </c>
      <c r="D984" t="s">
        <v>106</v>
      </c>
      <c r="E984" t="s">
        <v>2614</v>
      </c>
      <c r="F984" t="s">
        <v>59</v>
      </c>
      <c r="G984" t="s">
        <v>125</v>
      </c>
      <c r="H984" t="s">
        <v>71</v>
      </c>
      <c r="I984" t="s">
        <v>72</v>
      </c>
      <c r="J984" t="s">
        <v>2577</v>
      </c>
      <c r="K984" t="s">
        <v>1922</v>
      </c>
      <c r="L984" t="s">
        <v>92</v>
      </c>
      <c r="M984" t="s">
        <v>378</v>
      </c>
      <c r="N984" t="s">
        <v>54</v>
      </c>
      <c r="O984" t="s">
        <v>92</v>
      </c>
      <c r="P984" t="s">
        <v>39</v>
      </c>
      <c r="Q984" t="s">
        <v>40</v>
      </c>
      <c r="R984">
        <v>66</v>
      </c>
      <c r="S984">
        <v>1</v>
      </c>
      <c r="T984" t="s">
        <v>123</v>
      </c>
      <c r="U984" t="s">
        <v>57</v>
      </c>
      <c r="V984">
        <v>3.75</v>
      </c>
      <c r="W984">
        <v>2.09</v>
      </c>
      <c r="X984">
        <v>7.6</v>
      </c>
      <c r="Y984">
        <v>6.9</v>
      </c>
      <c r="Z984">
        <v>3.8</v>
      </c>
      <c r="AA984">
        <f>VALUE(SUBSTITUTE(DACS19___Pfizer’s_Personalised_Medicine_in[[#This Row],[Dose]],"mg",""))</f>
        <v>50</v>
      </c>
      <c r="AB984">
        <f t="shared" si="105"/>
        <v>50</v>
      </c>
      <c r="AC984" t="s">
        <v>40</v>
      </c>
      <c r="AD984">
        <f t="shared" si="106"/>
        <v>3</v>
      </c>
      <c r="AE984">
        <f t="shared" si="107"/>
        <v>3</v>
      </c>
      <c r="AF984" t="e">
        <f t="shared" si="108"/>
        <v>#N/A</v>
      </c>
      <c r="AG984">
        <f t="shared" si="109"/>
        <v>2.09</v>
      </c>
      <c r="AH984" t="e">
        <f t="shared" si="110"/>
        <v>#N/A</v>
      </c>
      <c r="AI984" t="e">
        <f t="shared" si="111"/>
        <v>#N/A</v>
      </c>
    </row>
    <row r="985" spans="1:35" x14ac:dyDescent="0.45">
      <c r="A985" t="s">
        <v>2578</v>
      </c>
      <c r="B985">
        <v>24</v>
      </c>
      <c r="C985" t="s">
        <v>27</v>
      </c>
      <c r="D985" t="s">
        <v>106</v>
      </c>
      <c r="E985" t="s">
        <v>46</v>
      </c>
      <c r="F985" t="s">
        <v>79</v>
      </c>
      <c r="G985" t="s">
        <v>102</v>
      </c>
      <c r="H985" t="s">
        <v>81</v>
      </c>
      <c r="I985" t="s">
        <v>49</v>
      </c>
      <c r="J985" t="s">
        <v>2579</v>
      </c>
      <c r="K985" t="s">
        <v>758</v>
      </c>
      <c r="L985" t="s">
        <v>92</v>
      </c>
      <c r="M985" t="s">
        <v>67</v>
      </c>
      <c r="N985" t="s">
        <v>100</v>
      </c>
      <c r="O985" t="s">
        <v>92</v>
      </c>
      <c r="P985" t="s">
        <v>55</v>
      </c>
      <c r="Q985" t="s">
        <v>129</v>
      </c>
      <c r="R985">
        <v>91</v>
      </c>
      <c r="S985">
        <v>0</v>
      </c>
      <c r="T985" t="s">
        <v>123</v>
      </c>
      <c r="U985" t="s">
        <v>57</v>
      </c>
      <c r="V985">
        <v>2.5499999999999998</v>
      </c>
      <c r="W985">
        <v>2.41</v>
      </c>
      <c r="X985">
        <v>3.8</v>
      </c>
      <c r="Y985">
        <v>14.8</v>
      </c>
      <c r="Z985">
        <v>8.5</v>
      </c>
      <c r="AA985">
        <f>VALUE(SUBSTITUTE(DACS19___Pfizer’s_Personalised_Medicine_in[[#This Row],[Dose]],"mg",""))</f>
        <v>50</v>
      </c>
      <c r="AB985">
        <f t="shared" si="105"/>
        <v>50</v>
      </c>
      <c r="AC985" t="s">
        <v>129</v>
      </c>
      <c r="AD985">
        <f t="shared" si="106"/>
        <v>4</v>
      </c>
      <c r="AE985">
        <f t="shared" si="107"/>
        <v>2</v>
      </c>
      <c r="AF985" t="e">
        <f t="shared" si="108"/>
        <v>#N/A</v>
      </c>
      <c r="AG985" t="e">
        <f t="shared" si="109"/>
        <v>#N/A</v>
      </c>
      <c r="AH985" t="e">
        <f t="shared" si="110"/>
        <v>#N/A</v>
      </c>
      <c r="AI985">
        <f t="shared" si="111"/>
        <v>2.41</v>
      </c>
    </row>
    <row r="986" spans="1:35" x14ac:dyDescent="0.45">
      <c r="A986" t="s">
        <v>2580</v>
      </c>
      <c r="B986">
        <v>30</v>
      </c>
      <c r="C986" t="s">
        <v>45</v>
      </c>
      <c r="D986" t="s">
        <v>95</v>
      </c>
      <c r="E986" t="s">
        <v>29</v>
      </c>
      <c r="F986" t="s">
        <v>88</v>
      </c>
      <c r="G986" t="s">
        <v>131</v>
      </c>
      <c r="H986" t="s">
        <v>71</v>
      </c>
      <c r="I986" t="s">
        <v>132</v>
      </c>
      <c r="J986" t="s">
        <v>2581</v>
      </c>
      <c r="K986" t="s">
        <v>802</v>
      </c>
      <c r="L986" t="s">
        <v>64</v>
      </c>
      <c r="M986" t="s">
        <v>75</v>
      </c>
      <c r="N986" t="s">
        <v>122</v>
      </c>
      <c r="O986" t="s">
        <v>64</v>
      </c>
      <c r="P986" t="s">
        <v>55</v>
      </c>
      <c r="Q986" t="s">
        <v>40</v>
      </c>
      <c r="R986">
        <v>164</v>
      </c>
      <c r="S986">
        <v>0</v>
      </c>
      <c r="T986" t="s">
        <v>137</v>
      </c>
      <c r="U986" t="s">
        <v>57</v>
      </c>
      <c r="V986">
        <v>1.77</v>
      </c>
      <c r="W986">
        <v>2.2400000000000002</v>
      </c>
      <c r="X986">
        <v>9.8000000000000007</v>
      </c>
      <c r="Y986">
        <v>13.4</v>
      </c>
      <c r="Z986">
        <v>10.6</v>
      </c>
      <c r="AA986">
        <f>VALUE(SUBSTITUTE(DACS19___Pfizer’s_Personalised_Medicine_in[[#This Row],[Dose]],"mg",""))</f>
        <v>150</v>
      </c>
      <c r="AB986">
        <f t="shared" si="105"/>
        <v>150</v>
      </c>
      <c r="AC986" t="s">
        <v>40</v>
      </c>
      <c r="AD986">
        <f t="shared" si="106"/>
        <v>3</v>
      </c>
      <c r="AE986">
        <f t="shared" si="107"/>
        <v>2</v>
      </c>
      <c r="AF986" t="e">
        <f t="shared" si="108"/>
        <v>#N/A</v>
      </c>
      <c r="AG986">
        <f t="shared" si="109"/>
        <v>2.2400000000000002</v>
      </c>
      <c r="AH986" t="e">
        <f t="shared" si="110"/>
        <v>#N/A</v>
      </c>
      <c r="AI986" t="e">
        <f t="shared" si="111"/>
        <v>#N/A</v>
      </c>
    </row>
    <row r="987" spans="1:35" x14ac:dyDescent="0.45">
      <c r="A987" t="s">
        <v>2582</v>
      </c>
      <c r="B987">
        <v>19</v>
      </c>
      <c r="C987" t="s">
        <v>45</v>
      </c>
      <c r="D987" t="s">
        <v>87</v>
      </c>
      <c r="E987" t="s">
        <v>163</v>
      </c>
      <c r="F987" t="s">
        <v>47</v>
      </c>
      <c r="G987" t="s">
        <v>31</v>
      </c>
      <c r="H987" t="s">
        <v>71</v>
      </c>
      <c r="I987" t="s">
        <v>132</v>
      </c>
      <c r="J987" t="s">
        <v>1226</v>
      </c>
      <c r="K987" t="s">
        <v>2174</v>
      </c>
      <c r="L987" t="s">
        <v>92</v>
      </c>
      <c r="M987" t="s">
        <v>469</v>
      </c>
      <c r="N987" t="s">
        <v>1132</v>
      </c>
      <c r="O987" t="s">
        <v>92</v>
      </c>
      <c r="P987" t="s">
        <v>110</v>
      </c>
      <c r="Q987" t="s">
        <v>129</v>
      </c>
      <c r="R987">
        <v>150</v>
      </c>
      <c r="S987">
        <v>0</v>
      </c>
      <c r="T987" t="s">
        <v>41</v>
      </c>
      <c r="U987" t="s">
        <v>57</v>
      </c>
      <c r="V987">
        <v>3.31</v>
      </c>
      <c r="W987">
        <v>4.93</v>
      </c>
      <c r="X987">
        <v>3.2</v>
      </c>
      <c r="Y987">
        <v>18.3</v>
      </c>
      <c r="Z987">
        <v>15.2</v>
      </c>
      <c r="AA987">
        <f>VALUE(SUBSTITUTE(DACS19___Pfizer’s_Personalised_Medicine_in[[#This Row],[Dose]],"mg",""))</f>
        <v>50</v>
      </c>
      <c r="AB987">
        <f t="shared" si="105"/>
        <v>50</v>
      </c>
      <c r="AC987" t="s">
        <v>129</v>
      </c>
      <c r="AD987">
        <f t="shared" si="106"/>
        <v>4</v>
      </c>
      <c r="AE987">
        <f t="shared" si="107"/>
        <v>1</v>
      </c>
      <c r="AF987" t="e">
        <f t="shared" si="108"/>
        <v>#N/A</v>
      </c>
      <c r="AG987">
        <f t="shared" si="109"/>
        <v>4.93</v>
      </c>
      <c r="AH987" t="e">
        <f t="shared" si="110"/>
        <v>#N/A</v>
      </c>
      <c r="AI987" t="e">
        <f t="shared" si="111"/>
        <v>#N/A</v>
      </c>
    </row>
    <row r="988" spans="1:35" x14ac:dyDescent="0.45">
      <c r="A988" t="s">
        <v>2583</v>
      </c>
      <c r="B988">
        <v>25</v>
      </c>
      <c r="C988" t="s">
        <v>45</v>
      </c>
      <c r="D988" t="s">
        <v>106</v>
      </c>
      <c r="E988" t="s">
        <v>78</v>
      </c>
      <c r="F988" t="s">
        <v>47</v>
      </c>
      <c r="G988" t="s">
        <v>102</v>
      </c>
      <c r="H988" t="s">
        <v>81</v>
      </c>
      <c r="I988" t="s">
        <v>49</v>
      </c>
      <c r="J988" t="s">
        <v>2584</v>
      </c>
      <c r="K988" t="s">
        <v>1017</v>
      </c>
      <c r="L988" t="s">
        <v>36</v>
      </c>
      <c r="M988" t="s">
        <v>67</v>
      </c>
      <c r="N988" t="s">
        <v>379</v>
      </c>
      <c r="O988" t="s">
        <v>36</v>
      </c>
      <c r="P988" t="s">
        <v>110</v>
      </c>
      <c r="Q988" t="s">
        <v>75</v>
      </c>
      <c r="R988">
        <v>180</v>
      </c>
      <c r="S988">
        <v>0</v>
      </c>
      <c r="T988" t="s">
        <v>56</v>
      </c>
      <c r="U988" t="s">
        <v>57</v>
      </c>
      <c r="V988">
        <v>3.43</v>
      </c>
      <c r="W988">
        <v>1.35</v>
      </c>
      <c r="X988">
        <v>7.1</v>
      </c>
      <c r="Y988">
        <v>7.2</v>
      </c>
      <c r="Z988">
        <v>13.1</v>
      </c>
      <c r="AA988">
        <f>VALUE(SUBSTITUTE(DACS19___Pfizer’s_Personalised_Medicine_in[[#This Row],[Dose]],"mg",""))</f>
        <v>200</v>
      </c>
      <c r="AB988">
        <f t="shared" si="105"/>
        <v>200</v>
      </c>
      <c r="AC988" t="s">
        <v>75</v>
      </c>
      <c r="AD988">
        <f t="shared" si="106"/>
        <v>1</v>
      </c>
      <c r="AE988">
        <f t="shared" si="107"/>
        <v>1</v>
      </c>
      <c r="AF988" t="e">
        <f t="shared" si="108"/>
        <v>#N/A</v>
      </c>
      <c r="AG988" t="e">
        <f t="shared" si="109"/>
        <v>#N/A</v>
      </c>
      <c r="AH988" t="e">
        <f t="shared" si="110"/>
        <v>#N/A</v>
      </c>
      <c r="AI988">
        <f t="shared" si="111"/>
        <v>1.35</v>
      </c>
    </row>
    <row r="989" spans="1:35" x14ac:dyDescent="0.45">
      <c r="A989" t="s">
        <v>2585</v>
      </c>
      <c r="B989">
        <v>79</v>
      </c>
      <c r="C989" t="s">
        <v>44</v>
      </c>
      <c r="D989" t="s">
        <v>87</v>
      </c>
      <c r="E989" t="s">
        <v>29</v>
      </c>
      <c r="F989" t="s">
        <v>59</v>
      </c>
      <c r="G989" t="s">
        <v>60</v>
      </c>
      <c r="H989" t="s">
        <v>61</v>
      </c>
      <c r="I989" t="s">
        <v>33</v>
      </c>
      <c r="J989" t="s">
        <v>1843</v>
      </c>
      <c r="K989" t="s">
        <v>2586</v>
      </c>
      <c r="L989" t="s">
        <v>92</v>
      </c>
      <c r="M989" t="s">
        <v>2614</v>
      </c>
      <c r="N989" t="s">
        <v>1836</v>
      </c>
      <c r="O989" t="s">
        <v>92</v>
      </c>
      <c r="P989" t="s">
        <v>39</v>
      </c>
      <c r="Q989" t="s">
        <v>75</v>
      </c>
      <c r="R989">
        <v>123</v>
      </c>
      <c r="S989">
        <v>1</v>
      </c>
      <c r="T989" t="s">
        <v>137</v>
      </c>
      <c r="U989" t="s">
        <v>57</v>
      </c>
      <c r="V989">
        <v>3.96</v>
      </c>
      <c r="W989">
        <v>1.84</v>
      </c>
      <c r="X989">
        <v>8.6</v>
      </c>
      <c r="Y989">
        <v>6.5</v>
      </c>
      <c r="Z989">
        <v>17.3</v>
      </c>
      <c r="AA989">
        <f>VALUE(SUBSTITUTE(DACS19___Pfizer’s_Personalised_Medicine_in[[#This Row],[Dose]],"mg",""))</f>
        <v>50</v>
      </c>
      <c r="AB989">
        <f t="shared" si="105"/>
        <v>50</v>
      </c>
      <c r="AC989" t="s">
        <v>75</v>
      </c>
      <c r="AD989">
        <f t="shared" si="106"/>
        <v>1</v>
      </c>
      <c r="AE989">
        <f t="shared" si="107"/>
        <v>3</v>
      </c>
      <c r="AF989">
        <f t="shared" si="108"/>
        <v>1.84</v>
      </c>
      <c r="AG989" t="e">
        <f t="shared" si="109"/>
        <v>#N/A</v>
      </c>
      <c r="AH989" t="e">
        <f t="shared" si="110"/>
        <v>#N/A</v>
      </c>
      <c r="AI989" t="e">
        <f t="shared" si="111"/>
        <v>#N/A</v>
      </c>
    </row>
    <row r="990" spans="1:35" x14ac:dyDescent="0.45">
      <c r="A990" t="s">
        <v>2587</v>
      </c>
      <c r="B990">
        <v>82</v>
      </c>
      <c r="C990" t="s">
        <v>27</v>
      </c>
      <c r="D990" t="s">
        <v>87</v>
      </c>
      <c r="E990" t="s">
        <v>46</v>
      </c>
      <c r="F990" t="s">
        <v>2614</v>
      </c>
      <c r="G990" t="s">
        <v>276</v>
      </c>
      <c r="H990" t="s">
        <v>71</v>
      </c>
      <c r="I990" t="s">
        <v>72</v>
      </c>
      <c r="J990" t="s">
        <v>2442</v>
      </c>
      <c r="K990" t="s">
        <v>346</v>
      </c>
      <c r="L990" t="s">
        <v>92</v>
      </c>
      <c r="M990" t="s">
        <v>536</v>
      </c>
      <c r="N990" t="s">
        <v>1631</v>
      </c>
      <c r="O990" t="s">
        <v>92</v>
      </c>
      <c r="P990" t="s">
        <v>110</v>
      </c>
      <c r="Q990" t="s">
        <v>40</v>
      </c>
      <c r="R990">
        <v>171</v>
      </c>
      <c r="S990">
        <v>0</v>
      </c>
      <c r="T990" t="s">
        <v>137</v>
      </c>
      <c r="U990" t="s">
        <v>57</v>
      </c>
      <c r="V990">
        <v>2.84</v>
      </c>
      <c r="W990">
        <v>1.87</v>
      </c>
      <c r="X990">
        <v>2.2000000000000002</v>
      </c>
      <c r="Y990">
        <v>23.2</v>
      </c>
      <c r="Z990">
        <v>4.2</v>
      </c>
      <c r="AA990">
        <f>VALUE(SUBSTITUTE(DACS19___Pfizer’s_Personalised_Medicine_in[[#This Row],[Dose]],"mg",""))</f>
        <v>50</v>
      </c>
      <c r="AB990">
        <f t="shared" si="105"/>
        <v>50</v>
      </c>
      <c r="AC990" t="s">
        <v>40</v>
      </c>
      <c r="AD990">
        <f t="shared" si="106"/>
        <v>3</v>
      </c>
      <c r="AE990">
        <f t="shared" si="107"/>
        <v>1</v>
      </c>
      <c r="AF990" t="e">
        <f t="shared" si="108"/>
        <v>#N/A</v>
      </c>
      <c r="AG990">
        <f t="shared" si="109"/>
        <v>1.87</v>
      </c>
      <c r="AH990" t="e">
        <f t="shared" si="110"/>
        <v>#N/A</v>
      </c>
      <c r="AI990" t="e">
        <f t="shared" si="111"/>
        <v>#N/A</v>
      </c>
    </row>
    <row r="991" spans="1:35" x14ac:dyDescent="0.45">
      <c r="A991" t="s">
        <v>2588</v>
      </c>
      <c r="B991">
        <v>51</v>
      </c>
      <c r="C991" t="s">
        <v>44</v>
      </c>
      <c r="D991" t="s">
        <v>95</v>
      </c>
      <c r="E991" t="s">
        <v>163</v>
      </c>
      <c r="F991" t="s">
        <v>47</v>
      </c>
      <c r="G991" t="s">
        <v>194</v>
      </c>
      <c r="H991" t="s">
        <v>61</v>
      </c>
      <c r="I991" t="s">
        <v>33</v>
      </c>
      <c r="J991" t="s">
        <v>1583</v>
      </c>
      <c r="K991" t="s">
        <v>1942</v>
      </c>
      <c r="L991" t="s">
        <v>64</v>
      </c>
      <c r="M991" t="s">
        <v>834</v>
      </c>
      <c r="N991" t="s">
        <v>296</v>
      </c>
      <c r="O991" t="s">
        <v>64</v>
      </c>
      <c r="P991" t="s">
        <v>110</v>
      </c>
      <c r="Q991" t="s">
        <v>129</v>
      </c>
      <c r="R991">
        <v>134</v>
      </c>
      <c r="S991">
        <v>0</v>
      </c>
      <c r="T991" t="s">
        <v>137</v>
      </c>
      <c r="U991" t="s">
        <v>42</v>
      </c>
      <c r="V991">
        <v>1.8</v>
      </c>
      <c r="W991">
        <v>2.39</v>
      </c>
      <c r="X991">
        <v>6.6</v>
      </c>
      <c r="Y991">
        <v>15.8</v>
      </c>
      <c r="Z991">
        <v>5.0999999999999996</v>
      </c>
      <c r="AA991">
        <f>VALUE(SUBSTITUTE(DACS19___Pfizer’s_Personalised_Medicine_in[[#This Row],[Dose]],"mg",""))</f>
        <v>150</v>
      </c>
      <c r="AB991">
        <f t="shared" si="105"/>
        <v>150</v>
      </c>
      <c r="AC991" t="s">
        <v>129</v>
      </c>
      <c r="AD991">
        <f t="shared" si="106"/>
        <v>4</v>
      </c>
      <c r="AE991">
        <f t="shared" si="107"/>
        <v>1</v>
      </c>
      <c r="AF991">
        <f t="shared" si="108"/>
        <v>2.39</v>
      </c>
      <c r="AG991" t="e">
        <f t="shared" si="109"/>
        <v>#N/A</v>
      </c>
      <c r="AH991" t="e">
        <f t="shared" si="110"/>
        <v>#N/A</v>
      </c>
      <c r="AI991" t="e">
        <f t="shared" si="111"/>
        <v>#N/A</v>
      </c>
    </row>
    <row r="992" spans="1:35" x14ac:dyDescent="0.45">
      <c r="A992" t="s">
        <v>2589</v>
      </c>
      <c r="B992">
        <v>67</v>
      </c>
      <c r="C992" t="s">
        <v>27</v>
      </c>
      <c r="D992" t="s">
        <v>87</v>
      </c>
      <c r="E992" t="s">
        <v>78</v>
      </c>
      <c r="F992" t="s">
        <v>2614</v>
      </c>
      <c r="G992" t="s">
        <v>89</v>
      </c>
      <c r="H992" t="s">
        <v>71</v>
      </c>
      <c r="I992" t="s">
        <v>132</v>
      </c>
      <c r="J992" t="s">
        <v>449</v>
      </c>
      <c r="K992" t="s">
        <v>2590</v>
      </c>
      <c r="L992" t="s">
        <v>64</v>
      </c>
      <c r="M992" t="s">
        <v>2614</v>
      </c>
      <c r="N992" t="s">
        <v>335</v>
      </c>
      <c r="O992" t="s">
        <v>64</v>
      </c>
      <c r="P992" t="s">
        <v>110</v>
      </c>
      <c r="Q992" t="s">
        <v>129</v>
      </c>
      <c r="R992">
        <v>167</v>
      </c>
      <c r="S992">
        <v>0</v>
      </c>
      <c r="T992" t="s">
        <v>41</v>
      </c>
      <c r="U992" t="s">
        <v>42</v>
      </c>
      <c r="V992">
        <v>2.16</v>
      </c>
      <c r="W992">
        <v>1.96</v>
      </c>
      <c r="X992">
        <v>2.9</v>
      </c>
      <c r="Y992">
        <v>13.4</v>
      </c>
      <c r="Z992">
        <v>15</v>
      </c>
      <c r="AA992">
        <f>VALUE(SUBSTITUTE(DACS19___Pfizer’s_Personalised_Medicine_in[[#This Row],[Dose]],"mg",""))</f>
        <v>150</v>
      </c>
      <c r="AB992">
        <f t="shared" si="105"/>
        <v>150</v>
      </c>
      <c r="AC992" t="s">
        <v>129</v>
      </c>
      <c r="AD992">
        <f t="shared" si="106"/>
        <v>4</v>
      </c>
      <c r="AE992">
        <f t="shared" si="107"/>
        <v>1</v>
      </c>
      <c r="AF992" t="e">
        <f t="shared" si="108"/>
        <v>#N/A</v>
      </c>
      <c r="AG992">
        <f t="shared" si="109"/>
        <v>1.96</v>
      </c>
      <c r="AH992" t="e">
        <f t="shared" si="110"/>
        <v>#N/A</v>
      </c>
      <c r="AI992" t="e">
        <f t="shared" si="111"/>
        <v>#N/A</v>
      </c>
    </row>
    <row r="993" spans="1:35" x14ac:dyDescent="0.45">
      <c r="A993" t="s">
        <v>2591</v>
      </c>
      <c r="B993">
        <v>54</v>
      </c>
      <c r="C993" t="s">
        <v>45</v>
      </c>
      <c r="D993" t="s">
        <v>28</v>
      </c>
      <c r="E993" t="s">
        <v>29</v>
      </c>
      <c r="F993" t="s">
        <v>88</v>
      </c>
      <c r="G993" t="s">
        <v>164</v>
      </c>
      <c r="H993" t="s">
        <v>32</v>
      </c>
      <c r="I993" t="s">
        <v>49</v>
      </c>
      <c r="J993" t="s">
        <v>845</v>
      </c>
      <c r="K993" t="s">
        <v>175</v>
      </c>
      <c r="L993" t="s">
        <v>92</v>
      </c>
      <c r="M993" t="s">
        <v>2614</v>
      </c>
      <c r="N993" t="s">
        <v>267</v>
      </c>
      <c r="O993" t="s">
        <v>92</v>
      </c>
      <c r="P993" t="s">
        <v>39</v>
      </c>
      <c r="Q993" t="s">
        <v>67</v>
      </c>
      <c r="R993">
        <v>55</v>
      </c>
      <c r="S993">
        <v>1</v>
      </c>
      <c r="T993" t="s">
        <v>137</v>
      </c>
      <c r="U993" t="s">
        <v>42</v>
      </c>
      <c r="V993">
        <v>1.87</v>
      </c>
      <c r="W993">
        <v>2.4700000000000002</v>
      </c>
      <c r="X993">
        <v>4.5</v>
      </c>
      <c r="Y993">
        <v>23.6</v>
      </c>
      <c r="Z993">
        <v>19.2</v>
      </c>
      <c r="AA993">
        <f>VALUE(SUBSTITUTE(DACS19___Pfizer’s_Personalised_Medicine_in[[#This Row],[Dose]],"mg",""))</f>
        <v>50</v>
      </c>
      <c r="AB993">
        <f t="shared" si="105"/>
        <v>50</v>
      </c>
      <c r="AC993" t="s">
        <v>67</v>
      </c>
      <c r="AD993">
        <f t="shared" si="106"/>
        <v>2</v>
      </c>
      <c r="AE993">
        <f t="shared" si="107"/>
        <v>3</v>
      </c>
      <c r="AF993" t="e">
        <f t="shared" si="108"/>
        <v>#N/A</v>
      </c>
      <c r="AG993" t="e">
        <f t="shared" si="109"/>
        <v>#N/A</v>
      </c>
      <c r="AH993">
        <f t="shared" si="110"/>
        <v>2.4700000000000002</v>
      </c>
      <c r="AI993" t="e">
        <f t="shared" si="111"/>
        <v>#N/A</v>
      </c>
    </row>
    <row r="994" spans="1:35" x14ac:dyDescent="0.45">
      <c r="A994" t="s">
        <v>2592</v>
      </c>
      <c r="B994">
        <v>66</v>
      </c>
      <c r="C994" t="s">
        <v>44</v>
      </c>
      <c r="D994" t="s">
        <v>28</v>
      </c>
      <c r="E994" t="s">
        <v>29</v>
      </c>
      <c r="F994" t="s">
        <v>2614</v>
      </c>
      <c r="G994" t="s">
        <v>276</v>
      </c>
      <c r="H994" t="s">
        <v>81</v>
      </c>
      <c r="I994" t="s">
        <v>72</v>
      </c>
      <c r="J994" t="s">
        <v>2593</v>
      </c>
      <c r="K994" t="s">
        <v>2594</v>
      </c>
      <c r="L994" t="s">
        <v>64</v>
      </c>
      <c r="M994" t="s">
        <v>2614</v>
      </c>
      <c r="N994" t="s">
        <v>1836</v>
      </c>
      <c r="O994" t="s">
        <v>64</v>
      </c>
      <c r="P994" t="s">
        <v>39</v>
      </c>
      <c r="Q994" t="s">
        <v>129</v>
      </c>
      <c r="R994">
        <v>30</v>
      </c>
      <c r="S994">
        <v>1</v>
      </c>
      <c r="T994" t="s">
        <v>137</v>
      </c>
      <c r="U994" t="s">
        <v>42</v>
      </c>
      <c r="V994">
        <v>4.2</v>
      </c>
      <c r="W994">
        <v>1.97</v>
      </c>
      <c r="X994">
        <v>1.6</v>
      </c>
      <c r="Y994">
        <v>11.7</v>
      </c>
      <c r="Z994">
        <v>7.5</v>
      </c>
      <c r="AA994">
        <f>VALUE(SUBSTITUTE(DACS19___Pfizer’s_Personalised_Medicine_in[[#This Row],[Dose]],"mg",""))</f>
        <v>150</v>
      </c>
      <c r="AB994">
        <f t="shared" si="105"/>
        <v>150</v>
      </c>
      <c r="AC994" t="s">
        <v>129</v>
      </c>
      <c r="AD994">
        <f t="shared" si="106"/>
        <v>4</v>
      </c>
      <c r="AE994">
        <f t="shared" si="107"/>
        <v>3</v>
      </c>
      <c r="AF994" t="e">
        <f t="shared" si="108"/>
        <v>#N/A</v>
      </c>
      <c r="AG994" t="e">
        <f t="shared" si="109"/>
        <v>#N/A</v>
      </c>
      <c r="AH994" t="e">
        <f t="shared" si="110"/>
        <v>#N/A</v>
      </c>
      <c r="AI994">
        <f t="shared" si="111"/>
        <v>1.97</v>
      </c>
    </row>
    <row r="995" spans="1:35" x14ac:dyDescent="0.45">
      <c r="A995" t="s">
        <v>2595</v>
      </c>
      <c r="B995">
        <v>33</v>
      </c>
      <c r="C995" t="s">
        <v>44</v>
      </c>
      <c r="D995" t="s">
        <v>95</v>
      </c>
      <c r="E995" t="s">
        <v>78</v>
      </c>
      <c r="F995" t="s">
        <v>79</v>
      </c>
      <c r="G995" t="s">
        <v>70</v>
      </c>
      <c r="H995" t="s">
        <v>81</v>
      </c>
      <c r="I995" t="s">
        <v>49</v>
      </c>
      <c r="J995" t="s">
        <v>1149</v>
      </c>
      <c r="K995" t="s">
        <v>556</v>
      </c>
      <c r="L995" t="s">
        <v>64</v>
      </c>
      <c r="M995" t="s">
        <v>274</v>
      </c>
      <c r="N995" t="s">
        <v>2118</v>
      </c>
      <c r="O995" t="s">
        <v>64</v>
      </c>
      <c r="P995" t="s">
        <v>39</v>
      </c>
      <c r="Q995" t="s">
        <v>40</v>
      </c>
      <c r="R995">
        <v>156</v>
      </c>
      <c r="S995">
        <v>1</v>
      </c>
      <c r="T995" t="s">
        <v>137</v>
      </c>
      <c r="U995" t="s">
        <v>42</v>
      </c>
      <c r="V995">
        <v>3.02</v>
      </c>
      <c r="W995">
        <v>4.1100000000000003</v>
      </c>
      <c r="X995">
        <v>8.6999999999999993</v>
      </c>
      <c r="Y995">
        <v>21.2</v>
      </c>
      <c r="Z995">
        <v>9.1</v>
      </c>
      <c r="AA995">
        <f>VALUE(SUBSTITUTE(DACS19___Pfizer’s_Personalised_Medicine_in[[#This Row],[Dose]],"mg",""))</f>
        <v>150</v>
      </c>
      <c r="AB995">
        <f t="shared" si="105"/>
        <v>150</v>
      </c>
      <c r="AC995" t="s">
        <v>40</v>
      </c>
      <c r="AD995">
        <f t="shared" si="106"/>
        <v>3</v>
      </c>
      <c r="AE995">
        <f t="shared" si="107"/>
        <v>3</v>
      </c>
      <c r="AF995" t="e">
        <f t="shared" si="108"/>
        <v>#N/A</v>
      </c>
      <c r="AG995" t="e">
        <f t="shared" si="109"/>
        <v>#N/A</v>
      </c>
      <c r="AH995" t="e">
        <f t="shared" si="110"/>
        <v>#N/A</v>
      </c>
      <c r="AI995">
        <f t="shared" si="111"/>
        <v>4.1100000000000003</v>
      </c>
    </row>
    <row r="996" spans="1:35" x14ac:dyDescent="0.45">
      <c r="A996" t="s">
        <v>2596</v>
      </c>
      <c r="B996">
        <v>35</v>
      </c>
      <c r="C996" t="s">
        <v>27</v>
      </c>
      <c r="D996" t="s">
        <v>45</v>
      </c>
      <c r="E996" t="s">
        <v>2614</v>
      </c>
      <c r="F996" t="s">
        <v>2614</v>
      </c>
      <c r="G996" t="s">
        <v>70</v>
      </c>
      <c r="H996" t="s">
        <v>61</v>
      </c>
      <c r="I996" t="s">
        <v>132</v>
      </c>
      <c r="J996" t="s">
        <v>645</v>
      </c>
      <c r="K996" t="s">
        <v>2310</v>
      </c>
      <c r="L996" t="s">
        <v>92</v>
      </c>
      <c r="M996" t="s">
        <v>566</v>
      </c>
      <c r="N996" t="s">
        <v>267</v>
      </c>
      <c r="O996" t="s">
        <v>92</v>
      </c>
      <c r="P996" t="s">
        <v>110</v>
      </c>
      <c r="Q996" t="s">
        <v>40</v>
      </c>
      <c r="R996">
        <v>34</v>
      </c>
      <c r="S996">
        <v>0</v>
      </c>
      <c r="T996" t="s">
        <v>41</v>
      </c>
      <c r="U996" t="s">
        <v>57</v>
      </c>
      <c r="V996">
        <v>3.75</v>
      </c>
      <c r="W996">
        <v>2.25</v>
      </c>
      <c r="X996">
        <v>1.5</v>
      </c>
      <c r="Y996">
        <v>18.600000000000001</v>
      </c>
      <c r="Z996">
        <v>3.2</v>
      </c>
      <c r="AA996">
        <f>VALUE(SUBSTITUTE(DACS19___Pfizer’s_Personalised_Medicine_in[[#This Row],[Dose]],"mg",""))</f>
        <v>50</v>
      </c>
      <c r="AB996">
        <f t="shared" si="105"/>
        <v>50</v>
      </c>
      <c r="AC996" t="s">
        <v>40</v>
      </c>
      <c r="AD996">
        <f t="shared" si="106"/>
        <v>3</v>
      </c>
      <c r="AE996">
        <f t="shared" si="107"/>
        <v>1</v>
      </c>
      <c r="AF996">
        <f t="shared" si="108"/>
        <v>2.25</v>
      </c>
      <c r="AG996" t="e">
        <f t="shared" si="109"/>
        <v>#N/A</v>
      </c>
      <c r="AH996" t="e">
        <f t="shared" si="110"/>
        <v>#N/A</v>
      </c>
      <c r="AI996" t="e">
        <f t="shared" si="111"/>
        <v>#N/A</v>
      </c>
    </row>
    <row r="997" spans="1:35" x14ac:dyDescent="0.45">
      <c r="A997" t="s">
        <v>2597</v>
      </c>
      <c r="B997">
        <v>55</v>
      </c>
      <c r="C997" t="s">
        <v>44</v>
      </c>
      <c r="D997" t="s">
        <v>28</v>
      </c>
      <c r="E997" t="s">
        <v>2614</v>
      </c>
      <c r="F997" t="s">
        <v>47</v>
      </c>
      <c r="G997" t="s">
        <v>440</v>
      </c>
      <c r="H997" t="s">
        <v>71</v>
      </c>
      <c r="I997" t="s">
        <v>49</v>
      </c>
      <c r="J997" t="s">
        <v>2598</v>
      </c>
      <c r="K997" t="s">
        <v>2599</v>
      </c>
      <c r="L997" t="s">
        <v>92</v>
      </c>
      <c r="M997" t="s">
        <v>37</v>
      </c>
      <c r="N997" t="s">
        <v>546</v>
      </c>
      <c r="O997" t="s">
        <v>92</v>
      </c>
      <c r="P997" t="s">
        <v>55</v>
      </c>
      <c r="Q997" t="s">
        <v>129</v>
      </c>
      <c r="R997">
        <v>122</v>
      </c>
      <c r="S997">
        <v>0</v>
      </c>
      <c r="T997" t="s">
        <v>56</v>
      </c>
      <c r="U997" t="s">
        <v>57</v>
      </c>
      <c r="V997">
        <v>2.64</v>
      </c>
      <c r="W997">
        <v>2.3199999999999998</v>
      </c>
      <c r="X997">
        <v>7.2</v>
      </c>
      <c r="Y997">
        <v>19.8</v>
      </c>
      <c r="Z997">
        <v>8.1999999999999993</v>
      </c>
      <c r="AA997">
        <f>VALUE(SUBSTITUTE(DACS19___Pfizer’s_Personalised_Medicine_in[[#This Row],[Dose]],"mg",""))</f>
        <v>50</v>
      </c>
      <c r="AB997">
        <f t="shared" si="105"/>
        <v>50</v>
      </c>
      <c r="AC997" t="s">
        <v>129</v>
      </c>
      <c r="AD997">
        <f t="shared" si="106"/>
        <v>4</v>
      </c>
      <c r="AE997">
        <f t="shared" si="107"/>
        <v>2</v>
      </c>
      <c r="AF997" t="e">
        <f t="shared" si="108"/>
        <v>#N/A</v>
      </c>
      <c r="AG997">
        <f t="shared" si="109"/>
        <v>2.3199999999999998</v>
      </c>
      <c r="AH997" t="e">
        <f t="shared" si="110"/>
        <v>#N/A</v>
      </c>
      <c r="AI997" t="e">
        <f t="shared" si="111"/>
        <v>#N/A</v>
      </c>
    </row>
    <row r="998" spans="1:35" x14ac:dyDescent="0.45">
      <c r="A998" t="s">
        <v>2600</v>
      </c>
      <c r="B998">
        <v>79</v>
      </c>
      <c r="C998" t="s">
        <v>45</v>
      </c>
      <c r="D998" t="s">
        <v>106</v>
      </c>
      <c r="E998" t="s">
        <v>78</v>
      </c>
      <c r="F998" t="s">
        <v>2614</v>
      </c>
      <c r="G998" t="s">
        <v>118</v>
      </c>
      <c r="H998" t="s">
        <v>71</v>
      </c>
      <c r="I998" t="s">
        <v>49</v>
      </c>
      <c r="J998" t="s">
        <v>1606</v>
      </c>
      <c r="K998" t="s">
        <v>2169</v>
      </c>
      <c r="L998" t="s">
        <v>92</v>
      </c>
      <c r="M998" t="s">
        <v>40</v>
      </c>
      <c r="N998" t="s">
        <v>491</v>
      </c>
      <c r="O998" t="s">
        <v>92</v>
      </c>
      <c r="P998" t="s">
        <v>39</v>
      </c>
      <c r="Q998" t="s">
        <v>2614</v>
      </c>
      <c r="R998">
        <v>158</v>
      </c>
      <c r="S998">
        <v>1</v>
      </c>
      <c r="T998" t="s">
        <v>137</v>
      </c>
      <c r="U998" t="s">
        <v>57</v>
      </c>
      <c r="V998">
        <v>4.25</v>
      </c>
      <c r="W998">
        <v>2.1800000000000002</v>
      </c>
      <c r="X998">
        <v>5</v>
      </c>
      <c r="Y998">
        <v>19.100000000000001</v>
      </c>
      <c r="Z998">
        <v>14.8</v>
      </c>
      <c r="AA998">
        <f>VALUE(SUBSTITUTE(DACS19___Pfizer’s_Personalised_Medicine_in[[#This Row],[Dose]],"mg",""))</f>
        <v>50</v>
      </c>
      <c r="AB998">
        <f t="shared" si="105"/>
        <v>50</v>
      </c>
      <c r="AC998" t="s">
        <v>2614</v>
      </c>
      <c r="AD998">
        <f t="shared" si="106"/>
        <v>0</v>
      </c>
      <c r="AE998">
        <f t="shared" si="107"/>
        <v>3</v>
      </c>
      <c r="AF998" t="e">
        <f t="shared" si="108"/>
        <v>#N/A</v>
      </c>
      <c r="AG998">
        <f t="shared" si="109"/>
        <v>2.1800000000000002</v>
      </c>
      <c r="AH998" t="e">
        <f t="shared" si="110"/>
        <v>#N/A</v>
      </c>
      <c r="AI998" t="e">
        <f t="shared" si="111"/>
        <v>#N/A</v>
      </c>
    </row>
    <row r="999" spans="1:35" x14ac:dyDescent="0.45">
      <c r="A999" t="s">
        <v>2601</v>
      </c>
      <c r="B999">
        <v>41</v>
      </c>
      <c r="C999" t="s">
        <v>44</v>
      </c>
      <c r="D999" t="s">
        <v>87</v>
      </c>
      <c r="E999" t="s">
        <v>46</v>
      </c>
      <c r="F999" t="s">
        <v>2614</v>
      </c>
      <c r="G999" t="s">
        <v>31</v>
      </c>
      <c r="H999" t="s">
        <v>32</v>
      </c>
      <c r="I999" t="s">
        <v>33</v>
      </c>
      <c r="J999" t="s">
        <v>621</v>
      </c>
      <c r="K999" t="s">
        <v>2602</v>
      </c>
      <c r="L999" t="s">
        <v>52</v>
      </c>
      <c r="M999" t="s">
        <v>2658</v>
      </c>
      <c r="N999" t="s">
        <v>711</v>
      </c>
      <c r="O999" t="s">
        <v>52</v>
      </c>
      <c r="P999" t="s">
        <v>55</v>
      </c>
      <c r="Q999" t="s">
        <v>40</v>
      </c>
      <c r="R999">
        <v>94</v>
      </c>
      <c r="S999">
        <v>0</v>
      </c>
      <c r="T999" t="s">
        <v>41</v>
      </c>
      <c r="U999" t="s">
        <v>42</v>
      </c>
      <c r="V999">
        <v>4.95</v>
      </c>
      <c r="W999">
        <v>1.9</v>
      </c>
      <c r="X999">
        <v>7</v>
      </c>
      <c r="Y999">
        <v>17</v>
      </c>
      <c r="Z999">
        <v>18.600000000000001</v>
      </c>
      <c r="AA999">
        <f>VALUE(SUBSTITUTE(DACS19___Pfizer’s_Personalised_Medicine_in[[#This Row],[Dose]],"mg",""))</f>
        <v>100</v>
      </c>
      <c r="AB999">
        <f t="shared" si="105"/>
        <v>100</v>
      </c>
      <c r="AC999" t="s">
        <v>40</v>
      </c>
      <c r="AD999">
        <f t="shared" si="106"/>
        <v>3</v>
      </c>
      <c r="AE999">
        <f t="shared" si="107"/>
        <v>2</v>
      </c>
      <c r="AF999" t="e">
        <f t="shared" si="108"/>
        <v>#N/A</v>
      </c>
      <c r="AG999" t="e">
        <f t="shared" si="109"/>
        <v>#N/A</v>
      </c>
      <c r="AH999">
        <f t="shared" si="110"/>
        <v>1.9</v>
      </c>
      <c r="AI999" t="e">
        <f t="shared" si="111"/>
        <v>#N/A</v>
      </c>
    </row>
    <row r="1000" spans="1:35" x14ac:dyDescent="0.45">
      <c r="A1000" t="s">
        <v>2603</v>
      </c>
      <c r="B1000">
        <v>75</v>
      </c>
      <c r="C1000" t="s">
        <v>45</v>
      </c>
      <c r="D1000" t="s">
        <v>95</v>
      </c>
      <c r="E1000" t="s">
        <v>46</v>
      </c>
      <c r="F1000" t="s">
        <v>88</v>
      </c>
      <c r="G1000" t="s">
        <v>89</v>
      </c>
      <c r="H1000" t="s">
        <v>32</v>
      </c>
      <c r="I1000" t="s">
        <v>72</v>
      </c>
      <c r="J1000" t="s">
        <v>2604</v>
      </c>
      <c r="K1000" t="s">
        <v>2605</v>
      </c>
      <c r="L1000" t="s">
        <v>52</v>
      </c>
      <c r="M1000" t="s">
        <v>155</v>
      </c>
      <c r="N1000" t="s">
        <v>240</v>
      </c>
      <c r="O1000" t="s">
        <v>52</v>
      </c>
      <c r="P1000" t="s">
        <v>110</v>
      </c>
      <c r="Q1000" t="s">
        <v>40</v>
      </c>
      <c r="R1000">
        <v>159</v>
      </c>
      <c r="S1000">
        <v>0</v>
      </c>
      <c r="T1000" t="s">
        <v>56</v>
      </c>
      <c r="U1000" t="s">
        <v>42</v>
      </c>
      <c r="V1000">
        <v>1.63</v>
      </c>
      <c r="W1000">
        <v>4.01</v>
      </c>
      <c r="X1000">
        <v>6.1</v>
      </c>
      <c r="Y1000">
        <v>10.9</v>
      </c>
      <c r="Z1000">
        <v>11.1</v>
      </c>
      <c r="AA1000">
        <f>VALUE(SUBSTITUTE(DACS19___Pfizer’s_Personalised_Medicine_in[[#This Row],[Dose]],"mg",""))</f>
        <v>100</v>
      </c>
      <c r="AB1000">
        <f t="shared" si="105"/>
        <v>100</v>
      </c>
      <c r="AC1000" t="s">
        <v>40</v>
      </c>
      <c r="AD1000">
        <f t="shared" si="106"/>
        <v>3</v>
      </c>
      <c r="AE1000">
        <f t="shared" si="107"/>
        <v>1</v>
      </c>
      <c r="AF1000" t="e">
        <f t="shared" si="108"/>
        <v>#N/A</v>
      </c>
      <c r="AG1000" t="e">
        <f t="shared" si="109"/>
        <v>#N/A</v>
      </c>
      <c r="AH1000">
        <f t="shared" si="110"/>
        <v>4.01</v>
      </c>
      <c r="AI1000" t="e">
        <f t="shared" si="111"/>
        <v>#N/A</v>
      </c>
    </row>
    <row r="1001" spans="1:35" x14ac:dyDescent="0.45">
      <c r="A1001" t="s">
        <v>2606</v>
      </c>
      <c r="B1001">
        <v>70</v>
      </c>
      <c r="C1001" t="s">
        <v>45</v>
      </c>
      <c r="D1001" t="s">
        <v>87</v>
      </c>
      <c r="E1001" t="s">
        <v>2614</v>
      </c>
      <c r="F1001" t="s">
        <v>2614</v>
      </c>
      <c r="G1001" t="s">
        <v>246</v>
      </c>
      <c r="H1001" t="s">
        <v>81</v>
      </c>
      <c r="I1001" t="s">
        <v>72</v>
      </c>
      <c r="J1001" t="s">
        <v>2607</v>
      </c>
      <c r="K1001" t="s">
        <v>887</v>
      </c>
      <c r="L1001" t="s">
        <v>64</v>
      </c>
      <c r="M1001" t="s">
        <v>2614</v>
      </c>
      <c r="N1001" t="s">
        <v>54</v>
      </c>
      <c r="O1001" t="s">
        <v>64</v>
      </c>
      <c r="P1001" t="s">
        <v>55</v>
      </c>
      <c r="Q1001" t="s">
        <v>129</v>
      </c>
      <c r="R1001">
        <v>164</v>
      </c>
      <c r="S1001">
        <v>0</v>
      </c>
      <c r="T1001" t="s">
        <v>85</v>
      </c>
      <c r="U1001" t="s">
        <v>42</v>
      </c>
      <c r="V1001">
        <v>2.34</v>
      </c>
      <c r="W1001">
        <v>3.32</v>
      </c>
      <c r="X1001">
        <v>9</v>
      </c>
      <c r="Y1001">
        <v>16.2</v>
      </c>
      <c r="Z1001">
        <v>13.7</v>
      </c>
      <c r="AA1001">
        <f>VALUE(SUBSTITUTE(DACS19___Pfizer’s_Personalised_Medicine_in[[#This Row],[Dose]],"mg",""))</f>
        <v>150</v>
      </c>
      <c r="AB1001">
        <f t="shared" si="105"/>
        <v>150</v>
      </c>
      <c r="AC1001" t="s">
        <v>129</v>
      </c>
      <c r="AD1001">
        <f t="shared" si="106"/>
        <v>4</v>
      </c>
      <c r="AE1001">
        <f t="shared" si="107"/>
        <v>2</v>
      </c>
      <c r="AF1001" t="e">
        <f t="shared" si="108"/>
        <v>#N/A</v>
      </c>
      <c r="AG1001" t="e">
        <f t="shared" si="109"/>
        <v>#N/A</v>
      </c>
      <c r="AH1001" t="e">
        <f t="shared" si="110"/>
        <v>#N/A</v>
      </c>
      <c r="AI1001">
        <f t="shared" si="111"/>
        <v>3.32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5944F-D38A-4301-80A2-C0460A212491}">
  <dimension ref="A1:K38"/>
  <sheetViews>
    <sheetView tabSelected="1" topLeftCell="A136" workbookViewId="0">
      <selection activeCell="K146" sqref="K146"/>
    </sheetView>
  </sheetViews>
  <sheetFormatPr defaultRowHeight="14.25" x14ac:dyDescent="0.45"/>
  <sheetData>
    <row r="1" spans="1:1" x14ac:dyDescent="0.45">
      <c r="A1" s="11"/>
    </row>
    <row r="38" spans="11:11" x14ac:dyDescent="0.45">
      <c r="K38" t="s">
        <v>2709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BA0FE-8AA0-40AB-87F5-9D88D6B85617}">
  <dimension ref="A1:C23"/>
  <sheetViews>
    <sheetView workbookViewId="0">
      <selection activeCell="C23" sqref="C23"/>
    </sheetView>
  </sheetViews>
  <sheetFormatPr defaultRowHeight="14.25" x14ac:dyDescent="0.45"/>
  <cols>
    <col min="1" max="1" width="26.59765625" customWidth="1"/>
    <col min="2" max="2" width="24.9296875" customWidth="1"/>
    <col min="3" max="3" width="19.06640625" customWidth="1"/>
  </cols>
  <sheetData>
    <row r="1" spans="1:3" x14ac:dyDescent="0.45">
      <c r="A1" s="1" t="s">
        <v>2609</v>
      </c>
      <c r="B1" s="1" t="s">
        <v>2610</v>
      </c>
      <c r="C1" s="1" t="s">
        <v>2611</v>
      </c>
    </row>
    <row r="2" spans="1:3" x14ac:dyDescent="0.45">
      <c r="A2" s="1" t="s">
        <v>2608</v>
      </c>
      <c r="B2" s="1" t="s">
        <v>2612</v>
      </c>
      <c r="C2" s="1" t="s">
        <v>2613</v>
      </c>
    </row>
    <row r="3" spans="1:3" x14ac:dyDescent="0.45">
      <c r="A3" s="3" t="s">
        <v>0</v>
      </c>
      <c r="B3" s="3">
        <f>COUNTBLANK(Clean_Data!A2:A1001)</f>
        <v>0</v>
      </c>
      <c r="C3" s="4">
        <f>B3/1000</f>
        <v>0</v>
      </c>
    </row>
    <row r="4" spans="1:3" x14ac:dyDescent="0.45">
      <c r="A4" s="3" t="s">
        <v>1</v>
      </c>
      <c r="B4">
        <f>COUNTIF(Clean_Data!B2:B1001,"None")</f>
        <v>0</v>
      </c>
      <c r="C4" s="4">
        <f t="shared" ref="C4:C11" si="0">B4/1000</f>
        <v>0</v>
      </c>
    </row>
    <row r="5" spans="1:3" x14ac:dyDescent="0.45">
      <c r="A5" s="3" t="s">
        <v>2</v>
      </c>
      <c r="B5" s="3">
        <f>COUNTIF(Clean_Data!C2:C1001,"None")</f>
        <v>0</v>
      </c>
      <c r="C5" s="4">
        <f t="shared" si="0"/>
        <v>0</v>
      </c>
    </row>
    <row r="6" spans="1:3" x14ac:dyDescent="0.45">
      <c r="A6" s="3" t="s">
        <v>3</v>
      </c>
      <c r="B6" s="3">
        <f>COUNTIF(Clean_Data!D2:D1001,"None")</f>
        <v>0</v>
      </c>
      <c r="C6" s="4">
        <f t="shared" si="0"/>
        <v>0</v>
      </c>
    </row>
    <row r="7" spans="1:3" x14ac:dyDescent="0.45">
      <c r="A7" s="3" t="s">
        <v>4</v>
      </c>
      <c r="B7" s="3">
        <f>COUNTIF(Clean_Data!E2:E1001,"None")</f>
        <v>0</v>
      </c>
      <c r="C7" s="4">
        <f t="shared" si="0"/>
        <v>0</v>
      </c>
    </row>
    <row r="8" spans="1:3" x14ac:dyDescent="0.45">
      <c r="A8" s="3" t="s">
        <v>5</v>
      </c>
      <c r="B8" s="3">
        <f>COUNTIF(Clean_Data!F2:F1001,"None")</f>
        <v>0</v>
      </c>
      <c r="C8" s="4">
        <f t="shared" si="0"/>
        <v>0</v>
      </c>
    </row>
    <row r="9" spans="1:3" x14ac:dyDescent="0.45">
      <c r="A9" s="3" t="s">
        <v>12</v>
      </c>
      <c r="B9" s="3">
        <f>COUNTIF(Clean_Data!M2:M1001,"None")</f>
        <v>0</v>
      </c>
      <c r="C9" s="4">
        <f t="shared" si="0"/>
        <v>0</v>
      </c>
    </row>
    <row r="10" spans="1:3" x14ac:dyDescent="0.45">
      <c r="A10" s="3" t="s">
        <v>16</v>
      </c>
      <c r="B10" s="3">
        <f>COUNTIF(Clean_Data!Q2:Q1001,"None")</f>
        <v>0</v>
      </c>
      <c r="C10" s="4">
        <f t="shared" si="0"/>
        <v>0</v>
      </c>
    </row>
    <row r="11" spans="1:3" x14ac:dyDescent="0.45">
      <c r="A11" s="3" t="s">
        <v>24</v>
      </c>
      <c r="B11" s="3">
        <f>COUNTIF(Clean_Data!Y2:Y1001,"None")</f>
        <v>0</v>
      </c>
      <c r="C11" s="4">
        <f t="shared" si="0"/>
        <v>0</v>
      </c>
    </row>
    <row r="12" spans="1:3" x14ac:dyDescent="0.45">
      <c r="A12" s="1"/>
      <c r="B12" s="2"/>
    </row>
    <row r="13" spans="1:3" x14ac:dyDescent="0.45">
      <c r="A13" s="1" t="s">
        <v>2659</v>
      </c>
      <c r="B13" s="1" t="s">
        <v>2660</v>
      </c>
    </row>
    <row r="14" spans="1:3" x14ac:dyDescent="0.45">
      <c r="A14" s="3" t="s">
        <v>2661</v>
      </c>
      <c r="B14" s="2">
        <f>COUNTA(Clean_Data!A2:A1001)</f>
        <v>1000</v>
      </c>
    </row>
    <row r="15" spans="1:3" x14ac:dyDescent="0.45">
      <c r="A15" s="3" t="s">
        <v>2662</v>
      </c>
      <c r="B15" s="2" cm="1">
        <f t="array" ref="B15">SUMPRODUCT(1/COUNTIF(Clean_Data!A2:A1001, Clean_Data!A2:A1001))</f>
        <v>1000</v>
      </c>
    </row>
    <row r="16" spans="1:3" x14ac:dyDescent="0.45">
      <c r="A16" s="3" t="s">
        <v>2663</v>
      </c>
      <c r="B16" s="2">
        <f>B14-B15</f>
        <v>0</v>
      </c>
    </row>
    <row r="18" spans="1:3" x14ac:dyDescent="0.45">
      <c r="A18" s="1" t="s">
        <v>2659</v>
      </c>
      <c r="B18" s="1" t="s">
        <v>2664</v>
      </c>
      <c r="C18" s="5" t="s">
        <v>2665</v>
      </c>
    </row>
    <row r="19" spans="1:3" x14ac:dyDescent="0.45">
      <c r="A19" s="3" t="s">
        <v>1</v>
      </c>
      <c r="B19">
        <f>MIN(Clean_Data!B2:B1001)</f>
        <v>18</v>
      </c>
      <c r="C19">
        <f>MAX(Clean_Data!B2:B1001)</f>
        <v>85</v>
      </c>
    </row>
    <row r="20" spans="1:3" x14ac:dyDescent="0.45">
      <c r="A20" s="3" t="s">
        <v>2666</v>
      </c>
      <c r="B20">
        <f>MIN(Clean_Data!R2:R1001)</f>
        <v>30</v>
      </c>
      <c r="C20">
        <f>MAX(Clean_Data!R2:R1001)</f>
        <v>180</v>
      </c>
    </row>
    <row r="21" spans="1:3" x14ac:dyDescent="0.45">
      <c r="A21" s="3" t="s">
        <v>2667</v>
      </c>
      <c r="B21">
        <f>MIN(Clean_Data!X2:X1001)</f>
        <v>1</v>
      </c>
      <c r="C21">
        <f>MAX(Clean_Data!X2:X1001)</f>
        <v>10</v>
      </c>
    </row>
    <row r="22" spans="1:3" x14ac:dyDescent="0.45">
      <c r="A22" s="3" t="s">
        <v>2668</v>
      </c>
      <c r="B22">
        <f>MIN(Clean_Data!Y2:Y1001)</f>
        <v>6</v>
      </c>
      <c r="C22">
        <f>MAX(Clean_Data!Y2:Y1001)</f>
        <v>24</v>
      </c>
    </row>
    <row r="23" spans="1:3" x14ac:dyDescent="0.45">
      <c r="A23" s="3" t="s">
        <v>2669</v>
      </c>
      <c r="B23">
        <f>MIN(Clean_Data!Z2:Z1001)</f>
        <v>3</v>
      </c>
      <c r="C23">
        <f>MAX(Clean_Data!Z2:Z1001)</f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060420-BC8B-4EDF-8FAD-DCFC1255B3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DACS19 - Pfizer’s Personali (2)</vt:lpstr>
      <vt:lpstr>Pivot_Analysis</vt:lpstr>
      <vt:lpstr>Clean_Data</vt:lpstr>
      <vt:lpstr>Charts</vt:lpstr>
      <vt:lpstr>Data_Quality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KAIFI UR RAHMAN</dc:creator>
  <cp:lastModifiedBy>MD KAIFI UR RAHMAN</cp:lastModifiedBy>
  <dcterms:created xsi:type="dcterms:W3CDTF">2026-09-01T09:44:34Z</dcterms:created>
  <dcterms:modified xsi:type="dcterms:W3CDTF">2026-09-28T10:26:48Z</dcterms:modified>
</cp:coreProperties>
</file>